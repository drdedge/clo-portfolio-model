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2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209725d244d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7ce0f47782ec4ca6"/>
    <x:sheet xmlns:r="http://schemas.openxmlformats.org/officeDocument/2006/relationships" name="Agency Comparison" sheetId="2" r:id="Rb2fea4e8d90e4270"/>
    <x:sheet xmlns:r="http://schemas.openxmlformats.org/officeDocument/2006/relationships" name="Outputs" sheetId="3" r:id="R971c835dd5f34eed"/>
    <x:sheet xmlns:r="http://schemas.openxmlformats.org/officeDocument/2006/relationships" name="Portfolio Inputs" sheetId="4" r:id="R3b4a292c7fb34afc"/>
    <x:sheet xmlns:r="http://schemas.openxmlformats.org/officeDocument/2006/relationships" name="Assumptions" sheetId="5" r:id="R5543e6dfeafa4457"/>
    <x:sheet xmlns:r="http://schemas.openxmlformats.org/officeDocument/2006/relationships" name="Portfolio Calc" sheetId="6" r:id="Rac0a9e1f415a450d"/>
    <x:sheet xmlns:r="http://schemas.openxmlformats.org/officeDocument/2006/relationships" name="Obligor Calc" sheetId="7" r:id="R7ce4506e804a4334"/>
    <x:sheet xmlns:r="http://schemas.openxmlformats.org/officeDocument/2006/relationships" name="Capital Calc" sheetId="8" r:id="R048cd4d072af46ef"/>
    <x:sheet xmlns:r="http://schemas.openxmlformats.org/officeDocument/2006/relationships" name="SP Credit Parameters" sheetId="9" r:id="Rfa164b8ff76c49cb"/>
    <x:sheet xmlns:r="http://schemas.openxmlformats.org/officeDocument/2006/relationships" name="Concentration Calc" sheetId="10" r:id="R004e1666d3ca4a63"/>
    <x:sheet xmlns:r="http://schemas.openxmlformats.org/officeDocument/2006/relationships" name="Fitch Inputs" sheetId="11" r:id="R7eeee72224d84f36"/>
    <x:sheet xmlns:r="http://schemas.openxmlformats.org/officeDocument/2006/relationships" name="Fitch Parameters" sheetId="12" r:id="R03a897262c32421e"/>
    <x:sheet xmlns:r="http://schemas.openxmlformats.org/officeDocument/2006/relationships" name="Fitch Calc" sheetId="13" r:id="R72c9fb3544b34fd2"/>
    <x:sheet xmlns:r="http://schemas.openxmlformats.org/officeDocument/2006/relationships" name="Stress Inputs" sheetId="14" r:id="R06138c066c2841bc"/>
    <x:sheet xmlns:r="http://schemas.openxmlformats.org/officeDocument/2006/relationships" name="Cash Flow Calc" sheetId="15" r:id="Re26936e8eacb4480"/>
    <x:sheet xmlns:r="http://schemas.openxmlformats.org/officeDocument/2006/relationships" name="Sensitivity" sheetId="16" r:id="R8d0e16a52af64d12"/>
    <x:sheet xmlns:r="http://schemas.openxmlformats.org/officeDocument/2006/relationships" name="Stress Results" sheetId="17" r:id="Rc32f52cc7aba41b2"/>
    <x:sheet xmlns:r="http://schemas.openxmlformats.org/officeDocument/2006/relationships" name="Checks" sheetId="18" r:id="Ra535aa44c17e4018"/>
    <x:sheet xmlns:r="http://schemas.openxmlformats.org/officeDocument/2006/relationships" name="Gaps and Sources" sheetId="19" r:id="R21d65708e20e4e85"/>
    <x:sheet xmlns:r="http://schemas.openxmlformats.org/officeDocument/2006/relationships" name="Methodology" sheetId="20" r:id="R36c73f6fb41b47c1"/>
    <x:sheet xmlns:r="http://schemas.openxmlformats.org/officeDocument/2006/relationships" name="Run Snapshot" sheetId="21" r:id="R566cf5fc3f824b1e"/>
  </x:sheets>
  <x:definedNames>
    <x:definedName name="Portfolio_Par">'Portfolio Calc'!$D$8</x:definedName>
    <x:definedName name="SPWARF">'Portfolio Calc'!$D$21</x:definedName>
    <x:definedName name="SP_DRD">'Portfolio Calc'!$D$23</x:definedName>
    <x:definedName name="SP_WARF_Factors">'SP Credit Parameters'!$C$8:$D$26</x:definedName>
    <x:definedName name="as_of_date">'Assumptions'!$D$8</x:definedName>
    <x:definedName name="legal_final_date">'Assumptions'!$D$9</x:definedName>
    <x:definedName name="currency">'Assumptions'!$D$10</x:definedName>
    <x:definedName name="benchmark">'Assumptions'!$D$11</x:definedName>
    <x:definedName name="base_senior_pct">'Assumptions'!$D$12</x:definedName>
    <x:definedName name="equity_pct">'Assumptions'!$D$13</x:definedName>
    <x:definedName name="senior_coupon_bps">'Assumptions'!$D$14</x:definedName>
    <x:definedName name="junior_coupon_bps">'Assumptions'!$D$15</x:definedName>
    <x:definedName name="senior_floor_pct">'Assumptions'!$D$16</x:definedName>
    <x:definedName name="junior_floor_pct">'Assumptions'!$D$17</x:definedName>
    <x:definedName name="senior_fee_bps">'Assumptions'!$D$18</x:definedName>
    <x:definedName name="fixed_fee_per_period">'Assumptions'!$D$19</x:definedName>
    <x:definedName name="subordinated_fee_bps">'Assumptions'!$D$20</x:definedName>
    <x:definedName name="oc_trigger">'Assumptions'!$D$21</x:definedName>
    <x:definedName name="ic_trigger">'Assumptions'!$D$22</x:definedName>
    <x:definedName name="recovery_lag_quarters">'Assumptions'!$D$23</x:definedName>
    <x:definedName name="annual_prepayment_rate">'Assumptions'!$D$24</x:definedName>
    <x:definedName name="reinvestment_end_date">'Assumptions'!$D$25</x:definedName>
    <x:definedName name="reinvestment_price">'Assumptions'!$D$26</x:definedName>
    <x:definedName name="reinvestment_spread_bps">'Assumptions'!$D$27</x:definedName>
    <x:definedName name="reinvestment_recovery">'Assumptions'!$D$28</x:definedName>
    <x:definedName name="reinvestment_maturity_years">'Assumptions'!$D$29</x:definedName>
    <x:definedName name="reinvestment_floor_bps">'Assumptions'!$D$30</x:definedName>
    <x:definedName name="principal_support_interest">'Assumptions'!$D$31</x:definedName>
    <x:definedName name="final_liquidation_price">'Assumptions'!$D$32</x:definedName>
    <x:definedName name="oc_recovery_credit">'Assumptions'!$D$33</x:definedName>
    <x:definedName name="reinvestment_stop_on_trigger">'Assumptions'!$D$34</x:definedName>
    <x:definedName name="base_default_rate">'Assumptions'!$D$35</x:definedName>
    <x:definedName name="base_scenario_id">'Assumptions'!$D$36</x:definedName>
    <x:definedName name="agency_sdr_aaa">'Assumptions'!$D$37</x:definedName>
    <x:definedName name="agency_sdr_source">'Assumptions'!$D$38</x:definedName>
    <x:definedName name="scenario_front_flat_recovery_multiplier">'Assumptions'!$D$39</x:definedName>
    <x:definedName name="scenario_front_flat_annual_prepayment_rate">'Assumptions'!$D$40</x:definedName>
    <x:definedName name="scenario_front_low_recovery_multiplier">'Assumptions'!$D$41</x:definedName>
    <x:definedName name="scenario_front_low_annual_prepayment_rate">'Assumptions'!$D$42</x:definedName>
    <x:definedName name="scenario_front_high_recovery_multiplier">'Assumptions'!$D$43</x:definedName>
    <x:definedName name="scenario_front_high_annual_prepayment_rate">'Assumptions'!$D$44</x:definedName>
    <x:definedName name="scenario_middle_flat_recovery_multiplier">'Assumptions'!$D$45</x:definedName>
    <x:definedName name="scenario_middle_flat_annual_prepayment_rate">'Assumptions'!$D$46</x:definedName>
    <x:definedName name="scenario_middle_low_recovery_multiplier">'Assumptions'!$D$47</x:definedName>
    <x:definedName name="scenario_middle_low_annual_prepayment_rate">'Assumptions'!$D$48</x:definedName>
    <x:definedName name="scenario_middle_high_recovery_multiplier">'Assumptions'!$D$49</x:definedName>
    <x:definedName name="scenario_middle_high_annual_prepayment_rate">'Assumptions'!$D$50</x:definedName>
    <x:definedName name="scenario_back_flat_recovery_multiplier">'Assumptions'!$D$51</x:definedName>
    <x:definedName name="scenario_back_flat_annual_prepayment_rate">'Assumptions'!$D$52</x:definedName>
    <x:definedName name="scenario_back_low_recovery_multiplier">'Assumptions'!$D$53</x:definedName>
    <x:definedName name="scenario_back_low_annual_prepayment_rate">'Assumptions'!$D$54</x:definedName>
    <x:definedName name="scenario_back_high_recovery_multiplier">'Assumptions'!$D$55</x:definedName>
    <x:definedName name="scenario_back_high_annual_prepayment_rate">'Assumptions'!$D$56</x:definedName>
    <x:definedName name="scenario_level_flat_recovery_multiplier">'Assumptions'!$D$57</x:definedName>
    <x:definedName name="scenario_level_flat_annual_prepayment_rate">'Assumptions'!$D$58</x:definedName>
    <x:definedName name="scenario_level_low_recovery_multiplier">'Assumptions'!$D$59</x:definedName>
    <x:definedName name="scenario_level_low_annual_prepayment_rate">'Assumptions'!$D$60</x:definedName>
    <x:definedName name="scenario_level_high_recovery_multiplier">'Assumptions'!$D$61</x:definedName>
    <x:definedName name="scenario_level_high_annual_prepayment_rate">'Assumptions'!$D$62</x:definedName>
    <x:definedName name="Senior_Balance">'Capital Calc'!$G$8</x:definedName>
    <x:definedName name="Junior_Balance">'Capital Calc'!$H$8</x:definedName>
    <x:definedName name="Equity_Contribution">'Capital Calc'!$I$8</x:definedName>
    <x:definedName name="Fitch_WARF_Factors">'Fitch Parameters'!$C$8:$D$28</x:definedName>
    <x:definedName name="Fitch_WARF">'Fitch Calc'!$D$10</x:definedName>
    <x:definedName name="Fitch_WARR">'Fitch Calc'!$D$12</x:definedName>
    <x:definedName name="SP_Parameter_Changes">'SP Credit Parameters'!$D$29</x:definedName>
    <x:definedName name="Refresh_Required">'Checks'!$D$41</x:definedName>
  </x:definedName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5">
    <x:numFmt numFmtId="200" formatCode="#,##0;(#,##0);&quot;-&quot;"/>
    <x:numFmt numFmtId="201" formatCode="0.0%;(0.0%);&quot;-&quot;"/>
    <x:numFmt numFmtId="202" formatCode="yyyy-mm-dd"/>
    <x:numFmt numFmtId="203" formatCode="0.00"/>
    <x:numFmt numFmtId="204" formatCode="0"/>
    <x:numFmt numFmtId="205" formatCode="0.00&quot;x&quot;"/>
    <x:numFmt numFmtId="206" formatCode="0.0"/>
    <x:numFmt numFmtId="207" formatCode="0.0000"/>
    <x:numFmt numFmtId="208" formatCode="0.00000"/>
    <x:numFmt numFmtId="209" formatCode="mmm-yy"/>
    <x:numFmt numFmtId="210" formatCode="General"/>
    <x:numFmt numFmtId="211" formatCode="0.000"/>
    <x:numFmt numFmtId="212" formatCode="#,##0.0000"/>
    <x:numFmt numFmtId="213" formatCode="0.0%"/>
    <x:numFmt numFmtId="214" formatCode="#,##0.00"/>
  </x:numFmts>
  <x:fonts count="26">
    <x:font>
      <x:sz val="11"/>
      <x:name val="Carlito"/>
    </x:font>
    <x:font>
      <x:sz val="10"/>
      <x:color rgb="FF243247"/>
      <x:name val="Arial"/>
    </x:font>
    <x:font>
      <x:b/>
      <x:sz val="17"/>
      <x:color rgb="FF243247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sz val="10"/>
      <x:color rgb="FF000000"/>
      <x:name val="Arial"/>
    </x:font>
    <x:font>
      <x:sz val="11"/>
      <x:color rgb="FF008000"/>
      <x:name val="Carlito"/>
    </x:font>
    <x:font>
      <x:sz val="11"/>
      <x:color rgb="FF000000"/>
      <x:name val="Carlito"/>
    </x:font>
    <x:font>
      <x:sz val="11"/>
      <x:color rgb="FF243247"/>
      <x:name val="Arial"/>
    </x:font>
    <x:font>
      <x:i/>
      <x:sz val="10"/>
      <x:color rgb="FF243247"/>
      <x:name val="Arial"/>
    </x:font>
    <x:font>
      <x:b/>
      <x:sz val="11"/>
      <x:color rgb="FF243247"/>
      <x:name val="Arial"/>
    </x:font>
    <x:font>
      <x:b/>
      <x:sz val="11"/>
      <x:name val="Carlito"/>
    </x:font>
    <x:font>
      <x:sz val="11"/>
      <x:color rgb="FF000000"/>
      <x:name val="Arial"/>
    </x:font>
    <x:font>
      <x:sz val="11"/>
      <x:color rgb="FF0000FF"/>
      <x:name val="Arial"/>
    </x:font>
    <x:font>
      <x:b/>
      <x:sz val="17"/>
      <x:name val="Arial"/>
    </x:font>
    <x:font>
      <x:sz val="11"/>
      <x:color rgb="FF008000"/>
      <x:name val="Arial"/>
    </x:font>
    <x:font>
      <x:b/>
      <x:sz val="10"/>
      <x:color rgb="FF203955"/>
      <x:name val="Arial"/>
    </x:font>
    <x:font>
      <x:b/>
      <x:sz val="10"/>
      <x:color rgb="FF167D8D"/>
      <x:name val="Arial"/>
    </x:font>
    <x:font>
      <x:b/>
      <x:sz val="10"/>
      <x:color rgb="FF81909E"/>
      <x:name val="Arial"/>
    </x:font>
    <x:font>
      <x:b/>
      <x:sz val="10"/>
      <x:color rgb="FFD6A43A"/>
      <x:name val="Arial"/>
    </x:font>
    <x:font>
      <x:b/>
      <x:sz val="10"/>
      <x:color rgb="FF3075B9"/>
      <x:name val="Arial"/>
    </x:font>
    <x:font>
      <x:b/>
      <x:sz val="10"/>
      <x:color rgb="FF8859A3"/>
      <x:name val="Arial"/>
    </x:font>
    <x:font>
      <x:b/>
      <x:sz val="10"/>
      <x:color rgb="FFD88238"/>
      <x:name val="Arial"/>
    </x:font>
    <x:font>
      <x:b/>
      <x:sz val="10"/>
      <x:color rgb="FFBE5555"/>
      <x:name val="Arial"/>
    </x:font>
    <x:font>
      <x:sz val="11"/>
      <x:name val="Arial"/>
    </x:font>
    <x:font>
      <x:b/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955"/>
      </x:patternFill>
    </x:fill>
    <x:fill>
      <x:patternFill patternType="solid">
        <x:fgColor rgb="FFEEF2F7"/>
      </x:patternFill>
    </x:fill>
    <x:fill>
      <x:patternFill patternType="solid">
        <x:fgColor rgb="FFFFF4C9"/>
      </x:patternFill>
    </x:fill>
  </x:fills>
  <x:borders count="3">
    <x:border/>
    <x:border>
      <x:bottom style="thin">
        <x:color rgb="FFD7DFE7"/>
      </x:bottom>
    </x:border>
    <x:border>
      <x:right style="thin">
        <x:color rgb="FFD7DFE7"/>
      </x:right>
    </x:border>
  </x:borders>
  <x:cellStyleXfs count="1">
    <x:xf numFmtId="0" fontId="0" fillId="0" borderId="0"/>
  </x:cellStyleXfs>
  <x:cellXfs count="19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3" fontId="1" fillId="3" borderId="0" xfId="0" applyNumberFormat="1" applyFont="1" applyFill="1" applyBorder="1"/>
    <x:xf numFmtId="204" fontId="1" fillId="3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201" fontId="4" fillId="0" borderId="0" xfId="0" applyNumberFormat="1" applyFont="1" applyFill="1" applyBorder="1"/>
    <x:xf numFmtId="203" fontId="4" fillId="0" borderId="0" xfId="0" applyNumberFormat="1" applyFont="1" applyFill="1" applyBorder="1"/>
    <x:xf numFmtId="200" fontId="5" fillId="0" borderId="0" xfId="0" applyNumberFormat="1" applyFont="1" applyFill="1" applyBorder="1"/>
    <x:xf numFmtId="203" fontId="6" fillId="0" borderId="0" xfId="0" applyNumberFormat="1" applyFont="1" applyFill="1" applyBorder="1"/>
    <x:xf numFmtId="203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2" fillId="0" borderId="1" xfId="0" applyNumberFormat="1" applyFont="1" applyFill="1" applyBorder="1"/>
    <x:xf numFmtId="0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8" fillId="2" borderId="0" xfId="0" applyNumberFormat="1" applyFont="1" applyFill="1" applyBorder="1"/>
    <x:xf numFmtId="0" fontId="8" fillId="3" borderId="0" xfId="0" applyNumberFormat="1" applyFont="1" applyFill="1" applyBorder="1"/>
    <x:xf numFmtId="0" fontId="0" fillId="3" borderId="0" xfId="0" applyNumberFormat="1" applyFont="1" applyFill="1" applyBorder="1"/>
    <x:xf numFmtId="203" fontId="8" fillId="3" borderId="0" xfId="0" applyNumberFormat="1" applyFont="1" applyFill="1" applyBorder="1"/>
    <x:xf numFmtId="203" fontId="0" fillId="3" borderId="0" xfId="0" applyNumberFormat="1" applyFont="1" applyFill="1" applyBorder="1"/>
    <x:xf numFmtId="0" fontId="10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202" fontId="8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8" fillId="0" borderId="0" xfId="0" applyNumberFormat="1" applyFont="1" applyFill="1" applyBorder="1"/>
    <x:xf numFmtId="205" fontId="8" fillId="0" borderId="0" xfId="0" applyNumberFormat="1" applyFont="1" applyFill="1" applyBorder="1"/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8" fillId="4" borderId="0" xfId="0" applyNumberFormat="1" applyFont="1" applyFill="1" applyBorder="1"/>
    <x:xf numFmtId="0" fontId="8" fillId="4" borderId="0" xfId="0" applyNumberFormat="1" applyFont="1" applyFill="1" applyBorder="1"/>
    <x:xf numFmtId="201" fontId="8" fillId="4" borderId="0" xfId="0" applyNumberFormat="1" applyFont="1" applyFill="1" applyBorder="1"/>
    <x:xf numFmtId="205" fontId="8" fillId="4" borderId="0" xfId="0" applyNumberFormat="1" applyFont="1" applyFill="1" applyBorder="1"/>
    <x:xf numFmtId="0" fontId="8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8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3" fillId="4" borderId="0" xfId="0" applyNumberFormat="1" applyFont="1" applyFill="1" applyBorder="1"/>
    <x:xf numFmtId="0" fontId="13" fillId="4" borderId="0" xfId="0" applyNumberFormat="1" applyFont="1" applyFill="1" applyBorder="1"/>
    <x:xf numFmtId="201" fontId="13" fillId="4" borderId="0" xfId="0" applyNumberFormat="1" applyFont="1" applyFill="1" applyBorder="1"/>
    <x:xf numFmtId="205" fontId="13" fillId="4" borderId="0" xfId="0" applyNumberFormat="1" applyFont="1" applyFill="1" applyBorder="1"/>
    <x:xf numFmtId="0" fontId="13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13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8" fillId="3" borderId="0" xfId="0" applyNumberFormat="1" applyFont="1" applyFill="1" applyBorder="1"/>
    <x:xf numFmtId="201" fontId="8" fillId="3" borderId="0" xfId="0" applyNumberFormat="1" applyFont="1" applyFill="1" applyBorder="1"/>
    <x:xf numFmtId="205" fontId="8" fillId="3" borderId="0" xfId="0" applyNumberFormat="1" applyFont="1" applyFill="1" applyBorder="1"/>
    <x:xf numFmtId="0" fontId="8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8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0" borderId="0" xfId="0" applyNumberFormat="1" applyFont="1" applyFill="1" applyBorder="1"/>
    <x:xf numFmtId="0" fontId="15" fillId="0" borderId="0" xfId="0" applyNumberFormat="1" applyFont="1" applyFill="1" applyBorder="1"/>
    <x:xf numFmtId="200" fontId="15" fillId="0" borderId="0" xfId="0" applyNumberFormat="1" applyFont="1" applyFill="1" applyBorder="1"/>
    <x:xf numFmtId="204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7" fillId="0" borderId="0" xfId="0" applyNumberFormat="1" applyFont="1" applyFill="1" applyBorder="1"/>
    <x:xf numFmtId="206" fontId="6" fillId="0" borderId="0" xfId="0" applyNumberFormat="1" applyFont="1" applyFill="1" applyBorder="1"/>
    <x:xf numFmtId="201" fontId="6" fillId="0" borderId="0" xfId="0" applyNumberFormat="1" applyFont="1" applyFill="1" applyBorder="1"/>
    <x:xf numFmtId="207" fontId="6" fillId="0" borderId="0" xfId="0" applyNumberFormat="1" applyFont="1" applyFill="1" applyBorder="1"/>
    <x:xf numFmtId="206" fontId="7" fillId="0" borderId="0" xfId="0" applyNumberFormat="1" applyFont="1" applyFill="1" applyBorder="1"/>
    <x:xf numFmtId="203" fontId="6" fillId="0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/>
    <x:xf numFmtId="208" fontId="8" fillId="0" borderId="0" xfId="0" applyNumberFormat="1" applyFont="1" applyFill="1" applyBorder="1"/>
    <x:xf numFmtId="201" fontId="15" fillId="0" borderId="0" xfId="0" applyNumberFormat="1" applyFont="1" applyFill="1" applyBorder="1"/>
    <x:xf numFmtId="201" fontId="12" fillId="0" borderId="0" xfId="0" applyNumberFormat="1" applyFont="1" applyFill="1" applyBorder="1"/>
    <x:xf numFmtId="209" fontId="3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10" fontId="0" fillId="0" borderId="0" xfId="0" applyNumberFormat="1" applyFont="1" applyFill="1" applyBorder="1"/>
    <x:xf numFmtId="210" fontId="8" fillId="0" borderId="0" xfId="0" applyNumberFormat="1" applyFont="1" applyFill="1" applyBorder="1"/>
    <x:xf numFmtId="200" fontId="8" fillId="3" borderId="0" xfId="0" applyNumberFormat="1" applyFont="1" applyFill="1" applyBorder="1"/>
    <x:xf numFmtId="210" fontId="8" fillId="3" borderId="0" xfId="0" applyNumberFormat="1" applyFont="1" applyFill="1" applyBorder="1"/>
    <x:xf numFmtId="200" fontId="8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200" fontId="6" fillId="3" borderId="0" xfId="0" applyNumberFormat="1" applyFont="1" applyFill="1" applyBorder="1"/>
    <x:xf numFmtId="201" fontId="0" fillId="3" borderId="0" xfId="0" applyNumberFormat="1" applyFont="1" applyFill="1" applyBorder="1" applyAlignment="1">
      <x:alignment wrapText="1"/>
    </x:xf>
    <x:xf numFmtId="211" fontId="6" fillId="0" borderId="0" xfId="0" applyNumberFormat="1" applyFont="1" applyFill="1" applyBorder="1"/>
    <x:xf numFmtId="200" fontId="7" fillId="0" borderId="0" xfId="0" applyNumberFormat="1" applyFont="1" applyFill="1" applyBorder="1"/>
    <x:xf numFmtId="211" fontId="8" fillId="3" borderId="0" xfId="0" applyNumberFormat="1" applyFont="1" applyFill="1" applyBorder="1"/>
    <x:xf numFmtId="211" fontId="0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201" fontId="0" fillId="3" borderId="0" xfId="0" applyNumberFormat="1" applyFont="1" applyFill="1" applyBorder="1"/>
    <x:xf numFmtId="200" fontId="15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11" fontId="6" fillId="0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212" fontId="8" fillId="0" borderId="0" xfId="0" applyNumberFormat="1" applyFont="1" applyFill="1" applyBorder="1"/>
    <x:xf numFmtId="200" fontId="12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/>
    <x:xf numFmtId="203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/>
    <x:xf numFmtId="0" fontId="17" fillId="0" borderId="0" xfId="0" applyNumberFormat="1" applyFont="1" applyFill="1" applyBorder="1"/>
    <x:xf numFmtId="0" fontId="18" fillId="0" borderId="0" xfId="0" applyNumberFormat="1" applyFont="1" applyFill="1" applyBorder="1"/>
    <x:xf numFmtId="0" fontId="19" fillId="0" borderId="0" xfId="0" applyNumberFormat="1" applyFont="1" applyFill="1" applyBorder="1"/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22" fillId="0" borderId="0" xfId="0" applyNumberFormat="1" applyFont="1" applyFill="1" applyBorder="1"/>
    <x:xf numFmtId="0" fontId="23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top"/>
    </x:xf>
    <x:xf numFmtId="200" fontId="6" fillId="3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 wrapText="1"/>
    </x:xf>
    <x:xf numFmtId="201" fontId="0" fillId="3" borderId="0" xfId="0" applyNumberFormat="1" applyFont="1" applyFill="1" applyBorder="1" applyAlignment="1">
      <x:alignment vertical="top" wrapText="1"/>
    </x:xf>
    <x:xf numFmtId="211" fontId="6" fillId="0" borderId="0" xfId="0" applyNumberFormat="1" applyFont="1" applyFill="1" applyBorder="1" applyAlignment="1">
      <x:alignment vertical="top"/>
    </x:xf>
    <x:xf numFmtId="200" fontId="7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213" fontId="6" fillId="0" borderId="0" xfId="0" applyNumberFormat="1" applyFont="1" applyFill="1" applyBorder="1" applyAlignment="1">
      <x:alignment wrapText="1"/>
    </x:xf>
    <x:xf numFmtId="213" fontId="7" fillId="0" borderId="0" xfId="0" applyNumberFormat="1" applyFont="1" applyFill="1" applyBorder="1" applyAlignment="1">
      <x:alignment wrapText="1"/>
    </x:xf>
    <x:xf numFmtId="214" fontId="6" fillId="0" borderId="0" xfId="0" applyNumberFormat="1" applyFont="1" applyFill="1" applyBorder="1" applyAlignment="1">
      <x:alignment wrapText="1"/>
    </x:xf>
    <x:xf numFmtId="214" fontId="7" fillId="0" borderId="0" xfId="0" applyNumberFormat="1" applyFont="1" applyFill="1" applyBorder="1" applyAlignment="1">
      <x:alignment wrapText="1"/>
    </x:xf>
    <x:xf numFmtId="211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horizontal="center" wrapText="1"/>
    </x:xf>
    <x:xf numFmtId="214" fontId="7" fillId="0" borderId="0" xfId="0" applyNumberFormat="1" applyFont="1" applyFill="1" applyBorder="1" applyAlignment="1">
      <x:alignment horizontal="center" wrapText="1"/>
    </x:xf>
    <x:xf numFmtId="211" fontId="7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201" fontId="7" fillId="0" borderId="0" xfId="0" applyNumberFormat="1" applyFont="1" applyFill="1" applyBorder="1" applyAlignment="1">
      <x:alignment horizontal="center" wrapText="1"/>
    </x:xf>
    <x:xf numFmtId="213" fontId="7" fillId="0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wrapText="1"/>
    </x:xf>
    <x:xf numFmtId="0" fontId="8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horizontal="center" wrapText="1"/>
    </x:xf>
    <x:xf numFmtId="214" fontId="7" fillId="0" borderId="2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horizontal="center" wrapText="1"/>
    </x:xf>
    <x:xf numFmtId="201" fontId="7" fillId="0" borderId="2" xfId="0" applyNumberFormat="1" applyFont="1" applyFill="1" applyBorder="1" applyAlignment="1">
      <x:alignment horizontal="center" wrapText="1"/>
    </x:xf>
    <x:xf numFmtId="213" fontId="7" fillId="0" borderId="2" xfId="0" applyNumberFormat="1" applyFont="1" applyFill="1" applyBorder="1" applyAlignment="1">
      <x:alignment horizontal="center" wrapText="1"/>
    </x:xf>
    <x:xf numFmtId="211" fontId="7" fillId="0" borderId="2" xfId="0" applyNumberFormat="1" applyFont="1" applyFill="1" applyBorder="1" applyAlignment="1">
      <x:alignment horizontal="center" wrapText="1"/>
    </x:xf>
    <x:xf numFmtId="201" fontId="0" fillId="0" borderId="2" xfId="0" applyNumberFormat="1" applyFont="1" applyFill="1" applyBorder="1" applyAlignment="1">
      <x:alignment horizontal="center" wrapText="1"/>
    </x:xf>
    <x:xf numFmtId="212" fontId="8" fillId="0" borderId="2" xfId="0" applyNumberFormat="1" applyFont="1" applyFill="1" applyBorder="1"/>
    <x:xf numFmtId="0" fontId="13" fillId="4" borderId="0" xfId="0" applyNumberFormat="1" applyFont="1" applyFill="1" applyBorder="1" applyAlignment="1">
      <x:alignment wrapText="1"/>
    </x:xf>
    <x:xf numFmtId="0" fontId="24" fillId="0" borderId="0" xfId="0" applyNumberFormat="1" applyFont="1" applyFill="1" applyBorder="1"/>
    <x:xf numFmtId="0" fontId="24" fillId="0" borderId="2" xfId="0" applyNumberFormat="1" applyFont="1" applyFill="1" applyBorder="1" applyAlignment="1">
      <x:alignment wrapText="1"/>
    </x:xf>
    <x:xf numFmtId="214" fontId="12" fillId="0" borderId="2" xfId="0" applyNumberFormat="1" applyFont="1" applyFill="1" applyBorder="1" applyAlignment="1">
      <x:alignment horizontal="center" wrapText="1"/>
    </x:xf>
    <x:xf numFmtId="211" fontId="12" fillId="0" borderId="2" xfId="0" applyNumberFormat="1" applyFont="1" applyFill="1" applyBorder="1" applyAlignment="1">
      <x:alignment horizontal="center" wrapText="1"/>
    </x:xf>
    <x:xf numFmtId="0" fontId="24" fillId="0" borderId="0" xfId="0" applyNumberFormat="1" applyFont="1" applyFill="1" applyBorder="1" applyAlignment="1">
      <x:alignment wrapText="1"/>
    </x:xf>
    <x:xf numFmtId="0" fontId="24" fillId="0" borderId="2" xfId="0" applyNumberFormat="1" applyFont="1" applyFill="1" applyBorder="1" applyAlignment="1">
      <x:alignment horizontal="center" wrapText="1"/>
    </x:xf>
    <x:xf numFmtId="201" fontId="12" fillId="0" borderId="2" xfId="0" applyNumberFormat="1" applyFont="1" applyFill="1" applyBorder="1" applyAlignment="1">
      <x:alignment horizontal="center" wrapText="1"/>
    </x:xf>
    <x:xf numFmtId="213" fontId="12" fillId="0" borderId="2" xfId="0" applyNumberFormat="1" applyFont="1" applyFill="1" applyBorder="1" applyAlignment="1">
      <x:alignment horizontal="center" wrapText="1"/>
    </x:xf>
    <x:xf numFmtId="201" fontId="24" fillId="0" borderId="2" xfId="0" applyNumberFormat="1" applyFont="1" applyFill="1" applyBorder="1" applyAlignment="1">
      <x:alignment horizontal="center" wrapText="1"/>
    </x:xf>
    <x:xf numFmtId="0" fontId="24" fillId="0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 applyAlignment="1">
      <x:alignment horizontal="center" wrapText="1"/>
    </x:xf>
    <x:xf numFmtId="0" fontId="24" fillId="0" borderId="0" xfId="0" applyNumberFormat="1" applyFont="1" applyFill="1" applyBorder="1" applyAlignment="1">
      <x:alignment horizontal="center" wrapText="1"/>
    </x:xf>
    <x:xf numFmtId="201" fontId="12" fillId="0" borderId="0" xfId="0" applyNumberFormat="1" applyFont="1" applyFill="1" applyBorder="1" applyAlignment="1">
      <x:alignment horizontal="center" wrapText="1"/>
    </x:xf>
    <x:xf numFmtId="201" fontId="24" fillId="0" borderId="0" xfId="0" applyNumberFormat="1" applyFont="1" applyFill="1" applyBorder="1"/>
    <x:xf numFmtId="201" fontId="24" fillId="3" borderId="0" xfId="0" applyNumberFormat="1" applyFont="1" applyFill="1" applyBorder="1"/>
    <x:xf numFmtId="0" fontId="24" fillId="3" borderId="0" xfId="0" applyNumberFormat="1" applyFont="1" applyFill="1" applyBorder="1"/>
    <x:xf numFmtId="200" fontId="24" fillId="3" borderId="0" xfId="0" applyNumberFormat="1" applyFont="1" applyFill="1" applyBorder="1"/>
    <x:xf numFmtId="204" fontId="15" fillId="0" borderId="0" xfId="0" applyNumberFormat="1" applyFont="1" applyFill="1" applyBorder="1"/>
    <x:xf numFmtId="206" fontId="12" fillId="0" borderId="0" xfId="0" applyNumberFormat="1" applyFont="1" applyFill="1" applyBorder="1"/>
    <x:xf numFmtId="203" fontId="12" fillId="0" borderId="0" xfId="0" applyNumberFormat="1" applyFont="1" applyFill="1" applyBorder="1"/>
    <x:xf numFmtId="201" fontId="15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200" fontId="12" fillId="0" borderId="0" xfId="0" applyNumberFormat="1" applyFont="1" applyFill="1" applyBorder="1" applyAlignment="1">
      <x:alignment wrapText="1"/>
    </x:xf>
    <x:xf numFmtId="203" fontId="15" fillId="0" borderId="0" xfId="0" applyNumberFormat="1" applyFont="1" applyFill="1" applyBorder="1"/>
    <x:xf numFmtId="206" fontId="15" fillId="0" borderId="0" xfId="0" applyNumberFormat="1" applyFont="1" applyFill="1" applyBorder="1"/>
    <x:xf numFmtId="207" fontId="15" fillId="0" borderId="0" xfId="0" applyNumberFormat="1" applyFont="1" applyFill="1" applyBorder="1"/>
    <x:xf numFmtId="214" fontId="15" fillId="0" borderId="0" xfId="0" applyNumberFormat="1" applyFont="1" applyFill="1" applyBorder="1" applyAlignment="1">
      <x:alignment wrapText="1"/>
    </x:xf>
    <x:xf numFmtId="203" fontId="24" fillId="3" borderId="0" xfId="0" applyNumberFormat="1" applyFont="1" applyFill="1" applyBorder="1"/>
    <x:xf numFmtId="0" fontId="25" fillId="0" borderId="0" xfId="0" applyNumberFormat="1" applyFont="1" applyFill="1" applyBorder="1"/>
    <x:xf numFmtId="0" fontId="24" fillId="3" borderId="0" xfId="0" applyNumberFormat="1" applyFont="1" applyFill="1" applyBorder="1" applyAlignment="1">
      <x:alignment vertical="top"/>
    </x:xf>
    <x:xf numFmtId="200" fontId="15" fillId="3" borderId="0" xfId="0" applyNumberFormat="1" applyFont="1" applyFill="1" applyBorder="1" applyAlignment="1">
      <x:alignment vertical="top"/>
    </x:xf>
    <x:xf numFmtId="0" fontId="24" fillId="3" borderId="0" xfId="0" applyNumberFormat="1" applyFont="1" applyFill="1" applyBorder="1" applyAlignment="1">
      <x:alignment vertical="top" wrapText="1"/>
    </x:xf>
    <x:xf numFmtId="201" fontId="24" fillId="3" borderId="0" xfId="0" applyNumberFormat="1" applyFont="1" applyFill="1" applyBorder="1" applyAlignment="1">
      <x:alignment vertical="top" wrapText="1"/>
    </x:xf>
    <x:xf numFmtId="211" fontId="15" fillId="0" borderId="0" xfId="0" applyNumberFormat="1" applyFont="1" applyFill="1" applyBorder="1" applyAlignment="1">
      <x:alignment vertical="top"/>
    </x:xf>
    <x:xf numFmtId="200" fontId="12" fillId="0" borderId="0" xfId="0" applyNumberFormat="1" applyFont="1" applyFill="1" applyBorder="1" applyAlignment="1">
      <x:alignment vertical="top"/>
    </x:xf>
    <x:xf numFmtId="200" fontId="15" fillId="0" borderId="0" xfId="0" applyNumberFormat="1" applyFont="1" applyFill="1" applyBorder="1" applyAlignment="1">
      <x:alignment vertical="top"/>
    </x:xf>
    <x:xf numFmtId="0" fontId="12" fillId="0" borderId="0" xfId="0" applyNumberFormat="1" applyFont="1" applyFill="1" applyBorder="1" applyAlignment="1">
      <x:alignment vertical="top"/>
    </x:xf>
    <x:xf numFmtId="0" fontId="24" fillId="0" borderId="0" xfId="0" applyNumberFormat="1" applyFont="1" applyFill="1" applyBorder="1" applyAlignment="1">
      <x:alignment vertical="top"/>
    </x:xf>
    <x:xf numFmtId="211" fontId="24" fillId="3" borderId="0" xfId="0" applyNumberFormat="1" applyFont="1" applyFill="1" applyBorder="1"/>
    <x:xf numFmtId="0" fontId="24" fillId="3" borderId="0" xfId="0" applyNumberFormat="1" applyFont="1" applyFill="1" applyBorder="1" applyAlignment="1">
      <x:alignment wrapText="1"/>
    </x:xf>
    <x:xf numFmtId="213" fontId="15" fillId="0" borderId="0" xfId="0" applyNumberFormat="1" applyFont="1" applyFill="1" applyBorder="1" applyAlignment="1">
      <x:alignment wrapText="1"/>
    </x:xf>
    <x:xf numFmtId="211" fontId="15" fillId="0" borderId="0" xfId="0" applyNumberFormat="1" applyFont="1" applyFill="1" applyBorder="1" applyAlignment="1">
      <x:alignment wrapText="1"/>
    </x:xf>
    <x:xf numFmtId="204" fontId="15" fillId="0" borderId="0" xfId="0" applyNumberFormat="1" applyFont="1" applyFill="1" applyBorder="1" applyAlignment="1">
      <x:alignment wrapText="1"/>
    </x:xf>
    <x:xf numFmtId="200" fontId="24" fillId="0" borderId="0" xfId="0" applyNumberFormat="1" applyFont="1" applyFill="1" applyBorder="1"/>
    <x:xf numFmtId="200" fontId="24" fillId="0" borderId="0" xfId="0" applyNumberFormat="1" applyFont="1" applyFill="1" applyBorder="1" applyAlignment="1">
      <x:alignment wrapText="1"/>
    </x:xf>
    <x:xf numFmtId="208" fontId="12" fillId="0" borderId="0" xfId="0" applyNumberFormat="1" applyFont="1" applyFill="1" applyBorder="1"/>
    <x:xf numFmtId="212" fontId="15" fillId="0" borderId="0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FCE6DF"/>
        </x:patternFill>
      </x:fill>
    </x:dxf>
    <x:dxf>
      <x:fill>
        <x:patternFill patternType="solid">
          <x:bgColor rgb="FFFFF1DD"/>
        </x:patternFill>
      </x:fill>
    </x:dxf>
    <x:dxf>
      <x:fill>
        <x:patternFill patternType="solid">
          <x:bgColor rgb="FFFCE6DF"/>
        </x:patternFill>
      </x:fill>
    </x:dxf>
    <x:dxf>
      <x:fill>
        <x:patternFill patternType="solid">
          <x:bgColor rgb="FFFFF1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9df892f2e1491b" /><Relationship Type="http://schemas.openxmlformats.org/officeDocument/2006/relationships/theme" Target="/xl/theme/theme1.xml" Id="R3d935eb4255b4479" /><Relationship Type="http://schemas.microsoft.com/office/2022/11/relationships/FeaturePropertyBag" Target="/xl/featurePropertyBag/featurePropertyBag.xml" Id="R36306ae8c0a84a07" /><Relationship Type="http://schemas.openxmlformats.org/officeDocument/2006/relationships/sharedStrings" Target="/xl/sharedStrings.xml" Id="Rf2eb1299b0b34d28" /><Relationship Type="http://schemas.openxmlformats.org/officeDocument/2006/relationships/worksheet" Target="/xl/worksheets/sheet1.xml" Id="R7ce0f47782ec4ca6" /><Relationship Type="http://schemas.openxmlformats.org/officeDocument/2006/relationships/worksheet" Target="/xl/worksheets/sheet2.xml" Id="Rb2fea4e8d90e4270" /><Relationship Type="http://schemas.openxmlformats.org/officeDocument/2006/relationships/worksheet" Target="/xl/worksheets/sheet3.xml" Id="R971c835dd5f34eed" /><Relationship Type="http://schemas.openxmlformats.org/officeDocument/2006/relationships/worksheet" Target="/xl/worksheets/sheet4.xml" Id="R3b4a292c7fb34afc" /><Relationship Type="http://schemas.openxmlformats.org/officeDocument/2006/relationships/worksheet" Target="/xl/worksheets/sheet5.xml" Id="R5543e6dfeafa4457" /><Relationship Type="http://schemas.openxmlformats.org/officeDocument/2006/relationships/worksheet" Target="/xl/worksheets/sheet6.xml" Id="Rac0a9e1f415a450d" /><Relationship Type="http://schemas.openxmlformats.org/officeDocument/2006/relationships/worksheet" Target="/xl/worksheets/sheet7.xml" Id="R7ce4506e804a4334" /><Relationship Type="http://schemas.openxmlformats.org/officeDocument/2006/relationships/worksheet" Target="/xl/worksheets/sheet8.xml" Id="R048cd4d072af46ef" /><Relationship Type="http://schemas.openxmlformats.org/officeDocument/2006/relationships/worksheet" Target="/xl/worksheets/sheet9.xml" Id="Rfa164b8ff76c49cb" /><Relationship Type="http://schemas.openxmlformats.org/officeDocument/2006/relationships/worksheet" Target="/xl/worksheets/sheet10.xml" Id="R004e1666d3ca4a63" /><Relationship Type="http://schemas.openxmlformats.org/officeDocument/2006/relationships/worksheet" Target="/xl/worksheets/sheet11.xml" Id="R7eeee72224d84f36" /><Relationship Type="http://schemas.openxmlformats.org/officeDocument/2006/relationships/worksheet" Target="/xl/worksheets/sheet12.xml" Id="R03a897262c32421e" /><Relationship Type="http://schemas.openxmlformats.org/officeDocument/2006/relationships/worksheet" Target="/xl/worksheets/sheet13.xml" Id="R72c9fb3544b34fd2" /><Relationship Type="http://schemas.openxmlformats.org/officeDocument/2006/relationships/worksheet" Target="/xl/worksheets/sheet14.xml" Id="R06138c066c2841bc" /><Relationship Type="http://schemas.openxmlformats.org/officeDocument/2006/relationships/worksheet" Target="/xl/worksheets/sheet15.xml" Id="Re26936e8eacb4480" /><Relationship Type="http://schemas.openxmlformats.org/officeDocument/2006/relationships/worksheet" Target="/xl/worksheets/sheet16.xml" Id="R8d0e16a52af64d12" /><Relationship Type="http://schemas.openxmlformats.org/officeDocument/2006/relationships/worksheet" Target="/xl/worksheets/sheet17.xml" Id="Rc32f52cc7aba41b2" /><Relationship Type="http://schemas.openxmlformats.org/officeDocument/2006/relationships/worksheet" Target="/xl/worksheets/sheet18.xml" Id="Ra535aa44c17e4018" /><Relationship Type="http://schemas.openxmlformats.org/officeDocument/2006/relationships/worksheet" Target="/xl/worksheets/sheet19.xml" Id="R21d65708e20e4e85" /><Relationship Type="http://schemas.openxmlformats.org/officeDocument/2006/relationships/worksheet" Target="/xl/worksheets/sheet20.xml" Id="R36c73f6fb41b47c1" /><Relationship Type="http://schemas.openxmlformats.org/officeDocument/2006/relationships/worksheet" Target="/xl/worksheets/sheet21.xml" Id="R566cf5fc3f824b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ortfolioData" displayName="PortfolioData" ref="A7:AB8" headerRowCount="1" totalsRowCount="0" totalsRowShown="0">
  <x:tableColumns count="28">
    <x:tableColumn id="1" name="instrument_id"/>
    <x:tableColumn id="2" name="obligor_id"/>
    <x:tableColumn id="3" name="obligor_name"/>
    <x:tableColumn id="4" name="par"/>
    <x:tableColumn id="5" name="sp_rating"/>
    <x:tableColumn id="6" name="sp_industry"/>
    <x:tableColumn id="7" name="country"/>
    <x:tableColumn id="8" name="seniority"/>
    <x:tableColumn id="9" name="rate_type"/>
    <x:tableColumn id="10" name="spread_bps"/>
    <x:tableColumn id="11" name="fixed_coupon_rate"/>
    <x:tableColumn id="12" name="floor_bps"/>
    <x:tableColumn id="13" name="maturity_date"/>
    <x:tableColumn id="14" name="recovery_aaa"/>
    <x:tableColumn id="15" name="price"/>
    <x:tableColumn id="16" name="payment_frequency"/>
    <x:tableColumn id="17" name="currency"/>
    <x:tableColumn id="18" name="benchmark"/>
    <x:tableColumn id="19" name="weight"/>
    <x:tableColumn id="20" name="term_years"/>
    <x:tableColumn id="21" name="floating_par_x_spread"/>
    <x:tableColumn id="22" name="par_x_recovery"/>
    <x:tableColumn id="23" name="input_changes"/>
    <x:tableColumn id="24" name="duplicate_id"/>
    <x:tableColumn id="25" name="field_errors"/>
    <x:tableColumn id="26" name="SP_rating_factor"/>
    <x:tableColumn id="27" name="par_x_SP_factor"/>
    <x:tableColumn id="28" name="par_x_SP_abs_devi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tchFacilityData" displayName="FitchFacilityData" ref="A7:O8" headerRowCount="1" totalsRowCount="0" totalsRowShown="0">
  <x:tableColumns count="15">
    <x:tableColumn id="1" name="Facility ID"/>
    <x:tableColumn id="2" name="Par (shared)"/>
    <x:tableColumn id="3" name="Fitch IDR input"/>
    <x:tableColumn id="4" name="Rating basis"/>
    <x:tableColumn id="5" name="Fitch industry"/>
    <x:tableColumn id="6" name="Fitch recovery"/>
    <x:tableColumn id="7" name="Recovery basis"/>
    <x:tableColumn id="8" name="Source reference"/>
    <x:tableColumn id="9" name="Fitch rating factor"/>
    <x:tableColumn id="10" name="Par × factor"/>
    <x:tableColumn id="11" name="Par × recovery"/>
    <x:tableColumn id="12" name="Missing rating par"/>
    <x:tableColumn id="13" name="Missing recovery par"/>
    <x:tableColumn id="14" name="Changed cells"/>
    <x:tableColumn id="15" name="Missing industry p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2c1485884f8044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.xml" Id="Ra0a8b067435345c4" /></Relationships>
</file>

<file path=xl/worksheets/sheet1.xml><?xml version="1.0" encoding="utf-8"?>
<x:worksheet xmlns:x="http://schemas.openxmlformats.org/spreadsheetml/2006/main">
  <x:sheetPr>
    <x:tabColor rgb="FF20395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5" hidden="0" customWidth="1"/>
    <x:col min="4" max="4" width="30" hidden="0" customWidth="1"/>
    <x:col min="5" max="5" width="100" hidden="0" customWidth="1"/>
  </x:cols>
  <x:sheetData>
    <x:row r="1">
      <x:c r="A1" s="23"/>
      <x:c r="B1" s="23"/>
      <x:c r="C1" s="109" t="str">
        <x:v>Guide</x:v>
      </x:c>
      <x:c r="D1" s="23"/>
      <x:c r="E1" s="23"/>
    </x:row>
    <x:row r="2">
      <x:c r="A2" s="23"/>
      <x:c r="B2" s="23"/>
      <x:c r="C2" s="24" t="str">
        <x:v>Start Here</x:v>
      </x:c>
      <x:c r="D2" s="25"/>
      <x:c r="E2" s="25"/>
    </x:row>
    <x:row r="3" ht="22" customHeight="1">
      <x:c r="A3" s="23"/>
      <x:c r="B3" s="23"/>
      <x:c r="C3" s="26" t="str">
        <x:v>Version 0.2.0 — one portfolio, distinct S&amp;P and Fitch calculations, explicit development assumptions.</x:v>
      </x:c>
      <x:c r="D3" s="23"/>
      <x:c r="E3" s="23"/>
    </x:row>
    <x:row r="4">
      <x:c r="A4" s="23"/>
      <x:c r="B4" s="23"/>
      <x:c r="C4" s="23"/>
      <x:c r="D4" s="23"/>
      <x:c r="E4" s="23"/>
    </x:row>
    <x:row r="5">
      <x:c r="A5" s="23"/>
      <x:c r="B5" s="23"/>
      <x:c r="C5" s="23"/>
      <x:c r="D5" s="23"/>
      <x:c r="E5" s="23"/>
    </x:row>
    <x:row r="6">
      <x:c r="A6" s="23"/>
      <x:c r="B6" s="23"/>
      <x:c r="C6" s="23"/>
      <x:c r="D6" s="23"/>
      <x:c r="E6" s="23"/>
    </x:row>
    <x:row r="7" ht="38" customHeight="1">
      <x:c r="A7" s="23"/>
      <x:c r="B7" s="23"/>
      <x:c r="C7" s="7" t="str">
        <x:v>Step / topic</x:v>
      </x:c>
      <x:c r="D7" s="7" t="str">
        <x:v>Open or update</x:v>
      </x:c>
      <x:c r="E7" s="7" t="str">
        <x:v>What to do</x:v>
      </x:c>
    </x:row>
    <x:row r="8" ht="58" customHeight="1">
      <x:c r="A8" s="23"/>
      <x:c r="B8" s="23"/>
      <x:c r="C8" s="33" t="str">
        <x:v>1. Start with results</x:v>
      </x:c>
      <x:c r="D8" s="33" t="str">
        <x:v>Agency Comparison</x:v>
      </x:c>
      <x:c r="E8" s="33" t="str">
        <x:v>See the S&amp;P and Fitch columns together. Read the basis beside each metric. Missing / not calculated means further work is required; it is never a pass.</x:v>
      </x:c>
    </x:row>
    <x:row r="9" ht="58" customHeight="1">
      <x:c r="A9" s="152"/>
      <x:c r="B9" s="152"/>
      <x:c r="C9" s="33" t="str">
        <x:v>2. Supply the portfolio</x:v>
      </x:c>
      <x:c r="D9" s="33" t="str">
        <x:v>templates/portfolio_template.csv</x:v>
      </x:c>
      <x:c r="E9" s="33" t="str">
        <x:v>One row per facility; keep common obligor IDs consistent. See docs/data_dictionary.md. Replace the CSV, not rows inside Excel. Row counts resize automatically on rerun.</x:v>
      </x:c>
    </x:row>
    <x:row r="10" ht="58" customHeight="1">
      <x:c r="A10" s="152"/>
      <x:c r="B10" s="152"/>
      <x:c r="C10" s="33" t="str">
        <x:v>3. Supply Fitch inputs</x:v>
      </x:c>
      <x:c r="D10" s="33" t="str">
        <x:v>templates/fitch_inputs_template.csv</x:v>
      </x:c>
      <x:c r="E10" s="33" t="str">
        <x:v>Optional separate CSV, matched by instrument_id. Supply reviewed Fitch rating, rating basis, industry, recovery and source. Omit it for an S&amp;P-only run; Fitch then displays missing inputs.</x:v>
      </x:c>
    </x:row>
    <x:row r="11" ht="58" customHeight="1">
      <x:c r="A11" s="152"/>
      <x:c r="B11" s="152"/>
      <x:c r="C11" s="33" t="str">
        <x:v>4. Review deal assumptions</x:v>
      </x:c>
      <x:c r="D11" s="33" t="str">
        <x:v>Assumptions; config/model.json</x:v>
      </x:c>
      <x:c r="E11" s="33" t="str">
        <x:v>Confirm dates, coupons, fees, 64% senior / 26% junior / 10% equity, triggers, recoveries and reinvestment. The supplied terms and fictional development choices are labelled by row.</x:v>
      </x:c>
    </x:row>
    <x:row r="12" ht="58" customHeight="1">
      <x:c r="A12" s="152"/>
      <x:c r="B12" s="152"/>
      <x:c r="C12" s="33" t="str">
        <x:v>5. Review stress assumptions</x:v>
      </x:c>
      <x:c r="D12" s="33" t="str">
        <x:v>Stress Inputs</x:v>
      </x:c>
      <x:c r="E12" s="33" t="str">
        <x:v>Default timing is S&amp;P Table 20 informed. Rates, recovery lag and other deal controls are development assumptions. These cash flows do not implement a Fitch stress set.</x:v>
      </x:c>
    </x:row>
    <x:row r="13" ht="58" customHeight="1">
      <x:c r="A13" s="152"/>
      <x:c r="B13" s="152"/>
      <x:c r="C13" s="33" t="str">
        <x:v>6. Run the example</x:v>
      </x:c>
      <x:c r="D13" s="33" t="str">
        <x:v>From the package folder</x:v>
      </x:c>
      <x:c r="E13" s="33" t="str">
        <x:v>python -m clo --portfolio examples/example.csv --fitch-inputs examples/fitch_example.csv --config config/model.json --output examples/Example_CLO.xlsx</x:v>
      </x:c>
    </x:row>
    <x:row r="14" ht="58" customHeight="1">
      <x:c r="A14" s="152"/>
      <x:c r="B14" s="152"/>
      <x:c r="C14" s="33" t="str">
        <x:v>7. Replace and rerun</x:v>
      </x:c>
      <x:c r="D14" s="33" t="str">
        <x:v>Use your new CSV paths</x:v>
      </x:c>
      <x:c r="E14" s="33" t="str">
        <x:v>Change --portfolio and optional --fitch-inputs, then choose a fresh --output filename. See QUICK_START.md for the replacement example and the Windows launcher.</x:v>
      </x:c>
    </x:row>
    <x:row r="15" ht="58" customHeight="1">
      <x:c r="A15" s="152"/>
      <x:c r="B15" s="152"/>
      <x:c r="C15" s="33" t="str">
        <x:v>8. Check the run</x:v>
      </x:c>
      <x:c r="D15" s="33" t="str">
        <x:v>Checks</x:v>
      </x:c>
      <x:c r="E15" s="33" t="str">
        <x:v>Resolve input, reconciliation and formula errors before interpreting results. Unattained default targets cannot count as passes. A blank template shows NOT RUN.</x:v>
      </x:c>
    </x:row>
    <x:row r="16" ht="58" customHeight="1">
      <x:c r="A16" s="152"/>
      <x:c r="B16" s="152"/>
      <x:c r="C16" s="33" t="str">
        <x:v>9. Read the details</x:v>
      </x:c>
      <x:c r="D16" s="33" t="str">
        <x:v>Outputs; Sensitivity; Cash Flow Calc</x:v>
      </x:c>
      <x:c r="E16" s="33" t="str">
        <x:v>These are development cash-flow results. Review shortfalls, default target attainment and tested default brackets. An absence of shortfalls does not establish an agency rating.</x:v>
      </x:c>
    </x:row>
    <x:row r="17" ht="58" customHeight="1">
      <x:c r="A17" s="152"/>
      <x:c r="B17" s="152"/>
      <x:c r="C17" s="33" t="str">
        <x:v>10. Save Excel assumptions</x:v>
      </x:c>
      <x:c r="D17" s="33" t="str">
        <x:v>Blue cells; then --assumptions-from</x:v>
      </x:c>
      <x:c r="E17" s="33" t="str">
        <x:v>Edit designated Assumptions / Stress Inputs cells, save, and rerun with --assumptions-from your_saved_workbook.xlsx. This flag does not import Portfolio Inputs, Fitch Inputs or parameter-table edits.</x:v>
      </x:c>
    </x:row>
    <x:row r="18" ht="58" customHeight="1">
      <x:c r="A18" s="152"/>
      <x:c r="B18" s="152"/>
      <x:c r="C18" s="33" t="str">
        <x:v>Live Excel calculations</x:v>
      </x:c>
      <x:c r="D18" s="33" t="str">
        <x:v>Portfolio / agency / capital tabs</x:v>
      </x:c>
      <x:c r="E18" s="33" t="str">
        <x:v>Composition, grouping, SPWARF, S&amp;P dispersion, Fitch WARF/WARR, coverage and reconciliation formulas recalculate. Results retain their stated input basis.</x:v>
      </x:c>
    </x:row>
    <x:row r="19" ht="58" customHeight="1">
      <x:c r="A19" s="152"/>
      <x:c r="B19" s="152"/>
      <x:c r="C19" s="33" t="str">
        <x:v>Rerun-dependent results</x:v>
      </x:c>
      <x:c r="D19" s="33" t="str">
        <x:v>Grey source / Python cells</x:v>
      </x:c>
      <x:c r="E19" s="33" t="str">
        <x:v>Cash-flow simulations, sensitivities and selected concentration exposures reflect the last run. Input changes visibly flag REFRESH REQUIRED. Use automatic Excel calculation.</x:v>
      </x:c>
    </x:row>
    <x:row r="20" ht="58" customHeight="1">
      <x:c r="A20" s="152"/>
      <x:c r="B20" s="152"/>
      <x:c r="C20" s="33" t="str">
        <x:v>Preserve source changes</x:v>
      </x:c>
      <x:c r="D20" s="33" t="str">
        <x:v>Portfolio and Fitch source CSVs</x:v>
      </x:c>
      <x:c r="E20" s="33" t="str">
        <x:v>Editing imported Excel fields is temporary. To keep a source change, update the authoritative CSV and rerun. Parameter tables are versioned source constants, not assumption controls.</x:v>
      </x:c>
    </x:row>
    <x:row r="21" ht="58" customHeight="1">
      <x:c r="A21" s="152"/>
      <x:c r="B21" s="152"/>
      <x:c r="C21" s="33" t="str">
        <x:v>Agency metrics differ</x:v>
      </x:c>
      <x:c r="D21" s="33" t="str">
        <x:v>S&amp;P blue / Fitch purple tabs</x:v>
      </x:c>
      <x:c r="E21" s="33" t="str">
        <x:v>S&amp;P WARF and Fitch WARF use different scales. Supplied recovery_aaa is not Fitch WARR. An S&amp;P SDR and Fitch RDR/RLR require separate credit-model analysis.</x:v>
      </x:c>
    </x:row>
    <x:row r="22" ht="58" customHeight="1">
      <x:c r="A22" s="152"/>
      <x:c r="B22" s="152"/>
      <x:c r="C22" s="33" t="str">
        <x:v>Missing model components</x:v>
      </x:c>
      <x:c r="D22" s="33" t="str">
        <x:v>Gaps and Sources</x:v>
      </x:c>
      <x:c r="E22" s="33" t="str">
        <x:v>No S&amp;P or Fitch agency rating is produced. S&amp;P SDR and Fitch PCM outputs are missing; Fitch cash-flow rules and full S&amp;P stresses remain engineering / calibration work.</x:v>
      </x:c>
    </x:row>
    <x:row r="23" ht="58" customHeight="1">
      <x:c r="A23" s="152"/>
      <x:c r="B23" s="152"/>
      <x:c r="C23" s="33" t="str">
        <x:v>Fictional example basis</x:v>
      </x:c>
      <x:c r="D23" s="33" t="str">
        <x:v>Input provenance</x:v>
      </x:c>
      <x:c r="E23" s="33" t="str">
        <x:v>The 282-row sample comes from the supplied fictional workbook. Fitch rating equality proxies and first-lien recovery fallbacks are explicit development assumptions, not Fitch opinions.</x:v>
      </x:c>
    </x:row>
    <x:row r="24" ht="58" customHeight="1">
      <x:c r="A24" s="152"/>
      <x:c r="B24" s="152"/>
      <x:c r="C24" s="33" t="str">
        <x:v>Tab colours</x:v>
      </x:c>
      <x:c r="D24" s="33" t="str">
        <x:v>Purpose, not approval status</x:v>
      </x:c>
      <x:c r="E24" s="33" t="str">
        <x:v>Teal: combined / development outputs. Grey: shared portfolio and structure. Gold: deal inputs. Blue: S&amp;P. Purple: Fitch. Orange: development stresses / cash flows. Red: checks. Navy: guides.</x:v>
      </x:c>
    </x:row>
    <x:row r="25" ht="58" customHeight="1">
      <x:c r="A25" s="152"/>
      <x:c r="B25" s="152"/>
      <x:c r="C25" s="33" t="str">
        <x:v>Cell colours</x:v>
      </x:c>
      <x:c r="D25" s="33" t="str">
        <x:v>Source / input / formula</x:v>
      </x:c>
      <x:c r="E25" s="33" t="str">
        <x:v>Grey fill = source or Python value. Amber fill + blue font = editable assumption. Black = same-sheet formula; green = cross-sheet formula. Read labels as well as colours.</x:v>
      </x:c>
    </x:row>
    <x:row r="26" ht="58" customHeight="1">
      <x:c r="A26" s="152"/>
      <x:c r="B26" s="152"/>
      <x:c r="C26" s="33" t="str">
        <x:v>Local environment</x:v>
      </x:c>
      <x:c r="D26" s="33" t="str">
        <x:v>README.md setup</x:v>
      </x:c>
      <x:c r="E26" s="33" t="str">
        <x:v>Processing is local. Python and the Excel renderer must be provisioned in the approved FT environment. No real portfolio should leave that environment.</x:v>
      </x:c>
    </x:row>
    <x:row r="27" ht="58" customHeight="1">
      <x:c r="A27" s="152"/>
      <x:c r="B27" s="152"/>
      <x:c r="C27" s="33" t="str">
        <x:v>For a new LLM / maintainer</x:v>
      </x:c>
      <x:c r="D27" s="33" t="str">
        <x:v>docs/LLM_HANDOVER.md</x:v>
      </x:c>
      <x:c r="E27" s="33" t="str">
        <x:v>Read the handover, methodology register, input dictionaries and tests. It identifies the authoritative files, calculation ownership, unresolved work and validation procedure.</x:v>
      </x:c>
    </x:row>
    <x:row r="28" ht="58" customHeight="1">
      <x:c r="A28" s="152"/>
      <x:c r="B28" s="152"/>
      <x:c r="C28" s="33" t="str">
        <x:v>Run ID</x:v>
      </x:c>
      <x:c r="D28" s="33" t="str">
        <x:v>bc0d93aa7df0ccc1</x:v>
      </x:c>
      <x:c r="E28" s="33" t="str">
        <x:v>Use this with the results JSON and validation report to identify the exact run.</x:v>
      </x:c>
    </x:row>
    <x:row r="29" ht="58" customHeight="1">
      <x:c r="A29" s="152"/>
      <x:c r="B29" s="152"/>
      <x:c r="C29" s="33" t="str">
        <x:v>Portfolio source</x:v>
      </x:c>
      <x:c r="D29" s="33" t="str">
        <x:v>No portfolio loaded</x:v>
      </x:c>
      <x:c r="E29" s="33" t="str">
        <x:v>not run</x:v>
      </x:c>
    </x:row>
    <x:row r="30" ht="58" customHeight="1">
      <x:c r="A30" s="152"/>
      <x:c r="B30" s="152"/>
      <x:c r="C30" s="33" t="str">
        <x:v>Fitch source</x:v>
      </x:c>
      <x:c r="D30" s="33" t="str">
        <x:v>Not supplied</x:v>
      </x:c>
      <x:c r="E30" s="33" t="str">
        <x:v>Not supplied</x:v>
      </x:c>
    </x:row>
    <x:row r="31" ht="58" customHeight="1">
      <x:c r="A31" s="152"/>
      <x:c r="B31" s="152"/>
      <x:c r="C31" s="33" t="str">
        <x:v>Configuration / generated</x:v>
      </x:c>
      <x:c r="D31" s="33" t="str">
        <x:v>2026-09-21 18:41:08 UTC</x:v>
      </x:c>
      <x:c r="E31" s="33" t="str">
        <x:v>de8042790ba58de94e6c8c6096fead6bfce11b86527e27b1811866e1cb361949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67D8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32" hidden="0" customWidth="1"/>
    <x:col min="4" max="4" width="36" hidden="0" customWidth="1"/>
    <x:col min="5" max="5" width="36" hidden="0" customWidth="1"/>
    <x:col min="6" max="6" width="75" hidden="0" customWidth="1"/>
    <x:col min="7" max="7" width="29" hidden="0" customWidth="1"/>
  </x:cols>
  <x:sheetData>
    <x:row r="1">
      <x:c r="A1" s="23"/>
      <x:c r="B1" s="23"/>
      <x:c r="C1" s="110" t="str">
        <x:v>Combined output</x:v>
      </x:c>
      <x:c r="D1" s="23"/>
      <x:c r="E1" s="23"/>
      <x:c r="F1" s="23"/>
      <x:c r="G1" s="152"/>
      <x:c r="H1" s="152"/>
      <x:c r="I1" s="152"/>
      <x:c r="J1" s="152"/>
      <x:c r="K1" s="152"/>
      <x:c r="L1" s="152"/>
      <x:c r="M1" s="152"/>
    </x:row>
    <x:row r="2">
      <x:c r="A2" s="23"/>
      <x:c r="B2" s="23"/>
      <x:c r="C2" s="24" t="str">
        <x:v>S&amp;P And Fitch Comparison</x:v>
      </x:c>
      <x:c r="D2" s="25"/>
      <x:c r="E2" s="25"/>
      <x:c r="F2" s="25"/>
      <x:c r="G2" s="152"/>
      <x:c r="H2" s="152"/>
      <x:c r="I2" s="152"/>
      <x:c r="J2" s="152"/>
      <x:c r="K2" s="152"/>
      <x:c r="L2" s="152"/>
      <x:c r="M2" s="152"/>
    </x:row>
    <x:row r="3" ht="22" customHeight="1">
      <x:c r="A3" s="23"/>
      <x:c r="B3" s="23"/>
      <x:c r="C3" s="26" t="str">
        <x:v>Same portfolio and capital structure. Different credit metrics, stress conventions and outstanding requirements.</x:v>
      </x:c>
      <x:c r="D3" s="23"/>
      <x:c r="E3" s="23"/>
      <x:c r="F3" s="23"/>
      <x:c r="G3" s="152"/>
      <x:c r="H3" s="152"/>
      <x:c r="I3" s="152"/>
      <x:c r="J3" s="152"/>
      <x:c r="K3" s="152"/>
      <x:c r="L3" s="152"/>
      <x:c r="M3" s="152"/>
    </x:row>
    <x:row r="4">
      <x:c r="A4" s="23"/>
      <x:c r="B4" s="23"/>
      <x:c r="C4" s="23"/>
      <x:c r="D4" s="23"/>
      <x:c r="E4" s="23"/>
      <x:c r="F4" s="23"/>
      <x:c r="G4" s="152"/>
      <x:c r="H4" s="152"/>
      <x:c r="I4" s="152"/>
      <x:c r="J4" s="152"/>
      <x:c r="K4" s="152"/>
      <x:c r="L4" s="152"/>
      <x:c r="M4" s="152"/>
    </x:row>
    <x:row r="5">
      <x:c r="A5" s="23"/>
      <x:c r="B5" s="23"/>
      <x:c r="C5" s="32" t="str">
        <x:f>IF(Refresh_Required,"REFRESH REQUIRED — Python results reflect the last run","Python results match the imported inputs")</x:f>
        <x:v>REFRESH REQUIRED — Python results reflect the last run</x:v>
      </x:c>
      <x:c r="D5" s="23"/>
      <x:c r="E5" s="23"/>
      <x:c r="F5" s="23"/>
      <x:c r="G5" s="152"/>
      <x:c r="H5" s="152"/>
      <x:c r="I5" s="152"/>
      <x:c r="J5" s="152"/>
      <x:c r="K5" s="152"/>
      <x:c r="L5" s="152"/>
      <x:c r="M5" s="152"/>
    </x:row>
    <x:row r="6">
      <x:c r="A6" s="23"/>
      <x:c r="B6" s="23"/>
      <x:c r="C6" s="23"/>
      <x:c r="D6" s="23"/>
      <x:c r="E6" s="23"/>
      <x:c r="F6" s="23"/>
      <x:c r="G6" s="152"/>
      <x:c r="H6" s="152"/>
      <x:c r="I6" s="152"/>
      <x:c r="J6" s="152"/>
      <x:c r="K6" s="152"/>
      <x:c r="L6" s="152"/>
      <x:c r="M6" s="152"/>
    </x:row>
    <x:row r="7" ht="38" customHeight="1">
      <x:c r="A7" s="23"/>
      <x:c r="B7" s="23"/>
      <x:c r="C7" s="7" t="str">
        <x:v>Metric / question</x:v>
      </x:c>
      <x:c r="D7" s="7" t="str">
        <x:v>S&amp;P</x:v>
      </x:c>
      <x:c r="E7" s="7" t="str">
        <x:v>Fitch</x:v>
      </x:c>
      <x:c r="F7" s="7" t="str">
        <x:v>How to read this</x:v>
      </x:c>
      <x:c r="G7" s="152"/>
      <x:c r="H7" s="152"/>
      <x:c r="I7" s="152"/>
      <x:c r="J7" s="152"/>
      <x:c r="K7" s="152"/>
      <x:c r="L7" s="152"/>
      <x:c r="M7" s="152"/>
    </x:row>
    <x:row r="8" ht="57" customHeight="1">
      <x:c r="A8" s="23"/>
      <x:c r="B8" s="23"/>
      <x:c r="C8" s="141" t="str">
        <x:v>Criteria basis</x:v>
      </x:c>
      <x:c r="D8" s="143" t="str">
        <x:v>2019-06-21; republished 2026-04-10</x:v>
      </x:c>
      <x:c r="E8" s="143" t="str">
        <x:v>2026-06-01</x:v>
      </x:c>
      <x:c r="F8" s="33" t="str">
        <x:v>See Methodology, SP Credit Parameters and Fitch Parameters for sources and implemented scope.</x:v>
      </x:c>
      <x:c r="G8" s="152"/>
      <x:c r="H8" s="152"/>
      <x:c r="I8" s="152"/>
      <x:c r="J8" s="152"/>
      <x:c r="K8" s="152"/>
      <x:c r="L8" s="152"/>
      <x:c r="M8" s="152"/>
    </x:row>
    <x:row r="9" ht="57" customHeight="1">
      <x:c r="A9" s="152"/>
      <x:c r="B9" s="152"/>
      <x:c r="C9" s="153" t="str">
        <x:v>Weighted-average rating factor</x:v>
      </x:c>
      <x:c r="D9" s="154" t="str">
        <x:f>"NOT RUN"</x:f>
        <x:v>NOT RUN</x:v>
      </x:c>
      <x:c r="E9" s="155" t="str">
        <x:f>"NOT RUN"</x:f>
        <x:v>NOT RUN</x:v>
      </x:c>
      <x:c r="F9" s="156" t="str">
        <x:v>Different scales: compare each against its own methodology. The Fitch example uses labelled development rating proxies.</x:v>
      </x:c>
      <x:c r="G9" s="152"/>
      <x:c r="H9" s="152"/>
      <x:c r="I9" s="152"/>
      <x:c r="J9" s="152"/>
      <x:c r="K9" s="152"/>
      <x:c r="L9" s="152"/>
      <x:c r="M9" s="152"/>
    </x:row>
    <x:row r="10" ht="57" customHeight="1">
      <x:c r="A10" s="152"/>
      <x:c r="B10" s="152"/>
      <x:c r="C10" s="153" t="str">
        <x:v>Credit input basis</x:v>
      </x:c>
      <x:c r="D10" s="157" t="str">
        <x:v>Supplied fictional S&amp;P ratings</x:v>
      </x:c>
      <x:c r="E10" s="157" t="str">
        <x:v>NOT RUN - no portfolio</x:v>
      </x:c>
      <x:c r="F10" s="156" t="str">
        <x:v>A public factor table does not verify the underlying rating or establish a target rating.</x:v>
      </x:c>
      <x:c r="G10" s="152"/>
      <x:c r="H10" s="152"/>
      <x:c r="I10" s="152"/>
      <x:c r="J10" s="152"/>
      <x:c r="K10" s="152"/>
      <x:c r="L10" s="152"/>
      <x:c r="M10" s="152"/>
    </x:row>
    <x:row r="11" ht="57" customHeight="1">
      <x:c r="A11" s="152"/>
      <x:c r="B11" s="152"/>
      <x:c r="C11" s="153" t="str">
        <x:v>Weighted recovery</x:v>
      </x:c>
      <x:c r="D11" s="158" t="str">
        <x:f>"NOT RUN"</x:f>
        <x:v>NOT RUN</x:v>
      </x:c>
      <x:c r="E11" s="158" t="str">
        <x:f>"NOT RUN"</x:f>
        <x:v>NOT RUN</x:v>
      </x:c>
      <x:c r="F11" s="156" t="str">
        <x:v>S&amp;P column is supplied fictional recovery_aaa. Fitch WARR requires separate issue recovery / BBsf basis. These are not like-for-like stressed recoveries.</x:v>
      </x:c>
      <x:c r="G11" s="152"/>
      <x:c r="H11" s="152"/>
      <x:c r="I11" s="152"/>
      <x:c r="J11" s="152"/>
      <x:c r="K11" s="152"/>
      <x:c r="L11" s="152"/>
      <x:c r="M11" s="152"/>
    </x:row>
    <x:row r="12" ht="57" customHeight="1">
      <x:c r="A12" s="152"/>
      <x:c r="B12" s="152"/>
      <x:c r="C12" s="153" t="str">
        <x:v>Recovery input coverage</x:v>
      </x:c>
      <x:c r="D12" s="159" t="str">
        <x:f>"NOT RUN"</x:f>
        <x:v>NOT RUN</x:v>
      </x:c>
      <x:c r="E12" s="159" t="str">
        <x:f>"NOT RUN"</x:f>
        <x:v>NOT RUN</x:v>
      </x:c>
      <x:c r="F12" s="156" t="str">
        <x:v>Coverage means supplied required inputs, not agency validation. Fitch WARR stays unavailable until every facility has the required recovery basis.</x:v>
      </x:c>
      <x:c r="G12" s="152"/>
      <x:c r="H12" s="152"/>
      <x:c r="I12" s="152"/>
      <x:c r="J12" s="152"/>
      <x:c r="K12" s="152"/>
      <x:c r="L12" s="152"/>
      <x:c r="M12" s="152"/>
    </x:row>
    <x:row r="13" ht="57" customHeight="1">
      <x:c r="A13" s="152"/>
      <x:c r="B13" s="152"/>
      <x:c r="C13" s="153" t="str">
        <x:v>AAA default hurdle</x:v>
      </x:c>
      <x:c r="D13" s="158" t="str">
        <x:f>"NOT RUN"</x:f>
        <x:v>NOT RUN</x:v>
      </x:c>
      <x:c r="E13" s="160" t="str">
        <x:v>RDR not calculated</x:v>
      </x:c>
      <x:c r="F13" s="156" t="str">
        <x:v>SDR / RDR are gross default hurdles. Obtain the applicable credit-model outputs or complete and benchmark an independent implementation.</x:v>
      </x:c>
      <x:c r="G13" s="152"/>
      <x:c r="H13" s="152"/>
      <x:c r="I13" s="152"/>
      <x:c r="J13" s="152"/>
      <x:c r="K13" s="152"/>
      <x:c r="L13" s="152"/>
      <x:c r="M13" s="152"/>
    </x:row>
    <x:row r="14" ht="57" customHeight="1">
      <x:c r="A14" s="152"/>
      <x:c r="B14" s="152"/>
      <x:c r="C14" s="153" t="str">
        <x:v>AAA portfolio loss hurdle</x:v>
      </x:c>
      <x:c r="D14" s="157" t="str">
        <x:v>Not a substitute for SDR</x:v>
      </x:c>
      <x:c r="E14" s="157" t="str">
        <x:v>RLR not calculated</x:v>
      </x:c>
      <x:c r="F14" s="156" t="str">
        <x:v>Fitch rating loss rate comes from PCM analysis. WARF multiplied by a loss assumption is not a replacement.</x:v>
      </x:c>
      <x:c r="G14" s="152"/>
      <x:c r="H14" s="152"/>
      <x:c r="I14" s="152"/>
      <x:c r="J14" s="152"/>
      <x:c r="K14" s="152"/>
      <x:c r="L14" s="152"/>
      <x:c r="M14" s="152"/>
    </x:row>
    <x:row r="15" ht="57" customHeight="1">
      <x:c r="A15" s="152"/>
      <x:c r="B15" s="152"/>
      <x:c r="C15" s="153" t="str">
        <x:v>Agency cash-flow BDR</x:v>
      </x:c>
      <x:c r="D15" s="157" t="str">
        <x:v>Not implemented / benchmarked</x:v>
      </x:c>
      <x:c r="E15" s="157" t="str">
        <x:v>Not implemented / benchmarked</x:v>
      </x:c>
      <x:c r="F15" s="156" t="str">
        <x:v>Current development cash flows below must not be labelled agency BDRs. Fitch needs additional collateral and stress mechanics.</x:v>
      </x:c>
      <x:c r="G15" s="152"/>
      <x:c r="H15" s="152"/>
      <x:c r="I15" s="152"/>
      <x:c r="J15" s="152"/>
      <x:c r="K15" s="152"/>
      <x:c r="L15" s="152"/>
      <x:c r="M15" s="152"/>
    </x:row>
    <x:row r="16" ht="57" customHeight="1">
      <x:c r="A16" s="152"/>
      <x:c r="B16" s="152"/>
      <x:c r="C16" s="153" t="str">
        <x:v>Supplemental / concentration</x:v>
      </x:c>
      <x:c r="D16" s="157" t="str">
        <x:v>Public S&amp;P loss arithmetic</x:v>
      </x:c>
      <x:c r="E16" s="157" t="str">
        <x:v>Not implemented</x:v>
      </x:c>
      <x:c r="F16" s="156" t="str">
        <x:v>S&amp;P event-loss amounts are on Concentration Calc; tranche sufficiency remains unassessed. Fitch industry taxonomy still needs review.</x:v>
      </x:c>
      <x:c r="G16" s="152"/>
      <x:c r="H16" s="152"/>
      <x:c r="I16" s="152"/>
      <x:c r="J16" s="152"/>
      <x:c r="K16" s="152"/>
      <x:c r="L16" s="152"/>
      <x:c r="M16" s="152"/>
    </x:row>
    <x:row r="17" ht="57" customHeight="1">
      <x:c r="A17" s="152"/>
      <x:c r="B17" s="152"/>
      <x:c r="C17" s="153" t="str">
        <x:v>AAA target conclusion</x:v>
      </x:c>
      <x:c r="D17" s="157" t="str">
        <x:v>NOT DETERMINED</x:v>
      </x:c>
      <x:c r="E17" s="157" t="str">
        <x:v>NOT DETERMINED</x:v>
      </x:c>
      <x:c r="F17" s="156" t="str">
        <x:v>No rating or agency sufficiency conclusion is produced by this workbook.</x:v>
      </x:c>
      <x:c r="G17" s="152"/>
      <x:c r="H17" s="152"/>
      <x:c r="I17" s="152"/>
      <x:c r="J17" s="152"/>
      <x:c r="K17" s="152"/>
      <x:c r="L17" s="152"/>
      <x:c r="M17" s="152"/>
    </x:row>
    <x:row r="18">
      <x:c r="A18" s="152"/>
      <x:c r="B18" s="152"/>
      <x:c r="C18" s="152"/>
      <x:c r="D18" s="161"/>
      <x:c r="E18" s="161"/>
      <x:c r="F18" s="152"/>
      <x:c r="G18" s="152"/>
      <x:c r="H18" s="152"/>
      <x:c r="I18" s="152"/>
      <x:c r="J18" s="152"/>
      <x:c r="K18" s="152"/>
      <x:c r="L18" s="152"/>
      <x:c r="M18" s="152"/>
    </x:row>
    <x:row r="19">
      <x:c r="A19" s="152"/>
      <x:c r="B19" s="152"/>
      <x:c r="C19" s="152"/>
      <x:c r="D19" s="161"/>
      <x:c r="E19" s="161"/>
      <x:c r="F19" s="152"/>
      <x:c r="G19" s="152"/>
      <x:c r="H19" s="152"/>
      <x:c r="I19" s="152"/>
      <x:c r="J19" s="152"/>
      <x:c r="K19" s="152"/>
      <x:c r="L19" s="152"/>
      <x:c r="M19" s="152"/>
    </x:row>
    <x:row r="20" ht="38" customHeight="1">
      <x:c r="A20" s="152"/>
      <x:c r="B20" s="152"/>
      <x:c r="C20" s="7" t="str">
        <x:v>Development cash flow</x:v>
      </x:c>
      <x:c r="D20" s="139" t="str">
        <x:v>Result</x:v>
      </x:c>
      <x:c r="E20" s="139" t="str">
        <x:v>Structure / severity</x:v>
      </x:c>
      <x:c r="F20" s="7" t="str">
        <x:v>Interpretation</x:v>
      </x:c>
      <x:c r="G20" s="152"/>
      <x:c r="H20" s="152"/>
      <x:c r="I20" s="152"/>
      <x:c r="J20" s="152"/>
      <x:c r="K20" s="152"/>
      <x:c r="L20" s="152"/>
      <x:c r="M20" s="152"/>
    </x:row>
    <x:row r="21" ht="45" customHeight="1">
      <x:c r="A21" s="152"/>
      <x:c r="B21" s="152"/>
      <x:c r="C21" s="156" t="str">
        <x:v>Base senior interest / principal</x:v>
      </x:c>
      <x:c r="D21" s="162" t="str">
        <x:f>"NOT RUN"</x:f>
        <x:v>NOT RUN</x:v>
      </x:c>
      <x:c r="E21" s="163" t="str">
        <x:v>64% senior; 30% defaults</x:v>
      </x:c>
      <x:c r="F21" s="156" t="str">
        <x:v>Exploratory independent waterfall, S&amp;P-informed timing and fictional rates / deal assumptions.</x:v>
      </x:c>
      <x:c r="G21" s="152"/>
      <x:c r="H21" s="152"/>
      <x:c r="I21" s="152"/>
      <x:c r="J21" s="152"/>
      <x:c r="K21" s="152"/>
      <x:c r="L21" s="152"/>
      <x:c r="M21" s="152"/>
    </x:row>
    <x:row r="22" ht="45" customHeight="1">
      <x:c r="A22" s="152"/>
      <x:c r="B22" s="152"/>
      <x:c r="C22" s="156" t="str">
        <x:v>Last tested all-scenario pass</x:v>
      </x:c>
      <x:c r="D22" s="164" t="str">
        <x:f>"NOT RUN"</x:f>
        <x:v>NOT RUN</x:v>
      </x:c>
      <x:c r="E22" s="163" t="str">
        <x:v>Fixed grid, 5% default steps</x:v>
      </x:c>
      <x:c r="F22" s="156" t="str">
        <x:v>Not an exact BDR. Review target attainment and each scenario boundary in Sensitivity.</x:v>
      </x:c>
      <x:c r="G22" s="152"/>
      <x:c r="H22" s="152"/>
      <x:c r="I22" s="152"/>
      <x:c r="J22" s="152"/>
      <x:c r="K22" s="152"/>
      <x:c r="L22" s="152"/>
      <x:c r="M22" s="152"/>
    </x:row>
    <x:row r="23" ht="45" customHeight="1">
      <x:c r="A23" s="152"/>
      <x:c r="B23" s="152"/>
      <x:c r="C23" s="156" t="str">
        <x:v>First tested scenario failure</x:v>
      </x:c>
      <x:c r="D23" s="164" t="str">
        <x:f>"NOT RUN"</x:f>
        <x:v>NOT RUN</x:v>
      </x:c>
      <x:c r="E23" s="163" t="str">
        <x:v>Same collateral at every size</x:v>
      </x:c>
      <x:c r="F23" s="156" t="str">
        <x:v>Senior sensitivity is 60%–70%, equity fixed at 10%, junior debt adjusts.</x:v>
      </x:c>
      <x:c r="G23" s="152"/>
      <x:c r="H23" s="152"/>
      <x:c r="I23" s="152"/>
      <x:c r="J23" s="152"/>
      <x:c r="K23" s="152"/>
      <x:c r="L23" s="152"/>
      <x:c r="M23" s="152"/>
    </x:row>
    <x:row r="24">
      <x:c r="A24" s="152"/>
      <x:c r="B24" s="152"/>
      <x:c r="C24" s="152"/>
      <x:c r="D24" s="152"/>
      <x:c r="E24" s="152"/>
      <x:c r="F24" s="152"/>
      <x:c r="G24" s="152"/>
      <x:c r="H24" s="152"/>
      <x:c r="I24" s="152"/>
      <x:c r="J24" s="152"/>
      <x:c r="K24" s="152"/>
      <x:c r="L24" s="152"/>
      <x:c r="M24" s="152"/>
    </x:row>
    <x:row r="25">
      <x:c r="A25" s="152"/>
      <x:c r="B25" s="152"/>
      <x:c r="C25" s="152"/>
      <x:c r="D25" s="152"/>
      <x:c r="E25" s="152"/>
      <x:c r="F25" s="152"/>
      <x:c r="G25" s="152"/>
      <x:c r="H25" s="152"/>
      <x:c r="I25" s="152"/>
      <x:c r="J25" s="152"/>
      <x:c r="K25" s="152"/>
      <x:c r="L25" s="152"/>
      <x:c r="M25" s="152"/>
    </x:row>
    <x:row r="26" ht="38" customHeight="1">
      <x:c r="A26" s="152"/>
      <x:c r="B26" s="152"/>
      <x:c r="C26" s="7" t="str">
        <x:v>Development gross defaults</x:v>
      </x:c>
      <x:c r="D26" s="7" t="str">
        <x:v>Scenarios attaining target</x:v>
      </x:c>
      <x:c r="E26" s="7" t="str">
        <x:v>Scenarios passing senior</x:v>
      </x:c>
      <x:c r="F26" s="7" t="str">
        <x:v>Worst missed interest</x:v>
      </x:c>
      <x:c r="G26" s="7" t="str">
        <x:v>Worst final principal shortfall</x:v>
      </x:c>
      <x:c r="H26" s="152"/>
      <x:c r="I26" s="7" t="str">
        <x:v>Python severity</x:v>
      </x:c>
      <x:c r="J26" s="7" t="str">
        <x:v>Attained count</x:v>
      </x:c>
      <x:c r="K26" s="7" t="str">
        <x:v>Pass count</x:v>
      </x:c>
      <x:c r="L26" s="7" t="str">
        <x:v>Missed interest</x:v>
      </x:c>
      <x:c r="M26" s="7" t="str">
        <x:v>Principal shortfall</x:v>
      </x:c>
    </x:row>
    <x:row r="27">
      <x:c r="A27" s="152"/>
      <x:c r="B27" s="152"/>
      <x:c r="C27" s="165" t="n">
        <x:v>0.6</x:v>
      </x:c>
      <x:c r="D27" s="36" t="str">
        <x:f>"NOT RUN"</x:f>
        <x:v>NOT RUN</x:v>
      </x:c>
      <x:c r="E27" s="36" t="str">
        <x:f>"NOT RUN"</x:f>
        <x:v>NOT RUN</x:v>
      </x:c>
      <x:c r="F27" s="102" t="str">
        <x:f>"NOT RUN"</x:f>
        <x:v>NOT RUN</x:v>
      </x:c>
      <x:c r="G27" s="102" t="str">
        <x:f>"NOT RUN"</x:f>
        <x:v>NOT RUN</x:v>
      </x:c>
      <x:c r="H27" s="152"/>
      <x:c r="I27" s="166" t="n">
        <x:v>0.6</x:v>
      </x:c>
      <x:c r="J27" s="167"/>
      <x:c r="K27" s="167"/>
      <x:c r="L27" s="168"/>
      <x:c r="M27" s="168"/>
    </x:row>
    <x:row r="28">
      <x:c r="A28" s="152"/>
      <x:c r="B28" s="152"/>
      <x:c r="C28" s="165" t="n">
        <x:v>0.65</x:v>
      </x:c>
      <x:c r="D28" s="36" t="str">
        <x:f>"NOT RUN"</x:f>
        <x:v>NOT RUN</x:v>
      </x:c>
      <x:c r="E28" s="36" t="str">
        <x:f>"NOT RUN"</x:f>
        <x:v>NOT RUN</x:v>
      </x:c>
      <x:c r="F28" s="102" t="str">
        <x:f>"NOT RUN"</x:f>
        <x:v>NOT RUN</x:v>
      </x:c>
      <x:c r="G28" s="102" t="str">
        <x:f>"NOT RUN"</x:f>
        <x:v>NOT RUN</x:v>
      </x:c>
      <x:c r="H28" s="152"/>
      <x:c r="I28" s="166" t="n">
        <x:v>0.65</x:v>
      </x:c>
      <x:c r="J28" s="167"/>
      <x:c r="K28" s="167"/>
      <x:c r="L28" s="168"/>
      <x:c r="M28" s="168"/>
    </x:row>
    <x:row r="29">
      <x:c r="A29" s="152"/>
      <x:c r="B29" s="152"/>
      <x:c r="C29" s="165" t="n">
        <x:v>0.7</x:v>
      </x:c>
      <x:c r="D29" s="36" t="str">
        <x:f>"NOT RUN"</x:f>
        <x:v>NOT RUN</x:v>
      </x:c>
      <x:c r="E29" s="36" t="str">
        <x:f>"NOT RUN"</x:f>
        <x:v>NOT RUN</x:v>
      </x:c>
      <x:c r="F29" s="102" t="str">
        <x:f>"NOT RUN"</x:f>
        <x:v>NOT RUN</x:v>
      </x:c>
      <x:c r="G29" s="102" t="str">
        <x:f>"NOT RUN"</x:f>
        <x:v>NOT RUN</x:v>
      </x:c>
      <x:c r="H29" s="152"/>
      <x:c r="I29" s="166" t="n">
        <x:v>0.7</x:v>
      </x:c>
      <x:c r="J29" s="167"/>
      <x:c r="K29" s="167"/>
      <x:c r="L29" s="168"/>
      <x:c r="M29" s="168"/>
    </x:row>
    <x:row r="30">
      <x:c r="A30" s="152"/>
      <x:c r="B30" s="152"/>
      <x:c r="C30" s="152"/>
      <x:c r="D30" s="152"/>
      <x:c r="E30" s="152"/>
      <x:c r="F30" s="152"/>
      <x:c r="G30" s="152"/>
      <x:c r="H30" s="152"/>
      <x:c r="I30" s="152"/>
      <x:c r="J30" s="152"/>
      <x:c r="K30" s="152"/>
      <x:c r="L30" s="152"/>
      <x:c r="M30" s="152"/>
    </x:row>
    <x:row r="31">
      <x:c r="A31" s="152"/>
      <x:c r="B31" s="152"/>
      <x:c r="C31" s="152" t="str">
        <x:v>60%, 65% and 70% are sensitivity points, with no assigned rating or probability.</x:v>
      </x:c>
      <x:c r="D31" s="152"/>
      <x:c r="E31" s="152"/>
      <x:c r="F31" s="152"/>
      <x:c r="G31" s="152"/>
      <x:c r="H31" s="152"/>
      <x:c r="I31" s="152"/>
      <x:c r="J31" s="152"/>
      <x:c r="K31" s="152"/>
      <x:c r="L31" s="152"/>
      <x:c r="M31" s="152"/>
    </x:row>
    <x:row r="32">
      <x:c r="A32" s="152"/>
      <x:c r="B32" s="152"/>
      <x:c r="C32" s="152" t="str">
        <x:v>The same existing stress matrix is tested at each point; no agency hurdle has been assumed.</x:v>
      </x:c>
      <x:c r="D32" s="152"/>
      <x:c r="E32" s="152"/>
      <x:c r="F32" s="152"/>
      <x:c r="G32" s="152"/>
      <x:c r="H32" s="152"/>
      <x:c r="I32" s="152"/>
      <x:c r="J32" s="152"/>
      <x:c r="K32" s="152"/>
      <x:c r="L32" s="152"/>
      <x:c r="M32" s="152"/>
    </x:row>
    <x:row r="33">
      <x:c r="A33" s="152"/>
      <x:c r="B33" s="152"/>
      <x:c r="C33" s="152" t="str">
        <x:v>Next: resolve missing inputs on Gaps and Sources, then review all Checks.</x:v>
      </x:c>
      <x:c r="D33" s="152"/>
      <x:c r="E33" s="152"/>
      <x:c r="F33" s="152"/>
      <x:c r="G33" s="152"/>
      <x:c r="H33" s="152"/>
      <x:c r="I33" s="152"/>
      <x:c r="J33" s="152"/>
      <x:c r="K33" s="152"/>
      <x:c r="L33" s="152"/>
      <x:c r="M33" s="15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67D8D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28" hidden="0" customWidth="1"/>
    <x:col min="5" max="5" width="16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23"/>
      <x:c r="B1" s="23"/>
      <x:c r="C1" s="110" t="str">
        <x:v>Development output</x:v>
      </x:c>
      <x:c r="D1" s="23"/>
      <x:c r="E1" s="23"/>
      <x:c r="F1" s="23"/>
      <x:c r="G1" s="23"/>
      <x:c r="H1" s="23"/>
      <x:c r="I1" s="23"/>
      <x:c r="J1" s="23"/>
    </x:row>
    <x:row r="2">
      <x:c r="A2" s="23"/>
      <x:c r="B2" s="23"/>
      <x:c r="C2" s="24" t="str">
        <x:v>Portfolio And Development Results</x:v>
      </x:c>
      <x:c r="D2" s="25"/>
      <x:c r="E2" s="25"/>
      <x:c r="F2" s="25"/>
      <x:c r="G2" s="25"/>
      <x:c r="H2" s="25"/>
      <x:c r="I2" s="25"/>
      <x:c r="J2" s="25"/>
    </x:row>
    <x:row r="3" ht="22" customHeight="1">
      <x:c r="A3" s="23"/>
      <x:c r="B3" s="23"/>
      <x:c r="C3" s="26" t="str">
        <x:v>Fictional development portfolio. S&amp;P public criteria components plus exploratory cash flows.</x:v>
      </x:c>
      <x:c r="D3" s="23"/>
      <x:c r="E3" s="23"/>
      <x:c r="F3" s="23"/>
      <x:c r="G3" s="23"/>
      <x:c r="H3" s="23"/>
      <x:c r="I3" s="23"/>
      <x:c r="J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</x:row>
    <x:row r="5">
      <x:c r="A5" s="23"/>
      <x:c r="B5" s="23"/>
      <x:c r="C5" s="32" t="str">
        <x:f>IF(Refresh_Required,"REFRESH REQUIRED — Python results reflect the last run","Python results match the imported inputs")</x:f>
        <x:v>REFRESH REQUIRED — Python results reflect the last run</x:v>
      </x:c>
      <x:c r="D5" s="23"/>
      <x:c r="E5" s="23"/>
      <x:c r="F5" s="23"/>
      <x:c r="G5" s="23"/>
      <x:c r="H5" s="23"/>
      <x:c r="I5" s="23"/>
      <x:c r="J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</x:row>
    <x:row r="7" ht="38" customHeight="1">
      <x:c r="A7" s="23"/>
      <x:c r="B7" s="23"/>
      <x:c r="C7" s="7" t="str">
        <x:v>Portfolio summary</x:v>
      </x:c>
      <x:c r="D7" s="7" t="str">
        <x:v>Result</x:v>
      </x:c>
      <x:c r="E7" s="23"/>
      <x:c r="F7" s="23"/>
      <x:c r="G7" s="23"/>
      <x:c r="H7" s="23"/>
      <x:c r="I7" s="23"/>
      <x:c r="J7" s="23"/>
    </x:row>
    <x:row r="8">
      <x:c r="A8" s="23"/>
      <x:c r="B8" s="23"/>
      <x:c r="C8" s="23" t="str">
        <x:v>Portfolio par</x:v>
      </x:c>
      <x:c r="D8" s="102" t="str">
        <x:f>"NOT RUN"</x:f>
        <x:v>NOT RUN</x:v>
      </x:c>
      <x:c r="E8" s="23"/>
      <x:c r="F8" s="23"/>
      <x:c r="G8" s="23" t="str">
        <x:v>Python run values</x:v>
      </x:c>
      <x:c r="H8" s="23" t="str">
        <x:v>Value</x:v>
      </x:c>
      <x:c r="I8" s="23"/>
      <x:c r="J8" s="23"/>
    </x:row>
    <x:row r="9">
      <x:c r="A9" s="152"/>
      <x:c r="B9" s="152"/>
      <x:c r="C9" s="152" t="str">
        <x:v>Facilities</x:v>
      </x:c>
      <x:c r="D9" s="169" t="n">
        <x:f>'Portfolio Calc'!D9</x:f>
        <x:v>0</x:v>
      </x:c>
      <x:c r="E9" s="152"/>
      <x:c r="F9" s="152"/>
      <x:c r="G9" s="152" t="str">
        <x:v>Base senior pass</x:v>
      </x:c>
      <x:c r="H9" s="167"/>
      <x:c r="I9" s="152"/>
      <x:c r="J9" s="152"/>
    </x:row>
    <x:row r="10">
      <x:c r="A10" s="152"/>
      <x:c r="B10" s="152"/>
      <x:c r="C10" s="152" t="str">
        <x:v>Obligors</x:v>
      </x:c>
      <x:c r="D10" s="169" t="n">
        <x:f>'Portfolio Calc'!D10</x:f>
        <x:v>0</x:v>
      </x:c>
      <x:c r="E10" s="152"/>
      <x:c r="F10" s="152"/>
      <x:c r="G10" s="152" t="str">
        <x:v>Missed timely interest</x:v>
      </x:c>
      <x:c r="H10" s="168"/>
      <x:c r="I10" s="152"/>
      <x:c r="J10" s="152"/>
    </x:row>
    <x:row r="11">
      <x:c r="A11" s="152"/>
      <x:c r="B11" s="152"/>
      <x:c r="C11" s="152" t="str">
        <x:v>Weighted floating spread (bps)</x:v>
      </x:c>
      <x:c r="D11" s="170" t="str">
        <x:f>"NOT RUN"</x:f>
        <x:v>NOT RUN</x:v>
      </x:c>
      <x:c r="E11" s="152"/>
      <x:c r="F11" s="152"/>
      <x:c r="G11" s="152" t="str">
        <x:v>Final senior principal</x:v>
      </x:c>
      <x:c r="H11" s="168"/>
      <x:c r="I11" s="152"/>
      <x:c r="J11" s="152"/>
    </x:row>
    <x:row r="12">
      <x:c r="A12" s="152"/>
      <x:c r="B12" s="152"/>
      <x:c r="C12" s="152" t="str">
        <x:v>Supplied stressed recovery</x:v>
      </x:c>
      <x:c r="D12" s="78" t="str">
        <x:f>"NOT RUN"</x:f>
        <x:v>NOT RUN</x:v>
      </x:c>
      <x:c r="E12" s="152"/>
      <x:c r="F12" s="152"/>
      <x:c r="G12" s="152" t="str">
        <x:v>Realized default rate</x:v>
      </x:c>
      <x:c r="H12" s="166"/>
      <x:c r="I12" s="152"/>
      <x:c r="J12" s="152"/>
    </x:row>
    <x:row r="13">
      <x:c r="A13" s="152"/>
      <x:c r="B13" s="152"/>
      <x:c r="C13" s="152" t="str">
        <x:v>Weighted term (years)</x:v>
      </x:c>
      <x:c r="D13" s="171" t="str">
        <x:f>"NOT RUN"</x:f>
        <x:v>NOT RUN</x:v>
      </x:c>
      <x:c r="E13" s="152"/>
      <x:c r="F13" s="152"/>
      <x:c r="G13" s="152" t="str">
        <x:v>Target attained</x:v>
      </x:c>
      <x:c r="H13" s="167"/>
      <x:c r="I13" s="152"/>
      <x:c r="J13" s="152"/>
    </x:row>
    <x:row r="14">
      <x:c r="A14" s="152"/>
      <x:c r="B14" s="152"/>
      <x:c r="C14" s="152" t="str">
        <x:v>Largest obligor share</x:v>
      </x:c>
      <x:c r="D14" s="78" t="str">
        <x:f>"NOT RUN"</x:f>
        <x:v>NOT RUN</x:v>
      </x:c>
      <x:c r="E14" s="152"/>
      <x:c r="F14" s="152"/>
      <x:c r="G14" s="152" t="str">
        <x:v>Last tested pass</x:v>
      </x:c>
      <x:c r="H14" s="165"/>
      <x:c r="I14" s="152"/>
      <x:c r="J14" s="152"/>
    </x:row>
    <x:row r="15">
      <x:c r="A15" s="152"/>
      <x:c r="B15" s="152"/>
      <x:c r="C15" s="152" t="str">
        <x:v>Base senior balance</x:v>
      </x:c>
      <x:c r="D15" s="102" t="str">
        <x:f>"NOT RUN"</x:f>
        <x:v>NOT RUN</x:v>
      </x:c>
      <x:c r="E15" s="152"/>
      <x:c r="F15" s="152"/>
      <x:c r="G15" s="152" t="str">
        <x:v>First tested failure</x:v>
      </x:c>
      <x:c r="H15" s="165"/>
      <x:c r="I15" s="152"/>
      <x:c r="J15" s="152"/>
    </x:row>
    <x:row r="16">
      <x:c r="A16" s="152"/>
      <x:c r="B16" s="152"/>
      <x:c r="C16" s="152" t="str">
        <x:v>Base junior balance</x:v>
      </x:c>
      <x:c r="D16" s="102" t="str">
        <x:f>"NOT RUN"</x:f>
        <x:v>NOT RUN</x:v>
      </x:c>
      <x:c r="E16" s="152"/>
      <x:c r="F16" s="152"/>
      <x:c r="G16" s="152"/>
      <x:c r="H16" s="152"/>
      <x:c r="I16" s="152"/>
      <x:c r="J16" s="152"/>
    </x:row>
    <x:row r="17">
      <x:c r="A17" s="152"/>
      <x:c r="B17" s="152"/>
      <x:c r="C17" s="152" t="str">
        <x:v>Equity contribution</x:v>
      </x:c>
      <x:c r="D17" s="102" t="str">
        <x:f>"NOT RUN"</x:f>
        <x:v>NOT RUN</x:v>
      </x:c>
      <x:c r="E17" s="152"/>
      <x:c r="F17" s="152"/>
      <x:c r="G17" s="152"/>
      <x:c r="H17" s="152"/>
      <x:c r="I17" s="152"/>
      <x:c r="J17" s="152"/>
    </x:row>
    <x:row r="18">
      <x:c r="A18" s="152"/>
      <x:c r="B18" s="152"/>
      <x:c r="C18" s="152"/>
      <x:c r="D18" s="152"/>
      <x:c r="E18" s="152"/>
      <x:c r="F18" s="152"/>
      <x:c r="G18" s="152"/>
      <x:c r="H18" s="152"/>
      <x:c r="I18" s="152"/>
      <x:c r="J18" s="152"/>
    </x:row>
    <x:row r="19">
      <x:c r="A19" s="152"/>
      <x:c r="B19" s="152"/>
      <x:c r="C19" s="152"/>
      <x:c r="D19" s="152"/>
      <x:c r="E19" s="152"/>
      <x:c r="F19" s="152"/>
      <x:c r="G19" s="152"/>
      <x:c r="H19" s="152"/>
      <x:c r="I19" s="152"/>
      <x:c r="J19" s="152"/>
    </x:row>
    <x:row r="20">
      <x:c r="A20" s="152"/>
      <x:c r="B20" s="152"/>
      <x:c r="C20" s="152"/>
      <x:c r="D20" s="152"/>
      <x:c r="E20" s="152"/>
      <x:c r="F20" s="152"/>
      <x:c r="G20" s="152"/>
      <x:c r="H20" s="152"/>
      <x:c r="I20" s="152"/>
      <x:c r="J20" s="152"/>
    </x:row>
    <x:row r="21" ht="38" customHeight="1">
      <x:c r="A21" s="152"/>
      <x:c r="B21" s="152"/>
      <x:c r="C21" s="7" t="str">
        <x:v>Methodology / cash flow</x:v>
      </x:c>
      <x:c r="D21" s="7" t="str">
        <x:v>Result</x:v>
      </x:c>
      <x:c r="E21" s="152"/>
      <x:c r="F21" s="152"/>
      <x:c r="G21" s="152"/>
      <x:c r="H21" s="152"/>
      <x:c r="I21" s="152"/>
      <x:c r="J21" s="152"/>
    </x:row>
    <x:row r="22" ht="32" customHeight="1">
      <x:c r="A22" s="152"/>
      <x:c r="B22" s="152"/>
      <x:c r="C22" s="152" t="str">
        <x:v>S&amp;P AAA result</x:v>
      </x:c>
      <x:c r="D22" s="156" t="str">
        <x:v>NOT DETERMINED</x:v>
      </x:c>
      <x:c r="E22" s="152"/>
      <x:c r="F22" s="152"/>
      <x:c r="G22" s="152"/>
      <x:c r="H22" s="152"/>
      <x:c r="I22" s="152"/>
      <x:c r="J22" s="152"/>
    </x:row>
    <x:row r="23" ht="32" customHeight="1">
      <x:c r="A23" s="152"/>
      <x:c r="B23" s="152"/>
      <x:c r="C23" s="152" t="str">
        <x:v>Agency scenario default rate</x:v>
      </x:c>
      <x:c r="D23" s="172" t="str">
        <x:f>IF(Refresh_Required,"REFRESH REQUIRED",IF(ISNUMBER(agency_sdr_aaa),agency_sdr_aaa,"Unavailable"))</x:f>
        <x:v>REFRESH REQUIRED</x:v>
      </x:c>
      <x:c r="E23" s="152"/>
      <x:c r="F23" s="152"/>
      <x:c r="G23" s="152"/>
      <x:c r="H23" s="152"/>
      <x:c r="I23" s="152"/>
      <x:c r="J23" s="152"/>
    </x:row>
    <x:row r="24" ht="32" customHeight="1">
      <x:c r="A24" s="152"/>
      <x:c r="B24" s="152"/>
      <x:c r="C24" s="152" t="str">
        <x:v>Exploratory base cash flow</x:v>
      </x:c>
      <x:c r="D24" s="173" t="str">
        <x:f>"NOT RUN"</x:f>
        <x:v>NOT RUN</x:v>
      </x:c>
      <x:c r="E24" s="152"/>
      <x:c r="F24" s="152"/>
      <x:c r="G24" s="152"/>
      <x:c r="H24" s="152"/>
      <x:c r="I24" s="152"/>
      <x:c r="J24" s="152"/>
    </x:row>
    <x:row r="25" ht="32" customHeight="1">
      <x:c r="A25" s="152"/>
      <x:c r="B25" s="152"/>
      <x:c r="C25" s="152" t="str">
        <x:v>Senior missed timely interest</x:v>
      </x:c>
      <x:c r="D25" s="174" t="str">
        <x:f>"NOT RUN"</x:f>
        <x:v>NOT RUN</x:v>
      </x:c>
      <x:c r="E25" s="152"/>
      <x:c r="F25" s="152"/>
      <x:c r="G25" s="152"/>
      <x:c r="H25" s="152"/>
      <x:c r="I25" s="152"/>
      <x:c r="J25" s="152"/>
    </x:row>
    <x:row r="26" ht="32" customHeight="1">
      <x:c r="A26" s="152"/>
      <x:c r="B26" s="152"/>
      <x:c r="C26" s="152" t="str">
        <x:v>Senior final principal shortfall</x:v>
      </x:c>
      <x:c r="D26" s="174" t="str">
        <x:f>"NOT RUN"</x:f>
        <x:v>NOT RUN</x:v>
      </x:c>
      <x:c r="E26" s="152"/>
      <x:c r="F26" s="152"/>
      <x:c r="G26" s="152"/>
      <x:c r="H26" s="152"/>
      <x:c r="I26" s="152"/>
      <x:c r="J26" s="152"/>
    </x:row>
    <x:row r="27" ht="32" customHeight="1">
      <x:c r="A27" s="152"/>
      <x:c r="B27" s="152"/>
      <x:c r="C27" s="152" t="str">
        <x:v>Supplemental test sufficiency</x:v>
      </x:c>
      <x:c r="D27" s="156" t="str">
        <x:v>NOT ASSESSED</x:v>
      </x:c>
      <x:c r="E27" s="152"/>
      <x:c r="F27" s="152"/>
      <x:c r="G27" s="152"/>
      <x:c r="H27" s="152"/>
      <x:c r="I27" s="152"/>
      <x:c r="J27" s="152"/>
    </x:row>
    <x:row r="28">
      <x:c r="A28" s="152"/>
      <x:c r="B28" s="152"/>
      <x:c r="C28" s="152" t="str">
        <x:v>Exploratory grid: last tested pass</x:v>
      </x:c>
      <x:c r="D28" s="78" t="str">
        <x:f>"NOT RUN"</x:f>
        <x:v>NOT RUN</x:v>
      </x:c>
      <x:c r="E28" s="152"/>
      <x:c r="F28" s="152"/>
      <x:c r="G28" s="152"/>
      <x:c r="H28" s="152"/>
      <x:c r="I28" s="152"/>
      <x:c r="J28" s="152"/>
    </x:row>
    <x:row r="29">
      <x:c r="A29" s="152"/>
      <x:c r="B29" s="152"/>
      <x:c r="C29" s="152" t="str">
        <x:v>Exploratory grid: first tested failure</x:v>
      </x:c>
      <x:c r="D29" s="78" t="str">
        <x:f>"NOT RUN"</x:f>
        <x:v>NOT RUN</x:v>
      </x:c>
      <x:c r="E29" s="152"/>
      <x:c r="F29" s="152"/>
      <x:c r="G29" s="152"/>
      <x:c r="H29" s="152"/>
      <x:c r="I29" s="152"/>
      <x:c r="J29" s="152"/>
    </x:row>
    <x:row r="30">
      <x:c r="A30" s="152"/>
      <x:c r="B30" s="152"/>
      <x:c r="C30" s="152"/>
      <x:c r="D30" s="152"/>
      <x:c r="E30" s="152"/>
      <x:c r="F30" s="152"/>
      <x:c r="G30" s="152"/>
      <x:c r="H30" s="152"/>
      <x:c r="I30" s="152"/>
      <x:c r="J30" s="152"/>
    </x:row>
    <x:row r="31">
      <x:c r="A31" s="152"/>
      <x:c r="B31" s="152"/>
      <x:c r="C31" s="152" t="str">
        <x:v>Review sequence</x:v>
      </x:c>
      <x:c r="D31" s="152"/>
      <x:c r="E31" s="152"/>
      <x:c r="F31" s="152"/>
      <x:c r="G31" s="152"/>
      <x:c r="H31" s="152"/>
      <x:c r="I31" s="152"/>
      <x:c r="J31" s="152"/>
    </x:row>
    <x:row r="32">
      <x:c r="A32" s="152"/>
      <x:c r="B32" s="152"/>
      <x:c r="C32" s="152" t="str">
        <x:v>1. Check inputs, mappings and assumption provenance.</x:v>
      </x:c>
      <x:c r="D32" s="152"/>
      <x:c r="E32" s="152"/>
      <x:c r="F32" s="152"/>
      <x:c r="G32" s="152"/>
      <x:c r="H32" s="152"/>
      <x:c r="I32" s="152"/>
      <x:c r="J32" s="152"/>
    </x:row>
    <x:row r="33">
      <x:c r="A33" s="152"/>
      <x:c r="B33" s="152"/>
      <x:c r="C33" s="152" t="str">
        <x:v>2. Review Portfolio Calc and common-obligor grouping.</x:v>
      </x:c>
      <x:c r="D33" s="152"/>
      <x:c r="E33" s="152"/>
      <x:c r="F33" s="152"/>
      <x:c r="G33" s="152"/>
      <x:c r="H33" s="152"/>
      <x:c r="I33" s="152"/>
      <x:c r="J33" s="152"/>
    </x:row>
    <x:row r="34">
      <x:c r="A34" s="152"/>
      <x:c r="B34" s="152"/>
      <x:c r="C34" s="152" t="str">
        <x:v>3. Review senior sensitivities, target attainment and cash flows.</x:v>
      </x:c>
      <x:c r="D34" s="152"/>
      <x:c r="E34" s="152"/>
      <x:c r="F34" s="152"/>
      <x:c r="G34" s="152"/>
      <x:c r="H34" s="152"/>
      <x:c r="I34" s="152"/>
      <x:c r="J34" s="152"/>
    </x:row>
    <x:row r="35">
      <x:c r="A35" s="152"/>
      <x:c r="B35" s="152"/>
      <x:c r="C35" s="152" t="str">
        <x:v>4. Review all Checks and Methodology limitations before using results.</x:v>
      </x:c>
      <x:c r="D35" s="152"/>
      <x:c r="E35" s="152"/>
      <x:c r="F35" s="152"/>
      <x:c r="G35" s="152"/>
      <x:c r="H35" s="152"/>
      <x:c r="I35" s="152"/>
      <x:c r="J35" s="152"/>
    </x:row>
    <x:row r="36">
      <x:c r="A36" s="152"/>
      <x:c r="B36" s="152"/>
      <x:c r="C36" s="152"/>
      <x:c r="D36" s="152"/>
      <x:c r="E36" s="152"/>
      <x:c r="F36" s="152"/>
      <x:c r="G36" s="152"/>
      <x:c r="H36" s="152"/>
      <x:c r="I36" s="152"/>
      <x:c r="J36" s="152"/>
    </x:row>
    <x:row r="37">
      <x:c r="A37" s="152"/>
      <x:c r="B37" s="152"/>
      <x:c r="C37" s="152" t="str">
        <x:v>See Agency Comparison for the separate S&amp;P and Fitch metrics and missing prerequisites.</x:v>
      </x:c>
      <x:c r="D37" s="152"/>
      <x:c r="E37" s="152"/>
      <x:c r="F37" s="152"/>
      <x:c r="G37" s="152"/>
      <x:c r="H37" s="152"/>
      <x:c r="I37" s="152"/>
      <x:c r="J37" s="15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1909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9" hidden="0" customWidth="1"/>
    <x:col min="4" max="4" width="16" hidden="0" customWidth="1"/>
    <x:col min="5" max="5" width="16" hidden="0" customWidth="1"/>
    <x:col min="6" max="6" width="31" hidden="0" customWidth="1"/>
    <x:col min="7" max="7" width="2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23" hidden="0" customWidth="1"/>
    <x:col min="27" max="27" width="23" hidden="0" customWidth="1"/>
    <x:col min="28" max="28" width="23" hidden="0" customWidth="1"/>
  </x:cols>
  <x:sheetData>
    <x:row r="1">
      <x:c r="A1" s="111" t="str">
        <x:v>Shared source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52"/>
      <x:c r="AA1" s="152"/>
      <x:c r="AB1" s="152"/>
    </x:row>
    <x:row r="2">
      <x:c r="A2" s="2" t="str">
        <x:v>Portfolio Inputs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52"/>
      <x:c r="AA2" s="152"/>
      <x:c r="AB2" s="152"/>
    </x:row>
    <x:row r="3">
      <x:c r="A3" s="1" t="str">
        <x:v>Imported CSV fields. Edit the CSV for refresh; workbook edits flag Python results as stale.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52"/>
      <x:c r="AA3" s="152"/>
      <x:c r="AB3" s="15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52"/>
      <x:c r="AA4" s="152"/>
      <x:c r="AB4" s="152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52"/>
      <x:c r="AA5" s="152"/>
      <x:c r="AB5" s="152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52"/>
      <x:c r="AA6" s="152"/>
      <x:c r="AB6" s="152"/>
    </x:row>
    <x:row r="7" ht="38" customHeight="1">
      <x:c r="A7" s="7" t="str">
        <x:v>instrument_id</x:v>
      </x:c>
      <x:c r="B7" s="7" t="str">
        <x:v>obligor_id</x:v>
      </x:c>
      <x:c r="C7" s="7" t="str">
        <x:v>obligor_name</x:v>
      </x:c>
      <x:c r="D7" s="7" t="str">
        <x:v>par</x:v>
      </x:c>
      <x:c r="E7" s="7" t="str">
        <x:v>sp_rating</x:v>
      </x:c>
      <x:c r="F7" s="7" t="str">
        <x:v>sp_industry</x:v>
      </x:c>
      <x:c r="G7" s="7" t="str">
        <x:v>country</x:v>
      </x:c>
      <x:c r="H7" s="7" t="str">
        <x:v>seniority</x:v>
      </x:c>
      <x:c r="I7" s="7" t="str">
        <x:v>rate_type</x:v>
      </x:c>
      <x:c r="J7" s="7" t="str">
        <x:v>spread_bps</x:v>
      </x:c>
      <x:c r="K7" s="7" t="str">
        <x:v>fixed_coupon_rate</x:v>
      </x:c>
      <x:c r="L7" s="7" t="str">
        <x:v>floor_bps</x:v>
      </x:c>
      <x:c r="M7" s="7" t="str">
        <x:v>maturity_date</x:v>
      </x:c>
      <x:c r="N7" s="7" t="str">
        <x:v>recovery_aaa</x:v>
      </x:c>
      <x:c r="O7" s="7" t="str">
        <x:v>price</x:v>
      </x:c>
      <x:c r="P7" s="7" t="str">
        <x:v>payment_frequency</x:v>
      </x:c>
      <x:c r="Q7" s="7" t="str">
        <x:v>currency</x:v>
      </x:c>
      <x:c r="R7" s="7" t="str">
        <x:v>benchmark</x:v>
      </x:c>
      <x:c r="S7" s="7" t="str">
        <x:v>weight</x:v>
      </x:c>
      <x:c r="T7" s="7" t="str">
        <x:v>term_years</x:v>
      </x:c>
      <x:c r="U7" s="7" t="str">
        <x:v>floating_par_x_spread</x:v>
      </x:c>
      <x:c r="V7" s="7" t="str">
        <x:v>par_x_recovery</x:v>
      </x:c>
      <x:c r="W7" s="7" t="str">
        <x:v>input_changes</x:v>
      </x:c>
      <x:c r="X7" s="7" t="str">
        <x:v>duplicate_id</x:v>
      </x:c>
      <x:c r="Y7" s="7" t="str">
        <x:v>field_errors</x:v>
      </x:c>
      <x:c r="Z7" s="7" t="str">
        <x:v>SP_rating_factor</x:v>
      </x:c>
      <x:c r="AA7" s="7" t="str">
        <x:v>par_x_SP_factor</x:v>
      </x:c>
      <x:c r="AB7" s="7" t="str">
        <x:v>par_x_SP_abs_deviation</x:v>
      </x:c>
    </x:row>
    <x:row r="8">
      <x:c r="A8" s="8"/>
      <x:c r="B8" s="8"/>
      <x:c r="C8" s="8"/>
      <x:c r="D8" s="9"/>
      <x:c r="E8" s="8"/>
      <x:c r="F8" s="8"/>
      <x:c r="G8" s="8"/>
      <x:c r="H8" s="8"/>
      <x:c r="I8" s="8"/>
      <x:c r="J8" s="8"/>
      <x:c r="K8" s="10"/>
      <x:c r="L8" s="8"/>
      <x:c r="M8" s="11"/>
      <x:c r="N8" s="10"/>
      <x:c r="O8" s="12"/>
      <x:c r="P8" s="13"/>
      <x:c r="Q8" s="8"/>
      <x:c r="R8" s="8"/>
      <x:c r="S8" s="18" t="str">
        <x:f>IF(Portfolio_Par&gt;0,D8/Portfolio_Par,"")</x:f>
      </x:c>
      <x:c r="T8" s="19" t="str">
        <x:f>IF(A8="","",(M8-as_of_date)/365.25)</x:f>
      </x:c>
      <x:c r="U8" s="20" t="n">
        <x:f>IF(I8="Floating",D8*J8,0)</x:f>
        <x:v>0</x:v>
      </x:c>
      <x:c r="V8" s="20" t="str">
        <x:f>IF(A8="","",D8*N8)</x:f>
      </x:c>
      <x:c r="W8" s="14" t="n">
        <x:f>IF(A8='Run Snapshot'!A8,0,1)+IF(B8='Run Snapshot'!B8,0,1)+IF(C8='Run Snapshot'!C8,0,1)+IF(D8='Run Snapshot'!D8,0,1)+IF(E8='Run Snapshot'!E8,0,1)+IF(F8='Run Snapshot'!F8,0,1)+IF(G8='Run Snapshot'!G8,0,1)+IF(H8='Run Snapshot'!H8,0,1)+IF(I8='Run Snapshot'!I8,0,1)+IF(J8='Run Snapshot'!J8,0,1)+IF(K8='Run Snapshot'!K8,0,1)+IF(L8='Run Snapshot'!L8,0,1)+IF(M8='Run Snapshot'!M8,0,1)+IF(N8='Run Snapshot'!N8,0,1)+IF(O8='Run Snapshot'!O8,0,1)+IF(P8='Run Snapshot'!P8,0,1)+IF(Q8='Run Snapshot'!Q8,0,1)+IF(R8='Run Snapshot'!R8,0,1)</x:f>
        <x:v>0</x:v>
      </x:c>
      <x:c r="X8" s="15" t="n">
        <x:f>IF(A8="",0,COUNTIF($A$8:$A$8,A8)-1)</x:f>
        <x:v>0</x:v>
      </x:c>
      <x:c r="Y8" s="14" t="n">
        <x:f>IF(A8="",1,IF(OR(D8&lt;=0,N8&lt;0,N8&gt;1,M8&lt;=as_of_date),1,0))</x:f>
        <x:v>1</x:v>
      </x:c>
      <x:c r="Z8" s="175" t="str">
        <x:f>IF(A8="","",VLOOKUP(E8,SP_WARF_Factors,2,FALSE))</x:f>
      </x:c>
      <x:c r="AA8" s="171" t="str">
        <x:f>IF(A8="","",D8*Z8)</x:f>
      </x:c>
      <x:c r="AB8" s="175" t="str">
        <x:f>IF(A8="","",D8*ABS(Z8-SPWARF))</x:f>
      </x:c>
    </x:row>
  </x:sheetData>
  <x:pageMargins left="0.7" right="0.7" top="0.75" bottom="0.75" header="0.3" footer="0.3"/>
  <x:tableParts count="1">
    <x:tablePart xmlns:r="http://schemas.openxmlformats.org/officeDocument/2006/relationships" r:id="R2c1485884f804441"/>
  </x:tableParts>
</x:worksheet>
</file>

<file path=xl/worksheets/sheet5.xml><?xml version="1.0" encoding="utf-8"?>
<x:worksheet xmlns:x="http://schemas.openxmlformats.org/spreadsheetml/2006/main">
  <x:sheetPr>
    <x:tabColor rgb="FFD6A43A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52" hidden="0" customWidth="1"/>
    <x:col min="4" max="4" width="24" hidden="0" customWidth="1"/>
    <x:col min="5" max="5" width="24" hidden="0" customWidth="1"/>
    <x:col min="6" max="6" width="17" hidden="0" customWidth="1"/>
    <x:col min="7" max="7" width="12" hidden="0" customWidth="1"/>
    <x:col min="8" max="8" width="71" hidden="0" customWidth="1"/>
  </x:cols>
  <x:sheetData>
    <x:row r="1">
      <x:c r="A1" s="23"/>
      <x:c r="B1" s="23"/>
      <x:c r="C1" s="112" t="str">
        <x:v>Shared deal inputs</x:v>
      </x:c>
      <x:c r="D1" s="23"/>
      <x:c r="E1" s="23"/>
      <x:c r="F1" s="23"/>
      <x:c r="G1" s="23"/>
      <x:c r="H1" s="23"/>
    </x:row>
    <x:row r="2">
      <x:c r="A2" s="23"/>
      <x:c r="B2" s="23"/>
      <x:c r="C2" s="24" t="str">
        <x:v>Assumptions</x:v>
      </x:c>
      <x:c r="D2" s="25"/>
      <x:c r="E2" s="25"/>
      <x:c r="F2" s="25"/>
      <x:c r="G2" s="25"/>
      <x:c r="H2" s="25"/>
    </x:row>
    <x:row r="3" ht="22" customHeight="1">
      <x:c r="A3" s="23"/>
      <x:c r="B3" s="23"/>
      <x:c r="C3" s="26" t="str">
        <x:v>Blue / amber = editable; grey = value used in the last Python run</x:v>
      </x:c>
      <x:c r="D3" s="23"/>
      <x:c r="E3" s="23"/>
      <x:c r="F3" s="23"/>
      <x:c r="G3" s="23"/>
      <x:c r="H3" s="23"/>
    </x:row>
    <x:row r="4">
      <x:c r="A4" s="23"/>
      <x:c r="B4" s="23"/>
      <x:c r="C4" s="23"/>
      <x:c r="D4" s="23"/>
      <x:c r="E4" s="23"/>
      <x:c r="F4" s="23"/>
      <x:c r="G4" s="23"/>
      <x:c r="H4" s="23"/>
    </x:row>
    <x:row r="5">
      <x:c r="A5" s="23"/>
      <x:c r="B5" s="23"/>
      <x:c r="C5" s="23"/>
      <x:c r="D5" s="23"/>
      <x:c r="E5" s="23"/>
      <x:c r="F5" s="23"/>
      <x:c r="G5" s="23"/>
      <x:c r="H5" s="23"/>
    </x:row>
    <x:row r="6">
      <x:c r="A6" s="23"/>
      <x:c r="B6" s="23"/>
      <x:c r="C6" s="23"/>
      <x:c r="D6" s="23"/>
      <x:c r="E6" s="23"/>
      <x:c r="F6" s="23"/>
      <x:c r="G6" s="23"/>
      <x:c r="H6" s="23"/>
    </x:row>
    <x:row r="7" ht="38" customHeight="1">
      <x:c r="A7" s="23"/>
      <x:c r="B7" s="23"/>
      <x:c r="C7" s="7" t="str">
        <x:v>Key / named range</x:v>
      </x:c>
      <x:c r="D7" s="7" t="str">
        <x:v>Current value</x:v>
      </x:c>
      <x:c r="E7" s="7" t="str">
        <x:v>Last run value</x:v>
      </x:c>
      <x:c r="F7" s="7" t="str">
        <x:v>Unit</x:v>
      </x:c>
      <x:c r="G7" s="7" t="str">
        <x:v>Changed</x:v>
      </x:c>
      <x:c r="H7" s="7" t="str">
        <x:v>Provenance / meaning</x:v>
      </x:c>
    </x:row>
    <x:row r="8" ht="40" customHeight="1">
      <x:c r="A8" s="23"/>
      <x:c r="B8" s="23"/>
      <x:c r="C8" s="33" t="str">
        <x:v>as_of_date</x:v>
      </x:c>
      <x:c r="D8" s="53" t="n">
        <x:v>46388</x:v>
      </x:c>
      <x:c r="E8" s="59" t="n">
        <x:v>46388</x:v>
      </x:c>
      <x:c r="F8" s="23" t="str">
        <x:v>date</x:v>
      </x:c>
      <x:c r="G8" s="23" t="n">
        <x:f>IF(D8=E8,0,1)</x:f>
        <x:v>0</x:v>
      </x:c>
      <x:c r="H8" s="33" t="str">
        <x:v>Supplied fictional portfolio Overview</x:v>
      </x:c>
    </x:row>
    <x:row r="9" ht="40" customHeight="1">
      <x:c r="A9" s="152"/>
      <x:c r="B9" s="152"/>
      <x:c r="C9" s="33" t="str">
        <x:v>legal_final_date</x:v>
      </x:c>
      <x:c r="D9" s="53" t="n">
        <x:v>50771</x:v>
      </x:c>
      <x:c r="E9" s="59" t="n">
        <x:v>50771</x:v>
      </x:c>
      <x:c r="F9" s="23" t="str">
        <x:v>date</x:v>
      </x:c>
      <x:c r="G9" s="23" t="n">
        <x:f>IF(D9=E9,0,1)</x:f>
        <x:v>0</x:v>
      </x:c>
      <x:c r="H9" s="33" t="str">
        <x:v>Fictional development assumption; review before use</x:v>
      </x:c>
    </x:row>
    <x:row r="10" ht="40" customHeight="1">
      <x:c r="A10" s="152"/>
      <x:c r="B10" s="152"/>
      <x:c r="C10" s="33" t="str">
        <x:v>currency</x:v>
      </x:c>
      <x:c r="D10" s="54" t="str">
        <x:v>USD</x:v>
      </x:c>
      <x:c r="E10" s="28" t="str">
        <x:v>USD</x:v>
      </x:c>
      <x:c r="F10" s="23" t="str">
        <x:v>text / flag</x:v>
      </x:c>
      <x:c r="G10" s="23" t="n">
        <x:f>IF(D10=E10,0,1)</x:f>
        <x:v>0</x:v>
      </x:c>
      <x:c r="H10" s="33" t="str">
        <x:v>Supplied fictional portfolio</x:v>
      </x:c>
    </x:row>
    <x:row r="11" ht="40" customHeight="1">
      <x:c r="A11" s="152"/>
      <x:c r="B11" s="152"/>
      <x:c r="C11" s="33" t="str">
        <x:v>benchmark</x:v>
      </x:c>
      <x:c r="D11" s="54" t="str">
        <x:v>SOFR</x:v>
      </x:c>
      <x:c r="E11" s="28" t="str">
        <x:v>SOFR</x:v>
      </x:c>
      <x:c r="F11" s="23" t="str">
        <x:v>text / flag</x:v>
      </x:c>
      <x:c r="G11" s="23" t="n">
        <x:f>IF(D11=E11,0,1)</x:f>
        <x:v>0</x:v>
      </x:c>
      <x:c r="H11" s="33" t="str">
        <x:v>Supplied fictional portfolio</x:v>
      </x:c>
    </x:row>
    <x:row r="12" ht="40" customHeight="1">
      <x:c r="A12" s="152"/>
      <x:c r="B12" s="152"/>
      <x:c r="C12" s="33" t="str">
        <x:v>base_senior_pct</x:v>
      </x:c>
      <x:c r="D12" s="55" t="n">
        <x:v>0.64</x:v>
      </x:c>
      <x:c r="E12" s="60" t="n">
        <x:v>0.64</x:v>
      </x:c>
      <x:c r="F12" s="23" t="str">
        <x:v>fraction</x:v>
      </x:c>
      <x:c r="G12" s="23" t="n">
        <x:f>IF(D12=E12,0,1)</x:f>
        <x:v>0</x:v>
      </x:c>
      <x:c r="H12" s="33" t="str">
        <x:v>User instruction</x:v>
      </x:c>
    </x:row>
    <x:row r="13" ht="40" customHeight="1">
      <x:c r="A13" s="152"/>
      <x:c r="B13" s="152"/>
      <x:c r="C13" s="33" t="str">
        <x:v>equity_pct</x:v>
      </x:c>
      <x:c r="D13" s="55" t="n">
        <x:v>0.1</x:v>
      </x:c>
      <x:c r="E13" s="60" t="n">
        <x:v>0.1</x:v>
      </x:c>
      <x:c r="F13" s="23" t="str">
        <x:v>fraction</x:v>
      </x:c>
      <x:c r="G13" s="23" t="n">
        <x:f>IF(D13=E13,0,1)</x:f>
        <x:v>0</x:v>
      </x:c>
      <x:c r="H13" s="33" t="str">
        <x:v>User confirmed 10%; junior residual</x:v>
      </x:c>
    </x:row>
    <x:row r="14" ht="40" customHeight="1">
      <x:c r="A14" s="152"/>
      <x:c r="B14" s="152"/>
      <x:c r="C14" s="33" t="str">
        <x:v>senior_coupon_bps</x:v>
      </x:c>
      <x:c r="D14" s="54" t="n">
        <x:v>140</x:v>
      </x:c>
      <x:c r="E14" s="28" t="n">
        <x:v>140</x:v>
      </x:c>
      <x:c r="F14" s="23" t="str">
        <x:v>bps / year</x:v>
      </x:c>
      <x:c r="G14" s="23" t="n">
        <x:f>IF(D14=E14,0,1)</x:f>
        <x:v>0</x:v>
      </x:c>
      <x:c r="H14" s="33" t="str">
        <x:v>Fictional development assumption; review before use</x:v>
      </x:c>
    </x:row>
    <x:row r="15" ht="40" customHeight="1">
      <x:c r="A15" s="152"/>
      <x:c r="B15" s="152"/>
      <x:c r="C15" s="33" t="str">
        <x:v>junior_coupon_bps</x:v>
      </x:c>
      <x:c r="D15" s="54" t="n">
        <x:v>550</x:v>
      </x:c>
      <x:c r="E15" s="28" t="n">
        <x:v>550</x:v>
      </x:c>
      <x:c r="F15" s="23" t="str">
        <x:v>bps / year</x:v>
      </x:c>
      <x:c r="G15" s="23" t="n">
        <x:f>IF(D15=E15,0,1)</x:f>
        <x:v>0</x:v>
      </x:c>
      <x:c r="H15" s="33" t="str">
        <x:v>Fictional development assumption; review before use</x:v>
      </x:c>
    </x:row>
    <x:row r="16" ht="40" customHeight="1">
      <x:c r="A16" s="152"/>
      <x:c r="B16" s="152"/>
      <x:c r="C16" s="33" t="str">
        <x:v>senior_floor_pct</x:v>
      </x:c>
      <x:c r="D16" s="55" t="n">
        <x:v>0</x:v>
      </x:c>
      <x:c r="E16" s="60" t="n">
        <x:v>0</x:v>
      </x:c>
      <x:c r="F16" s="23" t="str">
        <x:v>fraction</x:v>
      </x:c>
      <x:c r="G16" s="23" t="n">
        <x:f>IF(D16=E16,0,1)</x:f>
        <x:v>0</x:v>
      </x:c>
      <x:c r="H16" s="33" t="str">
        <x:v>Fictional development assumption; review before use</x:v>
      </x:c>
    </x:row>
    <x:row r="17" ht="40" customHeight="1">
      <x:c r="A17" s="152"/>
      <x:c r="B17" s="152"/>
      <x:c r="C17" s="33" t="str">
        <x:v>junior_floor_pct</x:v>
      </x:c>
      <x:c r="D17" s="55" t="n">
        <x:v>0</x:v>
      </x:c>
      <x:c r="E17" s="60" t="n">
        <x:v>0</x:v>
      </x:c>
      <x:c r="F17" s="23" t="str">
        <x:v>fraction</x:v>
      </x:c>
      <x:c r="G17" s="23" t="n">
        <x:f>IF(D17=E17,0,1)</x:f>
        <x:v>0</x:v>
      </x:c>
      <x:c r="H17" s="33" t="str">
        <x:v>Fictional development assumption; review before use</x:v>
      </x:c>
    </x:row>
    <x:row r="18" ht="40" customHeight="1">
      <x:c r="A18" s="152"/>
      <x:c r="B18" s="152"/>
      <x:c r="C18" s="33" t="str">
        <x:v>senior_fee_bps</x:v>
      </x:c>
      <x:c r="D18" s="54" t="n">
        <x:v>35</x:v>
      </x:c>
      <x:c r="E18" s="28" t="n">
        <x:v>35</x:v>
      </x:c>
      <x:c r="F18" s="23" t="str">
        <x:v>bps / year</x:v>
      </x:c>
      <x:c r="G18" s="23" t="n">
        <x:f>IF(D18=E18,0,1)</x:f>
        <x:v>0</x:v>
      </x:c>
      <x:c r="H18" s="33" t="str">
        <x:v>Fictional development assumption; review before use</x:v>
      </x:c>
    </x:row>
    <x:row r="19" ht="40" customHeight="1">
      <x:c r="A19" s="152"/>
      <x:c r="B19" s="152"/>
      <x:c r="C19" s="33" t="str">
        <x:v>fixed_fee_per_period</x:v>
      </x:c>
      <x:c r="D19" s="54" t="n">
        <x:v>0</x:v>
      </x:c>
      <x:c r="E19" s="28" t="n">
        <x:v>0</x:v>
      </x:c>
      <x:c r="F19" s="23" t="str">
        <x:v>USD/quarter</x:v>
      </x:c>
      <x:c r="G19" s="23" t="n">
        <x:f>IF(D19=E19,0,1)</x:f>
        <x:v>0</x:v>
      </x:c>
      <x:c r="H19" s="33" t="str">
        <x:v>Fictional development assumption; review before use</x:v>
      </x:c>
    </x:row>
    <x:row r="20" ht="40" customHeight="1">
      <x:c r="A20" s="152"/>
      <x:c r="B20" s="152"/>
      <x:c r="C20" s="33" t="str">
        <x:v>subordinated_fee_bps</x:v>
      </x:c>
      <x:c r="D20" s="54" t="n">
        <x:v>15</x:v>
      </x:c>
      <x:c r="E20" s="28" t="n">
        <x:v>15</x:v>
      </x:c>
      <x:c r="F20" s="23" t="str">
        <x:v>bps / year</x:v>
      </x:c>
      <x:c r="G20" s="23" t="n">
        <x:f>IF(D20=E20,0,1)</x:f>
        <x:v>0</x:v>
      </x:c>
      <x:c r="H20" s="33" t="str">
        <x:v>Fictional development assumption; review before use</x:v>
      </x:c>
    </x:row>
    <x:row r="21" ht="40" customHeight="1">
      <x:c r="A21" s="152"/>
      <x:c r="B21" s="152"/>
      <x:c r="C21" s="33" t="str">
        <x:v>oc_trigger</x:v>
      </x:c>
      <x:c r="D21" s="56" t="n">
        <x:v>1.25</x:v>
      </x:c>
      <x:c r="E21" s="61" t="n">
        <x:v>1.25</x:v>
      </x:c>
      <x:c r="F21" s="23" t="str">
        <x:v>multiple</x:v>
      </x:c>
      <x:c r="G21" s="23" t="n">
        <x:f>IF(D21=E21,0,1)</x:f>
        <x:v>0</x:v>
      </x:c>
      <x:c r="H21" s="33" t="str">
        <x:v>Fictional development assumption; review before use</x:v>
      </x:c>
    </x:row>
    <x:row r="22" ht="40" customHeight="1">
      <x:c r="A22" s="152"/>
      <x:c r="B22" s="152"/>
      <x:c r="C22" s="33" t="str">
        <x:v>ic_trigger</x:v>
      </x:c>
      <x:c r="D22" s="56" t="n">
        <x:v>1.2</x:v>
      </x:c>
      <x:c r="E22" s="61" t="n">
        <x:v>1.2</x:v>
      </x:c>
      <x:c r="F22" s="23" t="str">
        <x:v>multiple</x:v>
      </x:c>
      <x:c r="G22" s="23" t="n">
        <x:f>IF(D22=E22,0,1)</x:f>
        <x:v>0</x:v>
      </x:c>
      <x:c r="H22" s="33" t="str">
        <x:v>Fictional development assumption; review before use</x:v>
      </x:c>
    </x:row>
    <x:row r="23" ht="40" customHeight="1">
      <x:c r="A23" s="152"/>
      <x:c r="B23" s="152"/>
      <x:c r="C23" s="33" t="str">
        <x:v>recovery_lag_quarters</x:v>
      </x:c>
      <x:c r="D23" s="54" t="n">
        <x:v>4</x:v>
      </x:c>
      <x:c r="E23" s="28" t="n">
        <x:v>4</x:v>
      </x:c>
      <x:c r="F23" s="23" t="str">
        <x:v>quarters</x:v>
      </x:c>
      <x:c r="G23" s="23" t="n">
        <x:f>IF(D23=E23,0,1)</x:f>
        <x:v>0</x:v>
      </x:c>
      <x:c r="H23" s="33" t="str">
        <x:v>Fictional development assumption; review before use</x:v>
      </x:c>
    </x:row>
    <x:row r="24" ht="40" customHeight="1">
      <x:c r="A24" s="152"/>
      <x:c r="B24" s="152"/>
      <x:c r="C24" s="33" t="str">
        <x:v>annual_prepayment_rate</x:v>
      </x:c>
      <x:c r="D24" s="55" t="n">
        <x:v>0</x:v>
      </x:c>
      <x:c r="E24" s="60" t="n">
        <x:v>0</x:v>
      </x:c>
      <x:c r="F24" s="23" t="str">
        <x:v>fraction</x:v>
      </x:c>
      <x:c r="G24" s="23" t="n">
        <x:f>IF(D24=E24,0,1)</x:f>
        <x:v>0</x:v>
      </x:c>
      <x:c r="H24" s="33" t="str">
        <x:v>Fictional development assumption; review before use</x:v>
      </x:c>
    </x:row>
    <x:row r="25" ht="40" customHeight="1">
      <x:c r="A25" s="152"/>
      <x:c r="B25" s="152"/>
      <x:c r="C25" s="33" t="str">
        <x:v>reinvestment_end_date</x:v>
      </x:c>
      <x:c r="D25" s="53" t="n">
        <x:v>46388</x:v>
      </x:c>
      <x:c r="E25" s="59" t="n">
        <x:v>46388</x:v>
      </x:c>
      <x:c r="F25" s="23" t="str">
        <x:v>date</x:v>
      </x:c>
      <x:c r="G25" s="23" t="n">
        <x:f>IF(D25=E25,0,1)</x:f>
        <x:v>0</x:v>
      </x:c>
      <x:c r="H25" s="33" t="str">
        <x:v>Fictional development assumption; review before use</x:v>
      </x:c>
    </x:row>
    <x:row r="26" ht="40" customHeight="1">
      <x:c r="A26" s="152"/>
      <x:c r="B26" s="152"/>
      <x:c r="C26" s="33" t="str">
        <x:v>reinvestment_price</x:v>
      </x:c>
      <x:c r="D26" s="55" t="n">
        <x:v>1</x:v>
      </x:c>
      <x:c r="E26" s="60" t="n">
        <x:v>1</x:v>
      </x:c>
      <x:c r="F26" s="23" t="str">
        <x:v>fraction</x:v>
      </x:c>
      <x:c r="G26" s="23" t="n">
        <x:f>IF(D26=E26,0,1)</x:f>
        <x:v>0</x:v>
      </x:c>
      <x:c r="H26" s="33" t="str">
        <x:v>Fictional development assumption; review before use</x:v>
      </x:c>
    </x:row>
    <x:row r="27" ht="40" customHeight="1">
      <x:c r="A27" s="152"/>
      <x:c r="B27" s="152"/>
      <x:c r="C27" s="33" t="str">
        <x:v>reinvestment_spread_bps</x:v>
      </x:c>
      <x:c r="D27" s="54" t="n">
        <x:v>350</x:v>
      </x:c>
      <x:c r="E27" s="28" t="n">
        <x:v>350</x:v>
      </x:c>
      <x:c r="F27" s="23" t="str">
        <x:v>bps / year</x:v>
      </x:c>
      <x:c r="G27" s="23" t="n">
        <x:f>IF(D27=E27,0,1)</x:f>
        <x:v>0</x:v>
      </x:c>
      <x:c r="H27" s="33" t="str">
        <x:v>Fictional development assumption; review before use</x:v>
      </x:c>
    </x:row>
    <x:row r="28" ht="40" customHeight="1">
      <x:c r="A28" s="152"/>
      <x:c r="B28" s="152"/>
      <x:c r="C28" s="33" t="str">
        <x:v>reinvestment_recovery</x:v>
      </x:c>
      <x:c r="D28" s="55" t="n">
        <x:v>0.4</x:v>
      </x:c>
      <x:c r="E28" s="60" t="n">
        <x:v>0.4</x:v>
      </x:c>
      <x:c r="F28" s="23" t="str">
        <x:v>fraction</x:v>
      </x:c>
      <x:c r="G28" s="23" t="n">
        <x:f>IF(D28=E28,0,1)</x:f>
        <x:v>0</x:v>
      </x:c>
      <x:c r="H28" s="33" t="str">
        <x:v>Fictional development assumption; review before use</x:v>
      </x:c>
    </x:row>
    <x:row r="29" ht="40" customHeight="1">
      <x:c r="A29" s="152"/>
      <x:c r="B29" s="152"/>
      <x:c r="C29" s="33" t="str">
        <x:v>reinvestment_maturity_years</x:v>
      </x:c>
      <x:c r="D29" s="54" t="n">
        <x:v>5</x:v>
      </x:c>
      <x:c r="E29" s="28" t="n">
        <x:v>5</x:v>
      </x:c>
      <x:c r="F29" s="23" t="str">
        <x:v>years</x:v>
      </x:c>
      <x:c r="G29" s="23" t="n">
        <x:f>IF(D29=E29,0,1)</x:f>
        <x:v>0</x:v>
      </x:c>
      <x:c r="H29" s="33" t="str">
        <x:v>Fictional development assumption; review before use</x:v>
      </x:c>
    </x:row>
    <x:row r="30" ht="40" customHeight="1">
      <x:c r="A30" s="152"/>
      <x:c r="B30" s="152"/>
      <x:c r="C30" s="33" t="str">
        <x:v>reinvestment_floor_bps</x:v>
      </x:c>
      <x:c r="D30" s="54" t="n">
        <x:v>0</x:v>
      </x:c>
      <x:c r="E30" s="28" t="n">
        <x:v>0</x:v>
      </x:c>
      <x:c r="F30" s="23" t="str">
        <x:v>bps / year</x:v>
      </x:c>
      <x:c r="G30" s="23" t="n">
        <x:f>IF(D30=E30,0,1)</x:f>
        <x:v>0</x:v>
      </x:c>
      <x:c r="H30" s="33" t="str">
        <x:v>Fictional development assumption; review before use</x:v>
      </x:c>
    </x:row>
    <x:row r="31" ht="40" customHeight="1">
      <x:c r="A31" s="152"/>
      <x:c r="B31" s="152"/>
      <x:c r="C31" s="33" t="str">
        <x:v>principal_support_interest</x:v>
      </x:c>
      <x:c r="D31" s="57" t="b">
        <x:v>1</x:v>
      </x:c>
      <x:c r="E31" s="62" t="b">
        <x:v>1</x:v>
      </x:c>
      <x:c r="F31" s="23" t="str">
        <x:v>flag</x:v>
      </x:c>
      <x:c r="G31" s="23" t="n">
        <x:f>IF(D31=E31,0,1)</x:f>
        <x:v>0</x:v>
      </x:c>
      <x:c r="H31" s="33" t="str">
        <x:v>Fictional development assumption; review before use</x:v>
      </x:c>
    </x:row>
    <x:row r="32" ht="40" customHeight="1">
      <x:c r="A32" s="152"/>
      <x:c r="B32" s="152"/>
      <x:c r="C32" s="33" t="str">
        <x:v>final_liquidation_price</x:v>
      </x:c>
      <x:c r="D32" s="55" t="n">
        <x:v>1</x:v>
      </x:c>
      <x:c r="E32" s="60" t="n">
        <x:v>1</x:v>
      </x:c>
      <x:c r="F32" s="23" t="str">
        <x:v>fraction</x:v>
      </x:c>
      <x:c r="G32" s="23" t="n">
        <x:f>IF(D32=E32,0,1)</x:f>
        <x:v>0</x:v>
      </x:c>
      <x:c r="H32" s="33" t="str">
        <x:v>Fictional development assumption; review before use</x:v>
      </x:c>
    </x:row>
    <x:row r="33" ht="40" customHeight="1">
      <x:c r="A33" s="152"/>
      <x:c r="B33" s="152"/>
      <x:c r="C33" s="33" t="str">
        <x:v>oc_recovery_credit</x:v>
      </x:c>
      <x:c r="D33" s="55" t="n">
        <x:v>0</x:v>
      </x:c>
      <x:c r="E33" s="60" t="n">
        <x:v>0</x:v>
      </x:c>
      <x:c r="F33" s="23" t="str">
        <x:v>fraction</x:v>
      </x:c>
      <x:c r="G33" s="23" t="n">
        <x:f>IF(D33=E33,0,1)</x:f>
        <x:v>0</x:v>
      </x:c>
      <x:c r="H33" s="33" t="str">
        <x:v>Fictional development assumption; review before use</x:v>
      </x:c>
    </x:row>
    <x:row r="34" ht="40" customHeight="1">
      <x:c r="A34" s="152"/>
      <x:c r="B34" s="152"/>
      <x:c r="C34" s="33" t="str">
        <x:v>reinvestment_stop_on_trigger</x:v>
      </x:c>
      <x:c r="D34" s="58" t="b">
        <x:v>1</x:v>
      </x:c>
      <x:c r="E34" s="63" t="b">
        <x:v>1</x:v>
      </x:c>
      <x:c r="F34" s="23" t="str">
        <x:v>flag</x:v>
      </x:c>
      <x:c r="G34" s="23" t="n">
        <x:f>IF(D34=E34,0,1)</x:f>
        <x:v>0</x:v>
      </x:c>
      <x:c r="H34" s="33" t="str">
        <x:v>Fictional development assumption; review before use</x:v>
      </x:c>
    </x:row>
    <x:row r="35" ht="40" customHeight="1">
      <x:c r="A35" s="152"/>
      <x:c r="B35" s="152"/>
      <x:c r="C35" s="33" t="str">
        <x:v>base_default_rate</x:v>
      </x:c>
      <x:c r="D35" s="55" t="n">
        <x:v>0.3</x:v>
      </x:c>
      <x:c r="E35" s="60" t="n">
        <x:v>0.3</x:v>
      </x:c>
      <x:c r="F35" s="23" t="str">
        <x:v>fraction</x:v>
      </x:c>
      <x:c r="G35" s="23" t="n">
        <x:f>IF(D35=E35,0,1)</x:f>
        <x:v>0</x:v>
      </x:c>
      <x:c r="H35" s="33" t="str">
        <x:v>Fictional development assumption; review before use</x:v>
      </x:c>
    </x:row>
    <x:row r="36" ht="40" customHeight="1">
      <x:c r="A36" s="152"/>
      <x:c r="B36" s="152"/>
      <x:c r="C36" s="33" t="str">
        <x:v>base_scenario_id</x:v>
      </x:c>
      <x:c r="D36" s="54" t="str">
        <x:v>front_flat</x:v>
      </x:c>
      <x:c r="E36" s="28" t="str">
        <x:v>front_flat</x:v>
      </x:c>
      <x:c r="F36" s="23" t="str">
        <x:v>text / flag</x:v>
      </x:c>
      <x:c r="G36" s="23" t="n">
        <x:f>IF(D36=E36,0,1)</x:f>
        <x:v>0</x:v>
      </x:c>
      <x:c r="H36" s="33" t="str">
        <x:v>Fictional development assumption; review before use</x:v>
      </x:c>
    </x:row>
    <x:row r="37" ht="40" customHeight="1">
      <x:c r="A37" s="152"/>
      <x:c r="B37" s="152"/>
      <x:c r="C37" s="33" t="str">
        <x:v>agency_sdr_aaa</x:v>
      </x:c>
      <x:c r="D37" s="55"/>
      <x:c r="E37" s="60"/>
      <x:c r="F37" s="23" t="str">
        <x:v>fraction</x:v>
      </x:c>
      <x:c r="G37" s="23" t="n">
        <x:f>IF(D37=E37,0,1)</x:f>
        <x:v>0</x:v>
      </x:c>
      <x:c r="H37" s="33" t="str">
        <x:v>Unavailable</x:v>
      </x:c>
    </x:row>
    <x:row r="38" ht="86" customHeight="1">
      <x:c r="A38" s="152"/>
      <x:c r="B38" s="152"/>
      <x:c r="C38" s="33" t="str">
        <x:v>agency_sdr_source</x:v>
      </x:c>
      <x:c r="D38" s="151" t="str">
        <x:v>Not supplied; no CDO Evaluator SDR calculated</x:v>
      </x:c>
      <x:c r="E38" s="95" t="str">
        <x:v>Not supplied; no CDO Evaluator SDR calculated</x:v>
      </x:c>
      <x:c r="F38" s="23" t="str">
        <x:v>text / flag</x:v>
      </x:c>
      <x:c r="G38" s="23" t="n">
        <x:f>IF(D38=E38,0,1)</x:f>
        <x:v>0</x:v>
      </x:c>
      <x:c r="H38" s="33" t="str">
        <x:v>Fictional development assumption; review before use</x:v>
      </x:c>
    </x:row>
    <x:row r="39" ht="40" customHeight="1">
      <x:c r="A39" s="152"/>
      <x:c r="B39" s="152"/>
      <x:c r="C39" s="33" t="str">
        <x:v>scenario.front_flat.recovery_multiplier</x:v>
      </x:c>
      <x:c r="D39" s="56" t="n">
        <x:v>1</x:v>
      </x:c>
      <x:c r="E39" s="61" t="n">
        <x:v>1</x:v>
      </x:c>
      <x:c r="F39" s="23" t="str">
        <x:v>multiple</x:v>
      </x:c>
      <x:c r="G39" s="23" t="n">
        <x:f>IF(D39=E39,0,1)</x:f>
        <x:v>0</x:v>
      </x:c>
      <x:c r="H39" s="33" t="str">
        <x:v>Fictional front_flat scenario input; overrides the global setting</x:v>
      </x:c>
    </x:row>
    <x:row r="40" ht="40" customHeight="1">
      <x:c r="A40" s="152"/>
      <x:c r="B40" s="152"/>
      <x:c r="C40" s="33" t="str">
        <x:v>scenario.front_flat.annual_prepayment_rate</x:v>
      </x:c>
      <x:c r="D40" s="55" t="n">
        <x:v>0</x:v>
      </x:c>
      <x:c r="E40" s="60" t="n">
        <x:v>0</x:v>
      </x:c>
      <x:c r="F40" s="23" t="str">
        <x:v>fraction</x:v>
      </x:c>
      <x:c r="G40" s="23" t="n">
        <x:f>IF(D40=E40,0,1)</x:f>
        <x:v>0</x:v>
      </x:c>
      <x:c r="H40" s="33" t="str">
        <x:v>Fictional front_flat scenario input; overrides the global setting</x:v>
      </x:c>
    </x:row>
    <x:row r="41" ht="40" customHeight="1">
      <x:c r="A41" s="152"/>
      <x:c r="B41" s="152"/>
      <x:c r="C41" s="33" t="str">
        <x:v>scenario.front_low.recovery_multiplier</x:v>
      </x:c>
      <x:c r="D41" s="56" t="n">
        <x:v>1</x:v>
      </x:c>
      <x:c r="E41" s="61" t="n">
        <x:v>1</x:v>
      </x:c>
      <x:c r="F41" s="23" t="str">
        <x:v>multiple</x:v>
      </x:c>
      <x:c r="G41" s="23" t="n">
        <x:f>IF(D41=E41,0,1)</x:f>
        <x:v>0</x:v>
      </x:c>
      <x:c r="H41" s="33" t="str">
        <x:v>Fictional front_low scenario input; overrides the global setting</x:v>
      </x:c>
    </x:row>
    <x:row r="42" ht="40" customHeight="1">
      <x:c r="A42" s="152"/>
      <x:c r="B42" s="152"/>
      <x:c r="C42" s="33" t="str">
        <x:v>scenario.front_low.annual_prepayment_rate</x:v>
      </x:c>
      <x:c r="D42" s="55" t="n">
        <x:v>0</x:v>
      </x:c>
      <x:c r="E42" s="60" t="n">
        <x:v>0</x:v>
      </x:c>
      <x:c r="F42" s="23" t="str">
        <x:v>fraction</x:v>
      </x:c>
      <x:c r="G42" s="23" t="n">
        <x:f>IF(D42=E42,0,1)</x:f>
        <x:v>0</x:v>
      </x:c>
      <x:c r="H42" s="33" t="str">
        <x:v>Fictional front_low scenario input; overrides the global setting</x:v>
      </x:c>
    </x:row>
    <x:row r="43" ht="40" customHeight="1">
      <x:c r="A43" s="152"/>
      <x:c r="B43" s="152"/>
      <x:c r="C43" s="33" t="str">
        <x:v>scenario.front_high.recovery_multiplier</x:v>
      </x:c>
      <x:c r="D43" s="56" t="n">
        <x:v>1</x:v>
      </x:c>
      <x:c r="E43" s="61" t="n">
        <x:v>1</x:v>
      </x:c>
      <x:c r="F43" s="23" t="str">
        <x:v>multiple</x:v>
      </x:c>
      <x:c r="G43" s="23" t="n">
        <x:f>IF(D43=E43,0,1)</x:f>
        <x:v>0</x:v>
      </x:c>
      <x:c r="H43" s="33" t="str">
        <x:v>Fictional front_high scenario input; overrides the global setting</x:v>
      </x:c>
    </x:row>
    <x:row r="44" ht="40" customHeight="1">
      <x:c r="A44" s="152"/>
      <x:c r="B44" s="152"/>
      <x:c r="C44" s="33" t="str">
        <x:v>scenario.front_high.annual_prepayment_rate</x:v>
      </x:c>
      <x:c r="D44" s="55" t="n">
        <x:v>0</x:v>
      </x:c>
      <x:c r="E44" s="60" t="n">
        <x:v>0</x:v>
      </x:c>
      <x:c r="F44" s="23" t="str">
        <x:v>fraction</x:v>
      </x:c>
      <x:c r="G44" s="23" t="n">
        <x:f>IF(D44=E44,0,1)</x:f>
        <x:v>0</x:v>
      </x:c>
      <x:c r="H44" s="33" t="str">
        <x:v>Fictional front_high scenario input; overrides the global setting</x:v>
      </x:c>
    </x:row>
    <x:row r="45" ht="40" customHeight="1">
      <x:c r="A45" s="152"/>
      <x:c r="B45" s="152"/>
      <x:c r="C45" s="33" t="str">
        <x:v>scenario.middle_flat.recovery_multiplier</x:v>
      </x:c>
      <x:c r="D45" s="56" t="n">
        <x:v>1</x:v>
      </x:c>
      <x:c r="E45" s="61" t="n">
        <x:v>1</x:v>
      </x:c>
      <x:c r="F45" s="23" t="str">
        <x:v>multiple</x:v>
      </x:c>
      <x:c r="G45" s="23" t="n">
        <x:f>IF(D45=E45,0,1)</x:f>
        <x:v>0</x:v>
      </x:c>
      <x:c r="H45" s="33" t="str">
        <x:v>Fictional middle_flat scenario input; overrides the global setting</x:v>
      </x:c>
    </x:row>
    <x:row r="46" ht="40" customHeight="1">
      <x:c r="A46" s="152"/>
      <x:c r="B46" s="152"/>
      <x:c r="C46" s="33" t="str">
        <x:v>scenario.middle_flat.annual_prepayment_rate</x:v>
      </x:c>
      <x:c r="D46" s="55" t="n">
        <x:v>0</x:v>
      </x:c>
      <x:c r="E46" s="60" t="n">
        <x:v>0</x:v>
      </x:c>
      <x:c r="F46" s="23" t="str">
        <x:v>fraction</x:v>
      </x:c>
      <x:c r="G46" s="23" t="n">
        <x:f>IF(D46=E46,0,1)</x:f>
        <x:v>0</x:v>
      </x:c>
      <x:c r="H46" s="33" t="str">
        <x:v>Fictional middle_flat scenario input; overrides the global setting</x:v>
      </x:c>
    </x:row>
    <x:row r="47" ht="40" customHeight="1">
      <x:c r="A47" s="152"/>
      <x:c r="B47" s="152"/>
      <x:c r="C47" s="33" t="str">
        <x:v>scenario.middle_low.recovery_multiplier</x:v>
      </x:c>
      <x:c r="D47" s="56" t="n">
        <x:v>1</x:v>
      </x:c>
      <x:c r="E47" s="61" t="n">
        <x:v>1</x:v>
      </x:c>
      <x:c r="F47" s="23" t="str">
        <x:v>multiple</x:v>
      </x:c>
      <x:c r="G47" s="23" t="n">
        <x:f>IF(D47=E47,0,1)</x:f>
        <x:v>0</x:v>
      </x:c>
      <x:c r="H47" s="33" t="str">
        <x:v>Fictional middle_low scenario input; overrides the global setting</x:v>
      </x:c>
    </x:row>
    <x:row r="48" ht="40" customHeight="1">
      <x:c r="A48" s="152"/>
      <x:c r="B48" s="152"/>
      <x:c r="C48" s="33" t="str">
        <x:v>scenario.middle_low.annual_prepayment_rate</x:v>
      </x:c>
      <x:c r="D48" s="55" t="n">
        <x:v>0</x:v>
      </x:c>
      <x:c r="E48" s="60" t="n">
        <x:v>0</x:v>
      </x:c>
      <x:c r="F48" s="23" t="str">
        <x:v>fraction</x:v>
      </x:c>
      <x:c r="G48" s="23" t="n">
        <x:f>IF(D48=E48,0,1)</x:f>
        <x:v>0</x:v>
      </x:c>
      <x:c r="H48" s="33" t="str">
        <x:v>Fictional middle_low scenario input; overrides the global setting</x:v>
      </x:c>
    </x:row>
    <x:row r="49" ht="40" customHeight="1">
      <x:c r="A49" s="152"/>
      <x:c r="B49" s="152"/>
      <x:c r="C49" s="33" t="str">
        <x:v>scenario.middle_high.recovery_multiplier</x:v>
      </x:c>
      <x:c r="D49" s="56" t="n">
        <x:v>1</x:v>
      </x:c>
      <x:c r="E49" s="61" t="n">
        <x:v>1</x:v>
      </x:c>
      <x:c r="F49" s="23" t="str">
        <x:v>multiple</x:v>
      </x:c>
      <x:c r="G49" s="23" t="n">
        <x:f>IF(D49=E49,0,1)</x:f>
        <x:v>0</x:v>
      </x:c>
      <x:c r="H49" s="33" t="str">
        <x:v>Fictional middle_high scenario input; overrides the global setting</x:v>
      </x:c>
    </x:row>
    <x:row r="50" ht="40" customHeight="1">
      <x:c r="A50" s="152"/>
      <x:c r="B50" s="152"/>
      <x:c r="C50" s="33" t="str">
        <x:v>scenario.middle_high.annual_prepayment_rate</x:v>
      </x:c>
      <x:c r="D50" s="55" t="n">
        <x:v>0</x:v>
      </x:c>
      <x:c r="E50" s="60" t="n">
        <x:v>0</x:v>
      </x:c>
      <x:c r="F50" s="23" t="str">
        <x:v>fraction</x:v>
      </x:c>
      <x:c r="G50" s="23" t="n">
        <x:f>IF(D50=E50,0,1)</x:f>
        <x:v>0</x:v>
      </x:c>
      <x:c r="H50" s="33" t="str">
        <x:v>Fictional middle_high scenario input; overrides the global setting</x:v>
      </x:c>
    </x:row>
    <x:row r="51" ht="40" customHeight="1">
      <x:c r="A51" s="152"/>
      <x:c r="B51" s="152"/>
      <x:c r="C51" s="33" t="str">
        <x:v>scenario.back_flat.recovery_multiplier</x:v>
      </x:c>
      <x:c r="D51" s="56" t="n">
        <x:v>1</x:v>
      </x:c>
      <x:c r="E51" s="61" t="n">
        <x:v>1</x:v>
      </x:c>
      <x:c r="F51" s="23" t="str">
        <x:v>multiple</x:v>
      </x:c>
      <x:c r="G51" s="23" t="n">
        <x:f>IF(D51=E51,0,1)</x:f>
        <x:v>0</x:v>
      </x:c>
      <x:c r="H51" s="33" t="str">
        <x:v>Fictional back_flat scenario input; overrides the global setting</x:v>
      </x:c>
    </x:row>
    <x:row r="52" ht="40" customHeight="1">
      <x:c r="A52" s="152"/>
      <x:c r="B52" s="152"/>
      <x:c r="C52" s="33" t="str">
        <x:v>scenario.back_flat.annual_prepayment_rate</x:v>
      </x:c>
      <x:c r="D52" s="55" t="n">
        <x:v>0</x:v>
      </x:c>
      <x:c r="E52" s="60" t="n">
        <x:v>0</x:v>
      </x:c>
      <x:c r="F52" s="23" t="str">
        <x:v>fraction</x:v>
      </x:c>
      <x:c r="G52" s="23" t="n">
        <x:f>IF(D52=E52,0,1)</x:f>
        <x:v>0</x:v>
      </x:c>
      <x:c r="H52" s="33" t="str">
        <x:v>Fictional back_flat scenario input; overrides the global setting</x:v>
      </x:c>
    </x:row>
    <x:row r="53" ht="40" customHeight="1">
      <x:c r="A53" s="152"/>
      <x:c r="B53" s="152"/>
      <x:c r="C53" s="33" t="str">
        <x:v>scenario.back_low.recovery_multiplier</x:v>
      </x:c>
      <x:c r="D53" s="56" t="n">
        <x:v>1</x:v>
      </x:c>
      <x:c r="E53" s="61" t="n">
        <x:v>1</x:v>
      </x:c>
      <x:c r="F53" s="23" t="str">
        <x:v>multiple</x:v>
      </x:c>
      <x:c r="G53" s="23" t="n">
        <x:f>IF(D53=E53,0,1)</x:f>
        <x:v>0</x:v>
      </x:c>
      <x:c r="H53" s="33" t="str">
        <x:v>Fictional back_low scenario input; overrides the global setting</x:v>
      </x:c>
    </x:row>
    <x:row r="54" ht="40" customHeight="1">
      <x:c r="A54" s="152"/>
      <x:c r="B54" s="152"/>
      <x:c r="C54" s="33" t="str">
        <x:v>scenario.back_low.annual_prepayment_rate</x:v>
      </x:c>
      <x:c r="D54" s="55" t="n">
        <x:v>0</x:v>
      </x:c>
      <x:c r="E54" s="60" t="n">
        <x:v>0</x:v>
      </x:c>
      <x:c r="F54" s="23" t="str">
        <x:v>fraction</x:v>
      </x:c>
      <x:c r="G54" s="23" t="n">
        <x:f>IF(D54=E54,0,1)</x:f>
        <x:v>0</x:v>
      </x:c>
      <x:c r="H54" s="33" t="str">
        <x:v>Fictional back_low scenario input; overrides the global setting</x:v>
      </x:c>
    </x:row>
    <x:row r="55" ht="40" customHeight="1">
      <x:c r="A55" s="152"/>
      <x:c r="B55" s="152"/>
      <x:c r="C55" s="33" t="str">
        <x:v>scenario.back_high.recovery_multiplier</x:v>
      </x:c>
      <x:c r="D55" s="56" t="n">
        <x:v>1</x:v>
      </x:c>
      <x:c r="E55" s="61" t="n">
        <x:v>1</x:v>
      </x:c>
      <x:c r="F55" s="23" t="str">
        <x:v>multiple</x:v>
      </x:c>
      <x:c r="G55" s="23" t="n">
        <x:f>IF(D55=E55,0,1)</x:f>
        <x:v>0</x:v>
      </x:c>
      <x:c r="H55" s="33" t="str">
        <x:v>Fictional back_high scenario input; overrides the global setting</x:v>
      </x:c>
    </x:row>
    <x:row r="56" ht="40" customHeight="1">
      <x:c r="A56" s="152"/>
      <x:c r="B56" s="152"/>
      <x:c r="C56" s="33" t="str">
        <x:v>scenario.back_high.annual_prepayment_rate</x:v>
      </x:c>
      <x:c r="D56" s="55" t="n">
        <x:v>0</x:v>
      </x:c>
      <x:c r="E56" s="60" t="n">
        <x:v>0</x:v>
      </x:c>
      <x:c r="F56" s="23" t="str">
        <x:v>fraction</x:v>
      </x:c>
      <x:c r="G56" s="23" t="n">
        <x:f>IF(D56=E56,0,1)</x:f>
        <x:v>0</x:v>
      </x:c>
      <x:c r="H56" s="33" t="str">
        <x:v>Fictional back_high scenario input; overrides the global setting</x:v>
      </x:c>
    </x:row>
    <x:row r="57" ht="40" customHeight="1">
      <x:c r="A57" s="152"/>
      <x:c r="B57" s="152"/>
      <x:c r="C57" s="33" t="str">
        <x:v>scenario.level_flat.recovery_multiplier</x:v>
      </x:c>
      <x:c r="D57" s="56" t="n">
        <x:v>1</x:v>
      </x:c>
      <x:c r="E57" s="61" t="n">
        <x:v>1</x:v>
      </x:c>
      <x:c r="F57" s="23" t="str">
        <x:v>multiple</x:v>
      </x:c>
      <x:c r="G57" s="23" t="n">
        <x:f>IF(D57=E57,0,1)</x:f>
        <x:v>0</x:v>
      </x:c>
      <x:c r="H57" s="33" t="str">
        <x:v>Fictional level_flat scenario input; overrides the global setting</x:v>
      </x:c>
    </x:row>
    <x:row r="58" ht="40" customHeight="1">
      <x:c r="A58" s="152"/>
      <x:c r="B58" s="152"/>
      <x:c r="C58" s="33" t="str">
        <x:v>scenario.level_flat.annual_prepayment_rate</x:v>
      </x:c>
      <x:c r="D58" s="55" t="n">
        <x:v>0</x:v>
      </x:c>
      <x:c r="E58" s="60" t="n">
        <x:v>0</x:v>
      </x:c>
      <x:c r="F58" s="23" t="str">
        <x:v>fraction</x:v>
      </x:c>
      <x:c r="G58" s="23" t="n">
        <x:f>IF(D58=E58,0,1)</x:f>
        <x:v>0</x:v>
      </x:c>
      <x:c r="H58" s="33" t="str">
        <x:v>Fictional level_flat scenario input; overrides the global setting</x:v>
      </x:c>
    </x:row>
    <x:row r="59" ht="40" customHeight="1">
      <x:c r="A59" s="152"/>
      <x:c r="B59" s="152"/>
      <x:c r="C59" s="33" t="str">
        <x:v>scenario.level_low.recovery_multiplier</x:v>
      </x:c>
      <x:c r="D59" s="56" t="n">
        <x:v>1</x:v>
      </x:c>
      <x:c r="E59" s="61" t="n">
        <x:v>1</x:v>
      </x:c>
      <x:c r="F59" s="23" t="str">
        <x:v>multiple</x:v>
      </x:c>
      <x:c r="G59" s="23" t="n">
        <x:f>IF(D59=E59,0,1)</x:f>
        <x:v>0</x:v>
      </x:c>
      <x:c r="H59" s="33" t="str">
        <x:v>Fictional level_low scenario input; overrides the global setting</x:v>
      </x:c>
    </x:row>
    <x:row r="60" ht="40" customHeight="1">
      <x:c r="A60" s="152"/>
      <x:c r="B60" s="152"/>
      <x:c r="C60" s="33" t="str">
        <x:v>scenario.level_low.annual_prepayment_rate</x:v>
      </x:c>
      <x:c r="D60" s="55" t="n">
        <x:v>0</x:v>
      </x:c>
      <x:c r="E60" s="60" t="n">
        <x:v>0</x:v>
      </x:c>
      <x:c r="F60" s="23" t="str">
        <x:v>fraction</x:v>
      </x:c>
      <x:c r="G60" s="23" t="n">
        <x:f>IF(D60=E60,0,1)</x:f>
        <x:v>0</x:v>
      </x:c>
      <x:c r="H60" s="33" t="str">
        <x:v>Fictional level_low scenario input; overrides the global setting</x:v>
      </x:c>
    </x:row>
    <x:row r="61" ht="40" customHeight="1">
      <x:c r="A61" s="152"/>
      <x:c r="B61" s="152"/>
      <x:c r="C61" s="33" t="str">
        <x:v>scenario.level_high.recovery_multiplier</x:v>
      </x:c>
      <x:c r="D61" s="56" t="n">
        <x:v>1</x:v>
      </x:c>
      <x:c r="E61" s="61" t="n">
        <x:v>1</x:v>
      </x:c>
      <x:c r="F61" s="23" t="str">
        <x:v>multiple</x:v>
      </x:c>
      <x:c r="G61" s="23" t="n">
        <x:f>IF(D61=E61,0,1)</x:f>
        <x:v>0</x:v>
      </x:c>
      <x:c r="H61" s="33" t="str">
        <x:v>Fictional level_high scenario input; overrides the global setting</x:v>
      </x:c>
    </x:row>
    <x:row r="62" ht="40" customHeight="1">
      <x:c r="A62" s="152"/>
      <x:c r="B62" s="152"/>
      <x:c r="C62" s="33" t="str">
        <x:v>scenario.level_high.annual_prepayment_rate</x:v>
      </x:c>
      <x:c r="D62" s="55" t="n">
        <x:v>0</x:v>
      </x:c>
      <x:c r="E62" s="60" t="n">
        <x:v>0</x:v>
      </x:c>
      <x:c r="F62" s="23" t="str">
        <x:v>fraction</x:v>
      </x:c>
      <x:c r="G62" s="23" t="n">
        <x:f>IF(D62=E62,0,1)</x:f>
        <x:v>0</x:v>
      </x:c>
      <x:c r="H62" s="33" t="str">
        <x:v>Fictional level_high scenario input; overrides the global setting</x:v>
      </x:c>
    </x:row>
  </x:sheetData>
  <x:dataValidations count="1">
    <x:dataValidation type="decimal" operator="between" sqref="D12">
      <x:formula1>0.6</x:formula1>
      <x:formula2>0.7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1909E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4" hidden="0" customWidth="1"/>
    <x:col min="4" max="4" width="23" hidden="0" customWidth="1"/>
    <x:col min="5" max="5" width="16" hidden="0" customWidth="1"/>
    <x:col min="6" max="6" width="16" hidden="0" customWidth="1"/>
    <x:col min="7" max="7" width="40" hidden="0" customWidth="1"/>
    <x:col min="8" max="8" width="17" hidden="0" customWidth="1"/>
    <x:col min="9" max="9" width="17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s="23"/>
      <x:c r="B1" s="23"/>
      <x:c r="C1" s="111" t="str">
        <x:v>Shared portfolio / S&amp;P factors</x:v>
      </x:c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</x:row>
    <x:row r="2">
      <x:c r="A2" s="23"/>
      <x:c r="B2" s="23"/>
      <x:c r="C2" s="24" t="str">
        <x:v>Portfolio Calculations</x:v>
      </x:c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</x:row>
    <x:row r="3" ht="22" customHeight="1">
      <x:c r="A3" s="23"/>
      <x:c r="B3" s="23"/>
      <x:c r="C3" s="26" t="str">
        <x:v>USD, full units. Weighted spread uses floating par only. Term is bullet maturity, not amortising WAL.</x:v>
      </x:c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</x:row>
    <x:row r="5">
      <x:c r="A5" s="23"/>
      <x:c r="B5" s="23"/>
      <x:c r="C5" s="32" t="str">
        <x:f>IF(Refresh_Required,"REFRESH REQUIRED — Python results reflect the last run","Python results match the imported inputs")</x:f>
        <x:v>REFRESH REQUIRED — Python results reflect the last run</x:v>
      </x:c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</x:row>
    <x:row r="7" ht="38" customHeight="1">
      <x:c r="A7" s="23"/>
      <x:c r="B7" s="23"/>
      <x:c r="C7" s="7" t="str">
        <x:v>Metric</x:v>
      </x:c>
      <x:c r="D7" s="7" t="str">
        <x:v>Excel formula result</x:v>
      </x:c>
      <x:c r="E7" s="23"/>
      <x:c r="F7" s="23"/>
      <x:c r="G7" s="7" t="str">
        <x:v>Industry</x:v>
      </x:c>
      <x:c r="H7" s="7" t="str">
        <x:v>Par</x:v>
      </x:c>
      <x:c r="I7" s="7" t="str">
        <x:v>Share</x:v>
      </x:c>
      <x:c r="J7" s="23"/>
      <x:c r="K7" s="23"/>
      <x:c r="L7" s="23"/>
      <x:c r="M7" s="23"/>
      <x:c r="N7" s="23"/>
      <x:c r="O7" s="23"/>
      <x:c r="P7" s="23"/>
      <x:c r="Q7" s="23"/>
    </x:row>
    <x:row r="8" ht="29" customHeight="1">
      <x:c r="A8" s="23"/>
      <x:c r="B8" s="23"/>
      <x:c r="C8" s="23" t="str">
        <x:v>Portfolio par</x:v>
      </x:c>
      <x:c r="D8" s="66" t="n">
        <x:f>SUM('Portfolio Inputs'!D8:D8)</x:f>
        <x:v>0</x:v>
      </x:c>
      <x:c r="E8" s="23"/>
      <x:c r="F8" s="23"/>
      <x:c r="G8" s="33"/>
      <x:c r="H8" s="23"/>
      <x:c r="I8" s="23"/>
      <x:c r="J8" s="23"/>
      <x:c r="K8" s="23"/>
      <x:c r="L8" s="23"/>
      <x:c r="M8" s="23"/>
      <x:c r="N8" s="23"/>
      <x:c r="O8" s="23"/>
      <x:c r="P8" s="23"/>
      <x:c r="Q8" s="23"/>
    </x:row>
    <x:row r="9" ht="29" customHeight="1">
      <x:c r="A9" s="152"/>
      <x:c r="B9" s="152"/>
      <x:c r="C9" s="152" t="str">
        <x:v>Facilities</x:v>
      </x:c>
      <x:c r="D9" s="169" t="n">
        <x:f>COUNTA('Portfolio Inputs'!A8:A8)</x:f>
        <x:v>0</x:v>
      </x:c>
      <x:c r="E9" s="152"/>
      <x:c r="F9" s="152"/>
      <x:c r="G9" s="156"/>
      <x:c r="H9" s="152"/>
      <x:c r="I9" s="152"/>
      <x:c r="J9" s="152"/>
      <x:c r="K9" s="152"/>
      <x:c r="L9" s="152"/>
      <x:c r="M9" s="152"/>
      <x:c r="N9" s="152"/>
      <x:c r="O9" s="152"/>
      <x:c r="P9" s="152"/>
      <x:c r="Q9" s="152"/>
    </x:row>
    <x:row r="10" ht="29" customHeight="1">
      <x:c r="A10" s="152"/>
      <x:c r="B10" s="152"/>
      <x:c r="C10" s="152" t="str">
        <x:v>Obligors</x:v>
      </x:c>
      <x:c r="D10" s="169" t="n">
        <x:f>COUNTA('Obligor Calc'!A8:A8)</x:f>
        <x:v>0</x:v>
      </x:c>
      <x:c r="E10" s="152"/>
      <x:c r="F10" s="152"/>
      <x:c r="G10" s="7" t="str">
        <x:v>Rating input</x:v>
      </x:c>
      <x:c r="H10" s="7" t="str">
        <x:v>Par</x:v>
      </x:c>
      <x:c r="I10" s="7" t="str">
        <x:v>Share</x:v>
      </x:c>
      <x:c r="J10" s="152"/>
      <x:c r="K10" s="152"/>
      <x:c r="L10" s="152"/>
      <x:c r="M10" s="152"/>
      <x:c r="N10" s="152"/>
      <x:c r="O10" s="152"/>
      <x:c r="P10" s="152"/>
      <x:c r="Q10" s="152"/>
    </x:row>
    <x:row r="11" ht="29" customHeight="1">
      <x:c r="A11" s="152"/>
      <x:c r="B11" s="152"/>
      <x:c r="C11" s="152" t="str">
        <x:v>Floating par</x:v>
      </x:c>
      <x:c r="D11" s="66" t="n">
        <x:f>SUMIF('Portfolio Inputs'!I8:I8,"Floating",'Portfolio Inputs'!D8:D8)</x:f>
        <x:v>0</x:v>
      </x:c>
      <x:c r="E11" s="152"/>
      <x:c r="F11" s="152"/>
      <x:c r="G11" s="156"/>
      <x:c r="H11" s="152"/>
      <x:c r="I11" s="152"/>
      <x:c r="J11" s="152"/>
      <x:c r="K11" s="152"/>
      <x:c r="L11" s="152"/>
      <x:c r="M11" s="152"/>
      <x:c r="N11" s="152"/>
      <x:c r="O11" s="152"/>
      <x:c r="P11" s="152"/>
      <x:c r="Q11" s="152"/>
    </x:row>
    <x:row r="12" ht="29" customHeight="1">
      <x:c r="A12" s="152"/>
      <x:c r="B12" s="152"/>
      <x:c r="C12" s="152" t="str">
        <x:v>Floating share</x:v>
      </x:c>
      <x:c r="D12" s="78" t="str">
        <x:f>IF(D8&gt;0,D11/D8,"")</x:f>
      </x:c>
      <x:c r="E12" s="152"/>
      <x:c r="F12" s="152"/>
      <x:c r="G12" s="156"/>
      <x:c r="H12" s="152"/>
      <x:c r="I12" s="152"/>
      <x:c r="J12" s="152"/>
      <x:c r="K12" s="152"/>
      <x:c r="L12" s="152"/>
      <x:c r="M12" s="152"/>
      <x:c r="N12" s="152"/>
      <x:c r="O12" s="152"/>
      <x:c r="P12" s="152"/>
      <x:c r="Q12" s="152"/>
    </x:row>
    <x:row r="13" ht="29" customHeight="1">
      <x:c r="A13" s="152"/>
      <x:c r="B13" s="152"/>
      <x:c r="C13" s="152" t="str">
        <x:v>Weighted spread (bps)</x:v>
      </x:c>
      <x:c r="D13" s="176" t="str">
        <x:f>IF(D11&gt;0,SUM('Portfolio Inputs'!U8:U8)/D11,"")</x:f>
      </x:c>
      <x:c r="E13" s="152"/>
      <x:c r="F13" s="152"/>
      <x:c r="G13" s="7" t="str">
        <x:v>Country</x:v>
      </x:c>
      <x:c r="H13" s="7" t="str">
        <x:v>Par</x:v>
      </x:c>
      <x:c r="I13" s="7" t="str">
        <x:v>Share</x:v>
      </x:c>
      <x:c r="J13" s="152"/>
      <x:c r="K13" s="152"/>
      <x:c r="L13" s="152"/>
      <x:c r="M13" s="152"/>
      <x:c r="N13" s="152"/>
      <x:c r="O13" s="152"/>
      <x:c r="P13" s="152"/>
      <x:c r="Q13" s="152"/>
    </x:row>
    <x:row r="14" ht="29" customHeight="1">
      <x:c r="A14" s="152"/>
      <x:c r="B14" s="152"/>
      <x:c r="C14" s="152" t="str">
        <x:v>Weighted stressed recovery</x:v>
      </x:c>
      <x:c r="D14" s="77" t="str">
        <x:f>IF(D8&gt;0,SUM('Portfolio Inputs'!V8:V8)/D8,"")</x:f>
      </x:c>
      <x:c r="E14" s="152"/>
      <x:c r="F14" s="152"/>
      <x:c r="G14" s="156"/>
      <x:c r="H14" s="152"/>
      <x:c r="I14" s="152"/>
      <x:c r="J14" s="152"/>
      <x:c r="K14" s="152"/>
      <x:c r="L14" s="152"/>
      <x:c r="M14" s="152"/>
      <x:c r="N14" s="152"/>
      <x:c r="O14" s="152"/>
      <x:c r="P14" s="152"/>
      <x:c r="Q14" s="152"/>
    </x:row>
    <x:row r="15" ht="29" customHeight="1">
      <x:c r="A15" s="152"/>
      <x:c r="B15" s="152"/>
      <x:c r="C15" s="152" t="str">
        <x:v>Weighted remaining term (years)</x:v>
      </x:c>
      <x:c r="D15" s="175" t="str">
        <x:f>IF(D8&gt;0,SUMPRODUCT('Portfolio Inputs'!D8:D8,'Portfolio Inputs'!T8:T8)/D8,"")</x:f>
      </x:c>
      <x:c r="E15" s="152"/>
      <x:c r="F15" s="152"/>
      <x:c r="G15" s="156"/>
      <x:c r="H15" s="152"/>
      <x:c r="I15" s="152"/>
      <x:c r="J15" s="152"/>
      <x:c r="K15" s="152"/>
      <x:c r="L15" s="152"/>
      <x:c r="M15" s="152"/>
      <x:c r="N15" s="152"/>
      <x:c r="O15" s="152"/>
      <x:c r="P15" s="152"/>
      <x:c r="Q15" s="152"/>
    </x:row>
    <x:row r="16" ht="29" customHeight="1">
      <x:c r="A16" s="152"/>
      <x:c r="B16" s="152"/>
      <x:c r="C16" s="152" t="str">
        <x:v>Weighted price / 100</x:v>
      </x:c>
      <x:c r="D16" s="175" t="str">
        <x:f>IF(D8&gt;0,SUMPRODUCT('Portfolio Inputs'!D8:D8,'Portfolio Inputs'!O8:O8)/D8,"")</x:f>
      </x:c>
      <x:c r="E16" s="152"/>
      <x:c r="F16" s="152"/>
      <x:c r="G16" s="7" t="str">
        <x:v>Seniority</x:v>
      </x:c>
      <x:c r="H16" s="7" t="str">
        <x:v>Par</x:v>
      </x:c>
      <x:c r="I16" s="7" t="str">
        <x:v>Share</x:v>
      </x:c>
      <x:c r="J16" s="152"/>
      <x:c r="K16" s="152"/>
      <x:c r="L16" s="152"/>
      <x:c r="M16" s="152"/>
      <x:c r="N16" s="152"/>
      <x:c r="O16" s="152"/>
      <x:c r="P16" s="152"/>
      <x:c r="Q16" s="152"/>
    </x:row>
    <x:row r="17" ht="29" customHeight="1">
      <x:c r="A17" s="152"/>
      <x:c r="B17" s="152"/>
      <x:c r="C17" s="152" t="str">
        <x:v>Largest obligor share</x:v>
      </x:c>
      <x:c r="D17" s="77" t="str">
        <x:f>IF(D8&gt;0,MAX('Obligor Calc'!H8:H8),"")</x:f>
      </x:c>
      <x:c r="E17" s="152"/>
      <x:c r="F17" s="152"/>
      <x:c r="G17" s="156"/>
      <x:c r="H17" s="152"/>
      <x:c r="I17" s="152"/>
      <x:c r="J17" s="152"/>
      <x:c r="K17" s="152"/>
      <x:c r="L17" s="152"/>
      <x:c r="M17" s="152"/>
      <x:c r="N17" s="152"/>
      <x:c r="O17" s="152"/>
      <x:c r="P17" s="152"/>
      <x:c r="Q17" s="152"/>
    </x:row>
    <x:row r="18" ht="29" customHeight="1">
      <x:c r="A18" s="152"/>
      <x:c r="B18" s="152"/>
      <x:c r="C18" s="152" t="str">
        <x:v>Obligor HHI</x:v>
      </x:c>
      <x:c r="D18" s="177" t="str">
        <x:f>IF(D8&gt;0,SUM('Obligor Calc'!I8:I8),"")</x:f>
      </x:c>
      <x:c r="E18" s="152"/>
      <x:c r="F18" s="152"/>
      <x:c r="G18" s="156"/>
      <x:c r="H18" s="152"/>
      <x:c r="I18" s="152"/>
      <x:c r="J18" s="152"/>
      <x:c r="K18" s="152"/>
      <x:c r="L18" s="152"/>
      <x:c r="M18" s="152"/>
      <x:c r="N18" s="152"/>
      <x:c r="O18" s="152"/>
      <x:c r="P18" s="152"/>
      <x:c r="Q18" s="152"/>
    </x:row>
    <x:row r="19" ht="29" customHeight="1">
      <x:c r="A19" s="152"/>
      <x:c r="B19" s="152"/>
      <x:c r="C19" s="152" t="str">
        <x:v>Effective obligors (1 / HHI)</x:v>
      </x:c>
      <x:c r="D19" s="170" t="str">
        <x:f>IF(D18&gt;0,1/D18,"")</x:f>
      </x:c>
      <x:c r="E19" s="152"/>
      <x:c r="F19" s="152"/>
      <x:c r="G19" s="7" t="str">
        <x:v>Rate type</x:v>
      </x:c>
      <x:c r="H19" s="7" t="str">
        <x:v>Par</x:v>
      </x:c>
      <x:c r="I19" s="7" t="str">
        <x:v>Share</x:v>
      </x:c>
      <x:c r="J19" s="152"/>
      <x:c r="K19" s="152"/>
      <x:c r="L19" s="152"/>
      <x:c r="M19" s="152"/>
      <x:c r="N19" s="152"/>
      <x:c r="O19" s="152"/>
      <x:c r="P19" s="152"/>
      <x:c r="Q19" s="152"/>
    </x:row>
    <x:row r="20" ht="29" customHeight="1">
      <x:c r="A20" s="152"/>
      <x:c r="B20" s="152"/>
      <x:c r="C20" s="152" t="str">
        <x:v>CCC category share</x:v>
      </x:c>
      <x:c r="D20" s="77" t="str">
        <x:f>IF(D8&gt;0,SUMIF('Portfolio Inputs'!E8:E8,"CCC*",'Portfolio Inputs'!D8:D8)/D8,"")</x:f>
      </x:c>
      <x:c r="E20" s="152"/>
      <x:c r="F20" s="152"/>
      <x:c r="G20" s="156"/>
      <x:c r="H20" s="152"/>
      <x:c r="I20" s="152"/>
      <x:c r="J20" s="152"/>
      <x:c r="K20" s="152"/>
      <x:c r="L20" s="152"/>
      <x:c r="M20" s="152"/>
      <x:c r="N20" s="152"/>
      <x:c r="O20" s="152"/>
      <x:c r="P20" s="152"/>
      <x:c r="Q20" s="152"/>
    </x:row>
    <x:row r="21" ht="29" customHeight="1">
      <x:c r="A21" s="152"/>
      <x:c r="B21" s="152"/>
      <x:c r="C21" s="152" t="str">
        <x:v>S&amp;P WARF (published factors)</x:v>
      </x:c>
      <x:c r="D21" s="178" t="str">
        <x:f>IF(D8&gt;0,SUM('Portfolio Inputs'!AA8:AA8)/D8,"")</x:f>
      </x:c>
      <x:c r="E21" s="152"/>
      <x:c r="F21" s="152"/>
      <x:c r="G21" s="156"/>
      <x:c r="H21" s="152"/>
      <x:c r="I21" s="152"/>
      <x:c r="J21" s="152"/>
      <x:c r="K21" s="152"/>
      <x:c r="L21" s="152"/>
      <x:c r="M21" s="152"/>
      <x:c r="N21" s="152"/>
      <x:c r="O21" s="152"/>
      <x:c r="P21" s="152"/>
      <x:c r="Q21" s="152"/>
    </x:row>
    <x:row r="22" ht="29" customHeight="1">
      <x:c r="A22" s="152"/>
      <x:c r="B22" s="152"/>
      <x:c r="C22" s="152" t="str">
        <x:v>S&amp;P AAA scenario default rate</x:v>
      </x:c>
      <x:c r="D22" s="77" t="str">
        <x:f>IF(Refresh_Required,"REFRESH REQUIRED",IF(ISNUMBER(agency_sdr_aaa),agency_sdr_aaa,"Unavailable"))</x:f>
        <x:v>REFRESH REQUIRED</x:v>
      </x:c>
      <x:c r="E22" s="152"/>
      <x:c r="F22" s="152"/>
      <x:c r="G22" s="156"/>
      <x:c r="H22" s="152"/>
      <x:c r="I22" s="152"/>
      <x:c r="J22" s="152"/>
      <x:c r="K22" s="152"/>
      <x:c r="L22" s="152"/>
      <x:c r="M22" s="152"/>
      <x:c r="N22" s="152"/>
      <x:c r="O22" s="152"/>
      <x:c r="P22" s="152"/>
      <x:c r="Q22" s="152"/>
    </x:row>
    <x:row r="23">
      <x:c r="A23" s="152"/>
      <x:c r="B23" s="152"/>
      <x:c r="C23" s="152" t="str">
        <x:v>S&amp;P default-rate dispersion</x:v>
      </x:c>
      <x:c r="D23" s="175" t="str">
        <x:f>IF(D8&gt;0,SUM('Portfolio Inputs'!AB8:AB8)/D8,"")</x:f>
      </x:c>
      <x:c r="E23" s="152"/>
      <x:c r="F23" s="152"/>
      <x:c r="G23" s="152"/>
      <x:c r="H23" s="152"/>
      <x:c r="I23" s="152"/>
      <x:c r="J23" s="152"/>
      <x:c r="K23" s="152"/>
      <x:c r="L23" s="152"/>
      <x:c r="M23" s="152"/>
      <x:c r="N23" s="152"/>
      <x:c r="O23" s="152"/>
      <x:c r="P23" s="152"/>
      <x:c r="Q23" s="15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81909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9" hidden="0" customWidth="1"/>
    <x:col min="2" max="2" width="30" hidden="0" customWidth="1"/>
    <x:col min="3" max="3" width="19" hidden="0" customWidth="1"/>
    <x:col min="4" max="4" width="35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>
      <x:c r="A1" s="111" t="str">
        <x:v>Shared grouping</x:v>
      </x:c>
      <x:c r="B1" s="152"/>
      <x:c r="C1" s="152"/>
      <x:c r="D1" s="152"/>
      <x:c r="E1" s="152"/>
      <x:c r="F1" s="152"/>
      <x:c r="G1" s="152"/>
      <x:c r="H1" s="152"/>
      <x:c r="I1" s="152"/>
    </x:row>
    <x:row r="2">
      <x:c r="A2" s="64" t="str">
        <x:v>Obligor Calculations</x:v>
      </x:c>
      <x:c r="B2" s="152"/>
      <x:c r="C2" s="152"/>
      <x:c r="D2" s="152"/>
      <x:c r="E2" s="152"/>
      <x:c r="F2" s="152"/>
      <x:c r="G2" s="152"/>
      <x:c r="H2" s="152"/>
      <x:c r="I2" s="152"/>
    </x:row>
    <x:row r="3">
      <x:c r="A3" s="152" t="str">
        <x:v>Identifiers and grouping come from Python; par, facility counts and concentration are Excel formulas.</x:v>
      </x:c>
      <x:c r="B3" s="152"/>
      <x:c r="C3" s="152"/>
      <x:c r="D3" s="152"/>
      <x:c r="E3" s="152"/>
      <x:c r="F3" s="152"/>
      <x:c r="G3" s="152"/>
      <x:c r="H3" s="152"/>
      <x:c r="I3" s="152"/>
    </x:row>
    <x:row r="4">
      <x:c r="A4" s="152"/>
      <x:c r="B4" s="152"/>
      <x:c r="C4" s="152"/>
      <x:c r="D4" s="152"/>
      <x:c r="E4" s="152"/>
      <x:c r="F4" s="152"/>
      <x:c r="G4" s="152"/>
      <x:c r="H4" s="152"/>
      <x:c r="I4" s="152"/>
    </x:row>
    <x:row r="5">
      <x:c r="A5" s="32" t="str">
        <x:f>IF(Refresh_Required,"REFRESH REQUIRED — Python results reflect the last run","Python results match the imported inputs")</x:f>
        <x:v>REFRESH REQUIRED — Python results reflect the last run</x:v>
      </x:c>
      <x:c r="B5" s="152"/>
      <x:c r="C5" s="152"/>
      <x:c r="D5" s="152"/>
      <x:c r="E5" s="152"/>
      <x:c r="F5" s="152"/>
      <x:c r="G5" s="152"/>
      <x:c r="H5" s="152"/>
      <x:c r="I5" s="152"/>
    </x:row>
    <x:row r="6">
      <x:c r="A6" s="152"/>
      <x:c r="B6" s="152"/>
      <x:c r="C6" s="152"/>
      <x:c r="D6" s="152"/>
      <x:c r="E6" s="152"/>
      <x:c r="F6" s="152"/>
      <x:c r="G6" s="152"/>
      <x:c r="H6" s="152"/>
      <x:c r="I6" s="152"/>
    </x:row>
    <x:row r="7" ht="38" customHeight="1">
      <x:c r="A7" s="7" t="str">
        <x:v>Obligor ID</x:v>
      </x:c>
      <x:c r="B7" s="7" t="str">
        <x:v>Obligor name</x:v>
      </x:c>
      <x:c r="C7" s="7" t="str">
        <x:v>Rating input</x:v>
      </x:c>
      <x:c r="D7" s="7" t="str">
        <x:v>Industry</x:v>
      </x:c>
      <x:c r="E7" s="7" t="str">
        <x:v>Country</x:v>
      </x:c>
      <x:c r="F7" s="7" t="str">
        <x:v>Grouped par</x:v>
      </x:c>
      <x:c r="G7" s="7" t="str">
        <x:v>Facilities</x:v>
      </x:c>
      <x:c r="H7" s="7" t="str">
        <x:v>Weight</x:v>
      </x:c>
      <x:c r="I7" s="7" t="str">
        <x:v>Weight squared</x:v>
      </x:c>
    </x:row>
    <x:row r="8" ht="21" customHeight="1">
      <x:c r="A8" s="28"/>
      <x:c r="B8" s="28"/>
      <x:c r="C8" s="28"/>
      <x:c r="D8" s="28"/>
      <x:c r="E8" s="28"/>
      <x:c r="F8" s="66" t="str">
        <x:f>IF(A8="","",SUMIF('Portfolio Inputs'!B8:B8,A8,'Portfolio Inputs'!D8:D8))</x:f>
      </x:c>
      <x:c r="G8" s="65" t="str">
        <x:f>IF(A8="","",COUNTIF('Portfolio Inputs'!B8:B8,A8))</x:f>
      </x:c>
      <x:c r="H8" s="77" t="str">
        <x:f>IF(Portfolio_Par&gt;0,F8/Portfolio_Par,"")</x:f>
      </x:c>
      <x:c r="I8" s="197" t="str">
        <x:f>IF(Portfolio_Par&gt;0,H8^2,"")</x:f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81909E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23"/>
      <x:c r="B1" s="23"/>
      <x:c r="C1" s="111" t="str">
        <x:v>Shared capital structure</x:v>
      </x:c>
      <x:c r="D1" s="23"/>
      <x:c r="E1" s="23"/>
      <x:c r="F1" s="23"/>
      <x:c r="G1" s="23"/>
      <x:c r="H1" s="23"/>
      <x:c r="I1" s="23"/>
      <x:c r="J1" s="23"/>
    </x:row>
    <x:row r="2">
      <x:c r="A2" s="23"/>
      <x:c r="B2" s="23"/>
      <x:c r="C2" s="24" t="str">
        <x:v>Capital Structure</x:v>
      </x:c>
      <x:c r="D2" s="25"/>
      <x:c r="E2" s="25"/>
      <x:c r="F2" s="25"/>
      <x:c r="G2" s="25"/>
      <x:c r="H2" s="25"/>
      <x:c r="I2" s="25"/>
      <x:c r="J2" s="25"/>
    </x:row>
    <x:row r="3" ht="22" customHeight="1">
      <x:c r="A3" s="23"/>
      <x:c r="B3" s="23"/>
      <x:c r="C3" s="26" t="str">
        <x:v>Senior sensitivity: equity stays fixed; junior debt is the residual. Funding at par is a fictional assumption.</x:v>
      </x:c>
      <x:c r="D3" s="23"/>
      <x:c r="E3" s="23"/>
      <x:c r="F3" s="23"/>
      <x:c r="G3" s="23"/>
      <x:c r="H3" s="23"/>
      <x:c r="I3" s="23"/>
      <x:c r="J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</x:row>
    <x:row r="5">
      <x:c r="A5" s="23"/>
      <x:c r="B5" s="23"/>
      <x:c r="C5" s="23"/>
      <x:c r="D5" s="23"/>
      <x:c r="E5" s="23"/>
      <x:c r="F5" s="23"/>
      <x:c r="G5" s="23"/>
      <x:c r="H5" s="23"/>
      <x:c r="I5" s="23"/>
      <x:c r="J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</x:row>
    <x:row r="7" ht="38" customHeight="1">
      <x:c r="A7" s="23"/>
      <x:c r="B7" s="23"/>
      <x:c r="C7" s="7" t="str">
        <x:v>Case</x:v>
      </x:c>
      <x:c r="D7" s="7" t="str">
        <x:v>Senior share</x:v>
      </x:c>
      <x:c r="E7" s="7" t="str">
        <x:v>Junior share</x:v>
      </x:c>
      <x:c r="F7" s="7" t="str">
        <x:v>Equity share</x:v>
      </x:c>
      <x:c r="G7" s="7" t="str">
        <x:v>Senior balance</x:v>
      </x:c>
      <x:c r="H7" s="7" t="str">
        <x:v>Junior balance</x:v>
      </x:c>
      <x:c r="I7" s="7" t="str">
        <x:v>Equity contribution</x:v>
      </x:c>
      <x:c r="J7" s="7" t="str">
        <x:v>Stack difference</x:v>
      </x:c>
    </x:row>
    <x:row r="8">
      <x:c r="A8" s="23"/>
      <x:c r="B8" s="23"/>
      <x:c r="C8" s="23" t="str">
        <x:v>Base</x:v>
      </x:c>
      <x:c r="D8" s="77" t="n">
        <x:f>base_senior_pct</x:f>
        <x:v>0.64</x:v>
      </x:c>
      <x:c r="E8" s="78" t="n">
        <x:f>1-D8-F8</x:f>
        <x:v>0.26</x:v>
      </x:c>
      <x:c r="F8" s="77" t="n">
        <x:f>equity_pct</x:f>
        <x:v>0.1</x:v>
      </x:c>
      <x:c r="G8" s="66" t="n">
        <x:f>Portfolio_Par*D8</x:f>
        <x:v>0</x:v>
      </x:c>
      <x:c r="H8" s="66" t="n">
        <x:f>Portfolio_Par*E8</x:f>
        <x:v>0</x:v>
      </x:c>
      <x:c r="I8" s="66" t="n">
        <x:f>Portfolio_Par*F8</x:f>
        <x:v>0</x:v>
      </x:c>
      <x:c r="J8" s="66" t="n">
        <x:f>SUM(G8:I8)-Portfolio_Par</x:f>
        <x:v>0</x:v>
      </x:c>
    </x:row>
    <x:row r="9">
      <x:c r="A9" s="152"/>
      <x:c r="B9" s="152"/>
      <x:c r="C9" s="152" t="str">
        <x:v>60% senior</x:v>
      </x:c>
      <x:c r="D9" s="165" t="n">
        <x:v>0.6</x:v>
      </x:c>
      <x:c r="E9" s="78" t="n">
        <x:f>1-D9-F9</x:f>
        <x:v>0.30000000000000004</x:v>
      </x:c>
      <x:c r="F9" s="77" t="n">
        <x:f>equity_pct</x:f>
        <x:v>0.1</x:v>
      </x:c>
      <x:c r="G9" s="66" t="n">
        <x:f>Portfolio_Par*D9</x:f>
        <x:v>0</x:v>
      </x:c>
      <x:c r="H9" s="66" t="n">
        <x:f>Portfolio_Par*E9</x:f>
        <x:v>0</x:v>
      </x:c>
      <x:c r="I9" s="66" t="n">
        <x:f>Portfolio_Par*F9</x:f>
        <x:v>0</x:v>
      </x:c>
      <x:c r="J9" s="66" t="n">
        <x:f>SUM(G9:I9)-Portfolio_Par</x:f>
        <x:v>0</x:v>
      </x:c>
    </x:row>
    <x:row r="10">
      <x:c r="A10" s="152"/>
      <x:c r="B10" s="152"/>
      <x:c r="C10" s="152" t="str">
        <x:v>61% senior</x:v>
      </x:c>
      <x:c r="D10" s="165" t="n">
        <x:v>0.61</x:v>
      </x:c>
      <x:c r="E10" s="78" t="n">
        <x:f>1-D10-F10</x:f>
        <x:v>0.29000000000000004</x:v>
      </x:c>
      <x:c r="F10" s="77" t="n">
        <x:f>equity_pct</x:f>
        <x:v>0.1</x:v>
      </x:c>
      <x:c r="G10" s="66" t="n">
        <x:f>Portfolio_Par*D10</x:f>
        <x:v>0</x:v>
      </x:c>
      <x:c r="H10" s="66" t="n">
        <x:f>Portfolio_Par*E10</x:f>
        <x:v>0</x:v>
      </x:c>
      <x:c r="I10" s="66" t="n">
        <x:f>Portfolio_Par*F10</x:f>
        <x:v>0</x:v>
      </x:c>
      <x:c r="J10" s="66" t="n">
        <x:f>SUM(G10:I10)-Portfolio_Par</x:f>
        <x:v>0</x:v>
      </x:c>
    </x:row>
    <x:row r="11">
      <x:c r="A11" s="152"/>
      <x:c r="B11" s="152"/>
      <x:c r="C11" s="152" t="str">
        <x:v>62% senior</x:v>
      </x:c>
      <x:c r="D11" s="165" t="n">
        <x:v>0.62</x:v>
      </x:c>
      <x:c r="E11" s="78" t="n">
        <x:f>1-D11-F11</x:f>
        <x:v>0.28</x:v>
      </x:c>
      <x:c r="F11" s="77" t="n">
        <x:f>equity_pct</x:f>
        <x:v>0.1</x:v>
      </x:c>
      <x:c r="G11" s="66" t="n">
        <x:f>Portfolio_Par*D11</x:f>
        <x:v>0</x:v>
      </x:c>
      <x:c r="H11" s="66" t="n">
        <x:f>Portfolio_Par*E11</x:f>
        <x:v>0</x:v>
      </x:c>
      <x:c r="I11" s="66" t="n">
        <x:f>Portfolio_Par*F11</x:f>
        <x:v>0</x:v>
      </x:c>
      <x:c r="J11" s="66" t="n">
        <x:f>SUM(G11:I11)-Portfolio_Par</x:f>
        <x:v>0</x:v>
      </x:c>
    </x:row>
    <x:row r="12">
      <x:c r="A12" s="152"/>
      <x:c r="B12" s="152"/>
      <x:c r="C12" s="152" t="str">
        <x:v>63% senior</x:v>
      </x:c>
      <x:c r="D12" s="165" t="n">
        <x:v>0.63</x:v>
      </x:c>
      <x:c r="E12" s="78" t="n">
        <x:f>1-D12-F12</x:f>
        <x:v>0.27</x:v>
      </x:c>
      <x:c r="F12" s="77" t="n">
        <x:f>equity_pct</x:f>
        <x:v>0.1</x:v>
      </x:c>
      <x:c r="G12" s="66" t="n">
        <x:f>Portfolio_Par*D12</x:f>
        <x:v>0</x:v>
      </x:c>
      <x:c r="H12" s="66" t="n">
        <x:f>Portfolio_Par*E12</x:f>
        <x:v>0</x:v>
      </x:c>
      <x:c r="I12" s="66" t="n">
        <x:f>Portfolio_Par*F12</x:f>
        <x:v>0</x:v>
      </x:c>
      <x:c r="J12" s="66" t="n">
        <x:f>SUM(G12:I12)-Portfolio_Par</x:f>
        <x:v>0</x:v>
      </x:c>
    </x:row>
    <x:row r="13">
      <x:c r="A13" s="152"/>
      <x:c r="B13" s="152"/>
      <x:c r="C13" s="152" t="str">
        <x:v>64% senior</x:v>
      </x:c>
      <x:c r="D13" s="165" t="n">
        <x:v>0.64</x:v>
      </x:c>
      <x:c r="E13" s="78" t="n">
        <x:f>1-D13-F13</x:f>
        <x:v>0.26</x:v>
      </x:c>
      <x:c r="F13" s="77" t="n">
        <x:f>equity_pct</x:f>
        <x:v>0.1</x:v>
      </x:c>
      <x:c r="G13" s="66" t="n">
        <x:f>Portfolio_Par*D13</x:f>
        <x:v>0</x:v>
      </x:c>
      <x:c r="H13" s="66" t="n">
        <x:f>Portfolio_Par*E13</x:f>
        <x:v>0</x:v>
      </x:c>
      <x:c r="I13" s="66" t="n">
        <x:f>Portfolio_Par*F13</x:f>
        <x:v>0</x:v>
      </x:c>
      <x:c r="J13" s="66" t="n">
        <x:f>SUM(G13:I13)-Portfolio_Par</x:f>
        <x:v>0</x:v>
      </x:c>
    </x:row>
    <x:row r="14">
      <x:c r="A14" s="152"/>
      <x:c r="B14" s="152"/>
      <x:c r="C14" s="152" t="str">
        <x:v>65% senior</x:v>
      </x:c>
      <x:c r="D14" s="165" t="n">
        <x:v>0.65</x:v>
      </x:c>
      <x:c r="E14" s="78" t="n">
        <x:f>1-D14-F14</x:f>
        <x:v>0.24999999999999997</x:v>
      </x:c>
      <x:c r="F14" s="77" t="n">
        <x:f>equity_pct</x:f>
        <x:v>0.1</x:v>
      </x:c>
      <x:c r="G14" s="66" t="n">
        <x:f>Portfolio_Par*D14</x:f>
        <x:v>0</x:v>
      </x:c>
      <x:c r="H14" s="66" t="n">
        <x:f>Portfolio_Par*E14</x:f>
        <x:v>0</x:v>
      </x:c>
      <x:c r="I14" s="66" t="n">
        <x:f>Portfolio_Par*F14</x:f>
        <x:v>0</x:v>
      </x:c>
      <x:c r="J14" s="66" t="n">
        <x:f>SUM(G14:I14)-Portfolio_Par</x:f>
        <x:v>0</x:v>
      </x:c>
    </x:row>
    <x:row r="15">
      <x:c r="A15" s="152"/>
      <x:c r="B15" s="152"/>
      <x:c r="C15" s="152" t="str">
        <x:v>66% senior</x:v>
      </x:c>
      <x:c r="D15" s="165" t="n">
        <x:v>0.66</x:v>
      </x:c>
      <x:c r="E15" s="78" t="n">
        <x:f>1-D15-F15</x:f>
        <x:v>0.23999999999999996</x:v>
      </x:c>
      <x:c r="F15" s="77" t="n">
        <x:f>equity_pct</x:f>
        <x:v>0.1</x:v>
      </x:c>
      <x:c r="G15" s="66" t="n">
        <x:f>Portfolio_Par*D15</x:f>
        <x:v>0</x:v>
      </x:c>
      <x:c r="H15" s="66" t="n">
        <x:f>Portfolio_Par*E15</x:f>
        <x:v>0</x:v>
      </x:c>
      <x:c r="I15" s="66" t="n">
        <x:f>Portfolio_Par*F15</x:f>
        <x:v>0</x:v>
      </x:c>
      <x:c r="J15" s="66" t="n">
        <x:f>SUM(G15:I15)-Portfolio_Par</x:f>
        <x:v>0</x:v>
      </x:c>
    </x:row>
    <x:row r="16">
      <x:c r="A16" s="152"/>
      <x:c r="B16" s="152"/>
      <x:c r="C16" s="152" t="str">
        <x:v>67% senior</x:v>
      </x:c>
      <x:c r="D16" s="165" t="n">
        <x:v>0.67</x:v>
      </x:c>
      <x:c r="E16" s="78" t="n">
        <x:f>1-D16-F16</x:f>
        <x:v>0.22999999999999995</x:v>
      </x:c>
      <x:c r="F16" s="77" t="n">
        <x:f>equity_pct</x:f>
        <x:v>0.1</x:v>
      </x:c>
      <x:c r="G16" s="66" t="n">
        <x:f>Portfolio_Par*D16</x:f>
        <x:v>0</x:v>
      </x:c>
      <x:c r="H16" s="66" t="n">
        <x:f>Portfolio_Par*E16</x:f>
        <x:v>0</x:v>
      </x:c>
      <x:c r="I16" s="66" t="n">
        <x:f>Portfolio_Par*F16</x:f>
        <x:v>0</x:v>
      </x:c>
      <x:c r="J16" s="66" t="n">
        <x:f>SUM(G16:I16)-Portfolio_Par</x:f>
        <x:v>0</x:v>
      </x:c>
    </x:row>
    <x:row r="17">
      <x:c r="A17" s="152"/>
      <x:c r="B17" s="152"/>
      <x:c r="C17" s="152" t="str">
        <x:v>68% senior</x:v>
      </x:c>
      <x:c r="D17" s="165" t="n">
        <x:v>0.68</x:v>
      </x:c>
      <x:c r="E17" s="78" t="n">
        <x:f>1-D17-F17</x:f>
        <x:v>0.21999999999999995</x:v>
      </x:c>
      <x:c r="F17" s="77" t="n">
        <x:f>equity_pct</x:f>
        <x:v>0.1</x:v>
      </x:c>
      <x:c r="G17" s="66" t="n">
        <x:f>Portfolio_Par*D17</x:f>
        <x:v>0</x:v>
      </x:c>
      <x:c r="H17" s="66" t="n">
        <x:f>Portfolio_Par*E17</x:f>
        <x:v>0</x:v>
      </x:c>
      <x:c r="I17" s="66" t="n">
        <x:f>Portfolio_Par*F17</x:f>
        <x:v>0</x:v>
      </x:c>
      <x:c r="J17" s="66" t="n">
        <x:f>SUM(G17:I17)-Portfolio_Par</x:f>
        <x:v>0</x:v>
      </x:c>
    </x:row>
    <x:row r="18">
      <x:c r="A18" s="152"/>
      <x:c r="B18" s="152"/>
      <x:c r="C18" s="152" t="str">
        <x:v>69% senior</x:v>
      </x:c>
      <x:c r="D18" s="165" t="n">
        <x:v>0.69</x:v>
      </x:c>
      <x:c r="E18" s="78" t="n">
        <x:f>1-D18-F18</x:f>
        <x:v>0.21000000000000005</x:v>
      </x:c>
      <x:c r="F18" s="77" t="n">
        <x:f>equity_pct</x:f>
        <x:v>0.1</x:v>
      </x:c>
      <x:c r="G18" s="66" t="n">
        <x:f>Portfolio_Par*D18</x:f>
        <x:v>0</x:v>
      </x:c>
      <x:c r="H18" s="66" t="n">
        <x:f>Portfolio_Par*E18</x:f>
        <x:v>0</x:v>
      </x:c>
      <x:c r="I18" s="66" t="n">
        <x:f>Portfolio_Par*F18</x:f>
        <x:v>0</x:v>
      </x:c>
      <x:c r="J18" s="66" t="n">
        <x:f>SUM(G18:I18)-Portfolio_Par</x:f>
        <x:v>0</x:v>
      </x:c>
    </x:row>
    <x:row r="19">
      <x:c r="A19" s="152"/>
      <x:c r="B19" s="152"/>
      <x:c r="C19" s="152" t="str">
        <x:v>70% senior</x:v>
      </x:c>
      <x:c r="D19" s="165" t="n">
        <x:v>0.7</x:v>
      </x:c>
      <x:c r="E19" s="78" t="n">
        <x:f>1-D19-F19</x:f>
        <x:v>0.20000000000000004</x:v>
      </x:c>
      <x:c r="F19" s="77" t="n">
        <x:f>equity_pct</x:f>
        <x:v>0.1</x:v>
      </x:c>
      <x:c r="G19" s="66" t="n">
        <x:f>Portfolio_Par*D19</x:f>
        <x:v>0</x:v>
      </x:c>
      <x:c r="H19" s="66" t="n">
        <x:f>Portfolio_Par*E19</x:f>
        <x:v>0</x:v>
      </x:c>
      <x:c r="I19" s="66" t="n">
        <x:f>Portfolio_Par*F19</x:f>
        <x:v>0</x:v>
      </x:c>
      <x:c r="J19" s="66" t="n">
        <x:f>SUM(G19:I19)-Portfolio_Par</x:f>
        <x:v>0</x:v>
      </x:c>
    </x:row>
    <x:row r="20">
      <x:c r="A20" s="152"/>
      <x:c r="B20" s="152"/>
      <x:c r="C20" s="152"/>
      <x:c r="D20" s="152"/>
      <x:c r="E20" s="152"/>
      <x:c r="F20" s="152"/>
      <x:c r="G20" s="152"/>
      <x:c r="H20" s="152"/>
      <x:c r="I20" s="152"/>
      <x:c r="J20" s="152"/>
    </x:row>
    <x:row r="21">
      <x:c r="A21" s="152"/>
      <x:c r="B21" s="152"/>
      <x:c r="C21" s="152"/>
      <x:c r="D21" s="152"/>
      <x:c r="E21" s="152"/>
      <x:c r="F21" s="152"/>
      <x:c r="G21" s="152"/>
      <x:c r="H21" s="152"/>
      <x:c r="I21" s="152"/>
      <x:c r="J21" s="152"/>
    </x:row>
    <x:row r="22">
      <x:c r="A22" s="152"/>
      <x:c r="B22" s="152"/>
      <x:c r="C22" s="152"/>
      <x:c r="D22" s="152"/>
      <x:c r="E22" s="152"/>
      <x:c r="F22" s="152"/>
      <x:c r="G22" s="152"/>
      <x:c r="H22" s="152"/>
      <x:c r="I22" s="152"/>
      <x:c r="J22" s="152"/>
    </x:row>
    <x:row r="23">
      <x:c r="A23" s="152"/>
      <x:c r="B23" s="152"/>
      <x:c r="C23" s="152" t="str">
        <x:v>Sizing controls are on Assumptions. Change percentages to change tranche balances.</x:v>
      </x:c>
      <x:c r="D23" s="152"/>
      <x:c r="E23" s="152"/>
      <x:c r="F23" s="152"/>
      <x:c r="G23" s="152"/>
      <x:c r="H23" s="152"/>
      <x:c r="I23" s="152"/>
      <x:c r="J23" s="152"/>
    </x:row>
    <x:row r="24">
      <x:c r="A24" s="152"/>
      <x:c r="B24" s="152"/>
      <x:c r="C24" s="152" t="str">
        <x:v>A 64% senior balance plus 26% junior debt and 10% equity funds 100% of portfolio par.</x:v>
      </x:c>
      <x:c r="D24" s="152"/>
      <x:c r="E24" s="152"/>
      <x:c r="F24" s="152"/>
      <x:c r="G24" s="152"/>
      <x:c r="H24" s="152"/>
      <x:c r="I24" s="152"/>
      <x:c r="J24" s="152"/>
    </x:row>
    <x:row r="25">
      <x:c r="A25" s="152"/>
      <x:c r="B25" s="152"/>
      <x:c r="C25" s="152" t="str">
        <x:v>Prices are descriptive; this prototype does not fund collateral at market value.</x:v>
      </x:c>
      <x:c r="D25" s="152"/>
      <x:c r="E25" s="152"/>
      <x:c r="F25" s="152"/>
      <x:c r="G25" s="152"/>
      <x:c r="H25" s="152"/>
      <x:c r="I25" s="152"/>
      <x:c r="J25" s="15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3075B9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19" hidden="0" customWidth="1"/>
    <x:col min="4" max="4" width="22" hidden="0" customWidth="1"/>
    <x:col min="5" max="5" width="5" hidden="0" customWidth="1"/>
    <x:col min="6" max="6" width="99" hidden="0" customWidth="1"/>
  </x:cols>
  <x:sheetData>
    <x:row r="1">
      <x:c r="A1" s="23"/>
      <x:c r="B1" s="23"/>
      <x:c r="C1" s="113" t="str">
        <x:v>S&amp;P sources</x:v>
      </x:c>
      <x:c r="D1" s="23"/>
      <x:c r="E1" s="23"/>
      <x:c r="F1" s="23"/>
    </x:row>
    <x:row r="2">
      <x:c r="A2" s="23"/>
      <x:c r="B2" s="23"/>
      <x:c r="C2" s="24" t="str">
        <x:v>S&amp;P Credit Parameters</x:v>
      </x:c>
      <x:c r="D2" s="25"/>
      <x:c r="E2" s="25"/>
      <x:c r="F2" s="25"/>
    </x:row>
    <x:row r="3" ht="22" customHeight="1">
      <x:c r="A3" s="23"/>
      <x:c r="B3" s="23"/>
      <x:c r="C3" s="26" t="str">
        <x:v>Published factor-table basis. Performing assets rated AAA through CCC-.</x:v>
      </x:c>
      <x:c r="D3" s="23"/>
      <x:c r="E3" s="23"/>
      <x:c r="F3" s="23"/>
    </x:row>
    <x:row r="4">
      <x:c r="A4" s="23"/>
      <x:c r="B4" s="23"/>
      <x:c r="C4" s="23"/>
      <x:c r="D4" s="23"/>
      <x:c r="E4" s="23"/>
      <x:c r="F4" s="23"/>
    </x:row>
    <x:row r="5">
      <x:c r="A5" s="23"/>
      <x:c r="B5" s="23"/>
      <x:c r="C5" s="23"/>
      <x:c r="D5" s="23"/>
      <x:c r="E5" s="23"/>
      <x:c r="F5" s="23"/>
    </x:row>
    <x:row r="6">
      <x:c r="A6" s="23"/>
      <x:c r="B6" s="23"/>
      <x:c r="C6" s="23"/>
      <x:c r="D6" s="23"/>
      <x:c r="E6" s="23"/>
      <x:c r="F6" s="23"/>
    </x:row>
    <x:row r="7" ht="38" customHeight="1">
      <x:c r="A7" s="23"/>
      <x:c r="B7" s="23"/>
      <x:c r="C7" s="7" t="str">
        <x:v>S&amp;P input rating</x:v>
      </x:c>
      <x:c r="D7" s="7" t="str">
        <x:v>Rating factor</x:v>
      </x:c>
      <x:c r="E7" s="23"/>
      <x:c r="F7" s="32" t="str">
        <x:v>Calculation</x:v>
      </x:c>
    </x:row>
    <x:row r="8" ht="47" customHeight="1">
      <x:c r="A8" s="23"/>
      <x:c r="B8" s="23"/>
      <x:c r="C8" s="28" t="str">
        <x:v>AAA</x:v>
      </x:c>
      <x:c r="D8" s="30" t="n">
        <x:v>13.51</x:v>
      </x:c>
      <x:c r="E8" s="23"/>
      <x:c r="F8" s="33" t="str">
        <x:v>SPWARF = SUM(par × rating factor) / eligible par. Default-rate dispersion is the par-weighted absolute deviation from SPWARF.</x:v>
      </x:c>
    </x:row>
    <x:row r="9">
      <x:c r="A9" s="152"/>
      <x:c r="B9" s="152"/>
      <x:c r="C9" s="167" t="str">
        <x:v>AA+</x:v>
      </x:c>
      <x:c r="D9" s="179" t="n">
        <x:v>26.75</x:v>
      </x:c>
      <x:c r="E9" s="152"/>
      <x:c r="F9" s="180" t="str">
        <x:v>Scope</x:v>
      </x:c>
    </x:row>
    <x:row r="10" ht="47" customHeight="1">
      <x:c r="A10" s="152"/>
      <x:c r="B10" s="152"/>
      <x:c r="C10" s="167" t="str">
        <x:v>AA</x:v>
      </x:c>
      <x:c r="D10" s="179" t="n">
        <x:v>46.36</x:v>
      </x:c>
      <x:c r="E10" s="152"/>
      <x:c r="F10" s="156" t="str">
        <x:v>This engine accepts performing corporate assets AAA through CCC-. Unknown, unrated and defaulted assets fail validation; they do not receive a zero factor.</x:v>
      </x:c>
    </x:row>
    <x:row r="11">
      <x:c r="A11" s="152"/>
      <x:c r="B11" s="152"/>
      <x:c r="C11" s="167" t="str">
        <x:v>AA-</x:v>
      </x:c>
      <x:c r="D11" s="179" t="n">
        <x:v>63.9</x:v>
      </x:c>
      <x:c r="E11" s="152"/>
      <x:c r="F11" s="180" t="str">
        <x:v>Meaning</x:v>
      </x:c>
    </x:row>
    <x:row r="12" ht="47" customHeight="1">
      <x:c r="A12" s="152"/>
      <x:c r="B12" s="152"/>
      <x:c r="C12" s="167" t="str">
        <x:v>A+</x:v>
      </x:c>
      <x:c r="D12" s="179" t="n">
        <x:v>99.5</x:v>
      </x:c>
      <x:c r="E12" s="152"/>
      <x:c r="F12" s="156" t="str">
        <x:v>Credit-quality description only. This factor scale is different from Fitch WARF. Neither metric is an AAA scenario default rate.</x:v>
      </x:c>
    </x:row>
    <x:row r="13">
      <x:c r="A13" s="152"/>
      <x:c r="B13" s="152"/>
      <x:c r="C13" s="167" t="str">
        <x:v>A</x:v>
      </x:c>
      <x:c r="D13" s="179" t="n">
        <x:v>146.35</x:v>
      </x:c>
      <x:c r="E13" s="152"/>
      <x:c r="F13" s="180" t="str">
        <x:v>Table source</x:v>
      </x:c>
    </x:row>
    <x:row r="14" ht="47" customHeight="1">
      <x:c r="A14" s="152"/>
      <x:c r="B14" s="152"/>
      <x:c r="C14" s="167" t="str">
        <x:v>A-</x:v>
      </x:c>
      <x:c r="D14" s="179" t="n">
        <x:v>199.83</x:v>
      </x:c>
      <x:c r="E14" s="152"/>
      <x:c r="F14" s="156" t="str">
        <x:v>Blue Owl Technology Finance Corp., Exhibit 10.1, S&amp;P Rating Factor table, page 61</x:v>
      </x:c>
    </x:row>
    <x:row r="15">
      <x:c r="A15" s="152"/>
      <x:c r="B15" s="152"/>
      <x:c r="C15" s="167" t="str">
        <x:v>BBB+</x:v>
      </x:c>
      <x:c r="D15" s="179" t="n">
        <x:v>271.01</x:v>
      </x:c>
      <x:c r="E15" s="152"/>
      <x:c r="F15" s="180" t="str">
        <x:v>Source URL</x:v>
      </x:c>
    </x:row>
    <x:row r="16" ht="47" customHeight="1">
      <x:c r="A16" s="152"/>
      <x:c r="B16" s="152"/>
      <x:c r="C16" s="167" t="str">
        <x:v>BBB</x:v>
      </x:c>
      <x:c r="D16" s="179" t="n">
        <x:v>361.17</x:v>
      </x:c>
      <x:c r="E16" s="152"/>
      <x:c r="F16" s="156" t="str">
        <x:v>https://www.blueowltechnologyfinance.com/investors/sec-filings/all-sec-filings/content/0001193125-25-262653/d38473dex101.htm</x:v>
      </x:c>
    </x:row>
    <x:row r="17">
      <x:c r="A17" s="152"/>
      <x:c r="B17" s="152"/>
      <x:c r="C17" s="167" t="str">
        <x:v>BBB-</x:v>
      </x:c>
      <x:c r="D17" s="179" t="n">
        <x:v>540.42</x:v>
      </x:c>
      <x:c r="E17" s="152"/>
      <x:c r="F17" s="180" t="str">
        <x:v>Definition source</x:v>
      </x:c>
    </x:row>
    <x:row r="18" ht="47" customHeight="1">
      <x:c r="A18" s="152"/>
      <x:c r="B18" s="152"/>
      <x:c r="C18" s="167" t="str">
        <x:v>BB+</x:v>
      </x:c>
      <x:c r="D18" s="179" t="n">
        <x:v>784.92</x:v>
      </x:c>
      <x:c r="E18" s="152"/>
      <x:c r="F18" s="156" t="str">
        <x:v>https://www.spglobal.com/ratings/en/regulatory/article/221215-presale-auf-funding-llc-s12592453</x:v>
      </x:c>
    </x:row>
    <x:row r="19">
      <x:c r="A19" s="152"/>
      <x:c r="B19" s="152"/>
      <x:c r="C19" s="167" t="str">
        <x:v>BB</x:v>
      </x:c>
      <x:c r="D19" s="179" t="n">
        <x:v>1233.63</x:v>
      </x:c>
      <x:c r="E19" s="152"/>
      <x:c r="F19" s="180" t="str">
        <x:v>Version basis</x:v>
      </x:c>
    </x:row>
    <x:row r="20" ht="47" customHeight="1">
      <x:c r="A20" s="152"/>
      <x:c r="B20" s="152"/>
      <x:c r="C20" s="167" t="str">
        <x:v>BB-</x:v>
      </x:c>
      <x:c r="D20" s="179" t="n">
        <x:v>1565.44</x:v>
      </x:c>
      <x:c r="E20" s="152"/>
      <x:c r="F20" s="156" t="str">
        <x:v>Table reference 2025-11-03; verified 2026-09-21. Review transaction applicability.</x:v>
      </x:c>
    </x:row>
    <x:row r="21">
      <x:c r="A21" s="152"/>
      <x:c r="B21" s="152"/>
      <x:c r="C21" s="167" t="str">
        <x:v>B+</x:v>
      </x:c>
      <x:c r="D21" s="179" t="n">
        <x:v>1982</x:v>
      </x:c>
      <x:c r="E21" s="152"/>
      <x:c r="F21" s="180" t="str">
        <x:v>Editing</x:v>
      </x:c>
    </x:row>
    <x:row r="22" ht="47" customHeight="1">
      <x:c r="A22" s="152"/>
      <x:c r="B22" s="152"/>
      <x:c r="C22" s="167" t="str">
        <x:v>B</x:v>
      </x:c>
      <x:c r="D22" s="179" t="n">
        <x:v>2859.5</x:v>
      </x:c>
      <x:c r="E22" s="152"/>
      <x:c r="F22" s="156" t="str">
        <x:v>Source constants are not scenario controls. Update the sourced Python table and rebuild to change versions; the reconciliation check detects edits here.</x:v>
      </x:c>
    </x:row>
    <x:row r="23">
      <x:c r="A23" s="152"/>
      <x:c r="B23" s="152"/>
      <x:c r="C23" s="167" t="str">
        <x:v>B-</x:v>
      </x:c>
      <x:c r="D23" s="179" t="n">
        <x:v>3610.11</x:v>
      </x:c>
      <x:c r="E23" s="152"/>
      <x:c r="F23" s="152"/>
    </x:row>
    <x:row r="24">
      <x:c r="A24" s="152"/>
      <x:c r="B24" s="152"/>
      <x:c r="C24" s="167" t="str">
        <x:v>CCC+</x:v>
      </x:c>
      <x:c r="D24" s="179" t="n">
        <x:v>4641.4</x:v>
      </x:c>
      <x:c r="E24" s="152"/>
      <x:c r="F24" s="152"/>
    </x:row>
    <x:row r="25">
      <x:c r="A25" s="152"/>
      <x:c r="B25" s="152"/>
      <x:c r="C25" s="167" t="str">
        <x:v>CCC</x:v>
      </x:c>
      <x:c r="D25" s="179" t="n">
        <x:v>5293</x:v>
      </x:c>
      <x:c r="E25" s="152"/>
      <x:c r="F25" s="152"/>
    </x:row>
    <x:row r="26">
      <x:c r="A26" s="152"/>
      <x:c r="B26" s="152"/>
      <x:c r="C26" s="167" t="str">
        <x:v>CCC-</x:v>
      </x:c>
      <x:c r="D26" s="179" t="n">
        <x:v>5751.1</x:v>
      </x:c>
      <x:c r="E26" s="152"/>
      <x:c r="F26" s="152"/>
    </x:row>
    <x:row r="27">
      <x:c r="A27" s="152"/>
      <x:c r="B27" s="152"/>
      <x:c r="C27" s="152"/>
      <x:c r="D27" s="152"/>
      <x:c r="E27" s="152"/>
      <x:c r="F27" s="152"/>
    </x:row>
    <x:row r="28">
      <x:c r="A28" s="152"/>
      <x:c r="B28" s="152"/>
      <x:c r="C28" s="152"/>
      <x:c r="D28" s="152"/>
      <x:c r="E28" s="152"/>
      <x:c r="F28" s="152"/>
    </x:row>
    <x:row r="29" ht="40" customHeight="1">
      <x:c r="A29" s="152"/>
      <x:c r="B29" s="152"/>
      <x:c r="C29" s="156" t="str">
        <x:v>Edited source constants</x:v>
      </x:c>
      <x:c r="D29" s="36" t="n">
        <x:f>IF(C8="AAA",0,1)+IF(D8=13.51,0,1)+IF(C9="AA+",0,1)+IF(D9=26.75,0,1)+IF(C10="AA",0,1)+IF(D10=46.36,0,1)+IF(C11="AA-",0,1)+IF(D11=63.9,0,1)+IF(C12="A+",0,1)+IF(D12=99.5,0,1)+IF(C13="A",0,1)+IF(D13=146.35,0,1)+IF(C14="A-",0,1)+IF(D14=199.83,0,1)+IF(C15="BBB+",0,1)+IF(D15=271.01,0,1)+IF(C16="BBB",0,1)+IF(D16=361.17,0,1)+IF(C17="BBB-",0,1)+IF(D17=540.42,0,1)+IF(C18="BB+",0,1)+IF(D18=784.92,0,1)+IF(C19="BB",0,1)+IF(D19=1233.63,0,1)+IF(C20="BB-",0,1)+IF(D20=1565.44,0,1)+IF(C21="B+",0,1)+IF(D21=1982,0,1)+IF(C22="B",0,1)+IF(D22=2859.5,0,1)+IF(C23="B-",0,1)+IF(D23=3610.11,0,1)+IF(C24="CCC+",0,1)+IF(D24=4641.4,0,1)+IF(C25="CCC",0,1)+IF(D25=5293,0,1)+IF(C26="CCC-",0,1)+IF(D26=5751.1,0,1)</x:f>
        <x:v>0</x:v>
      </x:c>
      <x:c r="E29" s="152"/>
      <x:c r="F29" s="15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3075B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5" hidden="0" customWidth="1"/>
    <x:col min="4" max="4" width="29" hidden="0" customWidth="1"/>
    <x:col min="5" max="5" width="3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60" hidden="0" customWidth="1"/>
  </x:cols>
  <x:sheetData>
    <x:row r="1">
      <x:c r="A1" s="23"/>
      <x:c r="B1" s="23"/>
      <x:c r="C1" s="113" t="str">
        <x:v>S&amp;P supplemental arithmetic</x:v>
      </x:c>
      <x:c r="D1" s="23"/>
      <x:c r="E1" s="23"/>
      <x:c r="F1" s="23"/>
      <x:c r="G1" s="23"/>
      <x:c r="H1" s="23"/>
      <x:c r="I1" s="23"/>
      <x:c r="J1" s="23"/>
      <x:c r="K1" s="23"/>
      <x:c r="L1" s="23"/>
    </x:row>
    <x:row r="2">
      <x:c r="A2" s="23"/>
      <x:c r="B2" s="23"/>
      <x:c r="C2" s="24" t="str">
        <x:v>S&amp;P Supplemental Concentration Tests</x:v>
      </x:c>
      <x:c r="D2" s="25"/>
      <x:c r="E2" s="25"/>
      <x:c r="F2" s="25"/>
      <x:c r="G2" s="25"/>
      <x:c r="H2" s="25"/>
      <x:c r="I2" s="25"/>
      <x:c r="J2" s="25"/>
      <x:c r="K2" s="25"/>
      <x:c r="L2" s="25"/>
    </x:row>
    <x:row r="3" ht="22" customHeight="1">
      <x:c r="A3" s="23"/>
      <x:c r="B3" s="23"/>
      <x:c r="C3" s="26" t="str">
        <x:v>AAA is the test target. Loss arithmetic only; tranche sufficiency is not assessed.</x:v>
      </x:c>
      <x:c r="D3" s="23"/>
      <x:c r="E3" s="23"/>
      <x:c r="F3" s="23"/>
      <x:c r="G3" s="23"/>
      <x:c r="H3" s="23"/>
      <x:c r="I3" s="23"/>
      <x:c r="J3" s="23"/>
      <x:c r="K3" s="23"/>
      <x:c r="L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</x:row>
    <x:row r="5">
      <x:c r="A5" s="23"/>
      <x:c r="B5" s="23"/>
      <x:c r="C5" s="32" t="str">
        <x:f>IF(Refresh_Required,"REFRESH REQUIRED — Python results reflect the last run","Python results match the imported inputs")</x:f>
        <x:v>REFRESH REQUIRED — Python results reflect the last run</x:v>
      </x:c>
      <x:c r="D5" s="23"/>
      <x:c r="E5" s="23"/>
      <x:c r="F5" s="23"/>
      <x:c r="G5" s="23"/>
      <x:c r="H5" s="23"/>
      <x:c r="I5" s="23"/>
      <x:c r="J5" s="23"/>
      <x:c r="K5" s="23"/>
      <x:c r="L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</x:row>
    <x:row r="7" ht="38" customHeight="1">
      <x:c r="A7" s="23"/>
      <x:c r="B7" s="23"/>
      <x:c r="C7" s="7" t="str">
        <x:v>Test / route</x:v>
      </x:c>
      <x:c r="D7" s="7" t="str">
        <x:v>Rating band</x:v>
      </x:c>
      <x:c r="E7" s="7" t="str">
        <x:v>Industry</x:v>
      </x:c>
      <x:c r="F7" s="7" t="str">
        <x:v>Required count</x:v>
      </x:c>
      <x:c r="G7" s="7" t="str">
        <x:v>Selected count</x:v>
      </x:c>
      <x:c r="H7" s="7" t="str">
        <x:v>Gross default par</x:v>
      </x:c>
      <x:c r="I7" s="7" t="str">
        <x:v>Flat recovery</x:v>
      </x:c>
      <x:c r="J7" s="7" t="str">
        <x:v>Loss (formula)</x:v>
      </x:c>
      <x:c r="K7" s="7" t="str">
        <x:v>Loss / par</x:v>
      </x:c>
      <x:c r="L7" s="7" t="str">
        <x:v>Selected IDs</x:v>
      </x:c>
    </x:row>
    <x:row r="8" ht="39" customHeight="1">
      <x:c r="A8" s="23"/>
      <x:c r="B8" s="23"/>
      <x:c r="C8" s="33"/>
      <x:c r="D8" s="33"/>
      <x:c r="E8" s="33"/>
      <x:c r="F8" s="23"/>
      <x:c r="G8" s="23"/>
      <x:c r="H8" s="75"/>
      <x:c r="I8" s="43"/>
      <x:c r="J8" s="75"/>
      <x:c r="K8" s="43"/>
      <x:c r="L8" s="2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8859A3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9" hidden="0" customWidth="1"/>
    <x:col min="5" max="5" width="27" hidden="0" customWidth="1"/>
    <x:col min="6" max="6" width="20" hidden="0" customWidth="1"/>
    <x:col min="7" max="7" width="34" hidden="0" customWidth="1"/>
    <x:col min="8" max="8" width="98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</x:cols>
  <x:sheetData>
    <x:row r="1">
      <x:c r="A1" s="114" t="str">
        <x:v>Fitch source / assumptions</x:v>
      </x:c>
      <x:c r="B1" s="152"/>
      <x:c r="C1" s="152"/>
      <x:c r="D1" s="152"/>
      <x:c r="E1" s="152"/>
      <x:c r="F1" s="152"/>
      <x:c r="G1" s="152"/>
      <x:c r="H1" s="152"/>
      <x:c r="I1" s="152"/>
      <x:c r="J1" s="152"/>
      <x:c r="K1" s="152"/>
      <x:c r="L1" s="152"/>
      <x:c r="M1" s="152"/>
      <x:c r="N1" s="152"/>
      <x:c r="O1" s="152"/>
      <x:c r="P1" s="152"/>
      <x:c r="Q1" s="152"/>
      <x:c r="R1" s="152"/>
      <x:c r="S1" s="152"/>
      <x:c r="T1" s="152"/>
      <x:c r="U1" s="152"/>
      <x:c r="V1" s="152"/>
      <x:c r="W1" s="152"/>
      <x:c r="X1" s="152"/>
    </x:row>
    <x:row r="2">
      <x:c r="A2" s="64" t="str">
        <x:v>Fitch Facility Inputs</x:v>
      </x:c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  <x:c r="M2" s="152"/>
      <x:c r="N2" s="152"/>
      <x:c r="O2" s="152"/>
      <x:c r="P2" s="152"/>
      <x:c r="Q2" s="152"/>
      <x:c r="R2" s="152"/>
      <x:c r="S2" s="152"/>
      <x:c r="T2" s="152"/>
      <x:c r="U2" s="152"/>
      <x:c r="V2" s="152"/>
      <x:c r="W2" s="152"/>
      <x:c r="X2" s="152"/>
    </x:row>
    <x:row r="3">
      <x:c r="A3" s="152" t="str">
        <x:v>CSV source fields: edit the Fitch CSV and rerun with --fitch-inputs. Excel changes here are not imported by --assumptions-from.</x:v>
      </x:c>
      <x:c r="B3" s="152"/>
      <x:c r="C3" s="152"/>
      <x:c r="D3" s="152"/>
      <x:c r="E3" s="152"/>
      <x:c r="F3" s="152"/>
      <x:c r="G3" s="152"/>
      <x:c r="H3" s="152"/>
      <x:c r="I3" s="152"/>
      <x:c r="J3" s="152"/>
      <x:c r="K3" s="152"/>
      <x:c r="L3" s="152"/>
      <x:c r="M3" s="152"/>
      <x:c r="N3" s="152"/>
      <x:c r="O3" s="152"/>
      <x:c r="P3" s="152"/>
      <x:c r="Q3" s="152"/>
      <x:c r="R3" s="152"/>
      <x:c r="S3" s="152"/>
      <x:c r="T3" s="152"/>
      <x:c r="U3" s="152"/>
      <x:c r="V3" s="152"/>
      <x:c r="W3" s="152"/>
      <x:c r="X3" s="152"/>
    </x:row>
    <x:row r="4">
      <x:c r="A4" s="152" t="str">
        <x:v>Development proxies are labelled by row. Blank recovery or industry is missing information, not a zero assumption.</x:v>
      </x:c>
      <x:c r="B4" s="152"/>
      <x:c r="C4" s="152"/>
      <x:c r="D4" s="152"/>
      <x:c r="E4" s="152"/>
      <x:c r="F4" s="152"/>
      <x:c r="G4" s="152"/>
      <x:c r="H4" s="152"/>
      <x:c r="I4" s="152"/>
      <x:c r="J4" s="152"/>
      <x:c r="K4" s="152"/>
      <x:c r="L4" s="152"/>
      <x:c r="M4" s="152"/>
      <x:c r="N4" s="152"/>
      <x:c r="O4" s="152"/>
      <x:c r="P4" s="152"/>
      <x:c r="Q4" s="152"/>
      <x:c r="R4" s="152"/>
      <x:c r="S4" s="152"/>
      <x:c r="T4" s="152"/>
      <x:c r="U4" s="152"/>
      <x:c r="V4" s="152"/>
      <x:c r="W4" s="152"/>
      <x:c r="X4" s="152"/>
    </x:row>
    <x:row r="5">
      <x:c r="A5" s="32" t="str">
        <x:f>IF(Refresh_Required,"REFRESH REQUIRED — Python results reflect the last run","Python results match the imported inputs")</x:f>
        <x:v>REFRESH REQUIRED — Python results reflect the last run</x:v>
      </x:c>
      <x:c r="B5" s="152"/>
      <x:c r="C5" s="152"/>
      <x:c r="D5" s="152"/>
      <x:c r="E5" s="152"/>
      <x:c r="F5" s="152"/>
      <x:c r="G5" s="152"/>
      <x:c r="H5" s="152"/>
      <x:c r="I5" s="152"/>
      <x:c r="J5" s="152"/>
      <x:c r="K5" s="152"/>
      <x:c r="L5" s="152"/>
      <x:c r="M5" s="152"/>
      <x:c r="N5" s="152"/>
      <x:c r="O5" s="152"/>
      <x:c r="P5" s="152"/>
      <x:c r="Q5" s="152"/>
      <x:c r="R5" s="152"/>
      <x:c r="S5" s="152"/>
      <x:c r="T5" s="152"/>
      <x:c r="U5" s="152"/>
      <x:c r="V5" s="152"/>
      <x:c r="W5" s="152"/>
      <x:c r="X5" s="152"/>
    </x:row>
    <x:row r="6">
      <x:c r="A6" s="152"/>
      <x:c r="B6" s="152"/>
      <x:c r="C6" s="152"/>
      <x:c r="D6" s="152"/>
      <x:c r="E6" s="152"/>
      <x:c r="F6" s="152"/>
      <x:c r="G6" s="152"/>
      <x:c r="H6" s="152"/>
      <x:c r="I6" s="152"/>
      <x:c r="J6" s="152"/>
      <x:c r="K6" s="152"/>
      <x:c r="L6" s="152"/>
      <x:c r="M6" s="152"/>
      <x:c r="N6" s="152"/>
      <x:c r="O6" s="152"/>
      <x:c r="P6" s="152"/>
      <x:c r="Q6" s="152"/>
      <x:c r="R6" s="152"/>
      <x:c r="S6" s="152"/>
      <x:c r="T6" s="152"/>
      <x:c r="U6" s="152"/>
      <x:c r="V6" s="152"/>
      <x:c r="W6" s="152"/>
      <x:c r="X6" s="152"/>
    </x:row>
    <x:row r="7" ht="38" customHeight="1">
      <x:c r="A7" s="7" t="str">
        <x:v>Facility ID</x:v>
      </x:c>
      <x:c r="B7" s="7" t="str">
        <x:v>Par (shared)</x:v>
      </x:c>
      <x:c r="C7" s="7" t="str">
        <x:v>Fitch IDR input</x:v>
      </x:c>
      <x:c r="D7" s="7" t="str">
        <x:v>Rating basis</x:v>
      </x:c>
      <x:c r="E7" s="7" t="str">
        <x:v>Fitch industry</x:v>
      </x:c>
      <x:c r="F7" s="7" t="str">
        <x:v>Fitch recovery</x:v>
      </x:c>
      <x:c r="G7" s="7" t="str">
        <x:v>Recovery basis</x:v>
      </x:c>
      <x:c r="H7" s="7" t="str">
        <x:v>Source reference</x:v>
      </x:c>
      <x:c r="I7" s="7" t="str">
        <x:v>Fitch rating factor</x:v>
      </x:c>
      <x:c r="J7" s="7" t="str">
        <x:v>Par × factor</x:v>
      </x:c>
      <x:c r="K7" s="7" t="str">
        <x:v>Par × recovery</x:v>
      </x:c>
      <x:c r="L7" s="7" t="str">
        <x:v>Missing rating par</x:v>
      </x:c>
      <x:c r="M7" s="7" t="str">
        <x:v>Missing recovery par</x:v>
      </x:c>
      <x:c r="N7" s="7" t="str">
        <x:v>Changed cells</x:v>
      </x:c>
      <x:c r="O7" s="7" t="str">
        <x:v>Missing industry par</x:v>
      </x:c>
      <x:c r="P7" s="152"/>
      <x:c r="Q7" s="7" t="str">
        <x:v>Run ID</x:v>
      </x:c>
      <x:c r="R7" s="7" t="str">
        <x:v>Run par</x:v>
      </x:c>
      <x:c r="S7" s="7" t="str">
        <x:v>Run IDR</x:v>
      </x:c>
      <x:c r="T7" s="7" t="str">
        <x:v>Run rating basis</x:v>
      </x:c>
      <x:c r="U7" s="7" t="str">
        <x:v>Run industry</x:v>
      </x:c>
      <x:c r="V7" s="7" t="str">
        <x:v>Run recovery</x:v>
      </x:c>
      <x:c r="W7" s="7" t="str">
        <x:v>Run recovery basis</x:v>
      </x:c>
      <x:c r="X7" s="7" t="str">
        <x:v>Run reference</x:v>
      </x:c>
    </x:row>
    <x:row r="8" ht="107" customHeight="1">
      <x:c r="A8" s="181"/>
      <x:c r="B8" s="182" t="str">
        <x:f>IF(A8="","",SUMIF('Portfolio Inputs'!A8:A8,A8,'Portfolio Inputs'!D8:D8))</x:f>
      </x:c>
      <x:c r="C8" s="181"/>
      <x:c r="D8" s="183"/>
      <x:c r="E8" s="183"/>
      <x:c r="F8" s="184"/>
      <x:c r="G8" s="183"/>
      <x:c r="H8" s="183"/>
      <x:c r="I8" s="185" t="str">
        <x:f>IF(AND(C8&lt;&gt;"",OR(D8="public_fitch_idr",D8="reviewed_appendix5_equivalent",D8="development_proxy"),H8&lt;&gt;""),VLOOKUP(C8,Fitch_WARF_Factors,2,FALSE),"")</x:f>
      </x:c>
      <x:c r="J8" s="186" t="n">
        <x:f>IF(ISNUMBER(I8),B8*I8,0)</x:f>
        <x:v>0</x:v>
      </x:c>
      <x:c r="K8" s="186" t="n">
        <x:f>IF(AND(A8&lt;&gt;"",M8=0),B8*F8,0)</x:f>
        <x:v>0</x:v>
      </x:c>
      <x:c r="L8" s="186" t="n">
        <x:f>IF(A8="",0,IF(ISNUMBER(I8),0,B8))</x:f>
        <x:v>0</x:v>
      </x:c>
      <x:c r="M8" s="187" t="n">
        <x:f>IF(A8="",0,IF(AND(ISNUMBER(F8),F8&gt;=0,F8&lt;=1,OR(G8="fitch_issue_recovery_estimate",G8="fitch_issue_recovery_rating",G8="reviewed_bbsf_fallback",G8="development_assumption"),H8&lt;&gt;""),0,B8))</x:f>
        <x:v>0</x:v>
      </x:c>
      <x:c r="N8" s="188" t="n">
        <x:f>IF(A8=Q8,0,1)+IF(B8=R8,0,1)+IF(C8=S8,0,1)+IF(D8=T8,0,1)+IF(E8=U8,0,1)+IF(F8=V8,0,1)+IF(G8=W8,0,1)+IF(H8=X8,0,1)</x:f>
        <x:v>0</x:v>
      </x:c>
      <x:c r="O8" s="188" t="n">
        <x:f>IF(A8="",0,IF(E8="",B8,0))</x:f>
        <x:v>0</x:v>
      </x:c>
      <x:c r="P8" s="189"/>
      <x:c r="Q8" s="181"/>
      <x:c r="R8" s="181"/>
      <x:c r="S8" s="181"/>
      <x:c r="T8" s="181"/>
      <x:c r="U8" s="181"/>
      <x:c r="V8" s="181"/>
      <x:c r="W8" s="181"/>
      <x:c r="X8" s="181"/>
    </x:row>
  </x:sheetData>
  <x:pageMargins left="0.7" right="0.7" top="0.75" bottom="0.75" header="0.3" footer="0.3"/>
  <x:tableParts count="1">
    <x:tablePart xmlns:r="http://schemas.openxmlformats.org/officeDocument/2006/relationships" r:id="Ra0a8b067435345c4"/>
  </x:tableParts>
</x:worksheet>
</file>

<file path=xl/worksheets/sheet12.xml><?xml version="1.0" encoding="utf-8"?>
<x:worksheet xmlns:x="http://schemas.openxmlformats.org/spreadsheetml/2006/main">
  <x:sheetPr>
    <x:tabColor rgb="FF8859A3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18" hidden="0" customWidth="1"/>
    <x:col min="4" max="4" width="24" hidden="0" customWidth="1"/>
    <x:col min="5" max="5" width="5" hidden="0" customWidth="1"/>
    <x:col min="6" max="6" width="31" hidden="0" customWidth="1"/>
    <x:col min="7" max="7" width="95" hidden="0" customWidth="1"/>
  </x:cols>
  <x:sheetData>
    <x:row r="1">
      <x:c r="A1" s="23"/>
      <x:c r="B1" s="23"/>
      <x:c r="C1" s="114" t="str">
        <x:v>Fitch sources</x:v>
      </x:c>
      <x:c r="D1" s="23"/>
      <x:c r="E1" s="23"/>
      <x:c r="F1" s="23"/>
      <x:c r="G1" s="23"/>
    </x:row>
    <x:row r="2">
      <x:c r="A2" s="23"/>
      <x:c r="B2" s="23"/>
      <x:c r="C2" s="24" t="str">
        <x:v>Fitch Credit Parameters</x:v>
      </x:c>
      <x:c r="D2" s="25"/>
      <x:c r="E2" s="25"/>
      <x:c r="F2" s="25"/>
      <x:c r="G2" s="25"/>
    </x:row>
    <x:row r="3" ht="22" customHeight="1">
      <x:c r="A3" s="23"/>
      <x:c r="B3" s="23"/>
      <x:c r="C3" s="26" t="str">
        <x:v>1 June 2026 criteria. WARF and WARR use different units and recovery bases from S&amp;P.</x:v>
      </x:c>
      <x:c r="D3" s="23"/>
      <x:c r="E3" s="23"/>
      <x:c r="F3" s="23"/>
      <x:c r="G3" s="23"/>
    </x:row>
    <x:row r="4">
      <x:c r="A4" s="23"/>
      <x:c r="B4" s="23"/>
      <x:c r="C4" s="23"/>
      <x:c r="D4" s="23"/>
      <x:c r="E4" s="23"/>
      <x:c r="F4" s="23"/>
      <x:c r="G4" s="23"/>
    </x:row>
    <x:row r="5">
      <x:c r="A5" s="23"/>
      <x:c r="B5" s="23"/>
      <x:c r="C5" s="23"/>
      <x:c r="D5" s="23"/>
      <x:c r="E5" s="23"/>
      <x:c r="F5" s="23"/>
      <x:c r="G5" s="23"/>
    </x:row>
    <x:row r="6">
      <x:c r="A6" s="23"/>
      <x:c r="B6" s="23"/>
      <x:c r="C6" s="23"/>
      <x:c r="D6" s="23"/>
      <x:c r="E6" s="23"/>
      <x:c r="F6" s="23"/>
      <x:c r="G6" s="23"/>
    </x:row>
    <x:row r="7" ht="65" customHeight="1">
      <x:c r="A7" s="23"/>
      <x:c r="B7" s="23"/>
      <x:c r="C7" s="7" t="str">
        <x:v>Fitch IDR input</x:v>
      </x:c>
      <x:c r="D7" s="7" t="str">
        <x:v>10-year PD factor</x:v>
      </x:c>
      <x:c r="E7" s="23"/>
      <x:c r="F7" s="33" t="str">
        <x:v>Criteria</x:v>
      </x:c>
      <x:c r="G7" s="95" t="str">
        <x:v>CLOs and Corporate CDOs Rating Criteria, 1 June 2026. Replaces 21 July 2023.</x:v>
      </x:c>
    </x:row>
    <x:row r="8" ht="65" customHeight="1">
      <x:c r="A8" s="23"/>
      <x:c r="B8" s="23"/>
      <x:c r="C8" s="28" t="str">
        <x:v>AAA</x:v>
      </x:c>
      <x:c r="D8" s="93" t="n">
        <x:v>0.136</x:v>
      </x:c>
      <x:c r="E8" s="23"/>
      <x:c r="F8" s="33" t="str">
        <x:v>WARF basis</x:v>
      </x:c>
      <x:c r="G8" s="95" t="str">
        <x:v>Appendix 6: par-weighted 10-year default-rate factors. Displayed as factor points, e.g. B = 23.671. Do not compare this number directly with SPWARF.</x:v>
      </x:c>
    </x:row>
    <x:row r="9" ht="65" customHeight="1">
      <x:c r="A9" s="152"/>
      <x:c r="B9" s="152"/>
      <x:c r="C9" s="167" t="str">
        <x:v>AA+</x:v>
      </x:c>
      <x:c r="D9" s="190" t="n">
        <x:v>0.349</x:v>
      </x:c>
      <x:c r="E9" s="152"/>
      <x:c r="F9" s="156" t="str">
        <x:v>WARR basis</x:v>
      </x:c>
      <x:c r="G9" s="191" t="str">
        <x:v>Issue-level recovery estimate / recovery rating, or applicable BBsf recovery stress where required. The S&amp;P recovery_aaa field is never reused automatically.</x:v>
      </x:c>
    </x:row>
    <x:row r="10" ht="65" customHeight="1">
      <x:c r="A10" s="152"/>
      <x:c r="B10" s="152"/>
      <x:c r="C10" s="167" t="str">
        <x:v>AA</x:v>
      </x:c>
      <x:c r="D10" s="190" t="n">
        <x:v>0.629</x:v>
      </x:c>
      <x:c r="E10" s="152"/>
      <x:c r="F10" s="156" t="str">
        <x:v>Example convention</x:v>
      </x:c>
      <x:c r="G10" s="191" t="str">
        <x:v>The optional fictional sidecar labels each rating proxy and recovery fallback. Review the assumptions before replacing them with approved Fitch inputs.</x:v>
      </x:c>
    </x:row>
    <x:row r="11" ht="65" customHeight="1">
      <x:c r="A11" s="152"/>
      <x:c r="B11" s="152"/>
      <x:c r="C11" s="167" t="str">
        <x:v>AA-</x:v>
      </x:c>
      <x:c r="D11" s="190" t="n">
        <x:v>0.858</x:v>
      </x:c>
      <x:c r="E11" s="152"/>
      <x:c r="F11" s="156" t="str">
        <x:v>Recovery coverage</x:v>
      </x:c>
      <x:c r="G11" s="191" t="str">
        <x:v>Missing facility recoveries leave whole-portfolio WARR unavailable. Weighted sums of populated recoveries are helpers only, not a partial-portfolio WARR presented as complete.</x:v>
      </x:c>
    </x:row>
    <x:row r="12" ht="65" customHeight="1">
      <x:c r="A12" s="152"/>
      <x:c r="B12" s="152"/>
      <x:c r="C12" s="167" t="str">
        <x:v>A+</x:v>
      </x:c>
      <x:c r="D12" s="190" t="n">
        <x:v>1.237</x:v>
      </x:c>
      <x:c r="E12" s="152"/>
      <x:c r="F12" s="156" t="str">
        <x:v>Industry mapping</x:v>
      </x:c>
      <x:c r="G12" s="191" t="str">
        <x:v>Fitch industry classification remains separate. No mapping is inferred from S&amp;P labels. Missing industries prevent a complete PCM-ready dataset.</x:v>
      </x:c>
    </x:row>
    <x:row r="13" ht="65" customHeight="1">
      <x:c r="A13" s="152"/>
      <x:c r="B13" s="152"/>
      <x:c r="C13" s="167" t="str">
        <x:v>A</x:v>
      </x:c>
      <x:c r="D13" s="190" t="n">
        <x:v>1.572</x:v>
      </x:c>
      <x:c r="E13" s="152"/>
      <x:c r="F13" s="156" t="str">
        <x:v>Default/loss hurdle</x:v>
      </x:c>
      <x:c r="G13" s="191" t="str">
        <x:v>RDR and RLR require applicable Portfolio Credit Model analysis and documented inputs/version. They are not computed from WARF or WARR alone.</x:v>
      </x:c>
    </x:row>
    <x:row r="14" ht="65" customHeight="1">
      <x:c r="A14" s="152"/>
      <x:c r="B14" s="152"/>
      <x:c r="C14" s="167" t="str">
        <x:v>A-</x:v>
      </x:c>
      <x:c r="D14" s="190" t="n">
        <x:v>2.099</x:v>
      </x:c>
      <x:c r="E14" s="152"/>
      <x:c r="F14" s="156" t="str">
        <x:v>Cash-flow gap</x:v>
      </x:c>
      <x:c r="G14" s="191" t="str">
        <x:v>Fitch timing, survivor-scaled amortisation, recovery lags and rate scenarios need implementation and benchmarking. Current development cash flows are not Fitch BDRs.</x:v>
      </x:c>
    </x:row>
    <x:row r="15" ht="65" customHeight="1">
      <x:c r="A15" s="152"/>
      <x:c r="B15" s="152"/>
      <x:c r="C15" s="167" t="str">
        <x:v>BBB+</x:v>
      </x:c>
      <x:c r="D15" s="190" t="n">
        <x:v>2.63</x:v>
      </x:c>
      <x:c r="E15" s="152"/>
      <x:c r="F15" s="156" t="str">
        <x:v>Public source</x:v>
      </x:c>
      <x:c r="G15" s="191" t="str">
        <x:v>https://assets.fitchratings.com/downloadFile?reportType=report&amp;sfReport=false&amp;slug=structured-finance%2Fclos-corporate-cdos-rating-criteria-01-06-2026</x:v>
      </x:c>
    </x:row>
    <x:row r="16" ht="65" customHeight="1">
      <x:c r="A16" s="152"/>
      <x:c r="B16" s="152"/>
      <x:c r="C16" s="167" t="str">
        <x:v>BBB</x:v>
      </x:c>
      <x:c r="D16" s="190" t="n">
        <x:v>3.162</x:v>
      </x:c>
      <x:c r="E16" s="152"/>
      <x:c r="F16" s="156" t="str">
        <x:v>Editing</x:v>
      </x:c>
      <x:c r="G16" s="191" t="str">
        <x:v>Sourced constants: change the versioned code table and rebuild. These cells are not user assumption controls.</x:v>
      </x:c>
    </x:row>
    <x:row r="17">
      <x:c r="A17" s="152"/>
      <x:c r="B17" s="152"/>
      <x:c r="C17" s="167" t="str">
        <x:v>BBB-</x:v>
      </x:c>
      <x:c r="D17" s="190" t="n">
        <x:v>6.039</x:v>
      </x:c>
      <x:c r="E17" s="152"/>
      <x:c r="F17" s="152"/>
      <x:c r="G17" s="152"/>
    </x:row>
    <x:row r="18">
      <x:c r="A18" s="152"/>
      <x:c r="B18" s="152"/>
      <x:c r="C18" s="167" t="str">
        <x:v>BB+</x:v>
      </x:c>
      <x:c r="D18" s="190" t="n">
        <x:v>8.903</x:v>
      </x:c>
      <x:c r="E18" s="152"/>
      <x:c r="F18" s="152"/>
      <x:c r="G18" s="152"/>
    </x:row>
    <x:row r="19">
      <x:c r="A19" s="152"/>
      <x:c r="B19" s="152"/>
      <x:c r="C19" s="167" t="str">
        <x:v>BB</x:v>
      </x:c>
      <x:c r="D19" s="190" t="n">
        <x:v>11.844</x:v>
      </x:c>
      <x:c r="E19" s="152"/>
      <x:c r="F19" s="152"/>
      <x:c r="G19" s="152"/>
    </x:row>
    <x:row r="20" ht="38" customHeight="1">
      <x:c r="A20" s="152"/>
      <x:c r="B20" s="152"/>
      <x:c r="C20" s="167" t="str">
        <x:v>BB-</x:v>
      </x:c>
      <x:c r="D20" s="190" t="n">
        <x:v>15.733</x:v>
      </x:c>
      <x:c r="E20" s="152"/>
      <x:c r="F20" s="7" t="str">
        <x:v>Fallback classification</x:v>
      </x:c>
      <x:c r="G20" s="7" t="str">
        <x:v>BBsf WARR factor</x:v>
      </x:c>
    </x:row>
    <x:row r="21" ht="30" customHeight="1">
      <x:c r="A21" s="152"/>
      <x:c r="B21" s="152"/>
      <x:c r="C21" s="167" t="str">
        <x:v>B+</x:v>
      </x:c>
      <x:c r="D21" s="190" t="n">
        <x:v>19.627</x:v>
      </x:c>
      <x:c r="E21" s="152"/>
      <x:c r="F21" s="191" t="str">
        <x:v>Group 1 - DIP instrument</x:v>
      </x:c>
      <x:c r="G21" s="166" t="n">
        <x:v>0.95</x:v>
      </x:c>
    </x:row>
    <x:row r="22" ht="30" customHeight="1">
      <x:c r="A22" s="152"/>
      <x:c r="B22" s="152"/>
      <x:c r="C22" s="167" t="str">
        <x:v>B</x:v>
      </x:c>
      <x:c r="D22" s="190" t="n">
        <x:v>23.671</x:v>
      </x:c>
      <x:c r="E22" s="152"/>
      <x:c r="F22" s="191" t="str">
        <x:v>Group 1 - Strong</x:v>
      </x:c>
      <x:c r="G22" s="166" t="n">
        <x:v>0.75</x:v>
      </x:c>
    </x:row>
    <x:row r="23" ht="30" customHeight="1">
      <x:c r="A23" s="152"/>
      <x:c r="B23" s="152"/>
      <x:c r="C23" s="167" t="str">
        <x:v>B-</x:v>
      </x:c>
      <x:c r="D23" s="190" t="n">
        <x:v>32.221</x:v>
      </x:c>
      <x:c r="E23" s="152"/>
      <x:c r="F23" s="191" t="str">
        <x:v>Group 1 - Senior secured bond</x:v>
      </x:c>
      <x:c r="G23" s="166" t="n">
        <x:v>0.6</x:v>
      </x:c>
    </x:row>
    <x:row r="24" ht="30" customHeight="1">
      <x:c r="A24" s="152"/>
      <x:c r="B24" s="152"/>
      <x:c r="C24" s="167" t="str">
        <x:v>CCC+</x:v>
      </x:c>
      <x:c r="D24" s="190" t="n">
        <x:v>41.111</x:v>
      </x:c>
      <x:c r="E24" s="152"/>
      <x:c r="F24" s="191" t="str">
        <x:v>Group 1 - Moderate</x:v>
      </x:c>
      <x:c r="G24" s="166" t="n">
        <x:v>0.4</x:v>
      </x:c>
    </x:row>
    <x:row r="25" ht="30" customHeight="1">
      <x:c r="A25" s="152"/>
      <x:c r="B25" s="152"/>
      <x:c r="C25" s="167" t="str">
        <x:v>CCC</x:v>
      </x:c>
      <x:c r="D25" s="190" t="n">
        <x:v>50</x:v>
      </x:c>
      <x:c r="E25" s="152"/>
      <x:c r="F25" s="191" t="str">
        <x:v>Group 1 - Weak</x:v>
      </x:c>
      <x:c r="G25" s="166" t="n">
        <x:v>0.15</x:v>
      </x:c>
    </x:row>
    <x:row r="26" ht="30" customHeight="1">
      <x:c r="A26" s="152"/>
      <x:c r="B26" s="152"/>
      <x:c r="C26" s="167" t="str">
        <x:v>CCC-</x:v>
      </x:c>
      <x:c r="D26" s="190" t="n">
        <x:v>63.431</x:v>
      </x:c>
      <x:c r="E26" s="152"/>
      <x:c r="F26" s="191" t="str">
        <x:v>Group 2 - Strong</x:v>
      </x:c>
      <x:c r="G26" s="166" t="n">
        <x:v>0.65</x:v>
      </x:c>
    </x:row>
    <x:row r="27" ht="30" customHeight="1">
      <x:c r="A27" s="152"/>
      <x:c r="B27" s="152"/>
      <x:c r="C27" s="167" t="str">
        <x:v>CC</x:v>
      </x:c>
      <x:c r="D27" s="190" t="n">
        <x:v>100</x:v>
      </x:c>
      <x:c r="E27" s="152"/>
      <x:c r="F27" s="191" t="str">
        <x:v>Group 2 - Senior secured bond</x:v>
      </x:c>
      <x:c r="G27" s="166" t="n">
        <x:v>0.6</x:v>
      </x:c>
    </x:row>
    <x:row r="28" ht="30" customHeight="1">
      <x:c r="A28" s="152"/>
      <x:c r="B28" s="152"/>
      <x:c r="C28" s="167" t="str">
        <x:v>C</x:v>
      </x:c>
      <x:c r="D28" s="190" t="n">
        <x:v>100</x:v>
      </x:c>
      <x:c r="E28" s="152"/>
      <x:c r="F28" s="191" t="str">
        <x:v>Group 2 - Moderate</x:v>
      </x:c>
      <x:c r="G28" s="166" t="n">
        <x:v>0.4</x:v>
      </x:c>
    </x:row>
    <x:row r="29" ht="30" customHeight="1">
      <x:c r="A29" s="152"/>
      <x:c r="B29" s="152"/>
      <x:c r="C29" s="152"/>
      <x:c r="D29" s="152"/>
      <x:c r="E29" s="152"/>
      <x:c r="F29" s="191" t="str">
        <x:v>Group 2 - Weak</x:v>
      </x:c>
      <x:c r="G29" s="166" t="n">
        <x:v>0.15</x:v>
      </x:c>
    </x:row>
    <x:row r="30" ht="30" customHeight="1">
      <x:c r="A30" s="152"/>
      <x:c r="B30" s="152"/>
      <x:c r="C30" s="152"/>
      <x:c r="D30" s="152"/>
      <x:c r="E30" s="152"/>
      <x:c r="F30" s="191" t="str">
        <x:v>Group 3 - Strong</x:v>
      </x:c>
      <x:c r="G30" s="166" t="n">
        <x:v>0.3</x:v>
      </x:c>
    </x:row>
    <x:row r="31" ht="30" customHeight="1">
      <x:c r="A31" s="152"/>
      <x:c r="B31" s="152"/>
      <x:c r="C31" s="152"/>
      <x:c r="D31" s="152"/>
      <x:c r="E31" s="152"/>
      <x:c r="F31" s="191" t="str">
        <x:v>Group 3 - Moderate</x:v>
      </x:c>
      <x:c r="G31" s="166" t="n">
        <x:v>0.2</x:v>
      </x:c>
    </x:row>
    <x:row r="32" ht="30" customHeight="1">
      <x:c r="A32" s="152"/>
      <x:c r="B32" s="152"/>
      <x:c r="C32" s="152"/>
      <x:c r="D32" s="152"/>
      <x:c r="E32" s="152"/>
      <x:c r="F32" s="191" t="str">
        <x:v>Group 3 - Weak</x:v>
      </x:c>
      <x:c r="G32" s="166" t="n">
        <x:v>0.05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8859A3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33" hidden="0" customWidth="1"/>
    <x:col min="5" max="5" width="5" hidden="0" customWidth="1"/>
    <x:col min="6" max="6" width="89" hidden="0" customWidth="1"/>
  </x:cols>
  <x:sheetData>
    <x:row r="1">
      <x:c r="A1" s="23"/>
      <x:c r="B1" s="23"/>
      <x:c r="C1" s="114" t="str">
        <x:v>Fitch calculations</x:v>
      </x:c>
      <x:c r="D1" s="23"/>
      <x:c r="E1" s="23"/>
      <x:c r="F1" s="23"/>
    </x:row>
    <x:row r="2">
      <x:c r="A2" s="23"/>
      <x:c r="B2" s="23"/>
      <x:c r="C2" s="24" t="str">
        <x:v>Fitch Portfolio Credit Calculations</x:v>
      </x:c>
      <x:c r="D2" s="25"/>
      <x:c r="E2" s="25"/>
      <x:c r="F2" s="25"/>
    </x:row>
    <x:row r="3" ht="22" customHeight="1">
      <x:c r="A3" s="23"/>
      <x:c r="B3" s="23"/>
      <x:c r="C3" s="26" t="str">
        <x:v>Formula results require complete inputs for the metric. See source and development basis by facility.</x:v>
      </x:c>
      <x:c r="D3" s="23"/>
      <x:c r="E3" s="23"/>
      <x:c r="F3" s="23"/>
    </x:row>
    <x:row r="4">
      <x:c r="A4" s="23"/>
      <x:c r="B4" s="23"/>
      <x:c r="C4" s="23"/>
      <x:c r="D4" s="23"/>
      <x:c r="E4" s="23"/>
      <x:c r="F4" s="23"/>
    </x:row>
    <x:row r="5">
      <x:c r="A5" s="23"/>
      <x:c r="B5" s="23"/>
      <x:c r="C5" s="32" t="str">
        <x:f>IF(Refresh_Required,"REFRESH REQUIRED — Python results reflect the last run","Python results match the imported inputs")</x:f>
        <x:v>REFRESH REQUIRED — Python results reflect the last run</x:v>
      </x:c>
      <x:c r="D5" s="23"/>
      <x:c r="E5" s="23"/>
      <x:c r="F5" s="23"/>
    </x:row>
    <x:row r="6">
      <x:c r="A6" s="23"/>
      <x:c r="B6" s="23"/>
      <x:c r="C6" s="23"/>
      <x:c r="D6" s="23"/>
      <x:c r="E6" s="23"/>
      <x:c r="F6" s="23"/>
    </x:row>
    <x:row r="7" ht="38" customHeight="1">
      <x:c r="A7" s="23"/>
      <x:c r="B7" s="23"/>
      <x:c r="C7" s="7" t="str">
        <x:v>Metric</x:v>
      </x:c>
      <x:c r="D7" s="7" t="str">
        <x:v>Result</x:v>
      </x:c>
      <x:c r="E7" s="23"/>
      <x:c r="F7" s="32" t="str">
        <x:v>WARF calculation basis</x:v>
      </x:c>
    </x:row>
    <x:row r="8" ht="58" customHeight="1">
      <x:c r="A8" s="23"/>
      <x:c r="B8" s="23"/>
      <x:c r="C8" s="23" t="str">
        <x:v>Shared portfolio par</x:v>
      </x:c>
      <x:c r="D8" s="97" t="n">
        <x:f>Portfolio_Par</x:f>
        <x:v>0</x:v>
      </x:c>
      <x:c r="E8" s="23"/>
      <x:c r="F8" s="33" t="str">
        <x:v>NOT RUN - no portfolio</x:v>
      </x:c>
    </x:row>
    <x:row r="9">
      <x:c r="A9" s="152"/>
      <x:c r="B9" s="152"/>
      <x:c r="C9" s="152" t="str">
        <x:v>Rating input coverage</x:v>
      </x:c>
      <x:c r="D9" s="192" t="str">
        <x:f>IF(D8&gt;0,1-SUM('Fitch Inputs'!L8:L8)/D8,"")</x:f>
      </x:c>
      <x:c r="E9" s="152"/>
      <x:c r="F9" s="180" t="str">
        <x:v>WARR calculation status</x:v>
      </x:c>
    </x:row>
    <x:row r="10" ht="58" customHeight="1">
      <x:c r="A10" s="152"/>
      <x:c r="B10" s="152"/>
      <x:c r="C10" s="152" t="str">
        <x:v>Fitch WARF</x:v>
      </x:c>
      <x:c r="D10" s="193" t="str">
        <x:f>IF(D8=0,"NOT RUN",IF(D9=1,SUM('Fitch Inputs'!J8:J8)/D8,"Missing rating inputs"))</x:f>
        <x:v>NOT RUN</x:v>
      </x:c>
      <x:c r="E10" s="152"/>
      <x:c r="F10" s="156" t="str">
        <x:v>NOT RUN - no portfolio</x:v>
      </x:c>
    </x:row>
    <x:row r="11">
      <x:c r="A11" s="152"/>
      <x:c r="B11" s="152"/>
      <x:c r="C11" s="152" t="str">
        <x:v>Recovery input coverage</x:v>
      </x:c>
      <x:c r="D11" s="192" t="str">
        <x:f>IF(D8&gt;0,1-SUM('Fitch Inputs'!M8:M8)/D8,"")</x:f>
      </x:c>
      <x:c r="E11" s="152"/>
      <x:c r="F11" s="180" t="str">
        <x:v>Input source</x:v>
      </x:c>
    </x:row>
    <x:row r="12" ht="58" customHeight="1">
      <x:c r="A12" s="152"/>
      <x:c r="B12" s="152"/>
      <x:c r="C12" s="152" t="str">
        <x:v>Fitch WARR</x:v>
      </x:c>
      <x:c r="D12" s="172" t="str">
        <x:f>IF(D8=0,"NOT RUN",IF(D11=1,SUM('Fitch Inputs'!K8:K8)/D8,"Missing recovery inputs"))</x:f>
        <x:v>NOT RUN</x:v>
      </x:c>
      <x:c r="E12" s="152"/>
      <x:c r="F12" s="156" t="str">
        <x:v>No Fitch CSV supplied</x:v>
      </x:c>
    </x:row>
    <x:row r="13">
      <x:c r="A13" s="152"/>
      <x:c r="B13" s="152"/>
      <x:c r="C13" s="152" t="str">
        <x:v>Industry input coverage</x:v>
      </x:c>
      <x:c r="D13" s="192" t="str">
        <x:f>IF(D8&gt;0,1-SUM('Fitch Inputs'!O8:O8)/D8,"")</x:f>
      </x:c>
      <x:c r="E13" s="152"/>
      <x:c r="F13" s="180" t="str">
        <x:v>What to update</x:v>
      </x:c>
    </x:row>
    <x:row r="14" ht="58" customHeight="1">
      <x:c r="A14" s="152"/>
      <x:c r="B14" s="152"/>
      <x:c r="C14" s="152" t="str">
        <x:v>Fitch AAA RDR</x:v>
      </x:c>
      <x:c r="D14" s="156" t="str">
        <x:v>NOT CALCULATED</x:v>
      </x:c>
      <x:c r="E14" s="152"/>
      <x:c r="F14" s="156" t="str">
        <x:v>Use templates/fitch_inputs_template.csv. Match instrument IDs to the portfolio CSV. Supply separately reviewed IDR basis, recovery basis, industry and source reference.</x:v>
      </x:c>
    </x:row>
    <x:row r="15">
      <x:c r="A15" s="152"/>
      <x:c r="B15" s="152"/>
      <x:c r="C15" s="152" t="str">
        <x:v>Fitch AAA RLR</x:v>
      </x:c>
      <x:c r="D15" s="156" t="str">
        <x:v>NOT CALCULATED</x:v>
      </x:c>
      <x:c r="E15" s="152"/>
      <x:c r="F15" s="180" t="str">
        <x:v>What is live</x:v>
      </x:c>
    </x:row>
    <x:row r="16" ht="58" customHeight="1">
      <x:c r="A16" s="152"/>
      <x:c r="B16" s="152"/>
      <x:c r="C16" s="152" t="str">
        <x:v>Fitch AAA result</x:v>
      </x:c>
      <x:c r="D16" s="156" t="str">
        <x:v>NOT DETERMINED</x:v>
      </x:c>
      <x:c r="E16" s="152"/>
      <x:c r="F16" s="156" t="str">
        <x:v>Factors, weighted sums, coverage, WARF and WARR recalculate in Excel. The comparison page flags edits until the authoritative CSV is rerun.</x:v>
      </x:c>
    </x:row>
    <x:row r="17">
      <x:c r="A17" s="152"/>
      <x:c r="B17" s="152"/>
      <x:c r="C17" s="152" t="str">
        <x:v>Edited Fitch source cells</x:v>
      </x:c>
      <x:c r="D17" s="194" t="n">
        <x:f>SUM('Fitch Inputs'!N8:N8)+ABS(COUNTA('Fitch Inputs'!A8:A1048576)-0)</x:f>
        <x:v>0</x:v>
      </x:c>
      <x:c r="E17" s="152"/>
      <x:c r="F17" s="180" t="str">
        <x:v>What is missing</x:v>
      </x:c>
    </x:row>
    <x:row r="18" ht="58" customHeight="1">
      <x:c r="A18" s="152"/>
      <x:c r="B18" s="152"/>
      <x:c r="C18" s="152" t="str">
        <x:v>Edited Fitch factor cells</x:v>
      </x:c>
      <x:c r="D18" s="194" t="n">
        <x:f>IF('Fitch Parameters'!C8="AAA",0,1)+IF('Fitch Parameters'!D8=0.136,0,1)+IF('Fitch Parameters'!C9="AA+",0,1)+IF('Fitch Parameters'!D9=0.349,0,1)+IF('Fitch Parameters'!C10="AA",0,1)+IF('Fitch Parameters'!D10=0.629,0,1)+IF('Fitch Parameters'!C11="AA-",0,1)+IF('Fitch Parameters'!D11=0.858,0,1)+IF('Fitch Parameters'!C12="A+",0,1)+IF('Fitch Parameters'!D12=1.237,0,1)+IF('Fitch Parameters'!C13="A",0,1)+IF('Fitch Parameters'!D13=1.572,0,1)+IF('Fitch Parameters'!C14="A-",0,1)+IF('Fitch Parameters'!D14=2.099,0,1)+IF('Fitch Parameters'!C15="BBB+",0,1)+IF('Fitch Parameters'!D15=2.63,0,1)+IF('Fitch Parameters'!C16="BBB",0,1)+IF('Fitch Parameters'!D16=3.162,0,1)+IF('Fitch Parameters'!C17="BBB-",0,1)+IF('Fitch Parameters'!D17=6.039,0,1)+IF('Fitch Parameters'!C18="BB+",0,1)+IF('Fitch Parameters'!D18=8.903,0,1)+IF('Fitch Parameters'!C19="BB",0,1)+IF('Fitch Parameters'!D19=11.844,0,1)+IF('Fitch Parameters'!C20="BB-",0,1)+IF('Fitch Parameters'!D20=15.733,0,1)+IF('Fitch Parameters'!C21="B+",0,1)+IF('Fitch Parameters'!D21=19.627,0,1)+IF('Fitch Parameters'!C22="B",0,1)+IF('Fitch Parameters'!D22=23.671,0,1)+IF('Fitch Parameters'!C23="B-",0,1)+IF('Fitch Parameters'!D23=32.221,0,1)+IF('Fitch Parameters'!C24="CCC+",0,1)+IF('Fitch Parameters'!D24=41.111,0,1)+IF('Fitch Parameters'!C25="CCC",0,1)+IF('Fitch Parameters'!D25=50,0,1)+IF('Fitch Parameters'!C26="CCC-",0,1)+IF('Fitch Parameters'!D26=63.431,0,1)+IF('Fitch Parameters'!C27="CC",0,1)+IF('Fitch Parameters'!D27=100,0,1)+IF('Fitch Parameters'!C28="C",0,1)+IF('Fitch Parameters'!D28=100,0,1)</x:f>
        <x:v>0</x:v>
      </x:c>
      <x:c r="E18" s="152"/>
      <x:c r="F18" s="156" t="str">
        <x:v>An agency result also needs a complete credit dataset, PCM RDR/RLR, agency-specific cash-flow implementation and deal-level review.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D88238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3" hidden="0" customWidth="1"/>
  </x:cols>
  <x:sheetData>
    <x:row r="1">
      <x:c r="A1" s="115" t="str">
        <x:v>Development / S&amp;P-informed timing</x:v>
      </x:c>
      <x:c r="B1" s="152"/>
      <x:c r="C1" s="152"/>
      <x:c r="D1" s="152"/>
      <x:c r="E1" s="152"/>
      <x:c r="F1" s="152"/>
      <x:c r="G1" s="152"/>
      <x:c r="H1" s="152"/>
      <x:c r="I1" s="152"/>
    </x:row>
    <x:row r="2">
      <x:c r="A2" s="64" t="str">
        <x:v>Stress Timing And Interest Rates</x:v>
      </x:c>
      <x:c r="B2" s="152"/>
      <x:c r="C2" s="152"/>
      <x:c r="D2" s="152"/>
      <x:c r="E2" s="152"/>
      <x:c r="F2" s="152"/>
      <x:c r="G2" s="152"/>
      <x:c r="H2" s="152"/>
      <x:c r="I2" s="152"/>
    </x:row>
    <x:row r="3">
      <x:c r="A3" s="152" t="str">
        <x:v>Default weights are fractions of total cumulative defaults. Rate paths are fictional development scenarios.</x:v>
      </x:c>
      <x:c r="B3" s="152"/>
      <x:c r="C3" s="152"/>
      <x:c r="D3" s="152"/>
      <x:c r="E3" s="152"/>
      <x:c r="F3" s="152"/>
      <x:c r="G3" s="152"/>
      <x:c r="H3" s="152"/>
      <x:c r="I3" s="152"/>
    </x:row>
    <x:row r="4">
      <x:c r="A4" s="152"/>
      <x:c r="B4" s="152"/>
      <x:c r="C4" s="152"/>
      <x:c r="D4" s="152"/>
      <x:c r="E4" s="152"/>
      <x:c r="F4" s="152"/>
      <x:c r="G4" s="152"/>
      <x:c r="H4" s="152"/>
      <x:c r="I4" s="152"/>
    </x:row>
    <x:row r="5">
      <x:c r="A5" s="152"/>
      <x:c r="B5" s="152"/>
      <x:c r="C5" s="152"/>
      <x:c r="D5" s="152"/>
      <x:c r="E5" s="152"/>
      <x:c r="F5" s="152"/>
      <x:c r="G5" s="152"/>
      <x:c r="H5" s="152"/>
      <x:c r="I5" s="152"/>
    </x:row>
    <x:row r="6">
      <x:c r="A6" s="152"/>
      <x:c r="B6" s="152"/>
      <x:c r="C6" s="152"/>
      <x:c r="D6" s="152"/>
      <x:c r="E6" s="152"/>
      <x:c r="F6" s="152"/>
      <x:c r="G6" s="152"/>
      <x:c r="H6" s="152"/>
      <x:c r="I6" s="152"/>
    </x:row>
    <x:row r="7" ht="38" customHeight="1">
      <x:c r="A7" s="7" t="str">
        <x:v>Scenario</x:v>
      </x:c>
      <x:c r="B7" s="7" t="str">
        <x:v>Period</x:v>
      </x:c>
      <x:c r="C7" s="7" t="str">
        <x:v>Period end</x:v>
      </x:c>
      <x:c r="D7" s="7" t="str">
        <x:v>Default weight</x:v>
      </x:c>
      <x:c r="E7" s="7" t="str">
        <x:v>Index rate</x:v>
      </x:c>
      <x:c r="F7" s="7" t="str">
        <x:v>Run weight</x:v>
      </x:c>
      <x:c r="G7" s="7" t="str">
        <x:v>Run rate</x:v>
      </x:c>
      <x:c r="H7" s="7" t="str">
        <x:v>Changed</x:v>
      </x:c>
      <x:c r="I7" s="7" t="str">
        <x:v>Source</x:v>
      </x:c>
    </x:row>
    <x:row r="8" ht="21" customHeight="1">
      <x:c r="A8" s="23" t="str">
        <x:v>front_flat</x:v>
      </x:c>
      <x:c r="B8" s="23" t="n">
        <x:v>1</x:v>
      </x:c>
      <x:c r="C8" s="37" t="n">
        <x:v>46478</x:v>
      </x:c>
      <x:c r="D8" s="55" t="n">
        <x:v>0.0975</x:v>
      </x:c>
      <x:c r="E8" s="55" t="n">
        <x:v>0.03</x:v>
      </x:c>
      <x:c r="F8" s="60" t="n">
        <x:v>0.0975</x:v>
      </x:c>
      <x:c r="G8" s="60" t="n">
        <x:v>0.03</x:v>
      </x:c>
      <x:c r="H8" s="23" t="n">
        <x:f>IF(D8=F8,0,1)+IF(E8=G8,0,1)</x:f>
        <x:v>0</x:v>
      </x:c>
      <x:c r="I8" s="23" t="str">
        <x:v>Timing T20 / fictional rates</x:v>
      </x:c>
    </x:row>
    <x:row r="9" ht="21" customHeight="1">
      <x:c r="A9" s="23" t="str">
        <x:v>front_flat</x:v>
      </x:c>
      <x:c r="B9" s="23" t="n">
        <x:v>2</x:v>
      </x:c>
      <x:c r="C9" s="37" t="n">
        <x:v>46569</x:v>
      </x:c>
      <x:c r="D9" s="55" t="n">
        <x:v>0.0975</x:v>
      </x:c>
      <x:c r="E9" s="55" t="n">
        <x:v>0.03</x:v>
      </x:c>
      <x:c r="F9" s="60" t="n">
        <x:v>0.0975</x:v>
      </x:c>
      <x:c r="G9" s="60" t="n">
        <x:v>0.03</x:v>
      </x:c>
      <x:c r="H9" s="23" t="n">
        <x:f>IF(D9=F9,0,1)+IF(E9=G9,0,1)</x:f>
        <x:v>0</x:v>
      </x:c>
      <x:c r="I9" s="23" t="str">
        <x:v>Timing T20 / fictional rates</x:v>
      </x:c>
    </x:row>
    <x:row r="10" ht="21" customHeight="1">
      <x:c r="A10" s="23" t="str">
        <x:v>front_flat</x:v>
      </x:c>
      <x:c r="B10" s="23" t="n">
        <x:v>3</x:v>
      </x:c>
      <x:c r="C10" s="37" t="n">
        <x:v>46661</x:v>
      </x:c>
      <x:c r="D10" s="55" t="n">
        <x:v>0.0975</x:v>
      </x:c>
      <x:c r="E10" s="55" t="n">
        <x:v>0.03</x:v>
      </x:c>
      <x:c r="F10" s="60" t="n">
        <x:v>0.0975</x:v>
      </x:c>
      <x:c r="G10" s="60" t="n">
        <x:v>0.03</x:v>
      </x:c>
      <x:c r="H10" s="23" t="n">
        <x:f>IF(D10=F10,0,1)+IF(E10=G10,0,1)</x:f>
        <x:v>0</x:v>
      </x:c>
      <x:c r="I10" s="23" t="str">
        <x:v>Timing T20 / fictional rates</x:v>
      </x:c>
    </x:row>
    <x:row r="11" ht="21" customHeight="1">
      <x:c r="A11" s="23" t="str">
        <x:v>front_flat</x:v>
      </x:c>
      <x:c r="B11" s="23" t="n">
        <x:v>4</x:v>
      </x:c>
      <x:c r="C11" s="37" t="n">
        <x:v>46753</x:v>
      </x:c>
      <x:c r="D11" s="55" t="n">
        <x:v>0.0975</x:v>
      </x:c>
      <x:c r="E11" s="55" t="n">
        <x:v>0.03</x:v>
      </x:c>
      <x:c r="F11" s="60" t="n">
        <x:v>0.0975</x:v>
      </x:c>
      <x:c r="G11" s="60" t="n">
        <x:v>0.03</x:v>
      </x:c>
      <x:c r="H11" s="23" t="n">
        <x:f>IF(D11=F11,0,1)+IF(E11=G11,0,1)</x:f>
        <x:v>0</x:v>
      </x:c>
      <x:c r="I11" s="23" t="str">
        <x:v>Timing T20 / fictional rates</x:v>
      </x:c>
    </x:row>
    <x:row r="12" ht="21" customHeight="1">
      <x:c r="A12" s="23" t="str">
        <x:v>front_flat</x:v>
      </x:c>
      <x:c r="B12" s="23" t="n">
        <x:v>5</x:v>
      </x:c>
      <x:c r="C12" s="37" t="n">
        <x:v>46844</x:v>
      </x:c>
      <x:c r="D12" s="55" t="n">
        <x:v>0.055</x:v>
      </x:c>
      <x:c r="E12" s="55" t="n">
        <x:v>0.03</x:v>
      </x:c>
      <x:c r="F12" s="60" t="n">
        <x:v>0.055</x:v>
      </x:c>
      <x:c r="G12" s="60" t="n">
        <x:v>0.03</x:v>
      </x:c>
      <x:c r="H12" s="23" t="n">
        <x:f>IF(D12=F12,0,1)+IF(E12=G12,0,1)</x:f>
        <x:v>0</x:v>
      </x:c>
      <x:c r="I12" s="23" t="str">
        <x:v>Timing T20 / fictional rates</x:v>
      </x:c>
    </x:row>
    <x:row r="13" ht="21" customHeight="1">
      <x:c r="A13" s="23" t="str">
        <x:v>front_flat</x:v>
      </x:c>
      <x:c r="B13" s="23" t="n">
        <x:v>6</x:v>
      </x:c>
      <x:c r="C13" s="37" t="n">
        <x:v>46935</x:v>
      </x:c>
      <x:c r="D13" s="55" t="n">
        <x:v>0.055</x:v>
      </x:c>
      <x:c r="E13" s="55" t="n">
        <x:v>0.03</x:v>
      </x:c>
      <x:c r="F13" s="60" t="n">
        <x:v>0.055</x:v>
      </x:c>
      <x:c r="G13" s="60" t="n">
        <x:v>0.03</x:v>
      </x:c>
      <x:c r="H13" s="23" t="n">
        <x:f>IF(D13=F13,0,1)+IF(E13=G13,0,1)</x:f>
        <x:v>0</x:v>
      </x:c>
      <x:c r="I13" s="23" t="str">
        <x:v>Timing T20 / fictional rates</x:v>
      </x:c>
    </x:row>
    <x:row r="14" ht="21" customHeight="1">
      <x:c r="A14" s="23" t="str">
        <x:v>front_flat</x:v>
      </x:c>
      <x:c r="B14" s="23" t="n">
        <x:v>7</x:v>
      </x:c>
      <x:c r="C14" s="37" t="n">
        <x:v>47027</x:v>
      </x:c>
      <x:c r="D14" s="55" t="n">
        <x:v>0.055</x:v>
      </x:c>
      <x:c r="E14" s="55" t="n">
        <x:v>0.03</x:v>
      </x:c>
      <x:c r="F14" s="60" t="n">
        <x:v>0.055</x:v>
      </x:c>
      <x:c r="G14" s="60" t="n">
        <x:v>0.03</x:v>
      </x:c>
      <x:c r="H14" s="23" t="n">
        <x:f>IF(D14=F14,0,1)+IF(E14=G14,0,1)</x:f>
        <x:v>0</x:v>
      </x:c>
      <x:c r="I14" s="23" t="str">
        <x:v>Timing T20 / fictional rates</x:v>
      </x:c>
    </x:row>
    <x:row r="15" ht="21" customHeight="1">
      <x:c r="A15" s="23" t="str">
        <x:v>front_flat</x:v>
      </x:c>
      <x:c r="B15" s="23" t="n">
        <x:v>8</x:v>
      </x:c>
      <x:c r="C15" s="37" t="n">
        <x:v>47119</x:v>
      </x:c>
      <x:c r="D15" s="55" t="n">
        <x:v>0.055</x:v>
      </x:c>
      <x:c r="E15" s="55" t="n">
        <x:v>0.03</x:v>
      </x:c>
      <x:c r="F15" s="60" t="n">
        <x:v>0.055</x:v>
      </x:c>
      <x:c r="G15" s="60" t="n">
        <x:v>0.03</x:v>
      </x:c>
      <x:c r="H15" s="23" t="n">
        <x:f>IF(D15=F15,0,1)+IF(E15=G15,0,1)</x:f>
        <x:v>0</x:v>
      </x:c>
      <x:c r="I15" s="23" t="str">
        <x:v>Timing T20 / fictional rates</x:v>
      </x:c>
    </x:row>
    <x:row r="16" ht="21" customHeight="1">
      <x:c r="A16" s="23" t="str">
        <x:v>front_flat</x:v>
      </x:c>
      <x:c r="B16" s="23" t="n">
        <x:v>9</x:v>
      </x:c>
      <x:c r="C16" s="37" t="n">
        <x:v>47209</x:v>
      </x:c>
      <x:c r="D16" s="55" t="n">
        <x:v>0.04</x:v>
      </x:c>
      <x:c r="E16" s="55" t="n">
        <x:v>0.03</x:v>
      </x:c>
      <x:c r="F16" s="60" t="n">
        <x:v>0.04</x:v>
      </x:c>
      <x:c r="G16" s="60" t="n">
        <x:v>0.03</x:v>
      </x:c>
      <x:c r="H16" s="23" t="n">
        <x:f>IF(D16=F16,0,1)+IF(E16=G16,0,1)</x:f>
        <x:v>0</x:v>
      </x:c>
      <x:c r="I16" s="23" t="str">
        <x:v>Timing T20 / fictional rates</x:v>
      </x:c>
    </x:row>
    <x:row r="17" ht="21" customHeight="1">
      <x:c r="A17" s="23" t="str">
        <x:v>front_flat</x:v>
      </x:c>
      <x:c r="B17" s="23" t="n">
        <x:v>10</x:v>
      </x:c>
      <x:c r="C17" s="37" t="n">
        <x:v>47300</x:v>
      </x:c>
      <x:c r="D17" s="55" t="n">
        <x:v>0.04</x:v>
      </x:c>
      <x:c r="E17" s="55" t="n">
        <x:v>0.03</x:v>
      </x:c>
      <x:c r="F17" s="60" t="n">
        <x:v>0.04</x:v>
      </x:c>
      <x:c r="G17" s="60" t="n">
        <x:v>0.03</x:v>
      </x:c>
      <x:c r="H17" s="23" t="n">
        <x:f>IF(D17=F17,0,1)+IF(E17=G17,0,1)</x:f>
        <x:v>0</x:v>
      </x:c>
      <x:c r="I17" s="23" t="str">
        <x:v>Timing T20 / fictional rates</x:v>
      </x:c>
    </x:row>
    <x:row r="18" ht="21" customHeight="1">
      <x:c r="A18" s="23" t="str">
        <x:v>front_flat</x:v>
      </x:c>
      <x:c r="B18" s="23" t="n">
        <x:v>11</x:v>
      </x:c>
      <x:c r="C18" s="37" t="n">
        <x:v>47392</x:v>
      </x:c>
      <x:c r="D18" s="55" t="n">
        <x:v>0.04</x:v>
      </x:c>
      <x:c r="E18" s="55" t="n">
        <x:v>0.03</x:v>
      </x:c>
      <x:c r="F18" s="60" t="n">
        <x:v>0.04</x:v>
      </x:c>
      <x:c r="G18" s="60" t="n">
        <x:v>0.03</x:v>
      </x:c>
      <x:c r="H18" s="23" t="n">
        <x:f>IF(D18=F18,0,1)+IF(E18=G18,0,1)</x:f>
        <x:v>0</x:v>
      </x:c>
      <x:c r="I18" s="23" t="str">
        <x:v>Timing T20 / fictional rates</x:v>
      </x:c>
    </x:row>
    <x:row r="19" ht="21" customHeight="1">
      <x:c r="A19" s="23" t="str">
        <x:v>front_flat</x:v>
      </x:c>
      <x:c r="B19" s="23" t="n">
        <x:v>12</x:v>
      </x:c>
      <x:c r="C19" s="37" t="n">
        <x:v>47484</x:v>
      </x:c>
      <x:c r="D19" s="55" t="n">
        <x:v>0.04</x:v>
      </x:c>
      <x:c r="E19" s="55" t="n">
        <x:v>0.03</x:v>
      </x:c>
      <x:c r="F19" s="60" t="n">
        <x:v>0.04</x:v>
      </x:c>
      <x:c r="G19" s="60" t="n">
        <x:v>0.03</x:v>
      </x:c>
      <x:c r="H19" s="23" t="n">
        <x:f>IF(D19=F19,0,1)+IF(E19=G19,0,1)</x:f>
        <x:v>0</x:v>
      </x:c>
      <x:c r="I19" s="23" t="str">
        <x:v>Timing T20 / fictional rates</x:v>
      </x:c>
    </x:row>
    <x:row r="20" ht="21" customHeight="1">
      <x:c r="A20" s="23" t="str">
        <x:v>front_flat</x:v>
      </x:c>
      <x:c r="B20" s="23" t="n">
        <x:v>13</x:v>
      </x:c>
      <x:c r="C20" s="37" t="n">
        <x:v>47574</x:v>
      </x:c>
      <x:c r="D20" s="55" t="n">
        <x:v>0.0325</x:v>
      </x:c>
      <x:c r="E20" s="55" t="n">
        <x:v>0.03</x:v>
      </x:c>
      <x:c r="F20" s="60" t="n">
        <x:v>0.0325</x:v>
      </x:c>
      <x:c r="G20" s="60" t="n">
        <x:v>0.03</x:v>
      </x:c>
      <x:c r="H20" s="23" t="n">
        <x:f>IF(D20=F20,0,1)+IF(E20=G20,0,1)</x:f>
        <x:v>0</x:v>
      </x:c>
      <x:c r="I20" s="23" t="str">
        <x:v>Timing T20 / fictional rates</x:v>
      </x:c>
    </x:row>
    <x:row r="21" ht="21" customHeight="1">
      <x:c r="A21" s="23" t="str">
        <x:v>front_flat</x:v>
      </x:c>
      <x:c r="B21" s="23" t="n">
        <x:v>14</x:v>
      </x:c>
      <x:c r="C21" s="37" t="n">
        <x:v>47665</x:v>
      </x:c>
      <x:c r="D21" s="55" t="n">
        <x:v>0.0325</x:v>
      </x:c>
      <x:c r="E21" s="55" t="n">
        <x:v>0.03</x:v>
      </x:c>
      <x:c r="F21" s="60" t="n">
        <x:v>0.0325</x:v>
      </x:c>
      <x:c r="G21" s="60" t="n">
        <x:v>0.03</x:v>
      </x:c>
      <x:c r="H21" s="23" t="n">
        <x:f>IF(D21=F21,0,1)+IF(E21=G21,0,1)</x:f>
        <x:v>0</x:v>
      </x:c>
      <x:c r="I21" s="23" t="str">
        <x:v>Timing T20 / fictional rates</x:v>
      </x:c>
    </x:row>
    <x:row r="22" ht="21" customHeight="1">
      <x:c r="A22" s="23" t="str">
        <x:v>front_flat</x:v>
      </x:c>
      <x:c r="B22" s="23" t="n">
        <x:v>15</x:v>
      </x:c>
      <x:c r="C22" s="37" t="n">
        <x:v>47757</x:v>
      </x:c>
      <x:c r="D22" s="55" t="n">
        <x:v>0.0325</x:v>
      </x:c>
      <x:c r="E22" s="55" t="n">
        <x:v>0.03</x:v>
      </x:c>
      <x:c r="F22" s="60" t="n">
        <x:v>0.0325</x:v>
      </x:c>
      <x:c r="G22" s="60" t="n">
        <x:v>0.03</x:v>
      </x:c>
      <x:c r="H22" s="23" t="n">
        <x:f>IF(D22=F22,0,1)+IF(E22=G22,0,1)</x:f>
        <x:v>0</x:v>
      </x:c>
      <x:c r="I22" s="23" t="str">
        <x:v>Timing T20 / fictional rates</x:v>
      </x:c>
    </x:row>
    <x:row r="23" ht="21" customHeight="1">
      <x:c r="A23" s="23" t="str">
        <x:v>front_flat</x:v>
      </x:c>
      <x:c r="B23" s="23" t="n">
        <x:v>16</x:v>
      </x:c>
      <x:c r="C23" s="37" t="n">
        <x:v>47849</x:v>
      </x:c>
      <x:c r="D23" s="55" t="n">
        <x:v>0.0325</x:v>
      </x:c>
      <x:c r="E23" s="55" t="n">
        <x:v>0.03</x:v>
      </x:c>
      <x:c r="F23" s="60" t="n">
        <x:v>0.0325</x:v>
      </x:c>
      <x:c r="G23" s="60" t="n">
        <x:v>0.03</x:v>
      </x:c>
      <x:c r="H23" s="23" t="n">
        <x:f>IF(D23=F23,0,1)+IF(E23=G23,0,1)</x:f>
        <x:v>0</x:v>
      </x:c>
      <x:c r="I23" s="23" t="str">
        <x:v>Timing T20 / fictional rates</x:v>
      </x:c>
    </x:row>
    <x:row r="24" ht="21" customHeight="1">
      <x:c r="A24" s="23" t="str">
        <x:v>front_flat</x:v>
      </x:c>
      <x:c r="B24" s="23" t="n">
        <x:v>17</x:v>
      </x:c>
      <x:c r="C24" s="37" t="n">
        <x:v>47939</x:v>
      </x:c>
      <x:c r="D24" s="55" t="n">
        <x:v>0.025</x:v>
      </x:c>
      <x:c r="E24" s="55" t="n">
        <x:v>0.03</x:v>
      </x:c>
      <x:c r="F24" s="60" t="n">
        <x:v>0.025</x:v>
      </x:c>
      <x:c r="G24" s="60" t="n">
        <x:v>0.03</x:v>
      </x:c>
      <x:c r="H24" s="23" t="n">
        <x:f>IF(D24=F24,0,1)+IF(E24=G24,0,1)</x:f>
        <x:v>0</x:v>
      </x:c>
      <x:c r="I24" s="23" t="str">
        <x:v>Timing T20 / fictional rates</x:v>
      </x:c>
    </x:row>
    <x:row r="25" ht="21" customHeight="1">
      <x:c r="A25" s="23" t="str">
        <x:v>front_flat</x:v>
      </x:c>
      <x:c r="B25" s="23" t="n">
        <x:v>18</x:v>
      </x:c>
      <x:c r="C25" s="37" t="n">
        <x:v>48030</x:v>
      </x:c>
      <x:c r="D25" s="55" t="n">
        <x:v>0.025</x:v>
      </x:c>
      <x:c r="E25" s="55" t="n">
        <x:v>0.03</x:v>
      </x:c>
      <x:c r="F25" s="60" t="n">
        <x:v>0.025</x:v>
      </x:c>
      <x:c r="G25" s="60" t="n">
        <x:v>0.03</x:v>
      </x:c>
      <x:c r="H25" s="23" t="n">
        <x:f>IF(D25=F25,0,1)+IF(E25=G25,0,1)</x:f>
        <x:v>0</x:v>
      </x:c>
      <x:c r="I25" s="23" t="str">
        <x:v>Timing T20 / fictional rates</x:v>
      </x:c>
    </x:row>
    <x:row r="26" ht="21" customHeight="1">
      <x:c r="A26" s="23" t="str">
        <x:v>front_flat</x:v>
      </x:c>
      <x:c r="B26" s="23" t="n">
        <x:v>19</x:v>
      </x:c>
      <x:c r="C26" s="37" t="n">
        <x:v>48122</x:v>
      </x:c>
      <x:c r="D26" s="55" t="n">
        <x:v>0.025</x:v>
      </x:c>
      <x:c r="E26" s="55" t="n">
        <x:v>0.03</x:v>
      </x:c>
      <x:c r="F26" s="60" t="n">
        <x:v>0.025</x:v>
      </x:c>
      <x:c r="G26" s="60" t="n">
        <x:v>0.03</x:v>
      </x:c>
      <x:c r="H26" s="23" t="n">
        <x:f>IF(D26=F26,0,1)+IF(E26=G26,0,1)</x:f>
        <x:v>0</x:v>
      </x:c>
      <x:c r="I26" s="23" t="str">
        <x:v>Timing T20 / fictional rates</x:v>
      </x:c>
    </x:row>
    <x:row r="27" ht="21" customHeight="1">
      <x:c r="A27" s="23" t="str">
        <x:v>front_flat</x:v>
      </x:c>
      <x:c r="B27" s="23" t="n">
        <x:v>20</x:v>
      </x:c>
      <x:c r="C27" s="37" t="n">
        <x:v>48214</x:v>
      </x:c>
      <x:c r="D27" s="55" t="n">
        <x:v>0.025</x:v>
      </x:c>
      <x:c r="E27" s="55" t="n">
        <x:v>0.03</x:v>
      </x:c>
      <x:c r="F27" s="60" t="n">
        <x:v>0.025</x:v>
      </x:c>
      <x:c r="G27" s="60" t="n">
        <x:v>0.03</x:v>
      </x:c>
      <x:c r="H27" s="23" t="n">
        <x:f>IF(D27=F27,0,1)+IF(E27=G27,0,1)</x:f>
        <x:v>0</x:v>
      </x:c>
      <x:c r="I27" s="23" t="str">
        <x:v>Timing T20 / fictional rates</x:v>
      </x:c>
    </x:row>
    <x:row r="28" ht="21" customHeight="1">
      <x:c r="A28" s="23" t="str">
        <x:v>front_flat</x:v>
      </x:c>
      <x:c r="B28" s="23" t="n">
        <x:v>21</x:v>
      </x:c>
      <x:c r="C28" s="37" t="n">
        <x:v>48305</x:v>
      </x:c>
      <x:c r="D28" s="55" t="n">
        <x:v>0</x:v>
      </x:c>
      <x:c r="E28" s="55" t="n">
        <x:v>0.03</x:v>
      </x:c>
      <x:c r="F28" s="60" t="n">
        <x:v>0</x:v>
      </x:c>
      <x:c r="G28" s="60" t="n">
        <x:v>0.03</x:v>
      </x:c>
      <x:c r="H28" s="23" t="n">
        <x:f>IF(D28=F28,0,1)+IF(E28=G28,0,1)</x:f>
        <x:v>0</x:v>
      </x:c>
      <x:c r="I28" s="23" t="str">
        <x:v>Timing T20 / fictional rates</x:v>
      </x:c>
    </x:row>
    <x:row r="29" ht="21" customHeight="1">
      <x:c r="A29" s="23" t="str">
        <x:v>front_flat</x:v>
      </x:c>
      <x:c r="B29" s="23" t="n">
        <x:v>22</x:v>
      </x:c>
      <x:c r="C29" s="37" t="n">
        <x:v>48396</x:v>
      </x:c>
      <x:c r="D29" s="55" t="n">
        <x:v>0</x:v>
      </x:c>
      <x:c r="E29" s="55" t="n">
        <x:v>0.03</x:v>
      </x:c>
      <x:c r="F29" s="60" t="n">
        <x:v>0</x:v>
      </x:c>
      <x:c r="G29" s="60" t="n">
        <x:v>0.03</x:v>
      </x:c>
      <x:c r="H29" s="23" t="n">
        <x:f>IF(D29=F29,0,1)+IF(E29=G29,0,1)</x:f>
        <x:v>0</x:v>
      </x:c>
      <x:c r="I29" s="23" t="str">
        <x:v>Timing T20 / fictional rates</x:v>
      </x:c>
    </x:row>
    <x:row r="30" ht="21" customHeight="1">
      <x:c r="A30" s="23" t="str">
        <x:v>front_flat</x:v>
      </x:c>
      <x:c r="B30" s="23" t="n">
        <x:v>23</x:v>
      </x:c>
      <x:c r="C30" s="37" t="n">
        <x:v>48488</x:v>
      </x:c>
      <x:c r="D30" s="55" t="n">
        <x:v>0</x:v>
      </x:c>
      <x:c r="E30" s="55" t="n">
        <x:v>0.03</x:v>
      </x:c>
      <x:c r="F30" s="60" t="n">
        <x:v>0</x:v>
      </x:c>
      <x:c r="G30" s="60" t="n">
        <x:v>0.03</x:v>
      </x:c>
      <x:c r="H30" s="23" t="n">
        <x:f>IF(D30=F30,0,1)+IF(E30=G30,0,1)</x:f>
        <x:v>0</x:v>
      </x:c>
      <x:c r="I30" s="23" t="str">
        <x:v>Timing T20 / fictional rates</x:v>
      </x:c>
    </x:row>
    <x:row r="31" ht="21" customHeight="1">
      <x:c r="A31" s="23" t="str">
        <x:v>front_flat</x:v>
      </x:c>
      <x:c r="B31" s="23" t="n">
        <x:v>24</x:v>
      </x:c>
      <x:c r="C31" s="37" t="n">
        <x:v>48580</x:v>
      </x:c>
      <x:c r="D31" s="55" t="n">
        <x:v>0</x:v>
      </x:c>
      <x:c r="E31" s="55" t="n">
        <x:v>0.03</x:v>
      </x:c>
      <x:c r="F31" s="60" t="n">
        <x:v>0</x:v>
      </x:c>
      <x:c r="G31" s="60" t="n">
        <x:v>0.03</x:v>
      </x:c>
      <x:c r="H31" s="23" t="n">
        <x:f>IF(D31=F31,0,1)+IF(E31=G31,0,1)</x:f>
        <x:v>0</x:v>
      </x:c>
      <x:c r="I31" s="23" t="str">
        <x:v>Timing T20 / fictional rates</x:v>
      </x:c>
    </x:row>
    <x:row r="32" ht="21" customHeight="1">
      <x:c r="A32" s="23" t="str">
        <x:v>front_flat</x:v>
      </x:c>
      <x:c r="B32" s="23" t="n">
        <x:v>25</x:v>
      </x:c>
      <x:c r="C32" s="37" t="n">
        <x:v>48670</x:v>
      </x:c>
      <x:c r="D32" s="55" t="n">
        <x:v>0</x:v>
      </x:c>
      <x:c r="E32" s="55" t="n">
        <x:v>0.03</x:v>
      </x:c>
      <x:c r="F32" s="60" t="n">
        <x:v>0</x:v>
      </x:c>
      <x:c r="G32" s="60" t="n">
        <x:v>0.03</x:v>
      </x:c>
      <x:c r="H32" s="23" t="n">
        <x:f>IF(D32=F32,0,1)+IF(E32=G32,0,1)</x:f>
        <x:v>0</x:v>
      </x:c>
      <x:c r="I32" s="23" t="str">
        <x:v>Timing T20 / fictional rates</x:v>
      </x:c>
    </x:row>
    <x:row r="33" ht="21" customHeight="1">
      <x:c r="A33" s="23" t="str">
        <x:v>front_flat</x:v>
      </x:c>
      <x:c r="B33" s="23" t="n">
        <x:v>26</x:v>
      </x:c>
      <x:c r="C33" s="37" t="n">
        <x:v>48761</x:v>
      </x:c>
      <x:c r="D33" s="55" t="n">
        <x:v>0</x:v>
      </x:c>
      <x:c r="E33" s="55" t="n">
        <x:v>0.03</x:v>
      </x:c>
      <x:c r="F33" s="60" t="n">
        <x:v>0</x:v>
      </x:c>
      <x:c r="G33" s="60" t="n">
        <x:v>0.03</x:v>
      </x:c>
      <x:c r="H33" s="23" t="n">
        <x:f>IF(D33=F33,0,1)+IF(E33=G33,0,1)</x:f>
        <x:v>0</x:v>
      </x:c>
      <x:c r="I33" s="23" t="str">
        <x:v>Timing T20 / fictional rates</x:v>
      </x:c>
    </x:row>
    <x:row r="34" ht="21" customHeight="1">
      <x:c r="A34" s="23" t="str">
        <x:v>front_flat</x:v>
      </x:c>
      <x:c r="B34" s="23" t="n">
        <x:v>27</x:v>
      </x:c>
      <x:c r="C34" s="37" t="n">
        <x:v>48853</x:v>
      </x:c>
      <x:c r="D34" s="55" t="n">
        <x:v>0</x:v>
      </x:c>
      <x:c r="E34" s="55" t="n">
        <x:v>0.03</x:v>
      </x:c>
      <x:c r="F34" s="60" t="n">
        <x:v>0</x:v>
      </x:c>
      <x:c r="G34" s="60" t="n">
        <x:v>0.03</x:v>
      </x:c>
      <x:c r="H34" s="23" t="n">
        <x:f>IF(D34=F34,0,1)+IF(E34=G34,0,1)</x:f>
        <x:v>0</x:v>
      </x:c>
      <x:c r="I34" s="23" t="str">
        <x:v>Timing T20 / fictional rates</x:v>
      </x:c>
    </x:row>
    <x:row r="35" ht="21" customHeight="1">
      <x:c r="A35" s="23" t="str">
        <x:v>front_flat</x:v>
      </x:c>
      <x:c r="B35" s="23" t="n">
        <x:v>28</x:v>
      </x:c>
      <x:c r="C35" s="37" t="n">
        <x:v>48945</x:v>
      </x:c>
      <x:c r="D35" s="55" t="n">
        <x:v>0</x:v>
      </x:c>
      <x:c r="E35" s="55" t="n">
        <x:v>0.03</x:v>
      </x:c>
      <x:c r="F35" s="60" t="n">
        <x:v>0</x:v>
      </x:c>
      <x:c r="G35" s="60" t="n">
        <x:v>0.03</x:v>
      </x:c>
      <x:c r="H35" s="23" t="n">
        <x:f>IF(D35=F35,0,1)+IF(E35=G35,0,1)</x:f>
        <x:v>0</x:v>
      </x:c>
      <x:c r="I35" s="23" t="str">
        <x:v>Timing T20 / fictional rates</x:v>
      </x:c>
    </x:row>
    <x:row r="36" ht="21" customHeight="1">
      <x:c r="A36" s="23" t="str">
        <x:v>front_flat</x:v>
      </x:c>
      <x:c r="B36" s="23" t="n">
        <x:v>29</x:v>
      </x:c>
      <x:c r="C36" s="37" t="n">
        <x:v>49035</x:v>
      </x:c>
      <x:c r="D36" s="55" t="n">
        <x:v>0</x:v>
      </x:c>
      <x:c r="E36" s="55" t="n">
        <x:v>0.03</x:v>
      </x:c>
      <x:c r="F36" s="60" t="n">
        <x:v>0</x:v>
      </x:c>
      <x:c r="G36" s="60" t="n">
        <x:v>0.03</x:v>
      </x:c>
      <x:c r="H36" s="23" t="n">
        <x:f>IF(D36=F36,0,1)+IF(E36=G36,0,1)</x:f>
        <x:v>0</x:v>
      </x:c>
      <x:c r="I36" s="23" t="str">
        <x:v>Timing T20 / fictional rates</x:v>
      </x:c>
    </x:row>
    <x:row r="37" ht="21" customHeight="1">
      <x:c r="A37" s="23" t="str">
        <x:v>front_flat</x:v>
      </x:c>
      <x:c r="B37" s="23" t="n">
        <x:v>30</x:v>
      </x:c>
      <x:c r="C37" s="37" t="n">
        <x:v>49126</x:v>
      </x:c>
      <x:c r="D37" s="55" t="n">
        <x:v>0</x:v>
      </x:c>
      <x:c r="E37" s="55" t="n">
        <x:v>0.03</x:v>
      </x:c>
      <x:c r="F37" s="60" t="n">
        <x:v>0</x:v>
      </x:c>
      <x:c r="G37" s="60" t="n">
        <x:v>0.03</x:v>
      </x:c>
      <x:c r="H37" s="23" t="n">
        <x:f>IF(D37=F37,0,1)+IF(E37=G37,0,1)</x:f>
        <x:v>0</x:v>
      </x:c>
      <x:c r="I37" s="23" t="str">
        <x:v>Timing T20 / fictional rates</x:v>
      </x:c>
    </x:row>
    <x:row r="38" ht="21" customHeight="1">
      <x:c r="A38" s="23" t="str">
        <x:v>front_flat</x:v>
      </x:c>
      <x:c r="B38" s="23" t="n">
        <x:v>31</x:v>
      </x:c>
      <x:c r="C38" s="37" t="n">
        <x:v>49218</x:v>
      </x:c>
      <x:c r="D38" s="55" t="n">
        <x:v>0</x:v>
      </x:c>
      <x:c r="E38" s="55" t="n">
        <x:v>0.03</x:v>
      </x:c>
      <x:c r="F38" s="60" t="n">
        <x:v>0</x:v>
      </x:c>
      <x:c r="G38" s="60" t="n">
        <x:v>0.03</x:v>
      </x:c>
      <x:c r="H38" s="23" t="n">
        <x:f>IF(D38=F38,0,1)+IF(E38=G38,0,1)</x:f>
        <x:v>0</x:v>
      </x:c>
      <x:c r="I38" s="23" t="str">
        <x:v>Timing T20 / fictional rates</x:v>
      </x:c>
    </x:row>
    <x:row r="39" ht="21" customHeight="1">
      <x:c r="A39" s="23" t="str">
        <x:v>front_flat</x:v>
      </x:c>
      <x:c r="B39" s="23" t="n">
        <x:v>32</x:v>
      </x:c>
      <x:c r="C39" s="37" t="n">
        <x:v>49310</x:v>
      </x:c>
      <x:c r="D39" s="55" t="n">
        <x:v>0</x:v>
      </x:c>
      <x:c r="E39" s="55" t="n">
        <x:v>0.03</x:v>
      </x:c>
      <x:c r="F39" s="60" t="n">
        <x:v>0</x:v>
      </x:c>
      <x:c r="G39" s="60" t="n">
        <x:v>0.03</x:v>
      </x:c>
      <x:c r="H39" s="23" t="n">
        <x:f>IF(D39=F39,0,1)+IF(E39=G39,0,1)</x:f>
        <x:v>0</x:v>
      </x:c>
      <x:c r="I39" s="23" t="str">
        <x:v>Timing T20 / fictional rates</x:v>
      </x:c>
    </x:row>
    <x:row r="40" ht="21" customHeight="1">
      <x:c r="A40" s="23" t="str">
        <x:v>front_flat</x:v>
      </x:c>
      <x:c r="B40" s="23" t="n">
        <x:v>33</x:v>
      </x:c>
      <x:c r="C40" s="37" t="n">
        <x:v>49400</x:v>
      </x:c>
      <x:c r="D40" s="55" t="n">
        <x:v>0</x:v>
      </x:c>
      <x:c r="E40" s="55" t="n">
        <x:v>0.03</x:v>
      </x:c>
      <x:c r="F40" s="60" t="n">
        <x:v>0</x:v>
      </x:c>
      <x:c r="G40" s="60" t="n">
        <x:v>0.03</x:v>
      </x:c>
      <x:c r="H40" s="23" t="n">
        <x:f>IF(D40=F40,0,1)+IF(E40=G40,0,1)</x:f>
        <x:v>0</x:v>
      </x:c>
      <x:c r="I40" s="23" t="str">
        <x:v>Timing T20 / fictional rates</x:v>
      </x:c>
    </x:row>
    <x:row r="41" ht="21" customHeight="1">
      <x:c r="A41" s="23" t="str">
        <x:v>front_flat</x:v>
      </x:c>
      <x:c r="B41" s="23" t="n">
        <x:v>34</x:v>
      </x:c>
      <x:c r="C41" s="37" t="n">
        <x:v>49491</x:v>
      </x:c>
      <x:c r="D41" s="55" t="n">
        <x:v>0</x:v>
      </x:c>
      <x:c r="E41" s="55" t="n">
        <x:v>0.03</x:v>
      </x:c>
      <x:c r="F41" s="60" t="n">
        <x:v>0</x:v>
      </x:c>
      <x:c r="G41" s="60" t="n">
        <x:v>0.03</x:v>
      </x:c>
      <x:c r="H41" s="23" t="n">
        <x:f>IF(D41=F41,0,1)+IF(E41=G41,0,1)</x:f>
        <x:v>0</x:v>
      </x:c>
      <x:c r="I41" s="23" t="str">
        <x:v>Timing T20 / fictional rates</x:v>
      </x:c>
    </x:row>
    <x:row r="42" ht="21" customHeight="1">
      <x:c r="A42" s="23" t="str">
        <x:v>front_flat</x:v>
      </x:c>
      <x:c r="B42" s="23" t="n">
        <x:v>35</x:v>
      </x:c>
      <x:c r="C42" s="37" t="n">
        <x:v>49583</x:v>
      </x:c>
      <x:c r="D42" s="55" t="n">
        <x:v>0</x:v>
      </x:c>
      <x:c r="E42" s="55" t="n">
        <x:v>0.03</x:v>
      </x:c>
      <x:c r="F42" s="60" t="n">
        <x:v>0</x:v>
      </x:c>
      <x:c r="G42" s="60" t="n">
        <x:v>0.03</x:v>
      </x:c>
      <x:c r="H42" s="23" t="n">
        <x:f>IF(D42=F42,0,1)+IF(E42=G42,0,1)</x:f>
        <x:v>0</x:v>
      </x:c>
      <x:c r="I42" s="23" t="str">
        <x:v>Timing T20 / fictional rates</x:v>
      </x:c>
    </x:row>
    <x:row r="43" ht="21" customHeight="1">
      <x:c r="A43" s="23" t="str">
        <x:v>front_flat</x:v>
      </x:c>
      <x:c r="B43" s="23" t="n">
        <x:v>36</x:v>
      </x:c>
      <x:c r="C43" s="37" t="n">
        <x:v>49675</x:v>
      </x:c>
      <x:c r="D43" s="55" t="n">
        <x:v>0</x:v>
      </x:c>
      <x:c r="E43" s="55" t="n">
        <x:v>0.03</x:v>
      </x:c>
      <x:c r="F43" s="60" t="n">
        <x:v>0</x:v>
      </x:c>
      <x:c r="G43" s="60" t="n">
        <x:v>0.03</x:v>
      </x:c>
      <x:c r="H43" s="23" t="n">
        <x:f>IF(D43=F43,0,1)+IF(E43=G43,0,1)</x:f>
        <x:v>0</x:v>
      </x:c>
      <x:c r="I43" s="23" t="str">
        <x:v>Timing T20 / fictional rates</x:v>
      </x:c>
    </x:row>
    <x:row r="44" ht="21" customHeight="1">
      <x:c r="A44" s="23" t="str">
        <x:v>front_flat</x:v>
      </x:c>
      <x:c r="B44" s="23" t="n">
        <x:v>37</x:v>
      </x:c>
      <x:c r="C44" s="37" t="n">
        <x:v>49766</x:v>
      </x:c>
      <x:c r="D44" s="55" t="n">
        <x:v>0</x:v>
      </x:c>
      <x:c r="E44" s="55" t="n">
        <x:v>0.03</x:v>
      </x:c>
      <x:c r="F44" s="60" t="n">
        <x:v>0</x:v>
      </x:c>
      <x:c r="G44" s="60" t="n">
        <x:v>0.03</x:v>
      </x:c>
      <x:c r="H44" s="23" t="n">
        <x:f>IF(D44=F44,0,1)+IF(E44=G44,0,1)</x:f>
        <x:v>0</x:v>
      </x:c>
      <x:c r="I44" s="23" t="str">
        <x:v>Timing T20 / fictional rates</x:v>
      </x:c>
    </x:row>
    <x:row r="45" ht="21" customHeight="1">
      <x:c r="A45" s="23" t="str">
        <x:v>front_flat</x:v>
      </x:c>
      <x:c r="B45" s="23" t="n">
        <x:v>38</x:v>
      </x:c>
      <x:c r="C45" s="37" t="n">
        <x:v>49857</x:v>
      </x:c>
      <x:c r="D45" s="55" t="n">
        <x:v>0</x:v>
      </x:c>
      <x:c r="E45" s="55" t="n">
        <x:v>0.03</x:v>
      </x:c>
      <x:c r="F45" s="60" t="n">
        <x:v>0</x:v>
      </x:c>
      <x:c r="G45" s="60" t="n">
        <x:v>0.03</x:v>
      </x:c>
      <x:c r="H45" s="23" t="n">
        <x:f>IF(D45=F45,0,1)+IF(E45=G45,0,1)</x:f>
        <x:v>0</x:v>
      </x:c>
      <x:c r="I45" s="23" t="str">
        <x:v>Timing T20 / fictional rates</x:v>
      </x:c>
    </x:row>
    <x:row r="46" ht="21" customHeight="1">
      <x:c r="A46" s="23" t="str">
        <x:v>front_flat</x:v>
      </x:c>
      <x:c r="B46" s="23" t="n">
        <x:v>39</x:v>
      </x:c>
      <x:c r="C46" s="37" t="n">
        <x:v>49949</x:v>
      </x:c>
      <x:c r="D46" s="55" t="n">
        <x:v>0</x:v>
      </x:c>
      <x:c r="E46" s="55" t="n">
        <x:v>0.03</x:v>
      </x:c>
      <x:c r="F46" s="60" t="n">
        <x:v>0</x:v>
      </x:c>
      <x:c r="G46" s="60" t="n">
        <x:v>0.03</x:v>
      </x:c>
      <x:c r="H46" s="23" t="n">
        <x:f>IF(D46=F46,0,1)+IF(E46=G46,0,1)</x:f>
        <x:v>0</x:v>
      </x:c>
      <x:c r="I46" s="23" t="str">
        <x:v>Timing T20 / fictional rates</x:v>
      </x:c>
    </x:row>
    <x:row r="47" ht="21" customHeight="1">
      <x:c r="A47" s="23" t="str">
        <x:v>front_flat</x:v>
      </x:c>
      <x:c r="B47" s="23" t="n">
        <x:v>40</x:v>
      </x:c>
      <x:c r="C47" s="37" t="n">
        <x:v>50041</x:v>
      </x:c>
      <x:c r="D47" s="55" t="n">
        <x:v>0</x:v>
      </x:c>
      <x:c r="E47" s="55" t="n">
        <x:v>0.03</x:v>
      </x:c>
      <x:c r="F47" s="60" t="n">
        <x:v>0</x:v>
      </x:c>
      <x:c r="G47" s="60" t="n">
        <x:v>0.03</x:v>
      </x:c>
      <x:c r="H47" s="23" t="n">
        <x:f>IF(D47=F47,0,1)+IF(E47=G47,0,1)</x:f>
        <x:v>0</x:v>
      </x:c>
      <x:c r="I47" s="23" t="str">
        <x:v>Timing T20 / fictional rates</x:v>
      </x:c>
    </x:row>
    <x:row r="48" ht="21" customHeight="1">
      <x:c r="A48" s="23" t="str">
        <x:v>front_flat</x:v>
      </x:c>
      <x:c r="B48" s="23" t="n">
        <x:v>41</x:v>
      </x:c>
      <x:c r="C48" s="37" t="n">
        <x:v>50131</x:v>
      </x:c>
      <x:c r="D48" s="55" t="n">
        <x:v>0</x:v>
      </x:c>
      <x:c r="E48" s="55" t="n">
        <x:v>0.03</x:v>
      </x:c>
      <x:c r="F48" s="60" t="n">
        <x:v>0</x:v>
      </x:c>
      <x:c r="G48" s="60" t="n">
        <x:v>0.03</x:v>
      </x:c>
      <x:c r="H48" s="23" t="n">
        <x:f>IF(D48=F48,0,1)+IF(E48=G48,0,1)</x:f>
        <x:v>0</x:v>
      </x:c>
      <x:c r="I48" s="23" t="str">
        <x:v>Timing T20 / fictional rates</x:v>
      </x:c>
    </x:row>
    <x:row r="49" ht="21" customHeight="1">
      <x:c r="A49" s="23" t="str">
        <x:v>front_flat</x:v>
      </x:c>
      <x:c r="B49" s="23" t="n">
        <x:v>42</x:v>
      </x:c>
      <x:c r="C49" s="37" t="n">
        <x:v>50222</x:v>
      </x:c>
      <x:c r="D49" s="55" t="n">
        <x:v>0</x:v>
      </x:c>
      <x:c r="E49" s="55" t="n">
        <x:v>0.03</x:v>
      </x:c>
      <x:c r="F49" s="60" t="n">
        <x:v>0</x:v>
      </x:c>
      <x:c r="G49" s="60" t="n">
        <x:v>0.03</x:v>
      </x:c>
      <x:c r="H49" s="23" t="n">
        <x:f>IF(D49=F49,0,1)+IF(E49=G49,0,1)</x:f>
        <x:v>0</x:v>
      </x:c>
      <x:c r="I49" s="23" t="str">
        <x:v>Timing T20 / fictional rates</x:v>
      </x:c>
    </x:row>
    <x:row r="50" ht="21" customHeight="1">
      <x:c r="A50" s="23" t="str">
        <x:v>front_flat</x:v>
      </x:c>
      <x:c r="B50" s="23" t="n">
        <x:v>43</x:v>
      </x:c>
      <x:c r="C50" s="37" t="n">
        <x:v>50314</x:v>
      </x:c>
      <x:c r="D50" s="55" t="n">
        <x:v>0</x:v>
      </x:c>
      <x:c r="E50" s="55" t="n">
        <x:v>0.03</x:v>
      </x:c>
      <x:c r="F50" s="60" t="n">
        <x:v>0</x:v>
      </x:c>
      <x:c r="G50" s="60" t="n">
        <x:v>0.03</x:v>
      </x:c>
      <x:c r="H50" s="23" t="n">
        <x:f>IF(D50=F50,0,1)+IF(E50=G50,0,1)</x:f>
        <x:v>0</x:v>
      </x:c>
      <x:c r="I50" s="23" t="str">
        <x:v>Timing T20 / fictional rates</x:v>
      </x:c>
    </x:row>
    <x:row r="51" ht="21" customHeight="1">
      <x:c r="A51" s="23" t="str">
        <x:v>front_flat</x:v>
      </x:c>
      <x:c r="B51" s="23" t="n">
        <x:v>44</x:v>
      </x:c>
      <x:c r="C51" s="37" t="n">
        <x:v>50406</x:v>
      </x:c>
      <x:c r="D51" s="55" t="n">
        <x:v>0</x:v>
      </x:c>
      <x:c r="E51" s="55" t="n">
        <x:v>0.03</x:v>
      </x:c>
      <x:c r="F51" s="60" t="n">
        <x:v>0</x:v>
      </x:c>
      <x:c r="G51" s="60" t="n">
        <x:v>0.03</x:v>
      </x:c>
      <x:c r="H51" s="23" t="n">
        <x:f>IF(D51=F51,0,1)+IF(E51=G51,0,1)</x:f>
        <x:v>0</x:v>
      </x:c>
      <x:c r="I51" s="23" t="str">
        <x:v>Timing T20 / fictional rates</x:v>
      </x:c>
    </x:row>
    <x:row r="52" ht="21" customHeight="1">
      <x:c r="A52" s="23" t="str">
        <x:v>front_flat</x:v>
      </x:c>
      <x:c r="B52" s="23" t="n">
        <x:v>45</x:v>
      </x:c>
      <x:c r="C52" s="37" t="n">
        <x:v>50496</x:v>
      </x:c>
      <x:c r="D52" s="55" t="n">
        <x:v>0</x:v>
      </x:c>
      <x:c r="E52" s="55" t="n">
        <x:v>0.03</x:v>
      </x:c>
      <x:c r="F52" s="60" t="n">
        <x:v>0</x:v>
      </x:c>
      <x:c r="G52" s="60" t="n">
        <x:v>0.03</x:v>
      </x:c>
      <x:c r="H52" s="23" t="n">
        <x:f>IF(D52=F52,0,1)+IF(E52=G52,0,1)</x:f>
        <x:v>0</x:v>
      </x:c>
      <x:c r="I52" s="23" t="str">
        <x:v>Timing T20 / fictional rates</x:v>
      </x:c>
    </x:row>
    <x:row r="53" ht="21" customHeight="1">
      <x:c r="A53" s="23" t="str">
        <x:v>front_flat</x:v>
      </x:c>
      <x:c r="B53" s="23" t="n">
        <x:v>46</x:v>
      </x:c>
      <x:c r="C53" s="37" t="n">
        <x:v>50587</x:v>
      </x:c>
      <x:c r="D53" s="55" t="n">
        <x:v>0</x:v>
      </x:c>
      <x:c r="E53" s="55" t="n">
        <x:v>0.03</x:v>
      </x:c>
      <x:c r="F53" s="60" t="n">
        <x:v>0</x:v>
      </x:c>
      <x:c r="G53" s="60" t="n">
        <x:v>0.03</x:v>
      </x:c>
      <x:c r="H53" s="23" t="n">
        <x:f>IF(D53=F53,0,1)+IF(E53=G53,0,1)</x:f>
        <x:v>0</x:v>
      </x:c>
      <x:c r="I53" s="23" t="str">
        <x:v>Timing T20 / fictional rates</x:v>
      </x:c>
    </x:row>
    <x:row r="54" ht="21" customHeight="1">
      <x:c r="A54" s="23" t="str">
        <x:v>front_flat</x:v>
      </x:c>
      <x:c r="B54" s="23" t="n">
        <x:v>47</x:v>
      </x:c>
      <x:c r="C54" s="37" t="n">
        <x:v>50679</x:v>
      </x:c>
      <x:c r="D54" s="55" t="n">
        <x:v>0</x:v>
      </x:c>
      <x:c r="E54" s="55" t="n">
        <x:v>0.03</x:v>
      </x:c>
      <x:c r="F54" s="60" t="n">
        <x:v>0</x:v>
      </x:c>
      <x:c r="G54" s="60" t="n">
        <x:v>0.03</x:v>
      </x:c>
      <x:c r="H54" s="23" t="n">
        <x:f>IF(D54=F54,0,1)+IF(E54=G54,0,1)</x:f>
        <x:v>0</x:v>
      </x:c>
      <x:c r="I54" s="23" t="str">
        <x:v>Timing T20 / fictional rates</x:v>
      </x:c>
    </x:row>
    <x:row r="55" ht="21" customHeight="1">
      <x:c r="A55" s="23" t="str">
        <x:v>front_flat</x:v>
      </x:c>
      <x:c r="B55" s="23" t="n">
        <x:v>48</x:v>
      </x:c>
      <x:c r="C55" s="37" t="n">
        <x:v>50771</x:v>
      </x:c>
      <x:c r="D55" s="55" t="n">
        <x:v>0</x:v>
      </x:c>
      <x:c r="E55" s="55" t="n">
        <x:v>0.03</x:v>
      </x:c>
      <x:c r="F55" s="60" t="n">
        <x:v>0</x:v>
      </x:c>
      <x:c r="G55" s="60" t="n">
        <x:v>0.03</x:v>
      </x:c>
      <x:c r="H55" s="23" t="n">
        <x:f>IF(D55=F55,0,1)+IF(E55=G55,0,1)</x:f>
        <x:v>0</x:v>
      </x:c>
      <x:c r="I55" s="23" t="str">
        <x:v>Timing T20 / fictional rates</x:v>
      </x:c>
    </x:row>
    <x:row r="56" ht="21" customHeight="1">
      <x:c r="A56" s="23" t="str">
        <x:v>front_low</x:v>
      </x:c>
      <x:c r="B56" s="23" t="n">
        <x:v>1</x:v>
      </x:c>
      <x:c r="C56" s="37" t="n">
        <x:v>46478</x:v>
      </x:c>
      <x:c r="D56" s="55" t="n">
        <x:v>0.0975</x:v>
      </x:c>
      <x:c r="E56" s="55" t="n">
        <x:v>0.005</x:v>
      </x:c>
      <x:c r="F56" s="60" t="n">
        <x:v>0.0975</x:v>
      </x:c>
      <x:c r="G56" s="60" t="n">
        <x:v>0.005</x:v>
      </x:c>
      <x:c r="H56" s="23" t="n">
        <x:f>IF(D56=F56,0,1)+IF(E56=G56,0,1)</x:f>
        <x:v>0</x:v>
      </x:c>
      <x:c r="I56" s="23" t="str">
        <x:v>Timing T20 / fictional rates</x:v>
      </x:c>
    </x:row>
    <x:row r="57" ht="21" customHeight="1">
      <x:c r="A57" s="23" t="str">
        <x:v>front_low</x:v>
      </x:c>
      <x:c r="B57" s="23" t="n">
        <x:v>2</x:v>
      </x:c>
      <x:c r="C57" s="37" t="n">
        <x:v>46569</x:v>
      </x:c>
      <x:c r="D57" s="55" t="n">
        <x:v>0.0975</x:v>
      </x:c>
      <x:c r="E57" s="55" t="n">
        <x:v>0.005</x:v>
      </x:c>
      <x:c r="F57" s="60" t="n">
        <x:v>0.0975</x:v>
      </x:c>
      <x:c r="G57" s="60" t="n">
        <x:v>0.005</x:v>
      </x:c>
      <x:c r="H57" s="23" t="n">
        <x:f>IF(D57=F57,0,1)+IF(E57=G57,0,1)</x:f>
        <x:v>0</x:v>
      </x:c>
      <x:c r="I57" s="23" t="str">
        <x:v>Timing T20 / fictional rates</x:v>
      </x:c>
    </x:row>
    <x:row r="58" ht="21" customHeight="1">
      <x:c r="A58" s="23" t="str">
        <x:v>front_low</x:v>
      </x:c>
      <x:c r="B58" s="23" t="n">
        <x:v>3</x:v>
      </x:c>
      <x:c r="C58" s="37" t="n">
        <x:v>46661</x:v>
      </x:c>
      <x:c r="D58" s="55" t="n">
        <x:v>0.0975</x:v>
      </x:c>
      <x:c r="E58" s="55" t="n">
        <x:v>0.005</x:v>
      </x:c>
      <x:c r="F58" s="60" t="n">
        <x:v>0.0975</x:v>
      </x:c>
      <x:c r="G58" s="60" t="n">
        <x:v>0.005</x:v>
      </x:c>
      <x:c r="H58" s="23" t="n">
        <x:f>IF(D58=F58,0,1)+IF(E58=G58,0,1)</x:f>
        <x:v>0</x:v>
      </x:c>
      <x:c r="I58" s="23" t="str">
        <x:v>Timing T20 / fictional rates</x:v>
      </x:c>
    </x:row>
    <x:row r="59" ht="21" customHeight="1">
      <x:c r="A59" s="23" t="str">
        <x:v>front_low</x:v>
      </x:c>
      <x:c r="B59" s="23" t="n">
        <x:v>4</x:v>
      </x:c>
      <x:c r="C59" s="37" t="n">
        <x:v>46753</x:v>
      </x:c>
      <x:c r="D59" s="55" t="n">
        <x:v>0.0975</x:v>
      </x:c>
      <x:c r="E59" s="55" t="n">
        <x:v>0.005</x:v>
      </x:c>
      <x:c r="F59" s="60" t="n">
        <x:v>0.0975</x:v>
      </x:c>
      <x:c r="G59" s="60" t="n">
        <x:v>0.005</x:v>
      </x:c>
      <x:c r="H59" s="23" t="n">
        <x:f>IF(D59=F59,0,1)+IF(E59=G59,0,1)</x:f>
        <x:v>0</x:v>
      </x:c>
      <x:c r="I59" s="23" t="str">
        <x:v>Timing T20 / fictional rates</x:v>
      </x:c>
    </x:row>
    <x:row r="60" ht="21" customHeight="1">
      <x:c r="A60" s="23" t="str">
        <x:v>front_low</x:v>
      </x:c>
      <x:c r="B60" s="23" t="n">
        <x:v>5</x:v>
      </x:c>
      <x:c r="C60" s="37" t="n">
        <x:v>46844</x:v>
      </x:c>
      <x:c r="D60" s="55" t="n">
        <x:v>0.055</x:v>
      </x:c>
      <x:c r="E60" s="55" t="n">
        <x:v>0.005</x:v>
      </x:c>
      <x:c r="F60" s="60" t="n">
        <x:v>0.055</x:v>
      </x:c>
      <x:c r="G60" s="60" t="n">
        <x:v>0.005</x:v>
      </x:c>
      <x:c r="H60" s="23" t="n">
        <x:f>IF(D60=F60,0,1)+IF(E60=G60,0,1)</x:f>
        <x:v>0</x:v>
      </x:c>
      <x:c r="I60" s="23" t="str">
        <x:v>Timing T20 / fictional rates</x:v>
      </x:c>
    </x:row>
    <x:row r="61" ht="21" customHeight="1">
      <x:c r="A61" s="23" t="str">
        <x:v>front_low</x:v>
      </x:c>
      <x:c r="B61" s="23" t="n">
        <x:v>6</x:v>
      </x:c>
      <x:c r="C61" s="37" t="n">
        <x:v>46935</x:v>
      </x:c>
      <x:c r="D61" s="55" t="n">
        <x:v>0.055</x:v>
      </x:c>
      <x:c r="E61" s="55" t="n">
        <x:v>0.005</x:v>
      </x:c>
      <x:c r="F61" s="60" t="n">
        <x:v>0.055</x:v>
      </x:c>
      <x:c r="G61" s="60" t="n">
        <x:v>0.005</x:v>
      </x:c>
      <x:c r="H61" s="23" t="n">
        <x:f>IF(D61=F61,0,1)+IF(E61=G61,0,1)</x:f>
        <x:v>0</x:v>
      </x:c>
      <x:c r="I61" s="23" t="str">
        <x:v>Timing T20 / fictional rates</x:v>
      </x:c>
    </x:row>
    <x:row r="62" ht="21" customHeight="1">
      <x:c r="A62" s="23" t="str">
        <x:v>front_low</x:v>
      </x:c>
      <x:c r="B62" s="23" t="n">
        <x:v>7</x:v>
      </x:c>
      <x:c r="C62" s="37" t="n">
        <x:v>47027</x:v>
      </x:c>
      <x:c r="D62" s="55" t="n">
        <x:v>0.055</x:v>
      </x:c>
      <x:c r="E62" s="55" t="n">
        <x:v>0.005</x:v>
      </x:c>
      <x:c r="F62" s="60" t="n">
        <x:v>0.055</x:v>
      </x:c>
      <x:c r="G62" s="60" t="n">
        <x:v>0.005</x:v>
      </x:c>
      <x:c r="H62" s="23" t="n">
        <x:f>IF(D62=F62,0,1)+IF(E62=G62,0,1)</x:f>
        <x:v>0</x:v>
      </x:c>
      <x:c r="I62" s="23" t="str">
        <x:v>Timing T20 / fictional rates</x:v>
      </x:c>
    </x:row>
    <x:row r="63" ht="21" customHeight="1">
      <x:c r="A63" s="23" t="str">
        <x:v>front_low</x:v>
      </x:c>
      <x:c r="B63" s="23" t="n">
        <x:v>8</x:v>
      </x:c>
      <x:c r="C63" s="37" t="n">
        <x:v>47119</x:v>
      </x:c>
      <x:c r="D63" s="55" t="n">
        <x:v>0.055</x:v>
      </x:c>
      <x:c r="E63" s="55" t="n">
        <x:v>0.005</x:v>
      </x:c>
      <x:c r="F63" s="60" t="n">
        <x:v>0.055</x:v>
      </x:c>
      <x:c r="G63" s="60" t="n">
        <x:v>0.005</x:v>
      </x:c>
      <x:c r="H63" s="23" t="n">
        <x:f>IF(D63=F63,0,1)+IF(E63=G63,0,1)</x:f>
        <x:v>0</x:v>
      </x:c>
      <x:c r="I63" s="23" t="str">
        <x:v>Timing T20 / fictional rates</x:v>
      </x:c>
    </x:row>
    <x:row r="64" ht="21" customHeight="1">
      <x:c r="A64" s="23" t="str">
        <x:v>front_low</x:v>
      </x:c>
      <x:c r="B64" s="23" t="n">
        <x:v>9</x:v>
      </x:c>
      <x:c r="C64" s="37" t="n">
        <x:v>47209</x:v>
      </x:c>
      <x:c r="D64" s="55" t="n">
        <x:v>0.04</x:v>
      </x:c>
      <x:c r="E64" s="55" t="n">
        <x:v>0.005</x:v>
      </x:c>
      <x:c r="F64" s="60" t="n">
        <x:v>0.04</x:v>
      </x:c>
      <x:c r="G64" s="60" t="n">
        <x:v>0.005</x:v>
      </x:c>
      <x:c r="H64" s="23" t="n">
        <x:f>IF(D64=F64,0,1)+IF(E64=G64,0,1)</x:f>
        <x:v>0</x:v>
      </x:c>
      <x:c r="I64" s="23" t="str">
        <x:v>Timing T20 / fictional rates</x:v>
      </x:c>
    </x:row>
    <x:row r="65" ht="21" customHeight="1">
      <x:c r="A65" s="23" t="str">
        <x:v>front_low</x:v>
      </x:c>
      <x:c r="B65" s="23" t="n">
        <x:v>10</x:v>
      </x:c>
      <x:c r="C65" s="37" t="n">
        <x:v>47300</x:v>
      </x:c>
      <x:c r="D65" s="55" t="n">
        <x:v>0.04</x:v>
      </x:c>
      <x:c r="E65" s="55" t="n">
        <x:v>0.005</x:v>
      </x:c>
      <x:c r="F65" s="60" t="n">
        <x:v>0.04</x:v>
      </x:c>
      <x:c r="G65" s="60" t="n">
        <x:v>0.005</x:v>
      </x:c>
      <x:c r="H65" s="23" t="n">
        <x:f>IF(D65=F65,0,1)+IF(E65=G65,0,1)</x:f>
        <x:v>0</x:v>
      </x:c>
      <x:c r="I65" s="23" t="str">
        <x:v>Timing T20 / fictional rates</x:v>
      </x:c>
    </x:row>
    <x:row r="66" ht="21" customHeight="1">
      <x:c r="A66" s="23" t="str">
        <x:v>front_low</x:v>
      </x:c>
      <x:c r="B66" s="23" t="n">
        <x:v>11</x:v>
      </x:c>
      <x:c r="C66" s="37" t="n">
        <x:v>47392</x:v>
      </x:c>
      <x:c r="D66" s="55" t="n">
        <x:v>0.04</x:v>
      </x:c>
      <x:c r="E66" s="55" t="n">
        <x:v>0.005</x:v>
      </x:c>
      <x:c r="F66" s="60" t="n">
        <x:v>0.04</x:v>
      </x:c>
      <x:c r="G66" s="60" t="n">
        <x:v>0.005</x:v>
      </x:c>
      <x:c r="H66" s="23" t="n">
        <x:f>IF(D66=F66,0,1)+IF(E66=G66,0,1)</x:f>
        <x:v>0</x:v>
      </x:c>
      <x:c r="I66" s="23" t="str">
        <x:v>Timing T20 / fictional rates</x:v>
      </x:c>
    </x:row>
    <x:row r="67" ht="21" customHeight="1">
      <x:c r="A67" s="23" t="str">
        <x:v>front_low</x:v>
      </x:c>
      <x:c r="B67" s="23" t="n">
        <x:v>12</x:v>
      </x:c>
      <x:c r="C67" s="37" t="n">
        <x:v>47484</x:v>
      </x:c>
      <x:c r="D67" s="55" t="n">
        <x:v>0.04</x:v>
      </x:c>
      <x:c r="E67" s="55" t="n">
        <x:v>0.005</x:v>
      </x:c>
      <x:c r="F67" s="60" t="n">
        <x:v>0.04</x:v>
      </x:c>
      <x:c r="G67" s="60" t="n">
        <x:v>0.005</x:v>
      </x:c>
      <x:c r="H67" s="23" t="n">
        <x:f>IF(D67=F67,0,1)+IF(E67=G67,0,1)</x:f>
        <x:v>0</x:v>
      </x:c>
      <x:c r="I67" s="23" t="str">
        <x:v>Timing T20 / fictional rates</x:v>
      </x:c>
    </x:row>
    <x:row r="68" ht="21" customHeight="1">
      <x:c r="A68" s="23" t="str">
        <x:v>front_low</x:v>
      </x:c>
      <x:c r="B68" s="23" t="n">
        <x:v>13</x:v>
      </x:c>
      <x:c r="C68" s="37" t="n">
        <x:v>47574</x:v>
      </x:c>
      <x:c r="D68" s="55" t="n">
        <x:v>0.0325</x:v>
      </x:c>
      <x:c r="E68" s="55" t="n">
        <x:v>0.005</x:v>
      </x:c>
      <x:c r="F68" s="60" t="n">
        <x:v>0.0325</x:v>
      </x:c>
      <x:c r="G68" s="60" t="n">
        <x:v>0.005</x:v>
      </x:c>
      <x:c r="H68" s="23" t="n">
        <x:f>IF(D68=F68,0,1)+IF(E68=G68,0,1)</x:f>
        <x:v>0</x:v>
      </x:c>
      <x:c r="I68" s="23" t="str">
        <x:v>Timing T20 / fictional rates</x:v>
      </x:c>
    </x:row>
    <x:row r="69" ht="21" customHeight="1">
      <x:c r="A69" s="23" t="str">
        <x:v>front_low</x:v>
      </x:c>
      <x:c r="B69" s="23" t="n">
        <x:v>14</x:v>
      </x:c>
      <x:c r="C69" s="37" t="n">
        <x:v>47665</x:v>
      </x:c>
      <x:c r="D69" s="55" t="n">
        <x:v>0.0325</x:v>
      </x:c>
      <x:c r="E69" s="55" t="n">
        <x:v>0.005</x:v>
      </x:c>
      <x:c r="F69" s="60" t="n">
        <x:v>0.0325</x:v>
      </x:c>
      <x:c r="G69" s="60" t="n">
        <x:v>0.005</x:v>
      </x:c>
      <x:c r="H69" s="23" t="n">
        <x:f>IF(D69=F69,0,1)+IF(E69=G69,0,1)</x:f>
        <x:v>0</x:v>
      </x:c>
      <x:c r="I69" s="23" t="str">
        <x:v>Timing T20 / fictional rates</x:v>
      </x:c>
    </x:row>
    <x:row r="70" ht="21" customHeight="1">
      <x:c r="A70" s="23" t="str">
        <x:v>front_low</x:v>
      </x:c>
      <x:c r="B70" s="23" t="n">
        <x:v>15</x:v>
      </x:c>
      <x:c r="C70" s="37" t="n">
        <x:v>47757</x:v>
      </x:c>
      <x:c r="D70" s="55" t="n">
        <x:v>0.0325</x:v>
      </x:c>
      <x:c r="E70" s="55" t="n">
        <x:v>0.005</x:v>
      </x:c>
      <x:c r="F70" s="60" t="n">
        <x:v>0.0325</x:v>
      </x:c>
      <x:c r="G70" s="60" t="n">
        <x:v>0.005</x:v>
      </x:c>
      <x:c r="H70" s="23" t="n">
        <x:f>IF(D70=F70,0,1)+IF(E70=G70,0,1)</x:f>
        <x:v>0</x:v>
      </x:c>
      <x:c r="I70" s="23" t="str">
        <x:v>Timing T20 / fictional rates</x:v>
      </x:c>
    </x:row>
    <x:row r="71" ht="21" customHeight="1">
      <x:c r="A71" s="23" t="str">
        <x:v>front_low</x:v>
      </x:c>
      <x:c r="B71" s="23" t="n">
        <x:v>16</x:v>
      </x:c>
      <x:c r="C71" s="37" t="n">
        <x:v>47849</x:v>
      </x:c>
      <x:c r="D71" s="55" t="n">
        <x:v>0.0325</x:v>
      </x:c>
      <x:c r="E71" s="55" t="n">
        <x:v>0.005</x:v>
      </x:c>
      <x:c r="F71" s="60" t="n">
        <x:v>0.0325</x:v>
      </x:c>
      <x:c r="G71" s="60" t="n">
        <x:v>0.005</x:v>
      </x:c>
      <x:c r="H71" s="23" t="n">
        <x:f>IF(D71=F71,0,1)+IF(E71=G71,0,1)</x:f>
        <x:v>0</x:v>
      </x:c>
      <x:c r="I71" s="23" t="str">
        <x:v>Timing T20 / fictional rates</x:v>
      </x:c>
    </x:row>
    <x:row r="72" ht="21" customHeight="1">
      <x:c r="A72" s="23" t="str">
        <x:v>front_low</x:v>
      </x:c>
      <x:c r="B72" s="23" t="n">
        <x:v>17</x:v>
      </x:c>
      <x:c r="C72" s="37" t="n">
        <x:v>47939</x:v>
      </x:c>
      <x:c r="D72" s="55" t="n">
        <x:v>0.025</x:v>
      </x:c>
      <x:c r="E72" s="55" t="n">
        <x:v>0.005</x:v>
      </x:c>
      <x:c r="F72" s="60" t="n">
        <x:v>0.025</x:v>
      </x:c>
      <x:c r="G72" s="60" t="n">
        <x:v>0.005</x:v>
      </x:c>
      <x:c r="H72" s="23" t="n">
        <x:f>IF(D72=F72,0,1)+IF(E72=G72,0,1)</x:f>
        <x:v>0</x:v>
      </x:c>
      <x:c r="I72" s="23" t="str">
        <x:v>Timing T20 / fictional rates</x:v>
      </x:c>
    </x:row>
    <x:row r="73" ht="21" customHeight="1">
      <x:c r="A73" s="23" t="str">
        <x:v>front_low</x:v>
      </x:c>
      <x:c r="B73" s="23" t="n">
        <x:v>18</x:v>
      </x:c>
      <x:c r="C73" s="37" t="n">
        <x:v>48030</x:v>
      </x:c>
      <x:c r="D73" s="55" t="n">
        <x:v>0.025</x:v>
      </x:c>
      <x:c r="E73" s="55" t="n">
        <x:v>0.005</x:v>
      </x:c>
      <x:c r="F73" s="60" t="n">
        <x:v>0.025</x:v>
      </x:c>
      <x:c r="G73" s="60" t="n">
        <x:v>0.005</x:v>
      </x:c>
      <x:c r="H73" s="23" t="n">
        <x:f>IF(D73=F73,0,1)+IF(E73=G73,0,1)</x:f>
        <x:v>0</x:v>
      </x:c>
      <x:c r="I73" s="23" t="str">
        <x:v>Timing T20 / fictional rates</x:v>
      </x:c>
    </x:row>
    <x:row r="74" ht="21" customHeight="1">
      <x:c r="A74" s="23" t="str">
        <x:v>front_low</x:v>
      </x:c>
      <x:c r="B74" s="23" t="n">
        <x:v>19</x:v>
      </x:c>
      <x:c r="C74" s="37" t="n">
        <x:v>48122</x:v>
      </x:c>
      <x:c r="D74" s="55" t="n">
        <x:v>0.025</x:v>
      </x:c>
      <x:c r="E74" s="55" t="n">
        <x:v>0.005</x:v>
      </x:c>
      <x:c r="F74" s="60" t="n">
        <x:v>0.025</x:v>
      </x:c>
      <x:c r="G74" s="60" t="n">
        <x:v>0.005</x:v>
      </x:c>
      <x:c r="H74" s="23" t="n">
        <x:f>IF(D74=F74,0,1)+IF(E74=G74,0,1)</x:f>
        <x:v>0</x:v>
      </x:c>
      <x:c r="I74" s="23" t="str">
        <x:v>Timing T20 / fictional rates</x:v>
      </x:c>
    </x:row>
    <x:row r="75" ht="21" customHeight="1">
      <x:c r="A75" s="23" t="str">
        <x:v>front_low</x:v>
      </x:c>
      <x:c r="B75" s="23" t="n">
        <x:v>20</x:v>
      </x:c>
      <x:c r="C75" s="37" t="n">
        <x:v>48214</x:v>
      </x:c>
      <x:c r="D75" s="55" t="n">
        <x:v>0.025</x:v>
      </x:c>
      <x:c r="E75" s="55" t="n">
        <x:v>0.005</x:v>
      </x:c>
      <x:c r="F75" s="60" t="n">
        <x:v>0.025</x:v>
      </x:c>
      <x:c r="G75" s="60" t="n">
        <x:v>0.005</x:v>
      </x:c>
      <x:c r="H75" s="23" t="n">
        <x:f>IF(D75=F75,0,1)+IF(E75=G75,0,1)</x:f>
        <x:v>0</x:v>
      </x:c>
      <x:c r="I75" s="23" t="str">
        <x:v>Timing T20 / fictional rates</x:v>
      </x:c>
    </x:row>
    <x:row r="76" ht="21" customHeight="1">
      <x:c r="A76" s="23" t="str">
        <x:v>front_low</x:v>
      </x:c>
      <x:c r="B76" s="23" t="n">
        <x:v>21</x:v>
      </x:c>
      <x:c r="C76" s="37" t="n">
        <x:v>48305</x:v>
      </x:c>
      <x:c r="D76" s="55" t="n">
        <x:v>0</x:v>
      </x:c>
      <x:c r="E76" s="55" t="n">
        <x:v>0.005</x:v>
      </x:c>
      <x:c r="F76" s="60" t="n">
        <x:v>0</x:v>
      </x:c>
      <x:c r="G76" s="60" t="n">
        <x:v>0.005</x:v>
      </x:c>
      <x:c r="H76" s="23" t="n">
        <x:f>IF(D76=F76,0,1)+IF(E76=G76,0,1)</x:f>
        <x:v>0</x:v>
      </x:c>
      <x:c r="I76" s="23" t="str">
        <x:v>Timing T20 / fictional rates</x:v>
      </x:c>
    </x:row>
    <x:row r="77" ht="21" customHeight="1">
      <x:c r="A77" s="23" t="str">
        <x:v>front_low</x:v>
      </x:c>
      <x:c r="B77" s="23" t="n">
        <x:v>22</x:v>
      </x:c>
      <x:c r="C77" s="37" t="n">
        <x:v>48396</x:v>
      </x:c>
      <x:c r="D77" s="55" t="n">
        <x:v>0</x:v>
      </x:c>
      <x:c r="E77" s="55" t="n">
        <x:v>0.005</x:v>
      </x:c>
      <x:c r="F77" s="60" t="n">
        <x:v>0</x:v>
      </x:c>
      <x:c r="G77" s="60" t="n">
        <x:v>0.005</x:v>
      </x:c>
      <x:c r="H77" s="23" t="n">
        <x:f>IF(D77=F77,0,1)+IF(E77=G77,0,1)</x:f>
        <x:v>0</x:v>
      </x:c>
      <x:c r="I77" s="23" t="str">
        <x:v>Timing T20 / fictional rates</x:v>
      </x:c>
    </x:row>
    <x:row r="78" ht="21" customHeight="1">
      <x:c r="A78" s="23" t="str">
        <x:v>front_low</x:v>
      </x:c>
      <x:c r="B78" s="23" t="n">
        <x:v>23</x:v>
      </x:c>
      <x:c r="C78" s="37" t="n">
        <x:v>48488</x:v>
      </x:c>
      <x:c r="D78" s="55" t="n">
        <x:v>0</x:v>
      </x:c>
      <x:c r="E78" s="55" t="n">
        <x:v>0.005</x:v>
      </x:c>
      <x:c r="F78" s="60" t="n">
        <x:v>0</x:v>
      </x:c>
      <x:c r="G78" s="60" t="n">
        <x:v>0.005</x:v>
      </x:c>
      <x:c r="H78" s="23" t="n">
        <x:f>IF(D78=F78,0,1)+IF(E78=G78,0,1)</x:f>
        <x:v>0</x:v>
      </x:c>
      <x:c r="I78" s="23" t="str">
        <x:v>Timing T20 / fictional rates</x:v>
      </x:c>
    </x:row>
    <x:row r="79" ht="21" customHeight="1">
      <x:c r="A79" s="23" t="str">
        <x:v>front_low</x:v>
      </x:c>
      <x:c r="B79" s="23" t="n">
        <x:v>24</x:v>
      </x:c>
      <x:c r="C79" s="37" t="n">
        <x:v>48580</x:v>
      </x:c>
      <x:c r="D79" s="55" t="n">
        <x:v>0</x:v>
      </x:c>
      <x:c r="E79" s="55" t="n">
        <x:v>0.005</x:v>
      </x:c>
      <x:c r="F79" s="60" t="n">
        <x:v>0</x:v>
      </x:c>
      <x:c r="G79" s="60" t="n">
        <x:v>0.005</x:v>
      </x:c>
      <x:c r="H79" s="23" t="n">
        <x:f>IF(D79=F79,0,1)+IF(E79=G79,0,1)</x:f>
        <x:v>0</x:v>
      </x:c>
      <x:c r="I79" s="23" t="str">
        <x:v>Timing T20 / fictional rates</x:v>
      </x:c>
    </x:row>
    <x:row r="80" ht="21" customHeight="1">
      <x:c r="A80" s="23" t="str">
        <x:v>front_low</x:v>
      </x:c>
      <x:c r="B80" s="23" t="n">
        <x:v>25</x:v>
      </x:c>
      <x:c r="C80" s="37" t="n">
        <x:v>48670</x:v>
      </x:c>
      <x:c r="D80" s="55" t="n">
        <x:v>0</x:v>
      </x:c>
      <x:c r="E80" s="55" t="n">
        <x:v>0.005</x:v>
      </x:c>
      <x:c r="F80" s="60" t="n">
        <x:v>0</x:v>
      </x:c>
      <x:c r="G80" s="60" t="n">
        <x:v>0.005</x:v>
      </x:c>
      <x:c r="H80" s="23" t="n">
        <x:f>IF(D80=F80,0,1)+IF(E80=G80,0,1)</x:f>
        <x:v>0</x:v>
      </x:c>
      <x:c r="I80" s="23" t="str">
        <x:v>Timing T20 / fictional rates</x:v>
      </x:c>
    </x:row>
    <x:row r="81" ht="21" customHeight="1">
      <x:c r="A81" s="23" t="str">
        <x:v>front_low</x:v>
      </x:c>
      <x:c r="B81" s="23" t="n">
        <x:v>26</x:v>
      </x:c>
      <x:c r="C81" s="37" t="n">
        <x:v>48761</x:v>
      </x:c>
      <x:c r="D81" s="55" t="n">
        <x:v>0</x:v>
      </x:c>
      <x:c r="E81" s="55" t="n">
        <x:v>0.005</x:v>
      </x:c>
      <x:c r="F81" s="60" t="n">
        <x:v>0</x:v>
      </x:c>
      <x:c r="G81" s="60" t="n">
        <x:v>0.005</x:v>
      </x:c>
      <x:c r="H81" s="23" t="n">
        <x:f>IF(D81=F81,0,1)+IF(E81=G81,0,1)</x:f>
        <x:v>0</x:v>
      </x:c>
      <x:c r="I81" s="23" t="str">
        <x:v>Timing T20 / fictional rates</x:v>
      </x:c>
    </x:row>
    <x:row r="82" ht="21" customHeight="1">
      <x:c r="A82" s="23" t="str">
        <x:v>front_low</x:v>
      </x:c>
      <x:c r="B82" s="23" t="n">
        <x:v>27</x:v>
      </x:c>
      <x:c r="C82" s="37" t="n">
        <x:v>48853</x:v>
      </x:c>
      <x:c r="D82" s="55" t="n">
        <x:v>0</x:v>
      </x:c>
      <x:c r="E82" s="55" t="n">
        <x:v>0.005</x:v>
      </x:c>
      <x:c r="F82" s="60" t="n">
        <x:v>0</x:v>
      </x:c>
      <x:c r="G82" s="60" t="n">
        <x:v>0.005</x:v>
      </x:c>
      <x:c r="H82" s="23" t="n">
        <x:f>IF(D82=F82,0,1)+IF(E82=G82,0,1)</x:f>
        <x:v>0</x:v>
      </x:c>
      <x:c r="I82" s="23" t="str">
        <x:v>Timing T20 / fictional rates</x:v>
      </x:c>
    </x:row>
    <x:row r="83" ht="21" customHeight="1">
      <x:c r="A83" s="23" t="str">
        <x:v>front_low</x:v>
      </x:c>
      <x:c r="B83" s="23" t="n">
        <x:v>28</x:v>
      </x:c>
      <x:c r="C83" s="37" t="n">
        <x:v>48945</x:v>
      </x:c>
      <x:c r="D83" s="55" t="n">
        <x:v>0</x:v>
      </x:c>
      <x:c r="E83" s="55" t="n">
        <x:v>0.005</x:v>
      </x:c>
      <x:c r="F83" s="60" t="n">
        <x:v>0</x:v>
      </x:c>
      <x:c r="G83" s="60" t="n">
        <x:v>0.005</x:v>
      </x:c>
      <x:c r="H83" s="23" t="n">
        <x:f>IF(D83=F83,0,1)+IF(E83=G83,0,1)</x:f>
        <x:v>0</x:v>
      </x:c>
      <x:c r="I83" s="23" t="str">
        <x:v>Timing T20 / fictional rates</x:v>
      </x:c>
    </x:row>
    <x:row r="84" ht="21" customHeight="1">
      <x:c r="A84" s="23" t="str">
        <x:v>front_low</x:v>
      </x:c>
      <x:c r="B84" s="23" t="n">
        <x:v>29</x:v>
      </x:c>
      <x:c r="C84" s="37" t="n">
        <x:v>49035</x:v>
      </x:c>
      <x:c r="D84" s="55" t="n">
        <x:v>0</x:v>
      </x:c>
      <x:c r="E84" s="55" t="n">
        <x:v>0.005</x:v>
      </x:c>
      <x:c r="F84" s="60" t="n">
        <x:v>0</x:v>
      </x:c>
      <x:c r="G84" s="60" t="n">
        <x:v>0.005</x:v>
      </x:c>
      <x:c r="H84" s="23" t="n">
        <x:f>IF(D84=F84,0,1)+IF(E84=G84,0,1)</x:f>
        <x:v>0</x:v>
      </x:c>
      <x:c r="I84" s="23" t="str">
        <x:v>Timing T20 / fictional rates</x:v>
      </x:c>
    </x:row>
    <x:row r="85" ht="21" customHeight="1">
      <x:c r="A85" s="23" t="str">
        <x:v>front_low</x:v>
      </x:c>
      <x:c r="B85" s="23" t="n">
        <x:v>30</x:v>
      </x:c>
      <x:c r="C85" s="37" t="n">
        <x:v>49126</x:v>
      </x:c>
      <x:c r="D85" s="55" t="n">
        <x:v>0</x:v>
      </x:c>
      <x:c r="E85" s="55" t="n">
        <x:v>0.005</x:v>
      </x:c>
      <x:c r="F85" s="60" t="n">
        <x:v>0</x:v>
      </x:c>
      <x:c r="G85" s="60" t="n">
        <x:v>0.005</x:v>
      </x:c>
      <x:c r="H85" s="23" t="n">
        <x:f>IF(D85=F85,0,1)+IF(E85=G85,0,1)</x:f>
        <x:v>0</x:v>
      </x:c>
      <x:c r="I85" s="23" t="str">
        <x:v>Timing T20 / fictional rates</x:v>
      </x:c>
    </x:row>
    <x:row r="86" ht="21" customHeight="1">
      <x:c r="A86" s="23" t="str">
        <x:v>front_low</x:v>
      </x:c>
      <x:c r="B86" s="23" t="n">
        <x:v>31</x:v>
      </x:c>
      <x:c r="C86" s="37" t="n">
        <x:v>49218</x:v>
      </x:c>
      <x:c r="D86" s="55" t="n">
        <x:v>0</x:v>
      </x:c>
      <x:c r="E86" s="55" t="n">
        <x:v>0.005</x:v>
      </x:c>
      <x:c r="F86" s="60" t="n">
        <x:v>0</x:v>
      </x:c>
      <x:c r="G86" s="60" t="n">
        <x:v>0.005</x:v>
      </x:c>
      <x:c r="H86" s="23" t="n">
        <x:f>IF(D86=F86,0,1)+IF(E86=G86,0,1)</x:f>
        <x:v>0</x:v>
      </x:c>
      <x:c r="I86" s="23" t="str">
        <x:v>Timing T20 / fictional rates</x:v>
      </x:c>
    </x:row>
    <x:row r="87" ht="21" customHeight="1">
      <x:c r="A87" s="23" t="str">
        <x:v>front_low</x:v>
      </x:c>
      <x:c r="B87" s="23" t="n">
        <x:v>32</x:v>
      </x:c>
      <x:c r="C87" s="37" t="n">
        <x:v>49310</x:v>
      </x:c>
      <x:c r="D87" s="55" t="n">
        <x:v>0</x:v>
      </x:c>
      <x:c r="E87" s="55" t="n">
        <x:v>0.005</x:v>
      </x:c>
      <x:c r="F87" s="60" t="n">
        <x:v>0</x:v>
      </x:c>
      <x:c r="G87" s="60" t="n">
        <x:v>0.005</x:v>
      </x:c>
      <x:c r="H87" s="23" t="n">
        <x:f>IF(D87=F87,0,1)+IF(E87=G87,0,1)</x:f>
        <x:v>0</x:v>
      </x:c>
      <x:c r="I87" s="23" t="str">
        <x:v>Timing T20 / fictional rates</x:v>
      </x:c>
    </x:row>
    <x:row r="88" ht="21" customHeight="1">
      <x:c r="A88" s="23" t="str">
        <x:v>front_low</x:v>
      </x:c>
      <x:c r="B88" s="23" t="n">
        <x:v>33</x:v>
      </x:c>
      <x:c r="C88" s="37" t="n">
        <x:v>49400</x:v>
      </x:c>
      <x:c r="D88" s="55" t="n">
        <x:v>0</x:v>
      </x:c>
      <x:c r="E88" s="55" t="n">
        <x:v>0.005</x:v>
      </x:c>
      <x:c r="F88" s="60" t="n">
        <x:v>0</x:v>
      </x:c>
      <x:c r="G88" s="60" t="n">
        <x:v>0.005</x:v>
      </x:c>
      <x:c r="H88" s="23" t="n">
        <x:f>IF(D88=F88,0,1)+IF(E88=G88,0,1)</x:f>
        <x:v>0</x:v>
      </x:c>
      <x:c r="I88" s="23" t="str">
        <x:v>Timing T20 / fictional rates</x:v>
      </x:c>
    </x:row>
    <x:row r="89" ht="21" customHeight="1">
      <x:c r="A89" s="23" t="str">
        <x:v>front_low</x:v>
      </x:c>
      <x:c r="B89" s="23" t="n">
        <x:v>34</x:v>
      </x:c>
      <x:c r="C89" s="37" t="n">
        <x:v>49491</x:v>
      </x:c>
      <x:c r="D89" s="55" t="n">
        <x:v>0</x:v>
      </x:c>
      <x:c r="E89" s="55" t="n">
        <x:v>0.005</x:v>
      </x:c>
      <x:c r="F89" s="60" t="n">
        <x:v>0</x:v>
      </x:c>
      <x:c r="G89" s="60" t="n">
        <x:v>0.005</x:v>
      </x:c>
      <x:c r="H89" s="23" t="n">
        <x:f>IF(D89=F89,0,1)+IF(E89=G89,0,1)</x:f>
        <x:v>0</x:v>
      </x:c>
      <x:c r="I89" s="23" t="str">
        <x:v>Timing T20 / fictional rates</x:v>
      </x:c>
    </x:row>
    <x:row r="90" ht="21" customHeight="1">
      <x:c r="A90" s="23" t="str">
        <x:v>front_low</x:v>
      </x:c>
      <x:c r="B90" s="23" t="n">
        <x:v>35</x:v>
      </x:c>
      <x:c r="C90" s="37" t="n">
        <x:v>49583</x:v>
      </x:c>
      <x:c r="D90" s="55" t="n">
        <x:v>0</x:v>
      </x:c>
      <x:c r="E90" s="55" t="n">
        <x:v>0.005</x:v>
      </x:c>
      <x:c r="F90" s="60" t="n">
        <x:v>0</x:v>
      </x:c>
      <x:c r="G90" s="60" t="n">
        <x:v>0.005</x:v>
      </x:c>
      <x:c r="H90" s="23" t="n">
        <x:f>IF(D90=F90,0,1)+IF(E90=G90,0,1)</x:f>
        <x:v>0</x:v>
      </x:c>
      <x:c r="I90" s="23" t="str">
        <x:v>Timing T20 / fictional rates</x:v>
      </x:c>
    </x:row>
    <x:row r="91" ht="21" customHeight="1">
      <x:c r="A91" s="23" t="str">
        <x:v>front_low</x:v>
      </x:c>
      <x:c r="B91" s="23" t="n">
        <x:v>36</x:v>
      </x:c>
      <x:c r="C91" s="37" t="n">
        <x:v>49675</x:v>
      </x:c>
      <x:c r="D91" s="55" t="n">
        <x:v>0</x:v>
      </x:c>
      <x:c r="E91" s="55" t="n">
        <x:v>0.005</x:v>
      </x:c>
      <x:c r="F91" s="60" t="n">
        <x:v>0</x:v>
      </x:c>
      <x:c r="G91" s="60" t="n">
        <x:v>0.005</x:v>
      </x:c>
      <x:c r="H91" s="23" t="n">
        <x:f>IF(D91=F91,0,1)+IF(E91=G91,0,1)</x:f>
        <x:v>0</x:v>
      </x:c>
      <x:c r="I91" s="23" t="str">
        <x:v>Timing T20 / fictional rates</x:v>
      </x:c>
    </x:row>
    <x:row r="92" ht="21" customHeight="1">
      <x:c r="A92" s="23" t="str">
        <x:v>front_low</x:v>
      </x:c>
      <x:c r="B92" s="23" t="n">
        <x:v>37</x:v>
      </x:c>
      <x:c r="C92" s="37" t="n">
        <x:v>49766</x:v>
      </x:c>
      <x:c r="D92" s="55" t="n">
        <x:v>0</x:v>
      </x:c>
      <x:c r="E92" s="55" t="n">
        <x:v>0.005</x:v>
      </x:c>
      <x:c r="F92" s="60" t="n">
        <x:v>0</x:v>
      </x:c>
      <x:c r="G92" s="60" t="n">
        <x:v>0.005</x:v>
      </x:c>
      <x:c r="H92" s="23" t="n">
        <x:f>IF(D92=F92,0,1)+IF(E92=G92,0,1)</x:f>
        <x:v>0</x:v>
      </x:c>
      <x:c r="I92" s="23" t="str">
        <x:v>Timing T20 / fictional rates</x:v>
      </x:c>
    </x:row>
    <x:row r="93" ht="21" customHeight="1">
      <x:c r="A93" s="23" t="str">
        <x:v>front_low</x:v>
      </x:c>
      <x:c r="B93" s="23" t="n">
        <x:v>38</x:v>
      </x:c>
      <x:c r="C93" s="37" t="n">
        <x:v>49857</x:v>
      </x:c>
      <x:c r="D93" s="55" t="n">
        <x:v>0</x:v>
      </x:c>
      <x:c r="E93" s="55" t="n">
        <x:v>0.005</x:v>
      </x:c>
      <x:c r="F93" s="60" t="n">
        <x:v>0</x:v>
      </x:c>
      <x:c r="G93" s="60" t="n">
        <x:v>0.005</x:v>
      </x:c>
      <x:c r="H93" s="23" t="n">
        <x:f>IF(D93=F93,0,1)+IF(E93=G93,0,1)</x:f>
        <x:v>0</x:v>
      </x:c>
      <x:c r="I93" s="23" t="str">
        <x:v>Timing T20 / fictional rates</x:v>
      </x:c>
    </x:row>
    <x:row r="94" ht="21" customHeight="1">
      <x:c r="A94" s="23" t="str">
        <x:v>front_low</x:v>
      </x:c>
      <x:c r="B94" s="23" t="n">
        <x:v>39</x:v>
      </x:c>
      <x:c r="C94" s="37" t="n">
        <x:v>49949</x:v>
      </x:c>
      <x:c r="D94" s="55" t="n">
        <x:v>0</x:v>
      </x:c>
      <x:c r="E94" s="55" t="n">
        <x:v>0.005</x:v>
      </x:c>
      <x:c r="F94" s="60" t="n">
        <x:v>0</x:v>
      </x:c>
      <x:c r="G94" s="60" t="n">
        <x:v>0.005</x:v>
      </x:c>
      <x:c r="H94" s="23" t="n">
        <x:f>IF(D94=F94,0,1)+IF(E94=G94,0,1)</x:f>
        <x:v>0</x:v>
      </x:c>
      <x:c r="I94" s="23" t="str">
        <x:v>Timing T20 / fictional rates</x:v>
      </x:c>
    </x:row>
    <x:row r="95" ht="21" customHeight="1">
      <x:c r="A95" s="23" t="str">
        <x:v>front_low</x:v>
      </x:c>
      <x:c r="B95" s="23" t="n">
        <x:v>40</x:v>
      </x:c>
      <x:c r="C95" s="37" t="n">
        <x:v>50041</x:v>
      </x:c>
      <x:c r="D95" s="55" t="n">
        <x:v>0</x:v>
      </x:c>
      <x:c r="E95" s="55" t="n">
        <x:v>0.005</x:v>
      </x:c>
      <x:c r="F95" s="60" t="n">
        <x:v>0</x:v>
      </x:c>
      <x:c r="G95" s="60" t="n">
        <x:v>0.005</x:v>
      </x:c>
      <x:c r="H95" s="23" t="n">
        <x:f>IF(D95=F95,0,1)+IF(E95=G95,0,1)</x:f>
        <x:v>0</x:v>
      </x:c>
      <x:c r="I95" s="23" t="str">
        <x:v>Timing T20 / fictional rates</x:v>
      </x:c>
    </x:row>
    <x:row r="96" ht="21" customHeight="1">
      <x:c r="A96" s="23" t="str">
        <x:v>front_low</x:v>
      </x:c>
      <x:c r="B96" s="23" t="n">
        <x:v>41</x:v>
      </x:c>
      <x:c r="C96" s="37" t="n">
        <x:v>50131</x:v>
      </x:c>
      <x:c r="D96" s="55" t="n">
        <x:v>0</x:v>
      </x:c>
      <x:c r="E96" s="55" t="n">
        <x:v>0.005</x:v>
      </x:c>
      <x:c r="F96" s="60" t="n">
        <x:v>0</x:v>
      </x:c>
      <x:c r="G96" s="60" t="n">
        <x:v>0.005</x:v>
      </x:c>
      <x:c r="H96" s="23" t="n">
        <x:f>IF(D96=F96,0,1)+IF(E96=G96,0,1)</x:f>
        <x:v>0</x:v>
      </x:c>
      <x:c r="I96" s="23" t="str">
        <x:v>Timing T20 / fictional rates</x:v>
      </x:c>
    </x:row>
    <x:row r="97" ht="21" customHeight="1">
      <x:c r="A97" s="23" t="str">
        <x:v>front_low</x:v>
      </x:c>
      <x:c r="B97" s="23" t="n">
        <x:v>42</x:v>
      </x:c>
      <x:c r="C97" s="37" t="n">
        <x:v>50222</x:v>
      </x:c>
      <x:c r="D97" s="55" t="n">
        <x:v>0</x:v>
      </x:c>
      <x:c r="E97" s="55" t="n">
        <x:v>0.005</x:v>
      </x:c>
      <x:c r="F97" s="60" t="n">
        <x:v>0</x:v>
      </x:c>
      <x:c r="G97" s="60" t="n">
        <x:v>0.005</x:v>
      </x:c>
      <x:c r="H97" s="23" t="n">
        <x:f>IF(D97=F97,0,1)+IF(E97=G97,0,1)</x:f>
        <x:v>0</x:v>
      </x:c>
      <x:c r="I97" s="23" t="str">
        <x:v>Timing T20 / fictional rates</x:v>
      </x:c>
    </x:row>
    <x:row r="98" ht="21" customHeight="1">
      <x:c r="A98" s="23" t="str">
        <x:v>front_low</x:v>
      </x:c>
      <x:c r="B98" s="23" t="n">
        <x:v>43</x:v>
      </x:c>
      <x:c r="C98" s="37" t="n">
        <x:v>50314</x:v>
      </x:c>
      <x:c r="D98" s="55" t="n">
        <x:v>0</x:v>
      </x:c>
      <x:c r="E98" s="55" t="n">
        <x:v>0.005</x:v>
      </x:c>
      <x:c r="F98" s="60" t="n">
        <x:v>0</x:v>
      </x:c>
      <x:c r="G98" s="60" t="n">
        <x:v>0.005</x:v>
      </x:c>
      <x:c r="H98" s="23" t="n">
        <x:f>IF(D98=F98,0,1)+IF(E98=G98,0,1)</x:f>
        <x:v>0</x:v>
      </x:c>
      <x:c r="I98" s="23" t="str">
        <x:v>Timing T20 / fictional rates</x:v>
      </x:c>
    </x:row>
    <x:row r="99" ht="21" customHeight="1">
      <x:c r="A99" s="23" t="str">
        <x:v>front_low</x:v>
      </x:c>
      <x:c r="B99" s="23" t="n">
        <x:v>44</x:v>
      </x:c>
      <x:c r="C99" s="37" t="n">
        <x:v>50406</x:v>
      </x:c>
      <x:c r="D99" s="55" t="n">
        <x:v>0</x:v>
      </x:c>
      <x:c r="E99" s="55" t="n">
        <x:v>0.005</x:v>
      </x:c>
      <x:c r="F99" s="60" t="n">
        <x:v>0</x:v>
      </x:c>
      <x:c r="G99" s="60" t="n">
        <x:v>0.005</x:v>
      </x:c>
      <x:c r="H99" s="23" t="n">
        <x:f>IF(D99=F99,0,1)+IF(E99=G99,0,1)</x:f>
        <x:v>0</x:v>
      </x:c>
      <x:c r="I99" s="23" t="str">
        <x:v>Timing T20 / fictional rates</x:v>
      </x:c>
    </x:row>
    <x:row r="100" ht="21" customHeight="1">
      <x:c r="A100" s="23" t="str">
        <x:v>front_low</x:v>
      </x:c>
      <x:c r="B100" s="23" t="n">
        <x:v>45</x:v>
      </x:c>
      <x:c r="C100" s="37" t="n">
        <x:v>50496</x:v>
      </x:c>
      <x:c r="D100" s="55" t="n">
        <x:v>0</x:v>
      </x:c>
      <x:c r="E100" s="55" t="n">
        <x:v>0.005</x:v>
      </x:c>
      <x:c r="F100" s="60" t="n">
        <x:v>0</x:v>
      </x:c>
      <x:c r="G100" s="60" t="n">
        <x:v>0.005</x:v>
      </x:c>
      <x:c r="H100" s="23" t="n">
        <x:f>IF(D100=F100,0,1)+IF(E100=G100,0,1)</x:f>
        <x:v>0</x:v>
      </x:c>
      <x:c r="I100" s="23" t="str">
        <x:v>Timing T20 / fictional rates</x:v>
      </x:c>
    </x:row>
    <x:row r="101" ht="21" customHeight="1">
      <x:c r="A101" s="23" t="str">
        <x:v>front_low</x:v>
      </x:c>
      <x:c r="B101" s="23" t="n">
        <x:v>46</x:v>
      </x:c>
      <x:c r="C101" s="37" t="n">
        <x:v>50587</x:v>
      </x:c>
      <x:c r="D101" s="55" t="n">
        <x:v>0</x:v>
      </x:c>
      <x:c r="E101" s="55" t="n">
        <x:v>0.005</x:v>
      </x:c>
      <x:c r="F101" s="60" t="n">
        <x:v>0</x:v>
      </x:c>
      <x:c r="G101" s="60" t="n">
        <x:v>0.005</x:v>
      </x:c>
      <x:c r="H101" s="23" t="n">
        <x:f>IF(D101=F101,0,1)+IF(E101=G101,0,1)</x:f>
        <x:v>0</x:v>
      </x:c>
      <x:c r="I101" s="23" t="str">
        <x:v>Timing T20 / fictional rates</x:v>
      </x:c>
    </x:row>
    <x:row r="102" ht="21" customHeight="1">
      <x:c r="A102" s="23" t="str">
        <x:v>front_low</x:v>
      </x:c>
      <x:c r="B102" s="23" t="n">
        <x:v>47</x:v>
      </x:c>
      <x:c r="C102" s="37" t="n">
        <x:v>50679</x:v>
      </x:c>
      <x:c r="D102" s="55" t="n">
        <x:v>0</x:v>
      </x:c>
      <x:c r="E102" s="55" t="n">
        <x:v>0.005</x:v>
      </x:c>
      <x:c r="F102" s="60" t="n">
        <x:v>0</x:v>
      </x:c>
      <x:c r="G102" s="60" t="n">
        <x:v>0.005</x:v>
      </x:c>
      <x:c r="H102" s="23" t="n">
        <x:f>IF(D102=F102,0,1)+IF(E102=G102,0,1)</x:f>
        <x:v>0</x:v>
      </x:c>
      <x:c r="I102" s="23" t="str">
        <x:v>Timing T20 / fictional rates</x:v>
      </x:c>
    </x:row>
    <x:row r="103" ht="21" customHeight="1">
      <x:c r="A103" s="23" t="str">
        <x:v>front_low</x:v>
      </x:c>
      <x:c r="B103" s="23" t="n">
        <x:v>48</x:v>
      </x:c>
      <x:c r="C103" s="37" t="n">
        <x:v>50771</x:v>
      </x:c>
      <x:c r="D103" s="55" t="n">
        <x:v>0</x:v>
      </x:c>
      <x:c r="E103" s="55" t="n">
        <x:v>0.005</x:v>
      </x:c>
      <x:c r="F103" s="60" t="n">
        <x:v>0</x:v>
      </x:c>
      <x:c r="G103" s="60" t="n">
        <x:v>0.005</x:v>
      </x:c>
      <x:c r="H103" s="23" t="n">
        <x:f>IF(D103=F103,0,1)+IF(E103=G103,0,1)</x:f>
        <x:v>0</x:v>
      </x:c>
      <x:c r="I103" s="23" t="str">
        <x:v>Timing T20 / fictional rates</x:v>
      </x:c>
    </x:row>
    <x:row r="104" ht="21" customHeight="1">
      <x:c r="A104" s="23" t="str">
        <x:v>front_high</x:v>
      </x:c>
      <x:c r="B104" s="23" t="n">
        <x:v>1</x:v>
      </x:c>
      <x:c r="C104" s="37" t="n">
        <x:v>46478</x:v>
      </x:c>
      <x:c r="D104" s="55" t="n">
        <x:v>0.0975</x:v>
      </x:c>
      <x:c r="E104" s="55" t="n">
        <x:v>0.06</x:v>
      </x:c>
      <x:c r="F104" s="60" t="n">
        <x:v>0.0975</x:v>
      </x:c>
      <x:c r="G104" s="60" t="n">
        <x:v>0.06</x:v>
      </x:c>
      <x:c r="H104" s="23" t="n">
        <x:f>IF(D104=F104,0,1)+IF(E104=G104,0,1)</x:f>
        <x:v>0</x:v>
      </x:c>
      <x:c r="I104" s="23" t="str">
        <x:v>Timing T20 / fictional rates</x:v>
      </x:c>
    </x:row>
    <x:row r="105" ht="21" customHeight="1">
      <x:c r="A105" s="23" t="str">
        <x:v>front_high</x:v>
      </x:c>
      <x:c r="B105" s="23" t="n">
        <x:v>2</x:v>
      </x:c>
      <x:c r="C105" s="37" t="n">
        <x:v>46569</x:v>
      </x:c>
      <x:c r="D105" s="55" t="n">
        <x:v>0.0975</x:v>
      </x:c>
      <x:c r="E105" s="55" t="n">
        <x:v>0.06</x:v>
      </x:c>
      <x:c r="F105" s="60" t="n">
        <x:v>0.0975</x:v>
      </x:c>
      <x:c r="G105" s="60" t="n">
        <x:v>0.06</x:v>
      </x:c>
      <x:c r="H105" s="23" t="n">
        <x:f>IF(D105=F105,0,1)+IF(E105=G105,0,1)</x:f>
        <x:v>0</x:v>
      </x:c>
      <x:c r="I105" s="23" t="str">
        <x:v>Timing T20 / fictional rates</x:v>
      </x:c>
    </x:row>
    <x:row r="106" ht="21" customHeight="1">
      <x:c r="A106" s="23" t="str">
        <x:v>front_high</x:v>
      </x:c>
      <x:c r="B106" s="23" t="n">
        <x:v>3</x:v>
      </x:c>
      <x:c r="C106" s="37" t="n">
        <x:v>46661</x:v>
      </x:c>
      <x:c r="D106" s="55" t="n">
        <x:v>0.0975</x:v>
      </x:c>
      <x:c r="E106" s="55" t="n">
        <x:v>0.06</x:v>
      </x:c>
      <x:c r="F106" s="60" t="n">
        <x:v>0.0975</x:v>
      </x:c>
      <x:c r="G106" s="60" t="n">
        <x:v>0.06</x:v>
      </x:c>
      <x:c r="H106" s="23" t="n">
        <x:f>IF(D106=F106,0,1)+IF(E106=G106,0,1)</x:f>
        <x:v>0</x:v>
      </x:c>
      <x:c r="I106" s="23" t="str">
        <x:v>Timing T20 / fictional rates</x:v>
      </x:c>
    </x:row>
    <x:row r="107" ht="21" customHeight="1">
      <x:c r="A107" s="23" t="str">
        <x:v>front_high</x:v>
      </x:c>
      <x:c r="B107" s="23" t="n">
        <x:v>4</x:v>
      </x:c>
      <x:c r="C107" s="37" t="n">
        <x:v>46753</x:v>
      </x:c>
      <x:c r="D107" s="55" t="n">
        <x:v>0.0975</x:v>
      </x:c>
      <x:c r="E107" s="55" t="n">
        <x:v>0.06</x:v>
      </x:c>
      <x:c r="F107" s="60" t="n">
        <x:v>0.0975</x:v>
      </x:c>
      <x:c r="G107" s="60" t="n">
        <x:v>0.06</x:v>
      </x:c>
      <x:c r="H107" s="23" t="n">
        <x:f>IF(D107=F107,0,1)+IF(E107=G107,0,1)</x:f>
        <x:v>0</x:v>
      </x:c>
      <x:c r="I107" s="23" t="str">
        <x:v>Timing T20 / fictional rates</x:v>
      </x:c>
    </x:row>
    <x:row r="108" ht="21" customHeight="1">
      <x:c r="A108" s="23" t="str">
        <x:v>front_high</x:v>
      </x:c>
      <x:c r="B108" s="23" t="n">
        <x:v>5</x:v>
      </x:c>
      <x:c r="C108" s="37" t="n">
        <x:v>46844</x:v>
      </x:c>
      <x:c r="D108" s="55" t="n">
        <x:v>0.055</x:v>
      </x:c>
      <x:c r="E108" s="55" t="n">
        <x:v>0.06</x:v>
      </x:c>
      <x:c r="F108" s="60" t="n">
        <x:v>0.055</x:v>
      </x:c>
      <x:c r="G108" s="60" t="n">
        <x:v>0.06</x:v>
      </x:c>
      <x:c r="H108" s="23" t="n">
        <x:f>IF(D108=F108,0,1)+IF(E108=G108,0,1)</x:f>
        <x:v>0</x:v>
      </x:c>
      <x:c r="I108" s="23" t="str">
        <x:v>Timing T20 / fictional rates</x:v>
      </x:c>
    </x:row>
    <x:row r="109" ht="21" customHeight="1">
      <x:c r="A109" s="23" t="str">
        <x:v>front_high</x:v>
      </x:c>
      <x:c r="B109" s="23" t="n">
        <x:v>6</x:v>
      </x:c>
      <x:c r="C109" s="37" t="n">
        <x:v>46935</x:v>
      </x:c>
      <x:c r="D109" s="55" t="n">
        <x:v>0.055</x:v>
      </x:c>
      <x:c r="E109" s="55" t="n">
        <x:v>0.06</x:v>
      </x:c>
      <x:c r="F109" s="60" t="n">
        <x:v>0.055</x:v>
      </x:c>
      <x:c r="G109" s="60" t="n">
        <x:v>0.06</x:v>
      </x:c>
      <x:c r="H109" s="23" t="n">
        <x:f>IF(D109=F109,0,1)+IF(E109=G109,0,1)</x:f>
        <x:v>0</x:v>
      </x:c>
      <x:c r="I109" s="23" t="str">
        <x:v>Timing T20 / fictional rates</x:v>
      </x:c>
    </x:row>
    <x:row r="110" ht="21" customHeight="1">
      <x:c r="A110" s="23" t="str">
        <x:v>front_high</x:v>
      </x:c>
      <x:c r="B110" s="23" t="n">
        <x:v>7</x:v>
      </x:c>
      <x:c r="C110" s="37" t="n">
        <x:v>47027</x:v>
      </x:c>
      <x:c r="D110" s="55" t="n">
        <x:v>0.055</x:v>
      </x:c>
      <x:c r="E110" s="55" t="n">
        <x:v>0.06</x:v>
      </x:c>
      <x:c r="F110" s="60" t="n">
        <x:v>0.055</x:v>
      </x:c>
      <x:c r="G110" s="60" t="n">
        <x:v>0.06</x:v>
      </x:c>
      <x:c r="H110" s="23" t="n">
        <x:f>IF(D110=F110,0,1)+IF(E110=G110,0,1)</x:f>
        <x:v>0</x:v>
      </x:c>
      <x:c r="I110" s="23" t="str">
        <x:v>Timing T20 / fictional rates</x:v>
      </x:c>
    </x:row>
    <x:row r="111" ht="21" customHeight="1">
      <x:c r="A111" s="23" t="str">
        <x:v>front_high</x:v>
      </x:c>
      <x:c r="B111" s="23" t="n">
        <x:v>8</x:v>
      </x:c>
      <x:c r="C111" s="37" t="n">
        <x:v>47119</x:v>
      </x:c>
      <x:c r="D111" s="55" t="n">
        <x:v>0.055</x:v>
      </x:c>
      <x:c r="E111" s="55" t="n">
        <x:v>0.06</x:v>
      </x:c>
      <x:c r="F111" s="60" t="n">
        <x:v>0.055</x:v>
      </x:c>
      <x:c r="G111" s="60" t="n">
        <x:v>0.06</x:v>
      </x:c>
      <x:c r="H111" s="23" t="n">
        <x:f>IF(D111=F111,0,1)+IF(E111=G111,0,1)</x:f>
        <x:v>0</x:v>
      </x:c>
      <x:c r="I111" s="23" t="str">
        <x:v>Timing T20 / fictional rates</x:v>
      </x:c>
    </x:row>
    <x:row r="112" ht="21" customHeight="1">
      <x:c r="A112" s="23" t="str">
        <x:v>front_high</x:v>
      </x:c>
      <x:c r="B112" s="23" t="n">
        <x:v>9</x:v>
      </x:c>
      <x:c r="C112" s="37" t="n">
        <x:v>47209</x:v>
      </x:c>
      <x:c r="D112" s="55" t="n">
        <x:v>0.04</x:v>
      </x:c>
      <x:c r="E112" s="55" t="n">
        <x:v>0.06</x:v>
      </x:c>
      <x:c r="F112" s="60" t="n">
        <x:v>0.04</x:v>
      </x:c>
      <x:c r="G112" s="60" t="n">
        <x:v>0.06</x:v>
      </x:c>
      <x:c r="H112" s="23" t="n">
        <x:f>IF(D112=F112,0,1)+IF(E112=G112,0,1)</x:f>
        <x:v>0</x:v>
      </x:c>
      <x:c r="I112" s="23" t="str">
        <x:v>Timing T20 / fictional rates</x:v>
      </x:c>
    </x:row>
    <x:row r="113" ht="21" customHeight="1">
      <x:c r="A113" s="23" t="str">
        <x:v>front_high</x:v>
      </x:c>
      <x:c r="B113" s="23" t="n">
        <x:v>10</x:v>
      </x:c>
      <x:c r="C113" s="37" t="n">
        <x:v>47300</x:v>
      </x:c>
      <x:c r="D113" s="55" t="n">
        <x:v>0.04</x:v>
      </x:c>
      <x:c r="E113" s="55" t="n">
        <x:v>0.06</x:v>
      </x:c>
      <x:c r="F113" s="60" t="n">
        <x:v>0.04</x:v>
      </x:c>
      <x:c r="G113" s="60" t="n">
        <x:v>0.06</x:v>
      </x:c>
      <x:c r="H113" s="23" t="n">
        <x:f>IF(D113=F113,0,1)+IF(E113=G113,0,1)</x:f>
        <x:v>0</x:v>
      </x:c>
      <x:c r="I113" s="23" t="str">
        <x:v>Timing T20 / fictional rates</x:v>
      </x:c>
    </x:row>
    <x:row r="114" ht="21" customHeight="1">
      <x:c r="A114" s="23" t="str">
        <x:v>front_high</x:v>
      </x:c>
      <x:c r="B114" s="23" t="n">
        <x:v>11</x:v>
      </x:c>
      <x:c r="C114" s="37" t="n">
        <x:v>47392</x:v>
      </x:c>
      <x:c r="D114" s="55" t="n">
        <x:v>0.04</x:v>
      </x:c>
      <x:c r="E114" s="55" t="n">
        <x:v>0.06</x:v>
      </x:c>
      <x:c r="F114" s="60" t="n">
        <x:v>0.04</x:v>
      </x:c>
      <x:c r="G114" s="60" t="n">
        <x:v>0.06</x:v>
      </x:c>
      <x:c r="H114" s="23" t="n">
        <x:f>IF(D114=F114,0,1)+IF(E114=G114,0,1)</x:f>
        <x:v>0</x:v>
      </x:c>
      <x:c r="I114" s="23" t="str">
        <x:v>Timing T20 / fictional rates</x:v>
      </x:c>
    </x:row>
    <x:row r="115" ht="21" customHeight="1">
      <x:c r="A115" s="23" t="str">
        <x:v>front_high</x:v>
      </x:c>
      <x:c r="B115" s="23" t="n">
        <x:v>12</x:v>
      </x:c>
      <x:c r="C115" s="37" t="n">
        <x:v>47484</x:v>
      </x:c>
      <x:c r="D115" s="55" t="n">
        <x:v>0.04</x:v>
      </x:c>
      <x:c r="E115" s="55" t="n">
        <x:v>0.06</x:v>
      </x:c>
      <x:c r="F115" s="60" t="n">
        <x:v>0.04</x:v>
      </x:c>
      <x:c r="G115" s="60" t="n">
        <x:v>0.06</x:v>
      </x:c>
      <x:c r="H115" s="23" t="n">
        <x:f>IF(D115=F115,0,1)+IF(E115=G115,0,1)</x:f>
        <x:v>0</x:v>
      </x:c>
      <x:c r="I115" s="23" t="str">
        <x:v>Timing T20 / fictional rates</x:v>
      </x:c>
    </x:row>
    <x:row r="116" ht="21" customHeight="1">
      <x:c r="A116" s="23" t="str">
        <x:v>front_high</x:v>
      </x:c>
      <x:c r="B116" s="23" t="n">
        <x:v>13</x:v>
      </x:c>
      <x:c r="C116" s="37" t="n">
        <x:v>47574</x:v>
      </x:c>
      <x:c r="D116" s="55" t="n">
        <x:v>0.0325</x:v>
      </x:c>
      <x:c r="E116" s="55" t="n">
        <x:v>0.06</x:v>
      </x:c>
      <x:c r="F116" s="60" t="n">
        <x:v>0.0325</x:v>
      </x:c>
      <x:c r="G116" s="60" t="n">
        <x:v>0.06</x:v>
      </x:c>
      <x:c r="H116" s="23" t="n">
        <x:f>IF(D116=F116,0,1)+IF(E116=G116,0,1)</x:f>
        <x:v>0</x:v>
      </x:c>
      <x:c r="I116" s="23" t="str">
        <x:v>Timing T20 / fictional rates</x:v>
      </x:c>
    </x:row>
    <x:row r="117" ht="21" customHeight="1">
      <x:c r="A117" s="23" t="str">
        <x:v>front_high</x:v>
      </x:c>
      <x:c r="B117" s="23" t="n">
        <x:v>14</x:v>
      </x:c>
      <x:c r="C117" s="37" t="n">
        <x:v>47665</x:v>
      </x:c>
      <x:c r="D117" s="55" t="n">
        <x:v>0.0325</x:v>
      </x:c>
      <x:c r="E117" s="55" t="n">
        <x:v>0.06</x:v>
      </x:c>
      <x:c r="F117" s="60" t="n">
        <x:v>0.0325</x:v>
      </x:c>
      <x:c r="G117" s="60" t="n">
        <x:v>0.06</x:v>
      </x:c>
      <x:c r="H117" s="23" t="n">
        <x:f>IF(D117=F117,0,1)+IF(E117=G117,0,1)</x:f>
        <x:v>0</x:v>
      </x:c>
      <x:c r="I117" s="23" t="str">
        <x:v>Timing T20 / fictional rates</x:v>
      </x:c>
    </x:row>
    <x:row r="118" ht="21" customHeight="1">
      <x:c r="A118" s="23" t="str">
        <x:v>front_high</x:v>
      </x:c>
      <x:c r="B118" s="23" t="n">
        <x:v>15</x:v>
      </x:c>
      <x:c r="C118" s="37" t="n">
        <x:v>47757</x:v>
      </x:c>
      <x:c r="D118" s="55" t="n">
        <x:v>0.0325</x:v>
      </x:c>
      <x:c r="E118" s="55" t="n">
        <x:v>0.06</x:v>
      </x:c>
      <x:c r="F118" s="60" t="n">
        <x:v>0.0325</x:v>
      </x:c>
      <x:c r="G118" s="60" t="n">
        <x:v>0.06</x:v>
      </x:c>
      <x:c r="H118" s="23" t="n">
        <x:f>IF(D118=F118,0,1)+IF(E118=G118,0,1)</x:f>
        <x:v>0</x:v>
      </x:c>
      <x:c r="I118" s="23" t="str">
        <x:v>Timing T20 / fictional rates</x:v>
      </x:c>
    </x:row>
    <x:row r="119" ht="21" customHeight="1">
      <x:c r="A119" s="23" t="str">
        <x:v>front_high</x:v>
      </x:c>
      <x:c r="B119" s="23" t="n">
        <x:v>16</x:v>
      </x:c>
      <x:c r="C119" s="37" t="n">
        <x:v>47849</x:v>
      </x:c>
      <x:c r="D119" s="55" t="n">
        <x:v>0.0325</x:v>
      </x:c>
      <x:c r="E119" s="55" t="n">
        <x:v>0.06</x:v>
      </x:c>
      <x:c r="F119" s="60" t="n">
        <x:v>0.0325</x:v>
      </x:c>
      <x:c r="G119" s="60" t="n">
        <x:v>0.06</x:v>
      </x:c>
      <x:c r="H119" s="23" t="n">
        <x:f>IF(D119=F119,0,1)+IF(E119=G119,0,1)</x:f>
        <x:v>0</x:v>
      </x:c>
      <x:c r="I119" s="23" t="str">
        <x:v>Timing T20 / fictional rates</x:v>
      </x:c>
    </x:row>
    <x:row r="120" ht="21" customHeight="1">
      <x:c r="A120" s="23" t="str">
        <x:v>front_high</x:v>
      </x:c>
      <x:c r="B120" s="23" t="n">
        <x:v>17</x:v>
      </x:c>
      <x:c r="C120" s="37" t="n">
        <x:v>47939</x:v>
      </x:c>
      <x:c r="D120" s="55" t="n">
        <x:v>0.025</x:v>
      </x:c>
      <x:c r="E120" s="55" t="n">
        <x:v>0.06</x:v>
      </x:c>
      <x:c r="F120" s="60" t="n">
        <x:v>0.025</x:v>
      </x:c>
      <x:c r="G120" s="60" t="n">
        <x:v>0.06</x:v>
      </x:c>
      <x:c r="H120" s="23" t="n">
        <x:f>IF(D120=F120,0,1)+IF(E120=G120,0,1)</x:f>
        <x:v>0</x:v>
      </x:c>
      <x:c r="I120" s="23" t="str">
        <x:v>Timing T20 / fictional rates</x:v>
      </x:c>
    </x:row>
    <x:row r="121" ht="21" customHeight="1">
      <x:c r="A121" s="23" t="str">
        <x:v>front_high</x:v>
      </x:c>
      <x:c r="B121" s="23" t="n">
        <x:v>18</x:v>
      </x:c>
      <x:c r="C121" s="37" t="n">
        <x:v>48030</x:v>
      </x:c>
      <x:c r="D121" s="55" t="n">
        <x:v>0.025</x:v>
      </x:c>
      <x:c r="E121" s="55" t="n">
        <x:v>0.06</x:v>
      </x:c>
      <x:c r="F121" s="60" t="n">
        <x:v>0.025</x:v>
      </x:c>
      <x:c r="G121" s="60" t="n">
        <x:v>0.06</x:v>
      </x:c>
      <x:c r="H121" s="23" t="n">
        <x:f>IF(D121=F121,0,1)+IF(E121=G121,0,1)</x:f>
        <x:v>0</x:v>
      </x:c>
      <x:c r="I121" s="23" t="str">
        <x:v>Timing T20 / fictional rates</x:v>
      </x:c>
    </x:row>
    <x:row r="122" ht="21" customHeight="1">
      <x:c r="A122" s="23" t="str">
        <x:v>front_high</x:v>
      </x:c>
      <x:c r="B122" s="23" t="n">
        <x:v>19</x:v>
      </x:c>
      <x:c r="C122" s="37" t="n">
        <x:v>48122</x:v>
      </x:c>
      <x:c r="D122" s="55" t="n">
        <x:v>0.025</x:v>
      </x:c>
      <x:c r="E122" s="55" t="n">
        <x:v>0.06</x:v>
      </x:c>
      <x:c r="F122" s="60" t="n">
        <x:v>0.025</x:v>
      </x:c>
      <x:c r="G122" s="60" t="n">
        <x:v>0.06</x:v>
      </x:c>
      <x:c r="H122" s="23" t="n">
        <x:f>IF(D122=F122,0,1)+IF(E122=G122,0,1)</x:f>
        <x:v>0</x:v>
      </x:c>
      <x:c r="I122" s="23" t="str">
        <x:v>Timing T20 / fictional rates</x:v>
      </x:c>
    </x:row>
    <x:row r="123" ht="21" customHeight="1">
      <x:c r="A123" s="23" t="str">
        <x:v>front_high</x:v>
      </x:c>
      <x:c r="B123" s="23" t="n">
        <x:v>20</x:v>
      </x:c>
      <x:c r="C123" s="37" t="n">
        <x:v>48214</x:v>
      </x:c>
      <x:c r="D123" s="55" t="n">
        <x:v>0.025</x:v>
      </x:c>
      <x:c r="E123" s="55" t="n">
        <x:v>0.06</x:v>
      </x:c>
      <x:c r="F123" s="60" t="n">
        <x:v>0.025</x:v>
      </x:c>
      <x:c r="G123" s="60" t="n">
        <x:v>0.06</x:v>
      </x:c>
      <x:c r="H123" s="23" t="n">
        <x:f>IF(D123=F123,0,1)+IF(E123=G123,0,1)</x:f>
        <x:v>0</x:v>
      </x:c>
      <x:c r="I123" s="23" t="str">
        <x:v>Timing T20 / fictional rates</x:v>
      </x:c>
    </x:row>
    <x:row r="124" ht="21" customHeight="1">
      <x:c r="A124" s="23" t="str">
        <x:v>front_high</x:v>
      </x:c>
      <x:c r="B124" s="23" t="n">
        <x:v>21</x:v>
      </x:c>
      <x:c r="C124" s="37" t="n">
        <x:v>48305</x:v>
      </x:c>
      <x:c r="D124" s="55" t="n">
        <x:v>0</x:v>
      </x:c>
      <x:c r="E124" s="55" t="n">
        <x:v>0.06</x:v>
      </x:c>
      <x:c r="F124" s="60" t="n">
        <x:v>0</x:v>
      </x:c>
      <x:c r="G124" s="60" t="n">
        <x:v>0.06</x:v>
      </x:c>
      <x:c r="H124" s="23" t="n">
        <x:f>IF(D124=F124,0,1)+IF(E124=G124,0,1)</x:f>
        <x:v>0</x:v>
      </x:c>
      <x:c r="I124" s="23" t="str">
        <x:v>Timing T20 / fictional rates</x:v>
      </x:c>
    </x:row>
    <x:row r="125" ht="21" customHeight="1">
      <x:c r="A125" s="23" t="str">
        <x:v>front_high</x:v>
      </x:c>
      <x:c r="B125" s="23" t="n">
        <x:v>22</x:v>
      </x:c>
      <x:c r="C125" s="37" t="n">
        <x:v>48396</x:v>
      </x:c>
      <x:c r="D125" s="55" t="n">
        <x:v>0</x:v>
      </x:c>
      <x:c r="E125" s="55" t="n">
        <x:v>0.06</x:v>
      </x:c>
      <x:c r="F125" s="60" t="n">
        <x:v>0</x:v>
      </x:c>
      <x:c r="G125" s="60" t="n">
        <x:v>0.06</x:v>
      </x:c>
      <x:c r="H125" s="23" t="n">
        <x:f>IF(D125=F125,0,1)+IF(E125=G125,0,1)</x:f>
        <x:v>0</x:v>
      </x:c>
      <x:c r="I125" s="23" t="str">
        <x:v>Timing T20 / fictional rates</x:v>
      </x:c>
    </x:row>
    <x:row r="126" ht="21" customHeight="1">
      <x:c r="A126" s="23" t="str">
        <x:v>front_high</x:v>
      </x:c>
      <x:c r="B126" s="23" t="n">
        <x:v>23</x:v>
      </x:c>
      <x:c r="C126" s="37" t="n">
        <x:v>48488</x:v>
      </x:c>
      <x:c r="D126" s="55" t="n">
        <x:v>0</x:v>
      </x:c>
      <x:c r="E126" s="55" t="n">
        <x:v>0.06</x:v>
      </x:c>
      <x:c r="F126" s="60" t="n">
        <x:v>0</x:v>
      </x:c>
      <x:c r="G126" s="60" t="n">
        <x:v>0.06</x:v>
      </x:c>
      <x:c r="H126" s="23" t="n">
        <x:f>IF(D126=F126,0,1)+IF(E126=G126,0,1)</x:f>
        <x:v>0</x:v>
      </x:c>
      <x:c r="I126" s="23" t="str">
        <x:v>Timing T20 / fictional rates</x:v>
      </x:c>
    </x:row>
    <x:row r="127" ht="21" customHeight="1">
      <x:c r="A127" s="23" t="str">
        <x:v>front_high</x:v>
      </x:c>
      <x:c r="B127" s="23" t="n">
        <x:v>24</x:v>
      </x:c>
      <x:c r="C127" s="37" t="n">
        <x:v>48580</x:v>
      </x:c>
      <x:c r="D127" s="55" t="n">
        <x:v>0</x:v>
      </x:c>
      <x:c r="E127" s="55" t="n">
        <x:v>0.06</x:v>
      </x:c>
      <x:c r="F127" s="60" t="n">
        <x:v>0</x:v>
      </x:c>
      <x:c r="G127" s="60" t="n">
        <x:v>0.06</x:v>
      </x:c>
      <x:c r="H127" s="23" t="n">
        <x:f>IF(D127=F127,0,1)+IF(E127=G127,0,1)</x:f>
        <x:v>0</x:v>
      </x:c>
      <x:c r="I127" s="23" t="str">
        <x:v>Timing T20 / fictional rates</x:v>
      </x:c>
    </x:row>
    <x:row r="128" ht="21" customHeight="1">
      <x:c r="A128" s="23" t="str">
        <x:v>front_high</x:v>
      </x:c>
      <x:c r="B128" s="23" t="n">
        <x:v>25</x:v>
      </x:c>
      <x:c r="C128" s="37" t="n">
        <x:v>48670</x:v>
      </x:c>
      <x:c r="D128" s="55" t="n">
        <x:v>0</x:v>
      </x:c>
      <x:c r="E128" s="55" t="n">
        <x:v>0.06</x:v>
      </x:c>
      <x:c r="F128" s="60" t="n">
        <x:v>0</x:v>
      </x:c>
      <x:c r="G128" s="60" t="n">
        <x:v>0.06</x:v>
      </x:c>
      <x:c r="H128" s="23" t="n">
        <x:f>IF(D128=F128,0,1)+IF(E128=G128,0,1)</x:f>
        <x:v>0</x:v>
      </x:c>
      <x:c r="I128" s="23" t="str">
        <x:v>Timing T20 / fictional rates</x:v>
      </x:c>
    </x:row>
    <x:row r="129" ht="21" customHeight="1">
      <x:c r="A129" s="23" t="str">
        <x:v>front_high</x:v>
      </x:c>
      <x:c r="B129" s="23" t="n">
        <x:v>26</x:v>
      </x:c>
      <x:c r="C129" s="37" t="n">
        <x:v>48761</x:v>
      </x:c>
      <x:c r="D129" s="55" t="n">
        <x:v>0</x:v>
      </x:c>
      <x:c r="E129" s="55" t="n">
        <x:v>0.06</x:v>
      </x:c>
      <x:c r="F129" s="60" t="n">
        <x:v>0</x:v>
      </x:c>
      <x:c r="G129" s="60" t="n">
        <x:v>0.06</x:v>
      </x:c>
      <x:c r="H129" s="23" t="n">
        <x:f>IF(D129=F129,0,1)+IF(E129=G129,0,1)</x:f>
        <x:v>0</x:v>
      </x:c>
      <x:c r="I129" s="23" t="str">
        <x:v>Timing T20 / fictional rates</x:v>
      </x:c>
    </x:row>
    <x:row r="130" ht="21" customHeight="1">
      <x:c r="A130" s="23" t="str">
        <x:v>front_high</x:v>
      </x:c>
      <x:c r="B130" s="23" t="n">
        <x:v>27</x:v>
      </x:c>
      <x:c r="C130" s="37" t="n">
        <x:v>48853</x:v>
      </x:c>
      <x:c r="D130" s="55" t="n">
        <x:v>0</x:v>
      </x:c>
      <x:c r="E130" s="55" t="n">
        <x:v>0.06</x:v>
      </x:c>
      <x:c r="F130" s="60" t="n">
        <x:v>0</x:v>
      </x:c>
      <x:c r="G130" s="60" t="n">
        <x:v>0.06</x:v>
      </x:c>
      <x:c r="H130" s="23" t="n">
        <x:f>IF(D130=F130,0,1)+IF(E130=G130,0,1)</x:f>
        <x:v>0</x:v>
      </x:c>
      <x:c r="I130" s="23" t="str">
        <x:v>Timing T20 / fictional rates</x:v>
      </x:c>
    </x:row>
    <x:row r="131" ht="21" customHeight="1">
      <x:c r="A131" s="23" t="str">
        <x:v>front_high</x:v>
      </x:c>
      <x:c r="B131" s="23" t="n">
        <x:v>28</x:v>
      </x:c>
      <x:c r="C131" s="37" t="n">
        <x:v>48945</x:v>
      </x:c>
      <x:c r="D131" s="55" t="n">
        <x:v>0</x:v>
      </x:c>
      <x:c r="E131" s="55" t="n">
        <x:v>0.06</x:v>
      </x:c>
      <x:c r="F131" s="60" t="n">
        <x:v>0</x:v>
      </x:c>
      <x:c r="G131" s="60" t="n">
        <x:v>0.06</x:v>
      </x:c>
      <x:c r="H131" s="23" t="n">
        <x:f>IF(D131=F131,0,1)+IF(E131=G131,0,1)</x:f>
        <x:v>0</x:v>
      </x:c>
      <x:c r="I131" s="23" t="str">
        <x:v>Timing T20 / fictional rates</x:v>
      </x:c>
    </x:row>
    <x:row r="132" ht="21" customHeight="1">
      <x:c r="A132" s="23" t="str">
        <x:v>front_high</x:v>
      </x:c>
      <x:c r="B132" s="23" t="n">
        <x:v>29</x:v>
      </x:c>
      <x:c r="C132" s="37" t="n">
        <x:v>49035</x:v>
      </x:c>
      <x:c r="D132" s="55" t="n">
        <x:v>0</x:v>
      </x:c>
      <x:c r="E132" s="55" t="n">
        <x:v>0.06</x:v>
      </x:c>
      <x:c r="F132" s="60" t="n">
        <x:v>0</x:v>
      </x:c>
      <x:c r="G132" s="60" t="n">
        <x:v>0.06</x:v>
      </x:c>
      <x:c r="H132" s="23" t="n">
        <x:f>IF(D132=F132,0,1)+IF(E132=G132,0,1)</x:f>
        <x:v>0</x:v>
      </x:c>
      <x:c r="I132" s="23" t="str">
        <x:v>Timing T20 / fictional rates</x:v>
      </x:c>
    </x:row>
    <x:row r="133" ht="21" customHeight="1">
      <x:c r="A133" s="23" t="str">
        <x:v>front_high</x:v>
      </x:c>
      <x:c r="B133" s="23" t="n">
        <x:v>30</x:v>
      </x:c>
      <x:c r="C133" s="37" t="n">
        <x:v>49126</x:v>
      </x:c>
      <x:c r="D133" s="55" t="n">
        <x:v>0</x:v>
      </x:c>
      <x:c r="E133" s="55" t="n">
        <x:v>0.06</x:v>
      </x:c>
      <x:c r="F133" s="60" t="n">
        <x:v>0</x:v>
      </x:c>
      <x:c r="G133" s="60" t="n">
        <x:v>0.06</x:v>
      </x:c>
      <x:c r="H133" s="23" t="n">
        <x:f>IF(D133=F133,0,1)+IF(E133=G133,0,1)</x:f>
        <x:v>0</x:v>
      </x:c>
      <x:c r="I133" s="23" t="str">
        <x:v>Timing T20 / fictional rates</x:v>
      </x:c>
    </x:row>
    <x:row r="134" ht="21" customHeight="1">
      <x:c r="A134" s="23" t="str">
        <x:v>front_high</x:v>
      </x:c>
      <x:c r="B134" s="23" t="n">
        <x:v>31</x:v>
      </x:c>
      <x:c r="C134" s="37" t="n">
        <x:v>49218</x:v>
      </x:c>
      <x:c r="D134" s="55" t="n">
        <x:v>0</x:v>
      </x:c>
      <x:c r="E134" s="55" t="n">
        <x:v>0.06</x:v>
      </x:c>
      <x:c r="F134" s="60" t="n">
        <x:v>0</x:v>
      </x:c>
      <x:c r="G134" s="60" t="n">
        <x:v>0.06</x:v>
      </x:c>
      <x:c r="H134" s="23" t="n">
        <x:f>IF(D134=F134,0,1)+IF(E134=G134,0,1)</x:f>
        <x:v>0</x:v>
      </x:c>
      <x:c r="I134" s="23" t="str">
        <x:v>Timing T20 / fictional rates</x:v>
      </x:c>
    </x:row>
    <x:row r="135" ht="21" customHeight="1">
      <x:c r="A135" s="23" t="str">
        <x:v>front_high</x:v>
      </x:c>
      <x:c r="B135" s="23" t="n">
        <x:v>32</x:v>
      </x:c>
      <x:c r="C135" s="37" t="n">
        <x:v>49310</x:v>
      </x:c>
      <x:c r="D135" s="55" t="n">
        <x:v>0</x:v>
      </x:c>
      <x:c r="E135" s="55" t="n">
        <x:v>0.06</x:v>
      </x:c>
      <x:c r="F135" s="60" t="n">
        <x:v>0</x:v>
      </x:c>
      <x:c r="G135" s="60" t="n">
        <x:v>0.06</x:v>
      </x:c>
      <x:c r="H135" s="23" t="n">
        <x:f>IF(D135=F135,0,1)+IF(E135=G135,0,1)</x:f>
        <x:v>0</x:v>
      </x:c>
      <x:c r="I135" s="23" t="str">
        <x:v>Timing T20 / fictional rates</x:v>
      </x:c>
    </x:row>
    <x:row r="136" ht="21" customHeight="1">
      <x:c r="A136" s="23" t="str">
        <x:v>front_high</x:v>
      </x:c>
      <x:c r="B136" s="23" t="n">
        <x:v>33</x:v>
      </x:c>
      <x:c r="C136" s="37" t="n">
        <x:v>49400</x:v>
      </x:c>
      <x:c r="D136" s="55" t="n">
        <x:v>0</x:v>
      </x:c>
      <x:c r="E136" s="55" t="n">
        <x:v>0.06</x:v>
      </x:c>
      <x:c r="F136" s="60" t="n">
        <x:v>0</x:v>
      </x:c>
      <x:c r="G136" s="60" t="n">
        <x:v>0.06</x:v>
      </x:c>
      <x:c r="H136" s="23" t="n">
        <x:f>IF(D136=F136,0,1)+IF(E136=G136,0,1)</x:f>
        <x:v>0</x:v>
      </x:c>
      <x:c r="I136" s="23" t="str">
        <x:v>Timing T20 / fictional rates</x:v>
      </x:c>
    </x:row>
    <x:row r="137" ht="21" customHeight="1">
      <x:c r="A137" s="23" t="str">
        <x:v>front_high</x:v>
      </x:c>
      <x:c r="B137" s="23" t="n">
        <x:v>34</x:v>
      </x:c>
      <x:c r="C137" s="37" t="n">
        <x:v>49491</x:v>
      </x:c>
      <x:c r="D137" s="55" t="n">
        <x:v>0</x:v>
      </x:c>
      <x:c r="E137" s="55" t="n">
        <x:v>0.06</x:v>
      </x:c>
      <x:c r="F137" s="60" t="n">
        <x:v>0</x:v>
      </x:c>
      <x:c r="G137" s="60" t="n">
        <x:v>0.06</x:v>
      </x:c>
      <x:c r="H137" s="23" t="n">
        <x:f>IF(D137=F137,0,1)+IF(E137=G137,0,1)</x:f>
        <x:v>0</x:v>
      </x:c>
      <x:c r="I137" s="23" t="str">
        <x:v>Timing T20 / fictional rates</x:v>
      </x:c>
    </x:row>
    <x:row r="138" ht="21" customHeight="1">
      <x:c r="A138" s="23" t="str">
        <x:v>front_high</x:v>
      </x:c>
      <x:c r="B138" s="23" t="n">
        <x:v>35</x:v>
      </x:c>
      <x:c r="C138" s="37" t="n">
        <x:v>49583</x:v>
      </x:c>
      <x:c r="D138" s="55" t="n">
        <x:v>0</x:v>
      </x:c>
      <x:c r="E138" s="55" t="n">
        <x:v>0.06</x:v>
      </x:c>
      <x:c r="F138" s="60" t="n">
        <x:v>0</x:v>
      </x:c>
      <x:c r="G138" s="60" t="n">
        <x:v>0.06</x:v>
      </x:c>
      <x:c r="H138" s="23" t="n">
        <x:f>IF(D138=F138,0,1)+IF(E138=G138,0,1)</x:f>
        <x:v>0</x:v>
      </x:c>
      <x:c r="I138" s="23" t="str">
        <x:v>Timing T20 / fictional rates</x:v>
      </x:c>
    </x:row>
    <x:row r="139" ht="21" customHeight="1">
      <x:c r="A139" s="23" t="str">
        <x:v>front_high</x:v>
      </x:c>
      <x:c r="B139" s="23" t="n">
        <x:v>36</x:v>
      </x:c>
      <x:c r="C139" s="37" t="n">
        <x:v>49675</x:v>
      </x:c>
      <x:c r="D139" s="55" t="n">
        <x:v>0</x:v>
      </x:c>
      <x:c r="E139" s="55" t="n">
        <x:v>0.06</x:v>
      </x:c>
      <x:c r="F139" s="60" t="n">
        <x:v>0</x:v>
      </x:c>
      <x:c r="G139" s="60" t="n">
        <x:v>0.06</x:v>
      </x:c>
      <x:c r="H139" s="23" t="n">
        <x:f>IF(D139=F139,0,1)+IF(E139=G139,0,1)</x:f>
        <x:v>0</x:v>
      </x:c>
      <x:c r="I139" s="23" t="str">
        <x:v>Timing T20 / fictional rates</x:v>
      </x:c>
    </x:row>
    <x:row r="140" ht="21" customHeight="1">
      <x:c r="A140" s="23" t="str">
        <x:v>front_high</x:v>
      </x:c>
      <x:c r="B140" s="23" t="n">
        <x:v>37</x:v>
      </x:c>
      <x:c r="C140" s="37" t="n">
        <x:v>49766</x:v>
      </x:c>
      <x:c r="D140" s="55" t="n">
        <x:v>0</x:v>
      </x:c>
      <x:c r="E140" s="55" t="n">
        <x:v>0.06</x:v>
      </x:c>
      <x:c r="F140" s="60" t="n">
        <x:v>0</x:v>
      </x:c>
      <x:c r="G140" s="60" t="n">
        <x:v>0.06</x:v>
      </x:c>
      <x:c r="H140" s="23" t="n">
        <x:f>IF(D140=F140,0,1)+IF(E140=G140,0,1)</x:f>
        <x:v>0</x:v>
      </x:c>
      <x:c r="I140" s="23" t="str">
        <x:v>Timing T20 / fictional rates</x:v>
      </x:c>
    </x:row>
    <x:row r="141" ht="21" customHeight="1">
      <x:c r="A141" s="23" t="str">
        <x:v>front_high</x:v>
      </x:c>
      <x:c r="B141" s="23" t="n">
        <x:v>38</x:v>
      </x:c>
      <x:c r="C141" s="37" t="n">
        <x:v>49857</x:v>
      </x:c>
      <x:c r="D141" s="55" t="n">
        <x:v>0</x:v>
      </x:c>
      <x:c r="E141" s="55" t="n">
        <x:v>0.06</x:v>
      </x:c>
      <x:c r="F141" s="60" t="n">
        <x:v>0</x:v>
      </x:c>
      <x:c r="G141" s="60" t="n">
        <x:v>0.06</x:v>
      </x:c>
      <x:c r="H141" s="23" t="n">
        <x:f>IF(D141=F141,0,1)+IF(E141=G141,0,1)</x:f>
        <x:v>0</x:v>
      </x:c>
      <x:c r="I141" s="23" t="str">
        <x:v>Timing T20 / fictional rates</x:v>
      </x:c>
    </x:row>
    <x:row r="142" ht="21" customHeight="1">
      <x:c r="A142" s="23" t="str">
        <x:v>front_high</x:v>
      </x:c>
      <x:c r="B142" s="23" t="n">
        <x:v>39</x:v>
      </x:c>
      <x:c r="C142" s="37" t="n">
        <x:v>49949</x:v>
      </x:c>
      <x:c r="D142" s="55" t="n">
        <x:v>0</x:v>
      </x:c>
      <x:c r="E142" s="55" t="n">
        <x:v>0.06</x:v>
      </x:c>
      <x:c r="F142" s="60" t="n">
        <x:v>0</x:v>
      </x:c>
      <x:c r="G142" s="60" t="n">
        <x:v>0.06</x:v>
      </x:c>
      <x:c r="H142" s="23" t="n">
        <x:f>IF(D142=F142,0,1)+IF(E142=G142,0,1)</x:f>
        <x:v>0</x:v>
      </x:c>
      <x:c r="I142" s="23" t="str">
        <x:v>Timing T20 / fictional rates</x:v>
      </x:c>
    </x:row>
    <x:row r="143" ht="21" customHeight="1">
      <x:c r="A143" s="23" t="str">
        <x:v>front_high</x:v>
      </x:c>
      <x:c r="B143" s="23" t="n">
        <x:v>40</x:v>
      </x:c>
      <x:c r="C143" s="37" t="n">
        <x:v>50041</x:v>
      </x:c>
      <x:c r="D143" s="55" t="n">
        <x:v>0</x:v>
      </x:c>
      <x:c r="E143" s="55" t="n">
        <x:v>0.06</x:v>
      </x:c>
      <x:c r="F143" s="60" t="n">
        <x:v>0</x:v>
      </x:c>
      <x:c r="G143" s="60" t="n">
        <x:v>0.06</x:v>
      </x:c>
      <x:c r="H143" s="23" t="n">
        <x:f>IF(D143=F143,0,1)+IF(E143=G143,0,1)</x:f>
        <x:v>0</x:v>
      </x:c>
      <x:c r="I143" s="23" t="str">
        <x:v>Timing T20 / fictional rates</x:v>
      </x:c>
    </x:row>
    <x:row r="144" ht="21" customHeight="1">
      <x:c r="A144" s="23" t="str">
        <x:v>front_high</x:v>
      </x:c>
      <x:c r="B144" s="23" t="n">
        <x:v>41</x:v>
      </x:c>
      <x:c r="C144" s="37" t="n">
        <x:v>50131</x:v>
      </x:c>
      <x:c r="D144" s="55" t="n">
        <x:v>0</x:v>
      </x:c>
      <x:c r="E144" s="55" t="n">
        <x:v>0.06</x:v>
      </x:c>
      <x:c r="F144" s="60" t="n">
        <x:v>0</x:v>
      </x:c>
      <x:c r="G144" s="60" t="n">
        <x:v>0.06</x:v>
      </x:c>
      <x:c r="H144" s="23" t="n">
        <x:f>IF(D144=F144,0,1)+IF(E144=G144,0,1)</x:f>
        <x:v>0</x:v>
      </x:c>
      <x:c r="I144" s="23" t="str">
        <x:v>Timing T20 / fictional rates</x:v>
      </x:c>
    </x:row>
    <x:row r="145" ht="21" customHeight="1">
      <x:c r="A145" s="23" t="str">
        <x:v>front_high</x:v>
      </x:c>
      <x:c r="B145" s="23" t="n">
        <x:v>42</x:v>
      </x:c>
      <x:c r="C145" s="37" t="n">
        <x:v>50222</x:v>
      </x:c>
      <x:c r="D145" s="55" t="n">
        <x:v>0</x:v>
      </x:c>
      <x:c r="E145" s="55" t="n">
        <x:v>0.06</x:v>
      </x:c>
      <x:c r="F145" s="60" t="n">
        <x:v>0</x:v>
      </x:c>
      <x:c r="G145" s="60" t="n">
        <x:v>0.06</x:v>
      </x:c>
      <x:c r="H145" s="23" t="n">
        <x:f>IF(D145=F145,0,1)+IF(E145=G145,0,1)</x:f>
        <x:v>0</x:v>
      </x:c>
      <x:c r="I145" s="23" t="str">
        <x:v>Timing T20 / fictional rates</x:v>
      </x:c>
    </x:row>
    <x:row r="146" ht="21" customHeight="1">
      <x:c r="A146" s="23" t="str">
        <x:v>front_high</x:v>
      </x:c>
      <x:c r="B146" s="23" t="n">
        <x:v>43</x:v>
      </x:c>
      <x:c r="C146" s="37" t="n">
        <x:v>50314</x:v>
      </x:c>
      <x:c r="D146" s="55" t="n">
        <x:v>0</x:v>
      </x:c>
      <x:c r="E146" s="55" t="n">
        <x:v>0.06</x:v>
      </x:c>
      <x:c r="F146" s="60" t="n">
        <x:v>0</x:v>
      </x:c>
      <x:c r="G146" s="60" t="n">
        <x:v>0.06</x:v>
      </x:c>
      <x:c r="H146" s="23" t="n">
        <x:f>IF(D146=F146,0,1)+IF(E146=G146,0,1)</x:f>
        <x:v>0</x:v>
      </x:c>
      <x:c r="I146" s="23" t="str">
        <x:v>Timing T20 / fictional rates</x:v>
      </x:c>
    </x:row>
    <x:row r="147" ht="21" customHeight="1">
      <x:c r="A147" s="23" t="str">
        <x:v>front_high</x:v>
      </x:c>
      <x:c r="B147" s="23" t="n">
        <x:v>44</x:v>
      </x:c>
      <x:c r="C147" s="37" t="n">
        <x:v>50406</x:v>
      </x:c>
      <x:c r="D147" s="55" t="n">
        <x:v>0</x:v>
      </x:c>
      <x:c r="E147" s="55" t="n">
        <x:v>0.06</x:v>
      </x:c>
      <x:c r="F147" s="60" t="n">
        <x:v>0</x:v>
      </x:c>
      <x:c r="G147" s="60" t="n">
        <x:v>0.06</x:v>
      </x:c>
      <x:c r="H147" s="23" t="n">
        <x:f>IF(D147=F147,0,1)+IF(E147=G147,0,1)</x:f>
        <x:v>0</x:v>
      </x:c>
      <x:c r="I147" s="23" t="str">
        <x:v>Timing T20 / fictional rates</x:v>
      </x:c>
    </x:row>
    <x:row r="148" ht="21" customHeight="1">
      <x:c r="A148" s="23" t="str">
        <x:v>front_high</x:v>
      </x:c>
      <x:c r="B148" s="23" t="n">
        <x:v>45</x:v>
      </x:c>
      <x:c r="C148" s="37" t="n">
        <x:v>50496</x:v>
      </x:c>
      <x:c r="D148" s="55" t="n">
        <x:v>0</x:v>
      </x:c>
      <x:c r="E148" s="55" t="n">
        <x:v>0.06</x:v>
      </x:c>
      <x:c r="F148" s="60" t="n">
        <x:v>0</x:v>
      </x:c>
      <x:c r="G148" s="60" t="n">
        <x:v>0.06</x:v>
      </x:c>
      <x:c r="H148" s="23" t="n">
        <x:f>IF(D148=F148,0,1)+IF(E148=G148,0,1)</x:f>
        <x:v>0</x:v>
      </x:c>
      <x:c r="I148" s="23" t="str">
        <x:v>Timing T20 / fictional rates</x:v>
      </x:c>
    </x:row>
    <x:row r="149" ht="21" customHeight="1">
      <x:c r="A149" s="23" t="str">
        <x:v>front_high</x:v>
      </x:c>
      <x:c r="B149" s="23" t="n">
        <x:v>46</x:v>
      </x:c>
      <x:c r="C149" s="37" t="n">
        <x:v>50587</x:v>
      </x:c>
      <x:c r="D149" s="55" t="n">
        <x:v>0</x:v>
      </x:c>
      <x:c r="E149" s="55" t="n">
        <x:v>0.06</x:v>
      </x:c>
      <x:c r="F149" s="60" t="n">
        <x:v>0</x:v>
      </x:c>
      <x:c r="G149" s="60" t="n">
        <x:v>0.06</x:v>
      </x:c>
      <x:c r="H149" s="23" t="n">
        <x:f>IF(D149=F149,0,1)+IF(E149=G149,0,1)</x:f>
        <x:v>0</x:v>
      </x:c>
      <x:c r="I149" s="23" t="str">
        <x:v>Timing T20 / fictional rates</x:v>
      </x:c>
    </x:row>
    <x:row r="150" ht="21" customHeight="1">
      <x:c r="A150" s="23" t="str">
        <x:v>front_high</x:v>
      </x:c>
      <x:c r="B150" s="23" t="n">
        <x:v>47</x:v>
      </x:c>
      <x:c r="C150" s="37" t="n">
        <x:v>50679</x:v>
      </x:c>
      <x:c r="D150" s="55" t="n">
        <x:v>0</x:v>
      </x:c>
      <x:c r="E150" s="55" t="n">
        <x:v>0.06</x:v>
      </x:c>
      <x:c r="F150" s="60" t="n">
        <x:v>0</x:v>
      </x:c>
      <x:c r="G150" s="60" t="n">
        <x:v>0.06</x:v>
      </x:c>
      <x:c r="H150" s="23" t="n">
        <x:f>IF(D150=F150,0,1)+IF(E150=G150,0,1)</x:f>
        <x:v>0</x:v>
      </x:c>
      <x:c r="I150" s="23" t="str">
        <x:v>Timing T20 / fictional rates</x:v>
      </x:c>
    </x:row>
    <x:row r="151" ht="21" customHeight="1">
      <x:c r="A151" s="23" t="str">
        <x:v>front_high</x:v>
      </x:c>
      <x:c r="B151" s="23" t="n">
        <x:v>48</x:v>
      </x:c>
      <x:c r="C151" s="37" t="n">
        <x:v>50771</x:v>
      </x:c>
      <x:c r="D151" s="55" t="n">
        <x:v>0</x:v>
      </x:c>
      <x:c r="E151" s="55" t="n">
        <x:v>0.06</x:v>
      </x:c>
      <x:c r="F151" s="60" t="n">
        <x:v>0</x:v>
      </x:c>
      <x:c r="G151" s="60" t="n">
        <x:v>0.06</x:v>
      </x:c>
      <x:c r="H151" s="23" t="n">
        <x:f>IF(D151=F151,0,1)+IF(E151=G151,0,1)</x:f>
        <x:v>0</x:v>
      </x:c>
      <x:c r="I151" s="23" t="str">
        <x:v>Timing T20 / fictional rates</x:v>
      </x:c>
    </x:row>
    <x:row r="152" ht="21" customHeight="1">
      <x:c r="A152" s="23" t="str">
        <x:v>middle_flat</x:v>
      </x:c>
      <x:c r="B152" s="23" t="n">
        <x:v>1</x:v>
      </x:c>
      <x:c r="C152" s="37" t="n">
        <x:v>46478</x:v>
      </x:c>
      <x:c r="D152" s="55" t="n">
        <x:v>0.04</x:v>
      </x:c>
      <x:c r="E152" s="55" t="n">
        <x:v>0.03</x:v>
      </x:c>
      <x:c r="F152" s="60" t="n">
        <x:v>0.04</x:v>
      </x:c>
      <x:c r="G152" s="60" t="n">
        <x:v>0.03</x:v>
      </x:c>
      <x:c r="H152" s="23" t="n">
        <x:f>IF(D152=F152,0,1)+IF(E152=G152,0,1)</x:f>
        <x:v>0</x:v>
      </x:c>
      <x:c r="I152" s="23" t="str">
        <x:v>Timing T20 / fictional rates</x:v>
      </x:c>
    </x:row>
    <x:row r="153" ht="21" customHeight="1">
      <x:c r="A153" s="23" t="str">
        <x:v>middle_flat</x:v>
      </x:c>
      <x:c r="B153" s="23" t="n">
        <x:v>2</x:v>
      </x:c>
      <x:c r="C153" s="37" t="n">
        <x:v>46569</x:v>
      </x:c>
      <x:c r="D153" s="55" t="n">
        <x:v>0.04</x:v>
      </x:c>
      <x:c r="E153" s="55" t="n">
        <x:v>0.03</x:v>
      </x:c>
      <x:c r="F153" s="60" t="n">
        <x:v>0.04</x:v>
      </x:c>
      <x:c r="G153" s="60" t="n">
        <x:v>0.03</x:v>
      </x:c>
      <x:c r="H153" s="23" t="n">
        <x:f>IF(D153=F153,0,1)+IF(E153=G153,0,1)</x:f>
        <x:v>0</x:v>
      </x:c>
      <x:c r="I153" s="23" t="str">
        <x:v>Timing T20 / fictional rates</x:v>
      </x:c>
    </x:row>
    <x:row r="154" ht="21" customHeight="1">
      <x:c r="A154" s="23" t="str">
        <x:v>middle_flat</x:v>
      </x:c>
      <x:c r="B154" s="23" t="n">
        <x:v>3</x:v>
      </x:c>
      <x:c r="C154" s="37" t="n">
        <x:v>46661</x:v>
      </x:c>
      <x:c r="D154" s="55" t="n">
        <x:v>0.04</x:v>
      </x:c>
      <x:c r="E154" s="55" t="n">
        <x:v>0.03</x:v>
      </x:c>
      <x:c r="F154" s="60" t="n">
        <x:v>0.04</x:v>
      </x:c>
      <x:c r="G154" s="60" t="n">
        <x:v>0.03</x:v>
      </x:c>
      <x:c r="H154" s="23" t="n">
        <x:f>IF(D154=F154,0,1)+IF(E154=G154,0,1)</x:f>
        <x:v>0</x:v>
      </x:c>
      <x:c r="I154" s="23" t="str">
        <x:v>Timing T20 / fictional rates</x:v>
      </x:c>
    </x:row>
    <x:row r="155" ht="21" customHeight="1">
      <x:c r="A155" s="23" t="str">
        <x:v>middle_flat</x:v>
      </x:c>
      <x:c r="B155" s="23" t="n">
        <x:v>4</x:v>
      </x:c>
      <x:c r="C155" s="37" t="n">
        <x:v>46753</x:v>
      </x:c>
      <x:c r="D155" s="55" t="n">
        <x:v>0.04</x:v>
      </x:c>
      <x:c r="E155" s="55" t="n">
        <x:v>0.03</x:v>
      </x:c>
      <x:c r="F155" s="60" t="n">
        <x:v>0.04</x:v>
      </x:c>
      <x:c r="G155" s="60" t="n">
        <x:v>0.03</x:v>
      </x:c>
      <x:c r="H155" s="23" t="n">
        <x:f>IF(D155=F155,0,1)+IF(E155=G155,0,1)</x:f>
        <x:v>0</x:v>
      </x:c>
      <x:c r="I155" s="23" t="str">
        <x:v>Timing T20 / fictional rates</x:v>
      </x:c>
    </x:row>
    <x:row r="156" ht="21" customHeight="1">
      <x:c r="A156" s="23" t="str">
        <x:v>middle_flat</x:v>
      </x:c>
      <x:c r="B156" s="23" t="n">
        <x:v>5</x:v>
      </x:c>
      <x:c r="C156" s="37" t="n">
        <x:v>46844</x:v>
      </x:c>
      <x:c r="D156" s="55" t="n">
        <x:v>0.0575</x:v>
      </x:c>
      <x:c r="E156" s="55" t="n">
        <x:v>0.03</x:v>
      </x:c>
      <x:c r="F156" s="60" t="n">
        <x:v>0.0575</x:v>
      </x:c>
      <x:c r="G156" s="60" t="n">
        <x:v>0.03</x:v>
      </x:c>
      <x:c r="H156" s="23" t="n">
        <x:f>IF(D156=F156,0,1)+IF(E156=G156,0,1)</x:f>
        <x:v>0</x:v>
      </x:c>
      <x:c r="I156" s="23" t="str">
        <x:v>Timing T20 / fictional rates</x:v>
      </x:c>
    </x:row>
    <x:row r="157" ht="21" customHeight="1">
      <x:c r="A157" s="23" t="str">
        <x:v>middle_flat</x:v>
      </x:c>
      <x:c r="B157" s="23" t="n">
        <x:v>6</x:v>
      </x:c>
      <x:c r="C157" s="37" t="n">
        <x:v>46935</x:v>
      </x:c>
      <x:c r="D157" s="55" t="n">
        <x:v>0.0575</x:v>
      </x:c>
      <x:c r="E157" s="55" t="n">
        <x:v>0.03</x:v>
      </x:c>
      <x:c r="F157" s="60" t="n">
        <x:v>0.0575</x:v>
      </x:c>
      <x:c r="G157" s="60" t="n">
        <x:v>0.03</x:v>
      </x:c>
      <x:c r="H157" s="23" t="n">
        <x:f>IF(D157=F157,0,1)+IF(E157=G157,0,1)</x:f>
        <x:v>0</x:v>
      </x:c>
      <x:c r="I157" s="23" t="str">
        <x:v>Timing T20 / fictional rates</x:v>
      </x:c>
    </x:row>
    <x:row r="158" ht="21" customHeight="1">
      <x:c r="A158" s="23" t="str">
        <x:v>middle_flat</x:v>
      </x:c>
      <x:c r="B158" s="23" t="n">
        <x:v>7</x:v>
      </x:c>
      <x:c r="C158" s="37" t="n">
        <x:v>47027</x:v>
      </x:c>
      <x:c r="D158" s="55" t="n">
        <x:v>0.0575</x:v>
      </x:c>
      <x:c r="E158" s="55" t="n">
        <x:v>0.03</x:v>
      </x:c>
      <x:c r="F158" s="60" t="n">
        <x:v>0.0575</x:v>
      </x:c>
      <x:c r="G158" s="60" t="n">
        <x:v>0.03</x:v>
      </x:c>
      <x:c r="H158" s="23" t="n">
        <x:f>IF(D158=F158,0,1)+IF(E158=G158,0,1)</x:f>
        <x:v>0</x:v>
      </x:c>
      <x:c r="I158" s="23" t="str">
        <x:v>Timing T20 / fictional rates</x:v>
      </x:c>
    </x:row>
    <x:row r="159" ht="21" customHeight="1">
      <x:c r="A159" s="23" t="str">
        <x:v>middle_flat</x:v>
      </x:c>
      <x:c r="B159" s="23" t="n">
        <x:v>8</x:v>
      </x:c>
      <x:c r="C159" s="37" t="n">
        <x:v>47119</x:v>
      </x:c>
      <x:c r="D159" s="55" t="n">
        <x:v>0.0575</x:v>
      </x:c>
      <x:c r="E159" s="55" t="n">
        <x:v>0.03</x:v>
      </x:c>
      <x:c r="F159" s="60" t="n">
        <x:v>0.0575</x:v>
      </x:c>
      <x:c r="G159" s="60" t="n">
        <x:v>0.03</x:v>
      </x:c>
      <x:c r="H159" s="23" t="n">
        <x:f>IF(D159=F159,0,1)+IF(E159=G159,0,1)</x:f>
        <x:v>0</x:v>
      </x:c>
      <x:c r="I159" s="23" t="str">
        <x:v>Timing T20 / fictional rates</x:v>
      </x:c>
    </x:row>
    <x:row r="160" ht="21" customHeight="1">
      <x:c r="A160" s="23" t="str">
        <x:v>middle_flat</x:v>
      </x:c>
      <x:c r="B160" s="23" t="n">
        <x:v>9</x:v>
      </x:c>
      <x:c r="C160" s="37" t="n">
        <x:v>47209</x:v>
      </x:c>
      <x:c r="D160" s="55" t="n">
        <x:v>0.065</x:v>
      </x:c>
      <x:c r="E160" s="55" t="n">
        <x:v>0.03</x:v>
      </x:c>
      <x:c r="F160" s="60" t="n">
        <x:v>0.065</x:v>
      </x:c>
      <x:c r="G160" s="60" t="n">
        <x:v>0.03</x:v>
      </x:c>
      <x:c r="H160" s="23" t="n">
        <x:f>IF(D160=F160,0,1)+IF(E160=G160,0,1)</x:f>
        <x:v>0</x:v>
      </x:c>
      <x:c r="I160" s="23" t="str">
        <x:v>Timing T20 / fictional rates</x:v>
      </x:c>
    </x:row>
    <x:row r="161" ht="21" customHeight="1">
      <x:c r="A161" s="23" t="str">
        <x:v>middle_flat</x:v>
      </x:c>
      <x:c r="B161" s="23" t="n">
        <x:v>10</x:v>
      </x:c>
      <x:c r="C161" s="37" t="n">
        <x:v>47300</x:v>
      </x:c>
      <x:c r="D161" s="55" t="n">
        <x:v>0.065</x:v>
      </x:c>
      <x:c r="E161" s="55" t="n">
        <x:v>0.03</x:v>
      </x:c>
      <x:c r="F161" s="60" t="n">
        <x:v>0.065</x:v>
      </x:c>
      <x:c r="G161" s="60" t="n">
        <x:v>0.03</x:v>
      </x:c>
      <x:c r="H161" s="23" t="n">
        <x:f>IF(D161=F161,0,1)+IF(E161=G161,0,1)</x:f>
        <x:v>0</x:v>
      </x:c>
      <x:c r="I161" s="23" t="str">
        <x:v>Timing T20 / fictional rates</x:v>
      </x:c>
    </x:row>
    <x:row r="162" ht="21" customHeight="1">
      <x:c r="A162" s="23" t="str">
        <x:v>middle_flat</x:v>
      </x:c>
      <x:c r="B162" s="23" t="n">
        <x:v>11</x:v>
      </x:c>
      <x:c r="C162" s="37" t="n">
        <x:v>47392</x:v>
      </x:c>
      <x:c r="D162" s="55" t="n">
        <x:v>0.065</x:v>
      </x:c>
      <x:c r="E162" s="55" t="n">
        <x:v>0.03</x:v>
      </x:c>
      <x:c r="F162" s="60" t="n">
        <x:v>0.065</x:v>
      </x:c>
      <x:c r="G162" s="60" t="n">
        <x:v>0.03</x:v>
      </x:c>
      <x:c r="H162" s="23" t="n">
        <x:f>IF(D162=F162,0,1)+IF(E162=G162,0,1)</x:f>
        <x:v>0</x:v>
      </x:c>
      <x:c r="I162" s="23" t="str">
        <x:v>Timing T20 / fictional rates</x:v>
      </x:c>
    </x:row>
    <x:row r="163" ht="21" customHeight="1">
      <x:c r="A163" s="23" t="str">
        <x:v>middle_flat</x:v>
      </x:c>
      <x:c r="B163" s="23" t="n">
        <x:v>12</x:v>
      </x:c>
      <x:c r="C163" s="37" t="n">
        <x:v>47484</x:v>
      </x:c>
      <x:c r="D163" s="55" t="n">
        <x:v>0.065</x:v>
      </x:c>
      <x:c r="E163" s="55" t="n">
        <x:v>0.03</x:v>
      </x:c>
      <x:c r="F163" s="60" t="n">
        <x:v>0.065</x:v>
      </x:c>
      <x:c r="G163" s="60" t="n">
        <x:v>0.03</x:v>
      </x:c>
      <x:c r="H163" s="23" t="n">
        <x:f>IF(D163=F163,0,1)+IF(E163=G163,0,1)</x:f>
        <x:v>0</x:v>
      </x:c>
      <x:c r="I163" s="23" t="str">
        <x:v>Timing T20 / fictional rates</x:v>
      </x:c>
    </x:row>
    <x:row r="164" ht="21" customHeight="1">
      <x:c r="A164" s="23" t="str">
        <x:v>middle_flat</x:v>
      </x:c>
      <x:c r="B164" s="23" t="n">
        <x:v>13</x:v>
      </x:c>
      <x:c r="C164" s="37" t="n">
        <x:v>47574</x:v>
      </x:c>
      <x:c r="D164" s="55" t="n">
        <x:v>0.055</x:v>
      </x:c>
      <x:c r="E164" s="55" t="n">
        <x:v>0.03</x:v>
      </x:c>
      <x:c r="F164" s="60" t="n">
        <x:v>0.055</x:v>
      </x:c>
      <x:c r="G164" s="60" t="n">
        <x:v>0.03</x:v>
      </x:c>
      <x:c r="H164" s="23" t="n">
        <x:f>IF(D164=F164,0,1)+IF(E164=G164,0,1)</x:f>
        <x:v>0</x:v>
      </x:c>
      <x:c r="I164" s="23" t="str">
        <x:v>Timing T20 / fictional rates</x:v>
      </x:c>
    </x:row>
    <x:row r="165" ht="21" customHeight="1">
      <x:c r="A165" s="23" t="str">
        <x:v>middle_flat</x:v>
      </x:c>
      <x:c r="B165" s="23" t="n">
        <x:v>14</x:v>
      </x:c>
      <x:c r="C165" s="37" t="n">
        <x:v>47665</x:v>
      </x:c>
      <x:c r="D165" s="55" t="n">
        <x:v>0.055</x:v>
      </x:c>
      <x:c r="E165" s="55" t="n">
        <x:v>0.03</x:v>
      </x:c>
      <x:c r="F165" s="60" t="n">
        <x:v>0.055</x:v>
      </x:c>
      <x:c r="G165" s="60" t="n">
        <x:v>0.03</x:v>
      </x:c>
      <x:c r="H165" s="23" t="n">
        <x:f>IF(D165=F165,0,1)+IF(E165=G165,0,1)</x:f>
        <x:v>0</x:v>
      </x:c>
      <x:c r="I165" s="23" t="str">
        <x:v>Timing T20 / fictional rates</x:v>
      </x:c>
    </x:row>
    <x:row r="166" ht="21" customHeight="1">
      <x:c r="A166" s="23" t="str">
        <x:v>middle_flat</x:v>
      </x:c>
      <x:c r="B166" s="23" t="n">
        <x:v>15</x:v>
      </x:c>
      <x:c r="C166" s="37" t="n">
        <x:v>47757</x:v>
      </x:c>
      <x:c r="D166" s="55" t="n">
        <x:v>0.055</x:v>
      </x:c>
      <x:c r="E166" s="55" t="n">
        <x:v>0.03</x:v>
      </x:c>
      <x:c r="F166" s="60" t="n">
        <x:v>0.055</x:v>
      </x:c>
      <x:c r="G166" s="60" t="n">
        <x:v>0.03</x:v>
      </x:c>
      <x:c r="H166" s="23" t="n">
        <x:f>IF(D166=F166,0,1)+IF(E166=G166,0,1)</x:f>
        <x:v>0</x:v>
      </x:c>
      <x:c r="I166" s="23" t="str">
        <x:v>Timing T20 / fictional rates</x:v>
      </x:c>
    </x:row>
    <x:row r="167" ht="21" customHeight="1">
      <x:c r="A167" s="23" t="str">
        <x:v>middle_flat</x:v>
      </x:c>
      <x:c r="B167" s="23" t="n">
        <x:v>16</x:v>
      </x:c>
      <x:c r="C167" s="37" t="n">
        <x:v>47849</x:v>
      </x:c>
      <x:c r="D167" s="55" t="n">
        <x:v>0.055</x:v>
      </x:c>
      <x:c r="E167" s="55" t="n">
        <x:v>0.03</x:v>
      </x:c>
      <x:c r="F167" s="60" t="n">
        <x:v>0.055</x:v>
      </x:c>
      <x:c r="G167" s="60" t="n">
        <x:v>0.03</x:v>
      </x:c>
      <x:c r="H167" s="23" t="n">
        <x:f>IF(D167=F167,0,1)+IF(E167=G167,0,1)</x:f>
        <x:v>0</x:v>
      </x:c>
      <x:c r="I167" s="23" t="str">
        <x:v>Timing T20 / fictional rates</x:v>
      </x:c>
    </x:row>
    <x:row r="168" ht="21" customHeight="1">
      <x:c r="A168" s="23" t="str">
        <x:v>middle_flat</x:v>
      </x:c>
      <x:c r="B168" s="23" t="n">
        <x:v>17</x:v>
      </x:c>
      <x:c r="C168" s="37" t="n">
        <x:v>47939</x:v>
      </x:c>
      <x:c r="D168" s="55" t="n">
        <x:v>0.0325</x:v>
      </x:c>
      <x:c r="E168" s="55" t="n">
        <x:v>0.03</x:v>
      </x:c>
      <x:c r="F168" s="60" t="n">
        <x:v>0.0325</x:v>
      </x:c>
      <x:c r="G168" s="60" t="n">
        <x:v>0.03</x:v>
      </x:c>
      <x:c r="H168" s="23" t="n">
        <x:f>IF(D168=F168,0,1)+IF(E168=G168,0,1)</x:f>
        <x:v>0</x:v>
      </x:c>
      <x:c r="I168" s="23" t="str">
        <x:v>Timing T20 / fictional rates</x:v>
      </x:c>
    </x:row>
    <x:row r="169" ht="21" customHeight="1">
      <x:c r="A169" s="23" t="str">
        <x:v>middle_flat</x:v>
      </x:c>
      <x:c r="B169" s="23" t="n">
        <x:v>18</x:v>
      </x:c>
      <x:c r="C169" s="37" t="n">
        <x:v>48030</x:v>
      </x:c>
      <x:c r="D169" s="55" t="n">
        <x:v>0.0325</x:v>
      </x:c>
      <x:c r="E169" s="55" t="n">
        <x:v>0.03</x:v>
      </x:c>
      <x:c r="F169" s="60" t="n">
        <x:v>0.0325</x:v>
      </x:c>
      <x:c r="G169" s="60" t="n">
        <x:v>0.03</x:v>
      </x:c>
      <x:c r="H169" s="23" t="n">
        <x:f>IF(D169=F169,0,1)+IF(E169=G169,0,1)</x:f>
        <x:v>0</x:v>
      </x:c>
      <x:c r="I169" s="23" t="str">
        <x:v>Timing T20 / fictional rates</x:v>
      </x:c>
    </x:row>
    <x:row r="170" ht="21" customHeight="1">
      <x:c r="A170" s="23" t="str">
        <x:v>middle_flat</x:v>
      </x:c>
      <x:c r="B170" s="23" t="n">
        <x:v>19</x:v>
      </x:c>
      <x:c r="C170" s="37" t="n">
        <x:v>48122</x:v>
      </x:c>
      <x:c r="D170" s="55" t="n">
        <x:v>0.0325</x:v>
      </x:c>
      <x:c r="E170" s="55" t="n">
        <x:v>0.03</x:v>
      </x:c>
      <x:c r="F170" s="60" t="n">
        <x:v>0.0325</x:v>
      </x:c>
      <x:c r="G170" s="60" t="n">
        <x:v>0.03</x:v>
      </x:c>
      <x:c r="H170" s="23" t="n">
        <x:f>IF(D170=F170,0,1)+IF(E170=G170,0,1)</x:f>
        <x:v>0</x:v>
      </x:c>
      <x:c r="I170" s="23" t="str">
        <x:v>Timing T20 / fictional rates</x:v>
      </x:c>
    </x:row>
    <x:row r="171" ht="21" customHeight="1">
      <x:c r="A171" s="23" t="str">
        <x:v>middle_flat</x:v>
      </x:c>
      <x:c r="B171" s="23" t="n">
        <x:v>20</x:v>
      </x:c>
      <x:c r="C171" s="37" t="n">
        <x:v>48214</x:v>
      </x:c>
      <x:c r="D171" s="55" t="n">
        <x:v>0.0325</x:v>
      </x:c>
      <x:c r="E171" s="55" t="n">
        <x:v>0.03</x:v>
      </x:c>
      <x:c r="F171" s="60" t="n">
        <x:v>0.0325</x:v>
      </x:c>
      <x:c r="G171" s="60" t="n">
        <x:v>0.03</x:v>
      </x:c>
      <x:c r="H171" s="23" t="n">
        <x:f>IF(D171=F171,0,1)+IF(E171=G171,0,1)</x:f>
        <x:v>0</x:v>
      </x:c>
      <x:c r="I171" s="23" t="str">
        <x:v>Timing T20 / fictional rates</x:v>
      </x:c>
    </x:row>
    <x:row r="172" ht="21" customHeight="1">
      <x:c r="A172" s="23" t="str">
        <x:v>middle_flat</x:v>
      </x:c>
      <x:c r="B172" s="23" t="n">
        <x:v>21</x:v>
      </x:c>
      <x:c r="C172" s="37" t="n">
        <x:v>48305</x:v>
      </x:c>
      <x:c r="D172" s="55" t="n">
        <x:v>0</x:v>
      </x:c>
      <x:c r="E172" s="55" t="n">
        <x:v>0.03</x:v>
      </x:c>
      <x:c r="F172" s="60" t="n">
        <x:v>0</x:v>
      </x:c>
      <x:c r="G172" s="60" t="n">
        <x:v>0.03</x:v>
      </x:c>
      <x:c r="H172" s="23" t="n">
        <x:f>IF(D172=F172,0,1)+IF(E172=G172,0,1)</x:f>
        <x:v>0</x:v>
      </x:c>
      <x:c r="I172" s="23" t="str">
        <x:v>Timing T20 / fictional rates</x:v>
      </x:c>
    </x:row>
    <x:row r="173" ht="21" customHeight="1">
      <x:c r="A173" s="23" t="str">
        <x:v>middle_flat</x:v>
      </x:c>
      <x:c r="B173" s="23" t="n">
        <x:v>22</x:v>
      </x:c>
      <x:c r="C173" s="37" t="n">
        <x:v>48396</x:v>
      </x:c>
      <x:c r="D173" s="55" t="n">
        <x:v>0</x:v>
      </x:c>
      <x:c r="E173" s="55" t="n">
        <x:v>0.03</x:v>
      </x:c>
      <x:c r="F173" s="60" t="n">
        <x:v>0</x:v>
      </x:c>
      <x:c r="G173" s="60" t="n">
        <x:v>0.03</x:v>
      </x:c>
      <x:c r="H173" s="23" t="n">
        <x:f>IF(D173=F173,0,1)+IF(E173=G173,0,1)</x:f>
        <x:v>0</x:v>
      </x:c>
      <x:c r="I173" s="23" t="str">
        <x:v>Timing T20 / fictional rates</x:v>
      </x:c>
    </x:row>
    <x:row r="174" ht="21" customHeight="1">
      <x:c r="A174" s="23" t="str">
        <x:v>middle_flat</x:v>
      </x:c>
      <x:c r="B174" s="23" t="n">
        <x:v>23</x:v>
      </x:c>
      <x:c r="C174" s="37" t="n">
        <x:v>48488</x:v>
      </x:c>
      <x:c r="D174" s="55" t="n">
        <x:v>0</x:v>
      </x:c>
      <x:c r="E174" s="55" t="n">
        <x:v>0.03</x:v>
      </x:c>
      <x:c r="F174" s="60" t="n">
        <x:v>0</x:v>
      </x:c>
      <x:c r="G174" s="60" t="n">
        <x:v>0.03</x:v>
      </x:c>
      <x:c r="H174" s="23" t="n">
        <x:f>IF(D174=F174,0,1)+IF(E174=G174,0,1)</x:f>
        <x:v>0</x:v>
      </x:c>
      <x:c r="I174" s="23" t="str">
        <x:v>Timing T20 / fictional rates</x:v>
      </x:c>
    </x:row>
    <x:row r="175" ht="21" customHeight="1">
      <x:c r="A175" s="23" t="str">
        <x:v>middle_flat</x:v>
      </x:c>
      <x:c r="B175" s="23" t="n">
        <x:v>24</x:v>
      </x:c>
      <x:c r="C175" s="37" t="n">
        <x:v>48580</x:v>
      </x:c>
      <x:c r="D175" s="55" t="n">
        <x:v>0</x:v>
      </x:c>
      <x:c r="E175" s="55" t="n">
        <x:v>0.03</x:v>
      </x:c>
      <x:c r="F175" s="60" t="n">
        <x:v>0</x:v>
      </x:c>
      <x:c r="G175" s="60" t="n">
        <x:v>0.03</x:v>
      </x:c>
      <x:c r="H175" s="23" t="n">
        <x:f>IF(D175=F175,0,1)+IF(E175=G175,0,1)</x:f>
        <x:v>0</x:v>
      </x:c>
      <x:c r="I175" s="23" t="str">
        <x:v>Timing T20 / fictional rates</x:v>
      </x:c>
    </x:row>
    <x:row r="176" ht="21" customHeight="1">
      <x:c r="A176" s="23" t="str">
        <x:v>middle_flat</x:v>
      </x:c>
      <x:c r="B176" s="23" t="n">
        <x:v>25</x:v>
      </x:c>
      <x:c r="C176" s="37" t="n">
        <x:v>48670</x:v>
      </x:c>
      <x:c r="D176" s="55" t="n">
        <x:v>0</x:v>
      </x:c>
      <x:c r="E176" s="55" t="n">
        <x:v>0.03</x:v>
      </x:c>
      <x:c r="F176" s="60" t="n">
        <x:v>0</x:v>
      </x:c>
      <x:c r="G176" s="60" t="n">
        <x:v>0.03</x:v>
      </x:c>
      <x:c r="H176" s="23" t="n">
        <x:f>IF(D176=F176,0,1)+IF(E176=G176,0,1)</x:f>
        <x:v>0</x:v>
      </x:c>
      <x:c r="I176" s="23" t="str">
        <x:v>Timing T20 / fictional rates</x:v>
      </x:c>
    </x:row>
    <x:row r="177" ht="21" customHeight="1">
      <x:c r="A177" s="23" t="str">
        <x:v>middle_flat</x:v>
      </x:c>
      <x:c r="B177" s="23" t="n">
        <x:v>26</x:v>
      </x:c>
      <x:c r="C177" s="37" t="n">
        <x:v>48761</x:v>
      </x:c>
      <x:c r="D177" s="55" t="n">
        <x:v>0</x:v>
      </x:c>
      <x:c r="E177" s="55" t="n">
        <x:v>0.03</x:v>
      </x:c>
      <x:c r="F177" s="60" t="n">
        <x:v>0</x:v>
      </x:c>
      <x:c r="G177" s="60" t="n">
        <x:v>0.03</x:v>
      </x:c>
      <x:c r="H177" s="23" t="n">
        <x:f>IF(D177=F177,0,1)+IF(E177=G177,0,1)</x:f>
        <x:v>0</x:v>
      </x:c>
      <x:c r="I177" s="23" t="str">
        <x:v>Timing T20 / fictional rates</x:v>
      </x:c>
    </x:row>
    <x:row r="178" ht="21" customHeight="1">
      <x:c r="A178" s="23" t="str">
        <x:v>middle_flat</x:v>
      </x:c>
      <x:c r="B178" s="23" t="n">
        <x:v>27</x:v>
      </x:c>
      <x:c r="C178" s="37" t="n">
        <x:v>48853</x:v>
      </x:c>
      <x:c r="D178" s="55" t="n">
        <x:v>0</x:v>
      </x:c>
      <x:c r="E178" s="55" t="n">
        <x:v>0.03</x:v>
      </x:c>
      <x:c r="F178" s="60" t="n">
        <x:v>0</x:v>
      </x:c>
      <x:c r="G178" s="60" t="n">
        <x:v>0.03</x:v>
      </x:c>
      <x:c r="H178" s="23" t="n">
        <x:f>IF(D178=F178,0,1)+IF(E178=G178,0,1)</x:f>
        <x:v>0</x:v>
      </x:c>
      <x:c r="I178" s="23" t="str">
        <x:v>Timing T20 / fictional rates</x:v>
      </x:c>
    </x:row>
    <x:row r="179" ht="21" customHeight="1">
      <x:c r="A179" s="23" t="str">
        <x:v>middle_flat</x:v>
      </x:c>
      <x:c r="B179" s="23" t="n">
        <x:v>28</x:v>
      </x:c>
      <x:c r="C179" s="37" t="n">
        <x:v>48945</x:v>
      </x:c>
      <x:c r="D179" s="55" t="n">
        <x:v>0</x:v>
      </x:c>
      <x:c r="E179" s="55" t="n">
        <x:v>0.03</x:v>
      </x:c>
      <x:c r="F179" s="60" t="n">
        <x:v>0</x:v>
      </x:c>
      <x:c r="G179" s="60" t="n">
        <x:v>0.03</x:v>
      </x:c>
      <x:c r="H179" s="23" t="n">
        <x:f>IF(D179=F179,0,1)+IF(E179=G179,0,1)</x:f>
        <x:v>0</x:v>
      </x:c>
      <x:c r="I179" s="23" t="str">
        <x:v>Timing T20 / fictional rates</x:v>
      </x:c>
    </x:row>
    <x:row r="180" ht="21" customHeight="1">
      <x:c r="A180" s="23" t="str">
        <x:v>middle_flat</x:v>
      </x:c>
      <x:c r="B180" s="23" t="n">
        <x:v>29</x:v>
      </x:c>
      <x:c r="C180" s="37" t="n">
        <x:v>49035</x:v>
      </x:c>
      <x:c r="D180" s="55" t="n">
        <x:v>0</x:v>
      </x:c>
      <x:c r="E180" s="55" t="n">
        <x:v>0.03</x:v>
      </x:c>
      <x:c r="F180" s="60" t="n">
        <x:v>0</x:v>
      </x:c>
      <x:c r="G180" s="60" t="n">
        <x:v>0.03</x:v>
      </x:c>
      <x:c r="H180" s="23" t="n">
        <x:f>IF(D180=F180,0,1)+IF(E180=G180,0,1)</x:f>
        <x:v>0</x:v>
      </x:c>
      <x:c r="I180" s="23" t="str">
        <x:v>Timing T20 / fictional rates</x:v>
      </x:c>
    </x:row>
    <x:row r="181" ht="21" customHeight="1">
      <x:c r="A181" s="23" t="str">
        <x:v>middle_flat</x:v>
      </x:c>
      <x:c r="B181" s="23" t="n">
        <x:v>30</x:v>
      </x:c>
      <x:c r="C181" s="37" t="n">
        <x:v>49126</x:v>
      </x:c>
      <x:c r="D181" s="55" t="n">
        <x:v>0</x:v>
      </x:c>
      <x:c r="E181" s="55" t="n">
        <x:v>0.03</x:v>
      </x:c>
      <x:c r="F181" s="60" t="n">
        <x:v>0</x:v>
      </x:c>
      <x:c r="G181" s="60" t="n">
        <x:v>0.03</x:v>
      </x:c>
      <x:c r="H181" s="23" t="n">
        <x:f>IF(D181=F181,0,1)+IF(E181=G181,0,1)</x:f>
        <x:v>0</x:v>
      </x:c>
      <x:c r="I181" s="23" t="str">
        <x:v>Timing T20 / fictional rates</x:v>
      </x:c>
    </x:row>
    <x:row r="182" ht="21" customHeight="1">
      <x:c r="A182" s="23" t="str">
        <x:v>middle_flat</x:v>
      </x:c>
      <x:c r="B182" s="23" t="n">
        <x:v>31</x:v>
      </x:c>
      <x:c r="C182" s="37" t="n">
        <x:v>49218</x:v>
      </x:c>
      <x:c r="D182" s="55" t="n">
        <x:v>0</x:v>
      </x:c>
      <x:c r="E182" s="55" t="n">
        <x:v>0.03</x:v>
      </x:c>
      <x:c r="F182" s="60" t="n">
        <x:v>0</x:v>
      </x:c>
      <x:c r="G182" s="60" t="n">
        <x:v>0.03</x:v>
      </x:c>
      <x:c r="H182" s="23" t="n">
        <x:f>IF(D182=F182,0,1)+IF(E182=G182,0,1)</x:f>
        <x:v>0</x:v>
      </x:c>
      <x:c r="I182" s="23" t="str">
        <x:v>Timing T20 / fictional rates</x:v>
      </x:c>
    </x:row>
    <x:row r="183" ht="21" customHeight="1">
      <x:c r="A183" s="23" t="str">
        <x:v>middle_flat</x:v>
      </x:c>
      <x:c r="B183" s="23" t="n">
        <x:v>32</x:v>
      </x:c>
      <x:c r="C183" s="37" t="n">
        <x:v>49310</x:v>
      </x:c>
      <x:c r="D183" s="55" t="n">
        <x:v>0</x:v>
      </x:c>
      <x:c r="E183" s="55" t="n">
        <x:v>0.03</x:v>
      </x:c>
      <x:c r="F183" s="60" t="n">
        <x:v>0</x:v>
      </x:c>
      <x:c r="G183" s="60" t="n">
        <x:v>0.03</x:v>
      </x:c>
      <x:c r="H183" s="23" t="n">
        <x:f>IF(D183=F183,0,1)+IF(E183=G183,0,1)</x:f>
        <x:v>0</x:v>
      </x:c>
      <x:c r="I183" s="23" t="str">
        <x:v>Timing T20 / fictional rates</x:v>
      </x:c>
    </x:row>
    <x:row r="184" ht="21" customHeight="1">
      <x:c r="A184" s="23" t="str">
        <x:v>middle_flat</x:v>
      </x:c>
      <x:c r="B184" s="23" t="n">
        <x:v>33</x:v>
      </x:c>
      <x:c r="C184" s="37" t="n">
        <x:v>49400</x:v>
      </x:c>
      <x:c r="D184" s="55" t="n">
        <x:v>0</x:v>
      </x:c>
      <x:c r="E184" s="55" t="n">
        <x:v>0.03</x:v>
      </x:c>
      <x:c r="F184" s="60" t="n">
        <x:v>0</x:v>
      </x:c>
      <x:c r="G184" s="60" t="n">
        <x:v>0.03</x:v>
      </x:c>
      <x:c r="H184" s="23" t="n">
        <x:f>IF(D184=F184,0,1)+IF(E184=G184,0,1)</x:f>
        <x:v>0</x:v>
      </x:c>
      <x:c r="I184" s="23" t="str">
        <x:v>Timing T20 / fictional rates</x:v>
      </x:c>
    </x:row>
    <x:row r="185" ht="21" customHeight="1">
      <x:c r="A185" s="23" t="str">
        <x:v>middle_flat</x:v>
      </x:c>
      <x:c r="B185" s="23" t="n">
        <x:v>34</x:v>
      </x:c>
      <x:c r="C185" s="37" t="n">
        <x:v>49491</x:v>
      </x:c>
      <x:c r="D185" s="55" t="n">
        <x:v>0</x:v>
      </x:c>
      <x:c r="E185" s="55" t="n">
        <x:v>0.03</x:v>
      </x:c>
      <x:c r="F185" s="60" t="n">
        <x:v>0</x:v>
      </x:c>
      <x:c r="G185" s="60" t="n">
        <x:v>0.03</x:v>
      </x:c>
      <x:c r="H185" s="23" t="n">
        <x:f>IF(D185=F185,0,1)+IF(E185=G185,0,1)</x:f>
        <x:v>0</x:v>
      </x:c>
      <x:c r="I185" s="23" t="str">
        <x:v>Timing T20 / fictional rates</x:v>
      </x:c>
    </x:row>
    <x:row r="186" ht="21" customHeight="1">
      <x:c r="A186" s="23" t="str">
        <x:v>middle_flat</x:v>
      </x:c>
      <x:c r="B186" s="23" t="n">
        <x:v>35</x:v>
      </x:c>
      <x:c r="C186" s="37" t="n">
        <x:v>49583</x:v>
      </x:c>
      <x:c r="D186" s="55" t="n">
        <x:v>0</x:v>
      </x:c>
      <x:c r="E186" s="55" t="n">
        <x:v>0.03</x:v>
      </x:c>
      <x:c r="F186" s="60" t="n">
        <x:v>0</x:v>
      </x:c>
      <x:c r="G186" s="60" t="n">
        <x:v>0.03</x:v>
      </x:c>
      <x:c r="H186" s="23" t="n">
        <x:f>IF(D186=F186,0,1)+IF(E186=G186,0,1)</x:f>
        <x:v>0</x:v>
      </x:c>
      <x:c r="I186" s="23" t="str">
        <x:v>Timing T20 / fictional rates</x:v>
      </x:c>
    </x:row>
    <x:row r="187" ht="21" customHeight="1">
      <x:c r="A187" s="23" t="str">
        <x:v>middle_flat</x:v>
      </x:c>
      <x:c r="B187" s="23" t="n">
        <x:v>36</x:v>
      </x:c>
      <x:c r="C187" s="37" t="n">
        <x:v>49675</x:v>
      </x:c>
      <x:c r="D187" s="55" t="n">
        <x:v>0</x:v>
      </x:c>
      <x:c r="E187" s="55" t="n">
        <x:v>0.03</x:v>
      </x:c>
      <x:c r="F187" s="60" t="n">
        <x:v>0</x:v>
      </x:c>
      <x:c r="G187" s="60" t="n">
        <x:v>0.03</x:v>
      </x:c>
      <x:c r="H187" s="23" t="n">
        <x:f>IF(D187=F187,0,1)+IF(E187=G187,0,1)</x:f>
        <x:v>0</x:v>
      </x:c>
      <x:c r="I187" s="23" t="str">
        <x:v>Timing T20 / fictional rates</x:v>
      </x:c>
    </x:row>
    <x:row r="188" ht="21" customHeight="1">
      <x:c r="A188" s="23" t="str">
        <x:v>middle_flat</x:v>
      </x:c>
      <x:c r="B188" s="23" t="n">
        <x:v>37</x:v>
      </x:c>
      <x:c r="C188" s="37" t="n">
        <x:v>49766</x:v>
      </x:c>
      <x:c r="D188" s="55" t="n">
        <x:v>0</x:v>
      </x:c>
      <x:c r="E188" s="55" t="n">
        <x:v>0.03</x:v>
      </x:c>
      <x:c r="F188" s="60" t="n">
        <x:v>0</x:v>
      </x:c>
      <x:c r="G188" s="60" t="n">
        <x:v>0.03</x:v>
      </x:c>
      <x:c r="H188" s="23" t="n">
        <x:f>IF(D188=F188,0,1)+IF(E188=G188,0,1)</x:f>
        <x:v>0</x:v>
      </x:c>
      <x:c r="I188" s="23" t="str">
        <x:v>Timing T20 / fictional rates</x:v>
      </x:c>
    </x:row>
    <x:row r="189" ht="21" customHeight="1">
      <x:c r="A189" s="23" t="str">
        <x:v>middle_flat</x:v>
      </x:c>
      <x:c r="B189" s="23" t="n">
        <x:v>38</x:v>
      </x:c>
      <x:c r="C189" s="37" t="n">
        <x:v>49857</x:v>
      </x:c>
      <x:c r="D189" s="55" t="n">
        <x:v>0</x:v>
      </x:c>
      <x:c r="E189" s="55" t="n">
        <x:v>0.03</x:v>
      </x:c>
      <x:c r="F189" s="60" t="n">
        <x:v>0</x:v>
      </x:c>
      <x:c r="G189" s="60" t="n">
        <x:v>0.03</x:v>
      </x:c>
      <x:c r="H189" s="23" t="n">
        <x:f>IF(D189=F189,0,1)+IF(E189=G189,0,1)</x:f>
        <x:v>0</x:v>
      </x:c>
      <x:c r="I189" s="23" t="str">
        <x:v>Timing T20 / fictional rates</x:v>
      </x:c>
    </x:row>
    <x:row r="190" ht="21" customHeight="1">
      <x:c r="A190" s="23" t="str">
        <x:v>middle_flat</x:v>
      </x:c>
      <x:c r="B190" s="23" t="n">
        <x:v>39</x:v>
      </x:c>
      <x:c r="C190" s="37" t="n">
        <x:v>49949</x:v>
      </x:c>
      <x:c r="D190" s="55" t="n">
        <x:v>0</x:v>
      </x:c>
      <x:c r="E190" s="55" t="n">
        <x:v>0.03</x:v>
      </x:c>
      <x:c r="F190" s="60" t="n">
        <x:v>0</x:v>
      </x:c>
      <x:c r="G190" s="60" t="n">
        <x:v>0.03</x:v>
      </x:c>
      <x:c r="H190" s="23" t="n">
        <x:f>IF(D190=F190,0,1)+IF(E190=G190,0,1)</x:f>
        <x:v>0</x:v>
      </x:c>
      <x:c r="I190" s="23" t="str">
        <x:v>Timing T20 / fictional rates</x:v>
      </x:c>
    </x:row>
    <x:row r="191" ht="21" customHeight="1">
      <x:c r="A191" s="23" t="str">
        <x:v>middle_flat</x:v>
      </x:c>
      <x:c r="B191" s="23" t="n">
        <x:v>40</x:v>
      </x:c>
      <x:c r="C191" s="37" t="n">
        <x:v>50041</x:v>
      </x:c>
      <x:c r="D191" s="55" t="n">
        <x:v>0</x:v>
      </x:c>
      <x:c r="E191" s="55" t="n">
        <x:v>0.03</x:v>
      </x:c>
      <x:c r="F191" s="60" t="n">
        <x:v>0</x:v>
      </x:c>
      <x:c r="G191" s="60" t="n">
        <x:v>0.03</x:v>
      </x:c>
      <x:c r="H191" s="23" t="n">
        <x:f>IF(D191=F191,0,1)+IF(E191=G191,0,1)</x:f>
        <x:v>0</x:v>
      </x:c>
      <x:c r="I191" s="23" t="str">
        <x:v>Timing T20 / fictional rates</x:v>
      </x:c>
    </x:row>
    <x:row r="192" ht="21" customHeight="1">
      <x:c r="A192" s="23" t="str">
        <x:v>middle_flat</x:v>
      </x:c>
      <x:c r="B192" s="23" t="n">
        <x:v>41</x:v>
      </x:c>
      <x:c r="C192" s="37" t="n">
        <x:v>50131</x:v>
      </x:c>
      <x:c r="D192" s="55" t="n">
        <x:v>0</x:v>
      </x:c>
      <x:c r="E192" s="55" t="n">
        <x:v>0.03</x:v>
      </x:c>
      <x:c r="F192" s="60" t="n">
        <x:v>0</x:v>
      </x:c>
      <x:c r="G192" s="60" t="n">
        <x:v>0.03</x:v>
      </x:c>
      <x:c r="H192" s="23" t="n">
        <x:f>IF(D192=F192,0,1)+IF(E192=G192,0,1)</x:f>
        <x:v>0</x:v>
      </x:c>
      <x:c r="I192" s="23" t="str">
        <x:v>Timing T20 / fictional rates</x:v>
      </x:c>
    </x:row>
    <x:row r="193" ht="21" customHeight="1">
      <x:c r="A193" s="23" t="str">
        <x:v>middle_flat</x:v>
      </x:c>
      <x:c r="B193" s="23" t="n">
        <x:v>42</x:v>
      </x:c>
      <x:c r="C193" s="37" t="n">
        <x:v>50222</x:v>
      </x:c>
      <x:c r="D193" s="55" t="n">
        <x:v>0</x:v>
      </x:c>
      <x:c r="E193" s="55" t="n">
        <x:v>0.03</x:v>
      </x:c>
      <x:c r="F193" s="60" t="n">
        <x:v>0</x:v>
      </x:c>
      <x:c r="G193" s="60" t="n">
        <x:v>0.03</x:v>
      </x:c>
      <x:c r="H193" s="23" t="n">
        <x:f>IF(D193=F193,0,1)+IF(E193=G193,0,1)</x:f>
        <x:v>0</x:v>
      </x:c>
      <x:c r="I193" s="23" t="str">
        <x:v>Timing T20 / fictional rates</x:v>
      </x:c>
    </x:row>
    <x:row r="194" ht="21" customHeight="1">
      <x:c r="A194" s="23" t="str">
        <x:v>middle_flat</x:v>
      </x:c>
      <x:c r="B194" s="23" t="n">
        <x:v>43</x:v>
      </x:c>
      <x:c r="C194" s="37" t="n">
        <x:v>50314</x:v>
      </x:c>
      <x:c r="D194" s="55" t="n">
        <x:v>0</x:v>
      </x:c>
      <x:c r="E194" s="55" t="n">
        <x:v>0.03</x:v>
      </x:c>
      <x:c r="F194" s="60" t="n">
        <x:v>0</x:v>
      </x:c>
      <x:c r="G194" s="60" t="n">
        <x:v>0.03</x:v>
      </x:c>
      <x:c r="H194" s="23" t="n">
        <x:f>IF(D194=F194,0,1)+IF(E194=G194,0,1)</x:f>
        <x:v>0</x:v>
      </x:c>
      <x:c r="I194" s="23" t="str">
        <x:v>Timing T20 / fictional rates</x:v>
      </x:c>
    </x:row>
    <x:row r="195" ht="21" customHeight="1">
      <x:c r="A195" s="23" t="str">
        <x:v>middle_flat</x:v>
      </x:c>
      <x:c r="B195" s="23" t="n">
        <x:v>44</x:v>
      </x:c>
      <x:c r="C195" s="37" t="n">
        <x:v>50406</x:v>
      </x:c>
      <x:c r="D195" s="55" t="n">
        <x:v>0</x:v>
      </x:c>
      <x:c r="E195" s="55" t="n">
        <x:v>0.03</x:v>
      </x:c>
      <x:c r="F195" s="60" t="n">
        <x:v>0</x:v>
      </x:c>
      <x:c r="G195" s="60" t="n">
        <x:v>0.03</x:v>
      </x:c>
      <x:c r="H195" s="23" t="n">
        <x:f>IF(D195=F195,0,1)+IF(E195=G195,0,1)</x:f>
        <x:v>0</x:v>
      </x:c>
      <x:c r="I195" s="23" t="str">
        <x:v>Timing T20 / fictional rates</x:v>
      </x:c>
    </x:row>
    <x:row r="196" ht="21" customHeight="1">
      <x:c r="A196" s="23" t="str">
        <x:v>middle_flat</x:v>
      </x:c>
      <x:c r="B196" s="23" t="n">
        <x:v>45</x:v>
      </x:c>
      <x:c r="C196" s="37" t="n">
        <x:v>50496</x:v>
      </x:c>
      <x:c r="D196" s="55" t="n">
        <x:v>0</x:v>
      </x:c>
      <x:c r="E196" s="55" t="n">
        <x:v>0.03</x:v>
      </x:c>
      <x:c r="F196" s="60" t="n">
        <x:v>0</x:v>
      </x:c>
      <x:c r="G196" s="60" t="n">
        <x:v>0.03</x:v>
      </x:c>
      <x:c r="H196" s="23" t="n">
        <x:f>IF(D196=F196,0,1)+IF(E196=G196,0,1)</x:f>
        <x:v>0</x:v>
      </x:c>
      <x:c r="I196" s="23" t="str">
        <x:v>Timing T20 / fictional rates</x:v>
      </x:c>
    </x:row>
    <x:row r="197" ht="21" customHeight="1">
      <x:c r="A197" s="23" t="str">
        <x:v>middle_flat</x:v>
      </x:c>
      <x:c r="B197" s="23" t="n">
        <x:v>46</x:v>
      </x:c>
      <x:c r="C197" s="37" t="n">
        <x:v>50587</x:v>
      </x:c>
      <x:c r="D197" s="55" t="n">
        <x:v>0</x:v>
      </x:c>
      <x:c r="E197" s="55" t="n">
        <x:v>0.03</x:v>
      </x:c>
      <x:c r="F197" s="60" t="n">
        <x:v>0</x:v>
      </x:c>
      <x:c r="G197" s="60" t="n">
        <x:v>0.03</x:v>
      </x:c>
      <x:c r="H197" s="23" t="n">
        <x:f>IF(D197=F197,0,1)+IF(E197=G197,0,1)</x:f>
        <x:v>0</x:v>
      </x:c>
      <x:c r="I197" s="23" t="str">
        <x:v>Timing T20 / fictional rates</x:v>
      </x:c>
    </x:row>
    <x:row r="198" ht="21" customHeight="1">
      <x:c r="A198" s="23" t="str">
        <x:v>middle_flat</x:v>
      </x:c>
      <x:c r="B198" s="23" t="n">
        <x:v>47</x:v>
      </x:c>
      <x:c r="C198" s="37" t="n">
        <x:v>50679</x:v>
      </x:c>
      <x:c r="D198" s="55" t="n">
        <x:v>0</x:v>
      </x:c>
      <x:c r="E198" s="55" t="n">
        <x:v>0.03</x:v>
      </x:c>
      <x:c r="F198" s="60" t="n">
        <x:v>0</x:v>
      </x:c>
      <x:c r="G198" s="60" t="n">
        <x:v>0.03</x:v>
      </x:c>
      <x:c r="H198" s="23" t="n">
        <x:f>IF(D198=F198,0,1)+IF(E198=G198,0,1)</x:f>
        <x:v>0</x:v>
      </x:c>
      <x:c r="I198" s="23" t="str">
        <x:v>Timing T20 / fictional rates</x:v>
      </x:c>
    </x:row>
    <x:row r="199" ht="21" customHeight="1">
      <x:c r="A199" s="23" t="str">
        <x:v>middle_flat</x:v>
      </x:c>
      <x:c r="B199" s="23" t="n">
        <x:v>48</x:v>
      </x:c>
      <x:c r="C199" s="37" t="n">
        <x:v>50771</x:v>
      </x:c>
      <x:c r="D199" s="55" t="n">
        <x:v>0</x:v>
      </x:c>
      <x:c r="E199" s="55" t="n">
        <x:v>0.03</x:v>
      </x:c>
      <x:c r="F199" s="60" t="n">
        <x:v>0</x:v>
      </x:c>
      <x:c r="G199" s="60" t="n">
        <x:v>0.03</x:v>
      </x:c>
      <x:c r="H199" s="23" t="n">
        <x:f>IF(D199=F199,0,1)+IF(E199=G199,0,1)</x:f>
        <x:v>0</x:v>
      </x:c>
      <x:c r="I199" s="23" t="str">
        <x:v>Timing T20 / fictional rates</x:v>
      </x:c>
    </x:row>
    <x:row r="200" ht="21" customHeight="1">
      <x:c r="A200" s="23" t="str">
        <x:v>middle_low</x:v>
      </x:c>
      <x:c r="B200" s="23" t="n">
        <x:v>1</x:v>
      </x:c>
      <x:c r="C200" s="37" t="n">
        <x:v>46478</x:v>
      </x:c>
      <x:c r="D200" s="55" t="n">
        <x:v>0.04</x:v>
      </x:c>
      <x:c r="E200" s="55" t="n">
        <x:v>0.005</x:v>
      </x:c>
      <x:c r="F200" s="60" t="n">
        <x:v>0.04</x:v>
      </x:c>
      <x:c r="G200" s="60" t="n">
        <x:v>0.005</x:v>
      </x:c>
      <x:c r="H200" s="23" t="n">
        <x:f>IF(D200=F200,0,1)+IF(E200=G200,0,1)</x:f>
        <x:v>0</x:v>
      </x:c>
      <x:c r="I200" s="23" t="str">
        <x:v>Timing T20 / fictional rates</x:v>
      </x:c>
    </x:row>
    <x:row r="201" ht="21" customHeight="1">
      <x:c r="A201" s="23" t="str">
        <x:v>middle_low</x:v>
      </x:c>
      <x:c r="B201" s="23" t="n">
        <x:v>2</x:v>
      </x:c>
      <x:c r="C201" s="37" t="n">
        <x:v>46569</x:v>
      </x:c>
      <x:c r="D201" s="55" t="n">
        <x:v>0.04</x:v>
      </x:c>
      <x:c r="E201" s="55" t="n">
        <x:v>0.005</x:v>
      </x:c>
      <x:c r="F201" s="60" t="n">
        <x:v>0.04</x:v>
      </x:c>
      <x:c r="G201" s="60" t="n">
        <x:v>0.005</x:v>
      </x:c>
      <x:c r="H201" s="23" t="n">
        <x:f>IF(D201=F201,0,1)+IF(E201=G201,0,1)</x:f>
        <x:v>0</x:v>
      </x:c>
      <x:c r="I201" s="23" t="str">
        <x:v>Timing T20 / fictional rates</x:v>
      </x:c>
    </x:row>
    <x:row r="202" ht="21" customHeight="1">
      <x:c r="A202" s="23" t="str">
        <x:v>middle_low</x:v>
      </x:c>
      <x:c r="B202" s="23" t="n">
        <x:v>3</x:v>
      </x:c>
      <x:c r="C202" s="37" t="n">
        <x:v>46661</x:v>
      </x:c>
      <x:c r="D202" s="55" t="n">
        <x:v>0.04</x:v>
      </x:c>
      <x:c r="E202" s="55" t="n">
        <x:v>0.005</x:v>
      </x:c>
      <x:c r="F202" s="60" t="n">
        <x:v>0.04</x:v>
      </x:c>
      <x:c r="G202" s="60" t="n">
        <x:v>0.005</x:v>
      </x:c>
      <x:c r="H202" s="23" t="n">
        <x:f>IF(D202=F202,0,1)+IF(E202=G202,0,1)</x:f>
        <x:v>0</x:v>
      </x:c>
      <x:c r="I202" s="23" t="str">
        <x:v>Timing T20 / fictional rates</x:v>
      </x:c>
    </x:row>
    <x:row r="203" ht="21" customHeight="1">
      <x:c r="A203" s="23" t="str">
        <x:v>middle_low</x:v>
      </x:c>
      <x:c r="B203" s="23" t="n">
        <x:v>4</x:v>
      </x:c>
      <x:c r="C203" s="37" t="n">
        <x:v>46753</x:v>
      </x:c>
      <x:c r="D203" s="55" t="n">
        <x:v>0.04</x:v>
      </x:c>
      <x:c r="E203" s="55" t="n">
        <x:v>0.005</x:v>
      </x:c>
      <x:c r="F203" s="60" t="n">
        <x:v>0.04</x:v>
      </x:c>
      <x:c r="G203" s="60" t="n">
        <x:v>0.005</x:v>
      </x:c>
      <x:c r="H203" s="23" t="n">
        <x:f>IF(D203=F203,0,1)+IF(E203=G203,0,1)</x:f>
        <x:v>0</x:v>
      </x:c>
      <x:c r="I203" s="23" t="str">
        <x:v>Timing T20 / fictional rates</x:v>
      </x:c>
    </x:row>
    <x:row r="204" ht="21" customHeight="1">
      <x:c r="A204" s="23" t="str">
        <x:v>middle_low</x:v>
      </x:c>
      <x:c r="B204" s="23" t="n">
        <x:v>5</x:v>
      </x:c>
      <x:c r="C204" s="37" t="n">
        <x:v>46844</x:v>
      </x:c>
      <x:c r="D204" s="55" t="n">
        <x:v>0.0575</x:v>
      </x:c>
      <x:c r="E204" s="55" t="n">
        <x:v>0.005</x:v>
      </x:c>
      <x:c r="F204" s="60" t="n">
        <x:v>0.0575</x:v>
      </x:c>
      <x:c r="G204" s="60" t="n">
        <x:v>0.005</x:v>
      </x:c>
      <x:c r="H204" s="23" t="n">
        <x:f>IF(D204=F204,0,1)+IF(E204=G204,0,1)</x:f>
        <x:v>0</x:v>
      </x:c>
      <x:c r="I204" s="23" t="str">
        <x:v>Timing T20 / fictional rates</x:v>
      </x:c>
    </x:row>
    <x:row r="205" ht="21" customHeight="1">
      <x:c r="A205" s="23" t="str">
        <x:v>middle_low</x:v>
      </x:c>
      <x:c r="B205" s="23" t="n">
        <x:v>6</x:v>
      </x:c>
      <x:c r="C205" s="37" t="n">
        <x:v>46935</x:v>
      </x:c>
      <x:c r="D205" s="55" t="n">
        <x:v>0.0575</x:v>
      </x:c>
      <x:c r="E205" s="55" t="n">
        <x:v>0.005</x:v>
      </x:c>
      <x:c r="F205" s="60" t="n">
        <x:v>0.0575</x:v>
      </x:c>
      <x:c r="G205" s="60" t="n">
        <x:v>0.005</x:v>
      </x:c>
      <x:c r="H205" s="23" t="n">
        <x:f>IF(D205=F205,0,1)+IF(E205=G205,0,1)</x:f>
        <x:v>0</x:v>
      </x:c>
      <x:c r="I205" s="23" t="str">
        <x:v>Timing T20 / fictional rates</x:v>
      </x:c>
    </x:row>
    <x:row r="206" ht="21" customHeight="1">
      <x:c r="A206" s="23" t="str">
        <x:v>middle_low</x:v>
      </x:c>
      <x:c r="B206" s="23" t="n">
        <x:v>7</x:v>
      </x:c>
      <x:c r="C206" s="37" t="n">
        <x:v>47027</x:v>
      </x:c>
      <x:c r="D206" s="55" t="n">
        <x:v>0.0575</x:v>
      </x:c>
      <x:c r="E206" s="55" t="n">
        <x:v>0.005</x:v>
      </x:c>
      <x:c r="F206" s="60" t="n">
        <x:v>0.0575</x:v>
      </x:c>
      <x:c r="G206" s="60" t="n">
        <x:v>0.005</x:v>
      </x:c>
      <x:c r="H206" s="23" t="n">
        <x:f>IF(D206=F206,0,1)+IF(E206=G206,0,1)</x:f>
        <x:v>0</x:v>
      </x:c>
      <x:c r="I206" s="23" t="str">
        <x:v>Timing T20 / fictional rates</x:v>
      </x:c>
    </x:row>
    <x:row r="207" ht="21" customHeight="1">
      <x:c r="A207" s="23" t="str">
        <x:v>middle_low</x:v>
      </x:c>
      <x:c r="B207" s="23" t="n">
        <x:v>8</x:v>
      </x:c>
      <x:c r="C207" s="37" t="n">
        <x:v>47119</x:v>
      </x:c>
      <x:c r="D207" s="55" t="n">
        <x:v>0.0575</x:v>
      </x:c>
      <x:c r="E207" s="55" t="n">
        <x:v>0.005</x:v>
      </x:c>
      <x:c r="F207" s="60" t="n">
        <x:v>0.0575</x:v>
      </x:c>
      <x:c r="G207" s="60" t="n">
        <x:v>0.005</x:v>
      </x:c>
      <x:c r="H207" s="23" t="n">
        <x:f>IF(D207=F207,0,1)+IF(E207=G207,0,1)</x:f>
        <x:v>0</x:v>
      </x:c>
      <x:c r="I207" s="23" t="str">
        <x:v>Timing T20 / fictional rates</x:v>
      </x:c>
    </x:row>
    <x:row r="208" ht="21" customHeight="1">
      <x:c r="A208" s="23" t="str">
        <x:v>middle_low</x:v>
      </x:c>
      <x:c r="B208" s="23" t="n">
        <x:v>9</x:v>
      </x:c>
      <x:c r="C208" s="37" t="n">
        <x:v>47209</x:v>
      </x:c>
      <x:c r="D208" s="55" t="n">
        <x:v>0.065</x:v>
      </x:c>
      <x:c r="E208" s="55" t="n">
        <x:v>0.005</x:v>
      </x:c>
      <x:c r="F208" s="60" t="n">
        <x:v>0.065</x:v>
      </x:c>
      <x:c r="G208" s="60" t="n">
        <x:v>0.005</x:v>
      </x:c>
      <x:c r="H208" s="23" t="n">
        <x:f>IF(D208=F208,0,1)+IF(E208=G208,0,1)</x:f>
        <x:v>0</x:v>
      </x:c>
      <x:c r="I208" s="23" t="str">
        <x:v>Timing T20 / fictional rates</x:v>
      </x:c>
    </x:row>
    <x:row r="209" ht="21" customHeight="1">
      <x:c r="A209" s="23" t="str">
        <x:v>middle_low</x:v>
      </x:c>
      <x:c r="B209" s="23" t="n">
        <x:v>10</x:v>
      </x:c>
      <x:c r="C209" s="37" t="n">
        <x:v>47300</x:v>
      </x:c>
      <x:c r="D209" s="55" t="n">
        <x:v>0.065</x:v>
      </x:c>
      <x:c r="E209" s="55" t="n">
        <x:v>0.005</x:v>
      </x:c>
      <x:c r="F209" s="60" t="n">
        <x:v>0.065</x:v>
      </x:c>
      <x:c r="G209" s="60" t="n">
        <x:v>0.005</x:v>
      </x:c>
      <x:c r="H209" s="23" t="n">
        <x:f>IF(D209=F209,0,1)+IF(E209=G209,0,1)</x:f>
        <x:v>0</x:v>
      </x:c>
      <x:c r="I209" s="23" t="str">
        <x:v>Timing T20 / fictional rates</x:v>
      </x:c>
    </x:row>
    <x:row r="210" ht="21" customHeight="1">
      <x:c r="A210" s="23" t="str">
        <x:v>middle_low</x:v>
      </x:c>
      <x:c r="B210" s="23" t="n">
        <x:v>11</x:v>
      </x:c>
      <x:c r="C210" s="37" t="n">
        <x:v>47392</x:v>
      </x:c>
      <x:c r="D210" s="55" t="n">
        <x:v>0.065</x:v>
      </x:c>
      <x:c r="E210" s="55" t="n">
        <x:v>0.005</x:v>
      </x:c>
      <x:c r="F210" s="60" t="n">
        <x:v>0.065</x:v>
      </x:c>
      <x:c r="G210" s="60" t="n">
        <x:v>0.005</x:v>
      </x:c>
      <x:c r="H210" s="23" t="n">
        <x:f>IF(D210=F210,0,1)+IF(E210=G210,0,1)</x:f>
        <x:v>0</x:v>
      </x:c>
      <x:c r="I210" s="23" t="str">
        <x:v>Timing T20 / fictional rates</x:v>
      </x:c>
    </x:row>
    <x:row r="211" ht="21" customHeight="1">
      <x:c r="A211" s="23" t="str">
        <x:v>middle_low</x:v>
      </x:c>
      <x:c r="B211" s="23" t="n">
        <x:v>12</x:v>
      </x:c>
      <x:c r="C211" s="37" t="n">
        <x:v>47484</x:v>
      </x:c>
      <x:c r="D211" s="55" t="n">
        <x:v>0.065</x:v>
      </x:c>
      <x:c r="E211" s="55" t="n">
        <x:v>0.005</x:v>
      </x:c>
      <x:c r="F211" s="60" t="n">
        <x:v>0.065</x:v>
      </x:c>
      <x:c r="G211" s="60" t="n">
        <x:v>0.005</x:v>
      </x:c>
      <x:c r="H211" s="23" t="n">
        <x:f>IF(D211=F211,0,1)+IF(E211=G211,0,1)</x:f>
        <x:v>0</x:v>
      </x:c>
      <x:c r="I211" s="23" t="str">
        <x:v>Timing T20 / fictional rates</x:v>
      </x:c>
    </x:row>
    <x:row r="212" ht="21" customHeight="1">
      <x:c r="A212" s="23" t="str">
        <x:v>middle_low</x:v>
      </x:c>
      <x:c r="B212" s="23" t="n">
        <x:v>13</x:v>
      </x:c>
      <x:c r="C212" s="37" t="n">
        <x:v>47574</x:v>
      </x:c>
      <x:c r="D212" s="55" t="n">
        <x:v>0.055</x:v>
      </x:c>
      <x:c r="E212" s="55" t="n">
        <x:v>0.005</x:v>
      </x:c>
      <x:c r="F212" s="60" t="n">
        <x:v>0.055</x:v>
      </x:c>
      <x:c r="G212" s="60" t="n">
        <x:v>0.005</x:v>
      </x:c>
      <x:c r="H212" s="23" t="n">
        <x:f>IF(D212=F212,0,1)+IF(E212=G212,0,1)</x:f>
        <x:v>0</x:v>
      </x:c>
      <x:c r="I212" s="23" t="str">
        <x:v>Timing T20 / fictional rates</x:v>
      </x:c>
    </x:row>
    <x:row r="213" ht="21" customHeight="1">
      <x:c r="A213" s="23" t="str">
        <x:v>middle_low</x:v>
      </x:c>
      <x:c r="B213" s="23" t="n">
        <x:v>14</x:v>
      </x:c>
      <x:c r="C213" s="37" t="n">
        <x:v>47665</x:v>
      </x:c>
      <x:c r="D213" s="55" t="n">
        <x:v>0.055</x:v>
      </x:c>
      <x:c r="E213" s="55" t="n">
        <x:v>0.005</x:v>
      </x:c>
      <x:c r="F213" s="60" t="n">
        <x:v>0.055</x:v>
      </x:c>
      <x:c r="G213" s="60" t="n">
        <x:v>0.005</x:v>
      </x:c>
      <x:c r="H213" s="23" t="n">
        <x:f>IF(D213=F213,0,1)+IF(E213=G213,0,1)</x:f>
        <x:v>0</x:v>
      </x:c>
      <x:c r="I213" s="23" t="str">
        <x:v>Timing T20 / fictional rates</x:v>
      </x:c>
    </x:row>
    <x:row r="214" ht="21" customHeight="1">
      <x:c r="A214" s="23" t="str">
        <x:v>middle_low</x:v>
      </x:c>
      <x:c r="B214" s="23" t="n">
        <x:v>15</x:v>
      </x:c>
      <x:c r="C214" s="37" t="n">
        <x:v>47757</x:v>
      </x:c>
      <x:c r="D214" s="55" t="n">
        <x:v>0.055</x:v>
      </x:c>
      <x:c r="E214" s="55" t="n">
        <x:v>0.005</x:v>
      </x:c>
      <x:c r="F214" s="60" t="n">
        <x:v>0.055</x:v>
      </x:c>
      <x:c r="G214" s="60" t="n">
        <x:v>0.005</x:v>
      </x:c>
      <x:c r="H214" s="23" t="n">
        <x:f>IF(D214=F214,0,1)+IF(E214=G214,0,1)</x:f>
        <x:v>0</x:v>
      </x:c>
      <x:c r="I214" s="23" t="str">
        <x:v>Timing T20 / fictional rates</x:v>
      </x:c>
    </x:row>
    <x:row r="215" ht="21" customHeight="1">
      <x:c r="A215" s="23" t="str">
        <x:v>middle_low</x:v>
      </x:c>
      <x:c r="B215" s="23" t="n">
        <x:v>16</x:v>
      </x:c>
      <x:c r="C215" s="37" t="n">
        <x:v>47849</x:v>
      </x:c>
      <x:c r="D215" s="55" t="n">
        <x:v>0.055</x:v>
      </x:c>
      <x:c r="E215" s="55" t="n">
        <x:v>0.005</x:v>
      </x:c>
      <x:c r="F215" s="60" t="n">
        <x:v>0.055</x:v>
      </x:c>
      <x:c r="G215" s="60" t="n">
        <x:v>0.005</x:v>
      </x:c>
      <x:c r="H215" s="23" t="n">
        <x:f>IF(D215=F215,0,1)+IF(E215=G215,0,1)</x:f>
        <x:v>0</x:v>
      </x:c>
      <x:c r="I215" s="23" t="str">
        <x:v>Timing T20 / fictional rates</x:v>
      </x:c>
    </x:row>
    <x:row r="216" ht="21" customHeight="1">
      <x:c r="A216" s="23" t="str">
        <x:v>middle_low</x:v>
      </x:c>
      <x:c r="B216" s="23" t="n">
        <x:v>17</x:v>
      </x:c>
      <x:c r="C216" s="37" t="n">
        <x:v>47939</x:v>
      </x:c>
      <x:c r="D216" s="55" t="n">
        <x:v>0.0325</x:v>
      </x:c>
      <x:c r="E216" s="55" t="n">
        <x:v>0.005</x:v>
      </x:c>
      <x:c r="F216" s="60" t="n">
        <x:v>0.0325</x:v>
      </x:c>
      <x:c r="G216" s="60" t="n">
        <x:v>0.005</x:v>
      </x:c>
      <x:c r="H216" s="23" t="n">
        <x:f>IF(D216=F216,0,1)+IF(E216=G216,0,1)</x:f>
        <x:v>0</x:v>
      </x:c>
      <x:c r="I216" s="23" t="str">
        <x:v>Timing T20 / fictional rates</x:v>
      </x:c>
    </x:row>
    <x:row r="217" ht="21" customHeight="1">
      <x:c r="A217" s="23" t="str">
        <x:v>middle_low</x:v>
      </x:c>
      <x:c r="B217" s="23" t="n">
        <x:v>18</x:v>
      </x:c>
      <x:c r="C217" s="37" t="n">
        <x:v>48030</x:v>
      </x:c>
      <x:c r="D217" s="55" t="n">
        <x:v>0.0325</x:v>
      </x:c>
      <x:c r="E217" s="55" t="n">
        <x:v>0.005</x:v>
      </x:c>
      <x:c r="F217" s="60" t="n">
        <x:v>0.0325</x:v>
      </x:c>
      <x:c r="G217" s="60" t="n">
        <x:v>0.005</x:v>
      </x:c>
      <x:c r="H217" s="23" t="n">
        <x:f>IF(D217=F217,0,1)+IF(E217=G217,0,1)</x:f>
        <x:v>0</x:v>
      </x:c>
      <x:c r="I217" s="23" t="str">
        <x:v>Timing T20 / fictional rates</x:v>
      </x:c>
    </x:row>
    <x:row r="218" ht="21" customHeight="1">
      <x:c r="A218" s="23" t="str">
        <x:v>middle_low</x:v>
      </x:c>
      <x:c r="B218" s="23" t="n">
        <x:v>19</x:v>
      </x:c>
      <x:c r="C218" s="37" t="n">
        <x:v>48122</x:v>
      </x:c>
      <x:c r="D218" s="55" t="n">
        <x:v>0.0325</x:v>
      </x:c>
      <x:c r="E218" s="55" t="n">
        <x:v>0.005</x:v>
      </x:c>
      <x:c r="F218" s="60" t="n">
        <x:v>0.0325</x:v>
      </x:c>
      <x:c r="G218" s="60" t="n">
        <x:v>0.005</x:v>
      </x:c>
      <x:c r="H218" s="23" t="n">
        <x:f>IF(D218=F218,0,1)+IF(E218=G218,0,1)</x:f>
        <x:v>0</x:v>
      </x:c>
      <x:c r="I218" s="23" t="str">
        <x:v>Timing T20 / fictional rates</x:v>
      </x:c>
    </x:row>
    <x:row r="219" ht="21" customHeight="1">
      <x:c r="A219" s="23" t="str">
        <x:v>middle_low</x:v>
      </x:c>
      <x:c r="B219" s="23" t="n">
        <x:v>20</x:v>
      </x:c>
      <x:c r="C219" s="37" t="n">
        <x:v>48214</x:v>
      </x:c>
      <x:c r="D219" s="55" t="n">
        <x:v>0.0325</x:v>
      </x:c>
      <x:c r="E219" s="55" t="n">
        <x:v>0.005</x:v>
      </x:c>
      <x:c r="F219" s="60" t="n">
        <x:v>0.0325</x:v>
      </x:c>
      <x:c r="G219" s="60" t="n">
        <x:v>0.005</x:v>
      </x:c>
      <x:c r="H219" s="23" t="n">
        <x:f>IF(D219=F219,0,1)+IF(E219=G219,0,1)</x:f>
        <x:v>0</x:v>
      </x:c>
      <x:c r="I219" s="23" t="str">
        <x:v>Timing T20 / fictional rates</x:v>
      </x:c>
    </x:row>
    <x:row r="220" ht="21" customHeight="1">
      <x:c r="A220" s="23" t="str">
        <x:v>middle_low</x:v>
      </x:c>
      <x:c r="B220" s="23" t="n">
        <x:v>21</x:v>
      </x:c>
      <x:c r="C220" s="37" t="n">
        <x:v>48305</x:v>
      </x:c>
      <x:c r="D220" s="55" t="n">
        <x:v>0</x:v>
      </x:c>
      <x:c r="E220" s="55" t="n">
        <x:v>0.005</x:v>
      </x:c>
      <x:c r="F220" s="60" t="n">
        <x:v>0</x:v>
      </x:c>
      <x:c r="G220" s="60" t="n">
        <x:v>0.005</x:v>
      </x:c>
      <x:c r="H220" s="23" t="n">
        <x:f>IF(D220=F220,0,1)+IF(E220=G220,0,1)</x:f>
        <x:v>0</x:v>
      </x:c>
      <x:c r="I220" s="23" t="str">
        <x:v>Timing T20 / fictional rates</x:v>
      </x:c>
    </x:row>
    <x:row r="221" ht="21" customHeight="1">
      <x:c r="A221" s="23" t="str">
        <x:v>middle_low</x:v>
      </x:c>
      <x:c r="B221" s="23" t="n">
        <x:v>22</x:v>
      </x:c>
      <x:c r="C221" s="37" t="n">
        <x:v>48396</x:v>
      </x:c>
      <x:c r="D221" s="55" t="n">
        <x:v>0</x:v>
      </x:c>
      <x:c r="E221" s="55" t="n">
        <x:v>0.005</x:v>
      </x:c>
      <x:c r="F221" s="60" t="n">
        <x:v>0</x:v>
      </x:c>
      <x:c r="G221" s="60" t="n">
        <x:v>0.005</x:v>
      </x:c>
      <x:c r="H221" s="23" t="n">
        <x:f>IF(D221=F221,0,1)+IF(E221=G221,0,1)</x:f>
        <x:v>0</x:v>
      </x:c>
      <x:c r="I221" s="23" t="str">
        <x:v>Timing T20 / fictional rates</x:v>
      </x:c>
    </x:row>
    <x:row r="222" ht="21" customHeight="1">
      <x:c r="A222" s="23" t="str">
        <x:v>middle_low</x:v>
      </x:c>
      <x:c r="B222" s="23" t="n">
        <x:v>23</x:v>
      </x:c>
      <x:c r="C222" s="37" t="n">
        <x:v>48488</x:v>
      </x:c>
      <x:c r="D222" s="55" t="n">
        <x:v>0</x:v>
      </x:c>
      <x:c r="E222" s="55" t="n">
        <x:v>0.005</x:v>
      </x:c>
      <x:c r="F222" s="60" t="n">
        <x:v>0</x:v>
      </x:c>
      <x:c r="G222" s="60" t="n">
        <x:v>0.005</x:v>
      </x:c>
      <x:c r="H222" s="23" t="n">
        <x:f>IF(D222=F222,0,1)+IF(E222=G222,0,1)</x:f>
        <x:v>0</x:v>
      </x:c>
      <x:c r="I222" s="23" t="str">
        <x:v>Timing T20 / fictional rates</x:v>
      </x:c>
    </x:row>
    <x:row r="223" ht="21" customHeight="1">
      <x:c r="A223" s="23" t="str">
        <x:v>middle_low</x:v>
      </x:c>
      <x:c r="B223" s="23" t="n">
        <x:v>24</x:v>
      </x:c>
      <x:c r="C223" s="37" t="n">
        <x:v>48580</x:v>
      </x:c>
      <x:c r="D223" s="55" t="n">
        <x:v>0</x:v>
      </x:c>
      <x:c r="E223" s="55" t="n">
        <x:v>0.005</x:v>
      </x:c>
      <x:c r="F223" s="60" t="n">
        <x:v>0</x:v>
      </x:c>
      <x:c r="G223" s="60" t="n">
        <x:v>0.005</x:v>
      </x:c>
      <x:c r="H223" s="23" t="n">
        <x:f>IF(D223=F223,0,1)+IF(E223=G223,0,1)</x:f>
        <x:v>0</x:v>
      </x:c>
      <x:c r="I223" s="23" t="str">
        <x:v>Timing T20 / fictional rates</x:v>
      </x:c>
    </x:row>
    <x:row r="224" ht="21" customHeight="1">
      <x:c r="A224" s="23" t="str">
        <x:v>middle_low</x:v>
      </x:c>
      <x:c r="B224" s="23" t="n">
        <x:v>25</x:v>
      </x:c>
      <x:c r="C224" s="37" t="n">
        <x:v>48670</x:v>
      </x:c>
      <x:c r="D224" s="55" t="n">
        <x:v>0</x:v>
      </x:c>
      <x:c r="E224" s="55" t="n">
        <x:v>0.005</x:v>
      </x:c>
      <x:c r="F224" s="60" t="n">
        <x:v>0</x:v>
      </x:c>
      <x:c r="G224" s="60" t="n">
        <x:v>0.005</x:v>
      </x:c>
      <x:c r="H224" s="23" t="n">
        <x:f>IF(D224=F224,0,1)+IF(E224=G224,0,1)</x:f>
        <x:v>0</x:v>
      </x:c>
      <x:c r="I224" s="23" t="str">
        <x:v>Timing T20 / fictional rates</x:v>
      </x:c>
    </x:row>
    <x:row r="225" ht="21" customHeight="1">
      <x:c r="A225" s="23" t="str">
        <x:v>middle_low</x:v>
      </x:c>
      <x:c r="B225" s="23" t="n">
        <x:v>26</x:v>
      </x:c>
      <x:c r="C225" s="37" t="n">
        <x:v>48761</x:v>
      </x:c>
      <x:c r="D225" s="55" t="n">
        <x:v>0</x:v>
      </x:c>
      <x:c r="E225" s="55" t="n">
        <x:v>0.005</x:v>
      </x:c>
      <x:c r="F225" s="60" t="n">
        <x:v>0</x:v>
      </x:c>
      <x:c r="G225" s="60" t="n">
        <x:v>0.005</x:v>
      </x:c>
      <x:c r="H225" s="23" t="n">
        <x:f>IF(D225=F225,0,1)+IF(E225=G225,0,1)</x:f>
        <x:v>0</x:v>
      </x:c>
      <x:c r="I225" s="23" t="str">
        <x:v>Timing T20 / fictional rates</x:v>
      </x:c>
    </x:row>
    <x:row r="226" ht="21" customHeight="1">
      <x:c r="A226" s="23" t="str">
        <x:v>middle_low</x:v>
      </x:c>
      <x:c r="B226" s="23" t="n">
        <x:v>27</x:v>
      </x:c>
      <x:c r="C226" s="37" t="n">
        <x:v>48853</x:v>
      </x:c>
      <x:c r="D226" s="55" t="n">
        <x:v>0</x:v>
      </x:c>
      <x:c r="E226" s="55" t="n">
        <x:v>0.005</x:v>
      </x:c>
      <x:c r="F226" s="60" t="n">
        <x:v>0</x:v>
      </x:c>
      <x:c r="G226" s="60" t="n">
        <x:v>0.005</x:v>
      </x:c>
      <x:c r="H226" s="23" t="n">
        <x:f>IF(D226=F226,0,1)+IF(E226=G226,0,1)</x:f>
        <x:v>0</x:v>
      </x:c>
      <x:c r="I226" s="23" t="str">
        <x:v>Timing T20 / fictional rates</x:v>
      </x:c>
    </x:row>
    <x:row r="227" ht="21" customHeight="1">
      <x:c r="A227" s="23" t="str">
        <x:v>middle_low</x:v>
      </x:c>
      <x:c r="B227" s="23" t="n">
        <x:v>28</x:v>
      </x:c>
      <x:c r="C227" s="37" t="n">
        <x:v>48945</x:v>
      </x:c>
      <x:c r="D227" s="55" t="n">
        <x:v>0</x:v>
      </x:c>
      <x:c r="E227" s="55" t="n">
        <x:v>0.005</x:v>
      </x:c>
      <x:c r="F227" s="60" t="n">
        <x:v>0</x:v>
      </x:c>
      <x:c r="G227" s="60" t="n">
        <x:v>0.005</x:v>
      </x:c>
      <x:c r="H227" s="23" t="n">
        <x:f>IF(D227=F227,0,1)+IF(E227=G227,0,1)</x:f>
        <x:v>0</x:v>
      </x:c>
      <x:c r="I227" s="23" t="str">
        <x:v>Timing T20 / fictional rates</x:v>
      </x:c>
    </x:row>
    <x:row r="228" ht="21" customHeight="1">
      <x:c r="A228" s="23" t="str">
        <x:v>middle_low</x:v>
      </x:c>
      <x:c r="B228" s="23" t="n">
        <x:v>29</x:v>
      </x:c>
      <x:c r="C228" s="37" t="n">
        <x:v>49035</x:v>
      </x:c>
      <x:c r="D228" s="55" t="n">
        <x:v>0</x:v>
      </x:c>
      <x:c r="E228" s="55" t="n">
        <x:v>0.005</x:v>
      </x:c>
      <x:c r="F228" s="60" t="n">
        <x:v>0</x:v>
      </x:c>
      <x:c r="G228" s="60" t="n">
        <x:v>0.005</x:v>
      </x:c>
      <x:c r="H228" s="23" t="n">
        <x:f>IF(D228=F228,0,1)+IF(E228=G228,0,1)</x:f>
        <x:v>0</x:v>
      </x:c>
      <x:c r="I228" s="23" t="str">
        <x:v>Timing T20 / fictional rates</x:v>
      </x:c>
    </x:row>
    <x:row r="229" ht="21" customHeight="1">
      <x:c r="A229" s="23" t="str">
        <x:v>middle_low</x:v>
      </x:c>
      <x:c r="B229" s="23" t="n">
        <x:v>30</x:v>
      </x:c>
      <x:c r="C229" s="37" t="n">
        <x:v>49126</x:v>
      </x:c>
      <x:c r="D229" s="55" t="n">
        <x:v>0</x:v>
      </x:c>
      <x:c r="E229" s="55" t="n">
        <x:v>0.005</x:v>
      </x:c>
      <x:c r="F229" s="60" t="n">
        <x:v>0</x:v>
      </x:c>
      <x:c r="G229" s="60" t="n">
        <x:v>0.005</x:v>
      </x:c>
      <x:c r="H229" s="23" t="n">
        <x:f>IF(D229=F229,0,1)+IF(E229=G229,0,1)</x:f>
        <x:v>0</x:v>
      </x:c>
      <x:c r="I229" s="23" t="str">
        <x:v>Timing T20 / fictional rates</x:v>
      </x:c>
    </x:row>
    <x:row r="230" ht="21" customHeight="1">
      <x:c r="A230" s="23" t="str">
        <x:v>middle_low</x:v>
      </x:c>
      <x:c r="B230" s="23" t="n">
        <x:v>31</x:v>
      </x:c>
      <x:c r="C230" s="37" t="n">
        <x:v>49218</x:v>
      </x:c>
      <x:c r="D230" s="55" t="n">
        <x:v>0</x:v>
      </x:c>
      <x:c r="E230" s="55" t="n">
        <x:v>0.005</x:v>
      </x:c>
      <x:c r="F230" s="60" t="n">
        <x:v>0</x:v>
      </x:c>
      <x:c r="G230" s="60" t="n">
        <x:v>0.005</x:v>
      </x:c>
      <x:c r="H230" s="23" t="n">
        <x:f>IF(D230=F230,0,1)+IF(E230=G230,0,1)</x:f>
        <x:v>0</x:v>
      </x:c>
      <x:c r="I230" s="23" t="str">
        <x:v>Timing T20 / fictional rates</x:v>
      </x:c>
    </x:row>
    <x:row r="231" ht="21" customHeight="1">
      <x:c r="A231" s="23" t="str">
        <x:v>middle_low</x:v>
      </x:c>
      <x:c r="B231" s="23" t="n">
        <x:v>32</x:v>
      </x:c>
      <x:c r="C231" s="37" t="n">
        <x:v>49310</x:v>
      </x:c>
      <x:c r="D231" s="55" t="n">
        <x:v>0</x:v>
      </x:c>
      <x:c r="E231" s="55" t="n">
        <x:v>0.005</x:v>
      </x:c>
      <x:c r="F231" s="60" t="n">
        <x:v>0</x:v>
      </x:c>
      <x:c r="G231" s="60" t="n">
        <x:v>0.005</x:v>
      </x:c>
      <x:c r="H231" s="23" t="n">
        <x:f>IF(D231=F231,0,1)+IF(E231=G231,0,1)</x:f>
        <x:v>0</x:v>
      </x:c>
      <x:c r="I231" s="23" t="str">
        <x:v>Timing T20 / fictional rates</x:v>
      </x:c>
    </x:row>
    <x:row r="232" ht="21" customHeight="1">
      <x:c r="A232" s="23" t="str">
        <x:v>middle_low</x:v>
      </x:c>
      <x:c r="B232" s="23" t="n">
        <x:v>33</x:v>
      </x:c>
      <x:c r="C232" s="37" t="n">
        <x:v>49400</x:v>
      </x:c>
      <x:c r="D232" s="55" t="n">
        <x:v>0</x:v>
      </x:c>
      <x:c r="E232" s="55" t="n">
        <x:v>0.005</x:v>
      </x:c>
      <x:c r="F232" s="60" t="n">
        <x:v>0</x:v>
      </x:c>
      <x:c r="G232" s="60" t="n">
        <x:v>0.005</x:v>
      </x:c>
      <x:c r="H232" s="23" t="n">
        <x:f>IF(D232=F232,0,1)+IF(E232=G232,0,1)</x:f>
        <x:v>0</x:v>
      </x:c>
      <x:c r="I232" s="23" t="str">
        <x:v>Timing T20 / fictional rates</x:v>
      </x:c>
    </x:row>
    <x:row r="233" ht="21" customHeight="1">
      <x:c r="A233" s="23" t="str">
        <x:v>middle_low</x:v>
      </x:c>
      <x:c r="B233" s="23" t="n">
        <x:v>34</x:v>
      </x:c>
      <x:c r="C233" s="37" t="n">
        <x:v>49491</x:v>
      </x:c>
      <x:c r="D233" s="55" t="n">
        <x:v>0</x:v>
      </x:c>
      <x:c r="E233" s="55" t="n">
        <x:v>0.005</x:v>
      </x:c>
      <x:c r="F233" s="60" t="n">
        <x:v>0</x:v>
      </x:c>
      <x:c r="G233" s="60" t="n">
        <x:v>0.005</x:v>
      </x:c>
      <x:c r="H233" s="23" t="n">
        <x:f>IF(D233=F233,0,1)+IF(E233=G233,0,1)</x:f>
        <x:v>0</x:v>
      </x:c>
      <x:c r="I233" s="23" t="str">
        <x:v>Timing T20 / fictional rates</x:v>
      </x:c>
    </x:row>
    <x:row r="234" ht="21" customHeight="1">
      <x:c r="A234" s="23" t="str">
        <x:v>middle_low</x:v>
      </x:c>
      <x:c r="B234" s="23" t="n">
        <x:v>35</x:v>
      </x:c>
      <x:c r="C234" s="37" t="n">
        <x:v>49583</x:v>
      </x:c>
      <x:c r="D234" s="55" t="n">
        <x:v>0</x:v>
      </x:c>
      <x:c r="E234" s="55" t="n">
        <x:v>0.005</x:v>
      </x:c>
      <x:c r="F234" s="60" t="n">
        <x:v>0</x:v>
      </x:c>
      <x:c r="G234" s="60" t="n">
        <x:v>0.005</x:v>
      </x:c>
      <x:c r="H234" s="23" t="n">
        <x:f>IF(D234=F234,0,1)+IF(E234=G234,0,1)</x:f>
        <x:v>0</x:v>
      </x:c>
      <x:c r="I234" s="23" t="str">
        <x:v>Timing T20 / fictional rates</x:v>
      </x:c>
    </x:row>
    <x:row r="235" ht="21" customHeight="1">
      <x:c r="A235" s="23" t="str">
        <x:v>middle_low</x:v>
      </x:c>
      <x:c r="B235" s="23" t="n">
        <x:v>36</x:v>
      </x:c>
      <x:c r="C235" s="37" t="n">
        <x:v>49675</x:v>
      </x:c>
      <x:c r="D235" s="55" t="n">
        <x:v>0</x:v>
      </x:c>
      <x:c r="E235" s="55" t="n">
        <x:v>0.005</x:v>
      </x:c>
      <x:c r="F235" s="60" t="n">
        <x:v>0</x:v>
      </x:c>
      <x:c r="G235" s="60" t="n">
        <x:v>0.005</x:v>
      </x:c>
      <x:c r="H235" s="23" t="n">
        <x:f>IF(D235=F235,0,1)+IF(E235=G235,0,1)</x:f>
        <x:v>0</x:v>
      </x:c>
      <x:c r="I235" s="23" t="str">
        <x:v>Timing T20 / fictional rates</x:v>
      </x:c>
    </x:row>
    <x:row r="236" ht="21" customHeight="1">
      <x:c r="A236" s="23" t="str">
        <x:v>middle_low</x:v>
      </x:c>
      <x:c r="B236" s="23" t="n">
        <x:v>37</x:v>
      </x:c>
      <x:c r="C236" s="37" t="n">
        <x:v>49766</x:v>
      </x:c>
      <x:c r="D236" s="55" t="n">
        <x:v>0</x:v>
      </x:c>
      <x:c r="E236" s="55" t="n">
        <x:v>0.005</x:v>
      </x:c>
      <x:c r="F236" s="60" t="n">
        <x:v>0</x:v>
      </x:c>
      <x:c r="G236" s="60" t="n">
        <x:v>0.005</x:v>
      </x:c>
      <x:c r="H236" s="23" t="n">
        <x:f>IF(D236=F236,0,1)+IF(E236=G236,0,1)</x:f>
        <x:v>0</x:v>
      </x:c>
      <x:c r="I236" s="23" t="str">
        <x:v>Timing T20 / fictional rates</x:v>
      </x:c>
    </x:row>
    <x:row r="237" ht="21" customHeight="1">
      <x:c r="A237" s="23" t="str">
        <x:v>middle_low</x:v>
      </x:c>
      <x:c r="B237" s="23" t="n">
        <x:v>38</x:v>
      </x:c>
      <x:c r="C237" s="37" t="n">
        <x:v>49857</x:v>
      </x:c>
      <x:c r="D237" s="55" t="n">
        <x:v>0</x:v>
      </x:c>
      <x:c r="E237" s="55" t="n">
        <x:v>0.005</x:v>
      </x:c>
      <x:c r="F237" s="60" t="n">
        <x:v>0</x:v>
      </x:c>
      <x:c r="G237" s="60" t="n">
        <x:v>0.005</x:v>
      </x:c>
      <x:c r="H237" s="23" t="n">
        <x:f>IF(D237=F237,0,1)+IF(E237=G237,0,1)</x:f>
        <x:v>0</x:v>
      </x:c>
      <x:c r="I237" s="23" t="str">
        <x:v>Timing T20 / fictional rates</x:v>
      </x:c>
    </x:row>
    <x:row r="238" ht="21" customHeight="1">
      <x:c r="A238" s="23" t="str">
        <x:v>middle_low</x:v>
      </x:c>
      <x:c r="B238" s="23" t="n">
        <x:v>39</x:v>
      </x:c>
      <x:c r="C238" s="37" t="n">
        <x:v>49949</x:v>
      </x:c>
      <x:c r="D238" s="55" t="n">
        <x:v>0</x:v>
      </x:c>
      <x:c r="E238" s="55" t="n">
        <x:v>0.005</x:v>
      </x:c>
      <x:c r="F238" s="60" t="n">
        <x:v>0</x:v>
      </x:c>
      <x:c r="G238" s="60" t="n">
        <x:v>0.005</x:v>
      </x:c>
      <x:c r="H238" s="23" t="n">
        <x:f>IF(D238=F238,0,1)+IF(E238=G238,0,1)</x:f>
        <x:v>0</x:v>
      </x:c>
      <x:c r="I238" s="23" t="str">
        <x:v>Timing T20 / fictional rates</x:v>
      </x:c>
    </x:row>
    <x:row r="239" ht="21" customHeight="1">
      <x:c r="A239" s="23" t="str">
        <x:v>middle_low</x:v>
      </x:c>
      <x:c r="B239" s="23" t="n">
        <x:v>40</x:v>
      </x:c>
      <x:c r="C239" s="37" t="n">
        <x:v>50041</x:v>
      </x:c>
      <x:c r="D239" s="55" t="n">
        <x:v>0</x:v>
      </x:c>
      <x:c r="E239" s="55" t="n">
        <x:v>0.005</x:v>
      </x:c>
      <x:c r="F239" s="60" t="n">
        <x:v>0</x:v>
      </x:c>
      <x:c r="G239" s="60" t="n">
        <x:v>0.005</x:v>
      </x:c>
      <x:c r="H239" s="23" t="n">
        <x:f>IF(D239=F239,0,1)+IF(E239=G239,0,1)</x:f>
        <x:v>0</x:v>
      </x:c>
      <x:c r="I239" s="23" t="str">
        <x:v>Timing T20 / fictional rates</x:v>
      </x:c>
    </x:row>
    <x:row r="240" ht="21" customHeight="1">
      <x:c r="A240" s="23" t="str">
        <x:v>middle_low</x:v>
      </x:c>
      <x:c r="B240" s="23" t="n">
        <x:v>41</x:v>
      </x:c>
      <x:c r="C240" s="37" t="n">
        <x:v>50131</x:v>
      </x:c>
      <x:c r="D240" s="55" t="n">
        <x:v>0</x:v>
      </x:c>
      <x:c r="E240" s="55" t="n">
        <x:v>0.005</x:v>
      </x:c>
      <x:c r="F240" s="60" t="n">
        <x:v>0</x:v>
      </x:c>
      <x:c r="G240" s="60" t="n">
        <x:v>0.005</x:v>
      </x:c>
      <x:c r="H240" s="23" t="n">
        <x:f>IF(D240=F240,0,1)+IF(E240=G240,0,1)</x:f>
        <x:v>0</x:v>
      </x:c>
      <x:c r="I240" s="23" t="str">
        <x:v>Timing T20 / fictional rates</x:v>
      </x:c>
    </x:row>
    <x:row r="241" ht="21" customHeight="1">
      <x:c r="A241" s="23" t="str">
        <x:v>middle_low</x:v>
      </x:c>
      <x:c r="B241" s="23" t="n">
        <x:v>42</x:v>
      </x:c>
      <x:c r="C241" s="37" t="n">
        <x:v>50222</x:v>
      </x:c>
      <x:c r="D241" s="55" t="n">
        <x:v>0</x:v>
      </x:c>
      <x:c r="E241" s="55" t="n">
        <x:v>0.005</x:v>
      </x:c>
      <x:c r="F241" s="60" t="n">
        <x:v>0</x:v>
      </x:c>
      <x:c r="G241" s="60" t="n">
        <x:v>0.005</x:v>
      </x:c>
      <x:c r="H241" s="23" t="n">
        <x:f>IF(D241=F241,0,1)+IF(E241=G241,0,1)</x:f>
        <x:v>0</x:v>
      </x:c>
      <x:c r="I241" s="23" t="str">
        <x:v>Timing T20 / fictional rates</x:v>
      </x:c>
    </x:row>
    <x:row r="242" ht="21" customHeight="1">
      <x:c r="A242" s="23" t="str">
        <x:v>middle_low</x:v>
      </x:c>
      <x:c r="B242" s="23" t="n">
        <x:v>43</x:v>
      </x:c>
      <x:c r="C242" s="37" t="n">
        <x:v>50314</x:v>
      </x:c>
      <x:c r="D242" s="55" t="n">
        <x:v>0</x:v>
      </x:c>
      <x:c r="E242" s="55" t="n">
        <x:v>0.005</x:v>
      </x:c>
      <x:c r="F242" s="60" t="n">
        <x:v>0</x:v>
      </x:c>
      <x:c r="G242" s="60" t="n">
        <x:v>0.005</x:v>
      </x:c>
      <x:c r="H242" s="23" t="n">
        <x:f>IF(D242=F242,0,1)+IF(E242=G242,0,1)</x:f>
        <x:v>0</x:v>
      </x:c>
      <x:c r="I242" s="23" t="str">
        <x:v>Timing T20 / fictional rates</x:v>
      </x:c>
    </x:row>
    <x:row r="243" ht="21" customHeight="1">
      <x:c r="A243" s="23" t="str">
        <x:v>middle_low</x:v>
      </x:c>
      <x:c r="B243" s="23" t="n">
        <x:v>44</x:v>
      </x:c>
      <x:c r="C243" s="37" t="n">
        <x:v>50406</x:v>
      </x:c>
      <x:c r="D243" s="55" t="n">
        <x:v>0</x:v>
      </x:c>
      <x:c r="E243" s="55" t="n">
        <x:v>0.005</x:v>
      </x:c>
      <x:c r="F243" s="60" t="n">
        <x:v>0</x:v>
      </x:c>
      <x:c r="G243" s="60" t="n">
        <x:v>0.005</x:v>
      </x:c>
      <x:c r="H243" s="23" t="n">
        <x:f>IF(D243=F243,0,1)+IF(E243=G243,0,1)</x:f>
        <x:v>0</x:v>
      </x:c>
      <x:c r="I243" s="23" t="str">
        <x:v>Timing T20 / fictional rates</x:v>
      </x:c>
    </x:row>
    <x:row r="244" ht="21" customHeight="1">
      <x:c r="A244" s="23" t="str">
        <x:v>middle_low</x:v>
      </x:c>
      <x:c r="B244" s="23" t="n">
        <x:v>45</x:v>
      </x:c>
      <x:c r="C244" s="37" t="n">
        <x:v>50496</x:v>
      </x:c>
      <x:c r="D244" s="55" t="n">
        <x:v>0</x:v>
      </x:c>
      <x:c r="E244" s="55" t="n">
        <x:v>0.005</x:v>
      </x:c>
      <x:c r="F244" s="60" t="n">
        <x:v>0</x:v>
      </x:c>
      <x:c r="G244" s="60" t="n">
        <x:v>0.005</x:v>
      </x:c>
      <x:c r="H244" s="23" t="n">
        <x:f>IF(D244=F244,0,1)+IF(E244=G244,0,1)</x:f>
        <x:v>0</x:v>
      </x:c>
      <x:c r="I244" s="23" t="str">
        <x:v>Timing T20 / fictional rates</x:v>
      </x:c>
    </x:row>
    <x:row r="245" ht="21" customHeight="1">
      <x:c r="A245" s="23" t="str">
        <x:v>middle_low</x:v>
      </x:c>
      <x:c r="B245" s="23" t="n">
        <x:v>46</x:v>
      </x:c>
      <x:c r="C245" s="37" t="n">
        <x:v>50587</x:v>
      </x:c>
      <x:c r="D245" s="55" t="n">
        <x:v>0</x:v>
      </x:c>
      <x:c r="E245" s="55" t="n">
        <x:v>0.005</x:v>
      </x:c>
      <x:c r="F245" s="60" t="n">
        <x:v>0</x:v>
      </x:c>
      <x:c r="G245" s="60" t="n">
        <x:v>0.005</x:v>
      </x:c>
      <x:c r="H245" s="23" t="n">
        <x:f>IF(D245=F245,0,1)+IF(E245=G245,0,1)</x:f>
        <x:v>0</x:v>
      </x:c>
      <x:c r="I245" s="23" t="str">
        <x:v>Timing T20 / fictional rates</x:v>
      </x:c>
    </x:row>
    <x:row r="246" ht="21" customHeight="1">
      <x:c r="A246" s="23" t="str">
        <x:v>middle_low</x:v>
      </x:c>
      <x:c r="B246" s="23" t="n">
        <x:v>47</x:v>
      </x:c>
      <x:c r="C246" s="37" t="n">
        <x:v>50679</x:v>
      </x:c>
      <x:c r="D246" s="55" t="n">
        <x:v>0</x:v>
      </x:c>
      <x:c r="E246" s="55" t="n">
        <x:v>0.005</x:v>
      </x:c>
      <x:c r="F246" s="60" t="n">
        <x:v>0</x:v>
      </x:c>
      <x:c r="G246" s="60" t="n">
        <x:v>0.005</x:v>
      </x:c>
      <x:c r="H246" s="23" t="n">
        <x:f>IF(D246=F246,0,1)+IF(E246=G246,0,1)</x:f>
        <x:v>0</x:v>
      </x:c>
      <x:c r="I246" s="23" t="str">
        <x:v>Timing T20 / fictional rates</x:v>
      </x:c>
    </x:row>
    <x:row r="247" ht="21" customHeight="1">
      <x:c r="A247" s="23" t="str">
        <x:v>middle_low</x:v>
      </x:c>
      <x:c r="B247" s="23" t="n">
        <x:v>48</x:v>
      </x:c>
      <x:c r="C247" s="37" t="n">
        <x:v>50771</x:v>
      </x:c>
      <x:c r="D247" s="55" t="n">
        <x:v>0</x:v>
      </x:c>
      <x:c r="E247" s="55" t="n">
        <x:v>0.005</x:v>
      </x:c>
      <x:c r="F247" s="60" t="n">
        <x:v>0</x:v>
      </x:c>
      <x:c r="G247" s="60" t="n">
        <x:v>0.005</x:v>
      </x:c>
      <x:c r="H247" s="23" t="n">
        <x:f>IF(D247=F247,0,1)+IF(E247=G247,0,1)</x:f>
        <x:v>0</x:v>
      </x:c>
      <x:c r="I247" s="23" t="str">
        <x:v>Timing T20 / fictional rates</x:v>
      </x:c>
    </x:row>
    <x:row r="248" ht="21" customHeight="1">
      <x:c r="A248" s="23" t="str">
        <x:v>middle_high</x:v>
      </x:c>
      <x:c r="B248" s="23" t="n">
        <x:v>1</x:v>
      </x:c>
      <x:c r="C248" s="37" t="n">
        <x:v>46478</x:v>
      </x:c>
      <x:c r="D248" s="55" t="n">
        <x:v>0.04</x:v>
      </x:c>
      <x:c r="E248" s="55" t="n">
        <x:v>0.06</x:v>
      </x:c>
      <x:c r="F248" s="60" t="n">
        <x:v>0.04</x:v>
      </x:c>
      <x:c r="G248" s="60" t="n">
        <x:v>0.06</x:v>
      </x:c>
      <x:c r="H248" s="23" t="n">
        <x:f>IF(D248=F248,0,1)+IF(E248=G248,0,1)</x:f>
        <x:v>0</x:v>
      </x:c>
      <x:c r="I248" s="23" t="str">
        <x:v>Timing T20 / fictional rates</x:v>
      </x:c>
    </x:row>
    <x:row r="249" ht="21" customHeight="1">
      <x:c r="A249" s="23" t="str">
        <x:v>middle_high</x:v>
      </x:c>
      <x:c r="B249" s="23" t="n">
        <x:v>2</x:v>
      </x:c>
      <x:c r="C249" s="37" t="n">
        <x:v>46569</x:v>
      </x:c>
      <x:c r="D249" s="55" t="n">
        <x:v>0.04</x:v>
      </x:c>
      <x:c r="E249" s="55" t="n">
        <x:v>0.06</x:v>
      </x:c>
      <x:c r="F249" s="60" t="n">
        <x:v>0.04</x:v>
      </x:c>
      <x:c r="G249" s="60" t="n">
        <x:v>0.06</x:v>
      </x:c>
      <x:c r="H249" s="23" t="n">
        <x:f>IF(D249=F249,0,1)+IF(E249=G249,0,1)</x:f>
        <x:v>0</x:v>
      </x:c>
      <x:c r="I249" s="23" t="str">
        <x:v>Timing T20 / fictional rates</x:v>
      </x:c>
    </x:row>
    <x:row r="250" ht="21" customHeight="1">
      <x:c r="A250" s="23" t="str">
        <x:v>middle_high</x:v>
      </x:c>
      <x:c r="B250" s="23" t="n">
        <x:v>3</x:v>
      </x:c>
      <x:c r="C250" s="37" t="n">
        <x:v>46661</x:v>
      </x:c>
      <x:c r="D250" s="55" t="n">
        <x:v>0.04</x:v>
      </x:c>
      <x:c r="E250" s="55" t="n">
        <x:v>0.06</x:v>
      </x:c>
      <x:c r="F250" s="60" t="n">
        <x:v>0.04</x:v>
      </x:c>
      <x:c r="G250" s="60" t="n">
        <x:v>0.06</x:v>
      </x:c>
      <x:c r="H250" s="23" t="n">
        <x:f>IF(D250=F250,0,1)+IF(E250=G250,0,1)</x:f>
        <x:v>0</x:v>
      </x:c>
      <x:c r="I250" s="23" t="str">
        <x:v>Timing T20 / fictional rates</x:v>
      </x:c>
    </x:row>
    <x:row r="251" ht="21" customHeight="1">
      <x:c r="A251" s="23" t="str">
        <x:v>middle_high</x:v>
      </x:c>
      <x:c r="B251" s="23" t="n">
        <x:v>4</x:v>
      </x:c>
      <x:c r="C251" s="37" t="n">
        <x:v>46753</x:v>
      </x:c>
      <x:c r="D251" s="55" t="n">
        <x:v>0.04</x:v>
      </x:c>
      <x:c r="E251" s="55" t="n">
        <x:v>0.06</x:v>
      </x:c>
      <x:c r="F251" s="60" t="n">
        <x:v>0.04</x:v>
      </x:c>
      <x:c r="G251" s="60" t="n">
        <x:v>0.06</x:v>
      </x:c>
      <x:c r="H251" s="23" t="n">
        <x:f>IF(D251=F251,0,1)+IF(E251=G251,0,1)</x:f>
        <x:v>0</x:v>
      </x:c>
      <x:c r="I251" s="23" t="str">
        <x:v>Timing T20 / fictional rates</x:v>
      </x:c>
    </x:row>
    <x:row r="252" ht="21" customHeight="1">
      <x:c r="A252" s="23" t="str">
        <x:v>middle_high</x:v>
      </x:c>
      <x:c r="B252" s="23" t="n">
        <x:v>5</x:v>
      </x:c>
      <x:c r="C252" s="37" t="n">
        <x:v>46844</x:v>
      </x:c>
      <x:c r="D252" s="55" t="n">
        <x:v>0.0575</x:v>
      </x:c>
      <x:c r="E252" s="55" t="n">
        <x:v>0.06</x:v>
      </x:c>
      <x:c r="F252" s="60" t="n">
        <x:v>0.0575</x:v>
      </x:c>
      <x:c r="G252" s="60" t="n">
        <x:v>0.06</x:v>
      </x:c>
      <x:c r="H252" s="23" t="n">
        <x:f>IF(D252=F252,0,1)+IF(E252=G252,0,1)</x:f>
        <x:v>0</x:v>
      </x:c>
      <x:c r="I252" s="23" t="str">
        <x:v>Timing T20 / fictional rates</x:v>
      </x:c>
    </x:row>
    <x:row r="253" ht="21" customHeight="1">
      <x:c r="A253" s="23" t="str">
        <x:v>middle_high</x:v>
      </x:c>
      <x:c r="B253" s="23" t="n">
        <x:v>6</x:v>
      </x:c>
      <x:c r="C253" s="37" t="n">
        <x:v>46935</x:v>
      </x:c>
      <x:c r="D253" s="55" t="n">
        <x:v>0.0575</x:v>
      </x:c>
      <x:c r="E253" s="55" t="n">
        <x:v>0.06</x:v>
      </x:c>
      <x:c r="F253" s="60" t="n">
        <x:v>0.0575</x:v>
      </x:c>
      <x:c r="G253" s="60" t="n">
        <x:v>0.06</x:v>
      </x:c>
      <x:c r="H253" s="23" t="n">
        <x:f>IF(D253=F253,0,1)+IF(E253=G253,0,1)</x:f>
        <x:v>0</x:v>
      </x:c>
      <x:c r="I253" s="23" t="str">
        <x:v>Timing T20 / fictional rates</x:v>
      </x:c>
    </x:row>
    <x:row r="254" ht="21" customHeight="1">
      <x:c r="A254" s="23" t="str">
        <x:v>middle_high</x:v>
      </x:c>
      <x:c r="B254" s="23" t="n">
        <x:v>7</x:v>
      </x:c>
      <x:c r="C254" s="37" t="n">
        <x:v>47027</x:v>
      </x:c>
      <x:c r="D254" s="55" t="n">
        <x:v>0.0575</x:v>
      </x:c>
      <x:c r="E254" s="55" t="n">
        <x:v>0.06</x:v>
      </x:c>
      <x:c r="F254" s="60" t="n">
        <x:v>0.0575</x:v>
      </x:c>
      <x:c r="G254" s="60" t="n">
        <x:v>0.06</x:v>
      </x:c>
      <x:c r="H254" s="23" t="n">
        <x:f>IF(D254=F254,0,1)+IF(E254=G254,0,1)</x:f>
        <x:v>0</x:v>
      </x:c>
      <x:c r="I254" s="23" t="str">
        <x:v>Timing T20 / fictional rates</x:v>
      </x:c>
    </x:row>
    <x:row r="255" ht="21" customHeight="1">
      <x:c r="A255" s="23" t="str">
        <x:v>middle_high</x:v>
      </x:c>
      <x:c r="B255" s="23" t="n">
        <x:v>8</x:v>
      </x:c>
      <x:c r="C255" s="37" t="n">
        <x:v>47119</x:v>
      </x:c>
      <x:c r="D255" s="55" t="n">
        <x:v>0.0575</x:v>
      </x:c>
      <x:c r="E255" s="55" t="n">
        <x:v>0.06</x:v>
      </x:c>
      <x:c r="F255" s="60" t="n">
        <x:v>0.0575</x:v>
      </x:c>
      <x:c r="G255" s="60" t="n">
        <x:v>0.06</x:v>
      </x:c>
      <x:c r="H255" s="23" t="n">
        <x:f>IF(D255=F255,0,1)+IF(E255=G255,0,1)</x:f>
        <x:v>0</x:v>
      </x:c>
      <x:c r="I255" s="23" t="str">
        <x:v>Timing T20 / fictional rates</x:v>
      </x:c>
    </x:row>
    <x:row r="256" ht="21" customHeight="1">
      <x:c r="A256" s="23" t="str">
        <x:v>middle_high</x:v>
      </x:c>
      <x:c r="B256" s="23" t="n">
        <x:v>9</x:v>
      </x:c>
      <x:c r="C256" s="37" t="n">
        <x:v>47209</x:v>
      </x:c>
      <x:c r="D256" s="55" t="n">
        <x:v>0.065</x:v>
      </x:c>
      <x:c r="E256" s="55" t="n">
        <x:v>0.06</x:v>
      </x:c>
      <x:c r="F256" s="60" t="n">
        <x:v>0.065</x:v>
      </x:c>
      <x:c r="G256" s="60" t="n">
        <x:v>0.06</x:v>
      </x:c>
      <x:c r="H256" s="23" t="n">
        <x:f>IF(D256=F256,0,1)+IF(E256=G256,0,1)</x:f>
        <x:v>0</x:v>
      </x:c>
      <x:c r="I256" s="23" t="str">
        <x:v>Timing T20 / fictional rates</x:v>
      </x:c>
    </x:row>
    <x:row r="257" ht="21" customHeight="1">
      <x:c r="A257" s="23" t="str">
        <x:v>middle_high</x:v>
      </x:c>
      <x:c r="B257" s="23" t="n">
        <x:v>10</x:v>
      </x:c>
      <x:c r="C257" s="37" t="n">
        <x:v>47300</x:v>
      </x:c>
      <x:c r="D257" s="55" t="n">
        <x:v>0.065</x:v>
      </x:c>
      <x:c r="E257" s="55" t="n">
        <x:v>0.06</x:v>
      </x:c>
      <x:c r="F257" s="60" t="n">
        <x:v>0.065</x:v>
      </x:c>
      <x:c r="G257" s="60" t="n">
        <x:v>0.06</x:v>
      </x:c>
      <x:c r="H257" s="23" t="n">
        <x:f>IF(D257=F257,0,1)+IF(E257=G257,0,1)</x:f>
        <x:v>0</x:v>
      </x:c>
      <x:c r="I257" s="23" t="str">
        <x:v>Timing T20 / fictional rates</x:v>
      </x:c>
    </x:row>
    <x:row r="258" ht="21" customHeight="1">
      <x:c r="A258" s="23" t="str">
        <x:v>middle_high</x:v>
      </x:c>
      <x:c r="B258" s="23" t="n">
        <x:v>11</x:v>
      </x:c>
      <x:c r="C258" s="37" t="n">
        <x:v>47392</x:v>
      </x:c>
      <x:c r="D258" s="55" t="n">
        <x:v>0.065</x:v>
      </x:c>
      <x:c r="E258" s="55" t="n">
        <x:v>0.06</x:v>
      </x:c>
      <x:c r="F258" s="60" t="n">
        <x:v>0.065</x:v>
      </x:c>
      <x:c r="G258" s="60" t="n">
        <x:v>0.06</x:v>
      </x:c>
      <x:c r="H258" s="23" t="n">
        <x:f>IF(D258=F258,0,1)+IF(E258=G258,0,1)</x:f>
        <x:v>0</x:v>
      </x:c>
      <x:c r="I258" s="23" t="str">
        <x:v>Timing T20 / fictional rates</x:v>
      </x:c>
    </x:row>
    <x:row r="259" ht="21" customHeight="1">
      <x:c r="A259" s="23" t="str">
        <x:v>middle_high</x:v>
      </x:c>
      <x:c r="B259" s="23" t="n">
        <x:v>12</x:v>
      </x:c>
      <x:c r="C259" s="37" t="n">
        <x:v>47484</x:v>
      </x:c>
      <x:c r="D259" s="55" t="n">
        <x:v>0.065</x:v>
      </x:c>
      <x:c r="E259" s="55" t="n">
        <x:v>0.06</x:v>
      </x:c>
      <x:c r="F259" s="60" t="n">
        <x:v>0.065</x:v>
      </x:c>
      <x:c r="G259" s="60" t="n">
        <x:v>0.06</x:v>
      </x:c>
      <x:c r="H259" s="23" t="n">
        <x:f>IF(D259=F259,0,1)+IF(E259=G259,0,1)</x:f>
        <x:v>0</x:v>
      </x:c>
      <x:c r="I259" s="23" t="str">
        <x:v>Timing T20 / fictional rates</x:v>
      </x:c>
    </x:row>
    <x:row r="260" ht="21" customHeight="1">
      <x:c r="A260" s="23" t="str">
        <x:v>middle_high</x:v>
      </x:c>
      <x:c r="B260" s="23" t="n">
        <x:v>13</x:v>
      </x:c>
      <x:c r="C260" s="37" t="n">
        <x:v>47574</x:v>
      </x:c>
      <x:c r="D260" s="55" t="n">
        <x:v>0.055</x:v>
      </x:c>
      <x:c r="E260" s="55" t="n">
        <x:v>0.06</x:v>
      </x:c>
      <x:c r="F260" s="60" t="n">
        <x:v>0.055</x:v>
      </x:c>
      <x:c r="G260" s="60" t="n">
        <x:v>0.06</x:v>
      </x:c>
      <x:c r="H260" s="23" t="n">
        <x:f>IF(D260=F260,0,1)+IF(E260=G260,0,1)</x:f>
        <x:v>0</x:v>
      </x:c>
      <x:c r="I260" s="23" t="str">
        <x:v>Timing T20 / fictional rates</x:v>
      </x:c>
    </x:row>
    <x:row r="261" ht="21" customHeight="1">
      <x:c r="A261" s="23" t="str">
        <x:v>middle_high</x:v>
      </x:c>
      <x:c r="B261" s="23" t="n">
        <x:v>14</x:v>
      </x:c>
      <x:c r="C261" s="37" t="n">
        <x:v>47665</x:v>
      </x:c>
      <x:c r="D261" s="55" t="n">
        <x:v>0.055</x:v>
      </x:c>
      <x:c r="E261" s="55" t="n">
        <x:v>0.06</x:v>
      </x:c>
      <x:c r="F261" s="60" t="n">
        <x:v>0.055</x:v>
      </x:c>
      <x:c r="G261" s="60" t="n">
        <x:v>0.06</x:v>
      </x:c>
      <x:c r="H261" s="23" t="n">
        <x:f>IF(D261=F261,0,1)+IF(E261=G261,0,1)</x:f>
        <x:v>0</x:v>
      </x:c>
      <x:c r="I261" s="23" t="str">
        <x:v>Timing T20 / fictional rates</x:v>
      </x:c>
    </x:row>
    <x:row r="262" ht="21" customHeight="1">
      <x:c r="A262" s="23" t="str">
        <x:v>middle_high</x:v>
      </x:c>
      <x:c r="B262" s="23" t="n">
        <x:v>15</x:v>
      </x:c>
      <x:c r="C262" s="37" t="n">
        <x:v>47757</x:v>
      </x:c>
      <x:c r="D262" s="55" t="n">
        <x:v>0.055</x:v>
      </x:c>
      <x:c r="E262" s="55" t="n">
        <x:v>0.06</x:v>
      </x:c>
      <x:c r="F262" s="60" t="n">
        <x:v>0.055</x:v>
      </x:c>
      <x:c r="G262" s="60" t="n">
        <x:v>0.06</x:v>
      </x:c>
      <x:c r="H262" s="23" t="n">
        <x:f>IF(D262=F262,0,1)+IF(E262=G262,0,1)</x:f>
        <x:v>0</x:v>
      </x:c>
      <x:c r="I262" s="23" t="str">
        <x:v>Timing T20 / fictional rates</x:v>
      </x:c>
    </x:row>
    <x:row r="263" ht="21" customHeight="1">
      <x:c r="A263" s="23" t="str">
        <x:v>middle_high</x:v>
      </x:c>
      <x:c r="B263" s="23" t="n">
        <x:v>16</x:v>
      </x:c>
      <x:c r="C263" s="37" t="n">
        <x:v>47849</x:v>
      </x:c>
      <x:c r="D263" s="55" t="n">
        <x:v>0.055</x:v>
      </x:c>
      <x:c r="E263" s="55" t="n">
        <x:v>0.06</x:v>
      </x:c>
      <x:c r="F263" s="60" t="n">
        <x:v>0.055</x:v>
      </x:c>
      <x:c r="G263" s="60" t="n">
        <x:v>0.06</x:v>
      </x:c>
      <x:c r="H263" s="23" t="n">
        <x:f>IF(D263=F263,0,1)+IF(E263=G263,0,1)</x:f>
        <x:v>0</x:v>
      </x:c>
      <x:c r="I263" s="23" t="str">
        <x:v>Timing T20 / fictional rates</x:v>
      </x:c>
    </x:row>
    <x:row r="264" ht="21" customHeight="1">
      <x:c r="A264" s="23" t="str">
        <x:v>middle_high</x:v>
      </x:c>
      <x:c r="B264" s="23" t="n">
        <x:v>17</x:v>
      </x:c>
      <x:c r="C264" s="37" t="n">
        <x:v>47939</x:v>
      </x:c>
      <x:c r="D264" s="55" t="n">
        <x:v>0.0325</x:v>
      </x:c>
      <x:c r="E264" s="55" t="n">
        <x:v>0.06</x:v>
      </x:c>
      <x:c r="F264" s="60" t="n">
        <x:v>0.0325</x:v>
      </x:c>
      <x:c r="G264" s="60" t="n">
        <x:v>0.06</x:v>
      </x:c>
      <x:c r="H264" s="23" t="n">
        <x:f>IF(D264=F264,0,1)+IF(E264=G264,0,1)</x:f>
        <x:v>0</x:v>
      </x:c>
      <x:c r="I264" s="23" t="str">
        <x:v>Timing T20 / fictional rates</x:v>
      </x:c>
    </x:row>
    <x:row r="265" ht="21" customHeight="1">
      <x:c r="A265" s="23" t="str">
        <x:v>middle_high</x:v>
      </x:c>
      <x:c r="B265" s="23" t="n">
        <x:v>18</x:v>
      </x:c>
      <x:c r="C265" s="37" t="n">
        <x:v>48030</x:v>
      </x:c>
      <x:c r="D265" s="55" t="n">
        <x:v>0.0325</x:v>
      </x:c>
      <x:c r="E265" s="55" t="n">
        <x:v>0.06</x:v>
      </x:c>
      <x:c r="F265" s="60" t="n">
        <x:v>0.0325</x:v>
      </x:c>
      <x:c r="G265" s="60" t="n">
        <x:v>0.06</x:v>
      </x:c>
      <x:c r="H265" s="23" t="n">
        <x:f>IF(D265=F265,0,1)+IF(E265=G265,0,1)</x:f>
        <x:v>0</x:v>
      </x:c>
      <x:c r="I265" s="23" t="str">
        <x:v>Timing T20 / fictional rates</x:v>
      </x:c>
    </x:row>
    <x:row r="266" ht="21" customHeight="1">
      <x:c r="A266" s="23" t="str">
        <x:v>middle_high</x:v>
      </x:c>
      <x:c r="B266" s="23" t="n">
        <x:v>19</x:v>
      </x:c>
      <x:c r="C266" s="37" t="n">
        <x:v>48122</x:v>
      </x:c>
      <x:c r="D266" s="55" t="n">
        <x:v>0.0325</x:v>
      </x:c>
      <x:c r="E266" s="55" t="n">
        <x:v>0.06</x:v>
      </x:c>
      <x:c r="F266" s="60" t="n">
        <x:v>0.0325</x:v>
      </x:c>
      <x:c r="G266" s="60" t="n">
        <x:v>0.06</x:v>
      </x:c>
      <x:c r="H266" s="23" t="n">
        <x:f>IF(D266=F266,0,1)+IF(E266=G266,0,1)</x:f>
        <x:v>0</x:v>
      </x:c>
      <x:c r="I266" s="23" t="str">
        <x:v>Timing T20 / fictional rates</x:v>
      </x:c>
    </x:row>
    <x:row r="267" ht="21" customHeight="1">
      <x:c r="A267" s="23" t="str">
        <x:v>middle_high</x:v>
      </x:c>
      <x:c r="B267" s="23" t="n">
        <x:v>20</x:v>
      </x:c>
      <x:c r="C267" s="37" t="n">
        <x:v>48214</x:v>
      </x:c>
      <x:c r="D267" s="55" t="n">
        <x:v>0.0325</x:v>
      </x:c>
      <x:c r="E267" s="55" t="n">
        <x:v>0.06</x:v>
      </x:c>
      <x:c r="F267" s="60" t="n">
        <x:v>0.0325</x:v>
      </x:c>
      <x:c r="G267" s="60" t="n">
        <x:v>0.06</x:v>
      </x:c>
      <x:c r="H267" s="23" t="n">
        <x:f>IF(D267=F267,0,1)+IF(E267=G267,0,1)</x:f>
        <x:v>0</x:v>
      </x:c>
      <x:c r="I267" s="23" t="str">
        <x:v>Timing T20 / fictional rates</x:v>
      </x:c>
    </x:row>
    <x:row r="268" ht="21" customHeight="1">
      <x:c r="A268" s="23" t="str">
        <x:v>middle_high</x:v>
      </x:c>
      <x:c r="B268" s="23" t="n">
        <x:v>21</x:v>
      </x:c>
      <x:c r="C268" s="37" t="n">
        <x:v>48305</x:v>
      </x:c>
      <x:c r="D268" s="55" t="n">
        <x:v>0</x:v>
      </x:c>
      <x:c r="E268" s="55" t="n">
        <x:v>0.06</x:v>
      </x:c>
      <x:c r="F268" s="60" t="n">
        <x:v>0</x:v>
      </x:c>
      <x:c r="G268" s="60" t="n">
        <x:v>0.06</x:v>
      </x:c>
      <x:c r="H268" s="23" t="n">
        <x:f>IF(D268=F268,0,1)+IF(E268=G268,0,1)</x:f>
        <x:v>0</x:v>
      </x:c>
      <x:c r="I268" s="23" t="str">
        <x:v>Timing T20 / fictional rates</x:v>
      </x:c>
    </x:row>
    <x:row r="269" ht="21" customHeight="1">
      <x:c r="A269" s="23" t="str">
        <x:v>middle_high</x:v>
      </x:c>
      <x:c r="B269" s="23" t="n">
        <x:v>22</x:v>
      </x:c>
      <x:c r="C269" s="37" t="n">
        <x:v>48396</x:v>
      </x:c>
      <x:c r="D269" s="55" t="n">
        <x:v>0</x:v>
      </x:c>
      <x:c r="E269" s="55" t="n">
        <x:v>0.06</x:v>
      </x:c>
      <x:c r="F269" s="60" t="n">
        <x:v>0</x:v>
      </x:c>
      <x:c r="G269" s="60" t="n">
        <x:v>0.06</x:v>
      </x:c>
      <x:c r="H269" s="23" t="n">
        <x:f>IF(D269=F269,0,1)+IF(E269=G269,0,1)</x:f>
        <x:v>0</x:v>
      </x:c>
      <x:c r="I269" s="23" t="str">
        <x:v>Timing T20 / fictional rates</x:v>
      </x:c>
    </x:row>
    <x:row r="270" ht="21" customHeight="1">
      <x:c r="A270" s="23" t="str">
        <x:v>middle_high</x:v>
      </x:c>
      <x:c r="B270" s="23" t="n">
        <x:v>23</x:v>
      </x:c>
      <x:c r="C270" s="37" t="n">
        <x:v>48488</x:v>
      </x:c>
      <x:c r="D270" s="55" t="n">
        <x:v>0</x:v>
      </x:c>
      <x:c r="E270" s="55" t="n">
        <x:v>0.06</x:v>
      </x:c>
      <x:c r="F270" s="60" t="n">
        <x:v>0</x:v>
      </x:c>
      <x:c r="G270" s="60" t="n">
        <x:v>0.06</x:v>
      </x:c>
      <x:c r="H270" s="23" t="n">
        <x:f>IF(D270=F270,0,1)+IF(E270=G270,0,1)</x:f>
        <x:v>0</x:v>
      </x:c>
      <x:c r="I270" s="23" t="str">
        <x:v>Timing T20 / fictional rates</x:v>
      </x:c>
    </x:row>
    <x:row r="271" ht="21" customHeight="1">
      <x:c r="A271" s="23" t="str">
        <x:v>middle_high</x:v>
      </x:c>
      <x:c r="B271" s="23" t="n">
        <x:v>24</x:v>
      </x:c>
      <x:c r="C271" s="37" t="n">
        <x:v>48580</x:v>
      </x:c>
      <x:c r="D271" s="55" t="n">
        <x:v>0</x:v>
      </x:c>
      <x:c r="E271" s="55" t="n">
        <x:v>0.06</x:v>
      </x:c>
      <x:c r="F271" s="60" t="n">
        <x:v>0</x:v>
      </x:c>
      <x:c r="G271" s="60" t="n">
        <x:v>0.06</x:v>
      </x:c>
      <x:c r="H271" s="23" t="n">
        <x:f>IF(D271=F271,0,1)+IF(E271=G271,0,1)</x:f>
        <x:v>0</x:v>
      </x:c>
      <x:c r="I271" s="23" t="str">
        <x:v>Timing T20 / fictional rates</x:v>
      </x:c>
    </x:row>
    <x:row r="272" ht="21" customHeight="1">
      <x:c r="A272" s="23" t="str">
        <x:v>middle_high</x:v>
      </x:c>
      <x:c r="B272" s="23" t="n">
        <x:v>25</x:v>
      </x:c>
      <x:c r="C272" s="37" t="n">
        <x:v>48670</x:v>
      </x:c>
      <x:c r="D272" s="55" t="n">
        <x:v>0</x:v>
      </x:c>
      <x:c r="E272" s="55" t="n">
        <x:v>0.06</x:v>
      </x:c>
      <x:c r="F272" s="60" t="n">
        <x:v>0</x:v>
      </x:c>
      <x:c r="G272" s="60" t="n">
        <x:v>0.06</x:v>
      </x:c>
      <x:c r="H272" s="23" t="n">
        <x:f>IF(D272=F272,0,1)+IF(E272=G272,0,1)</x:f>
        <x:v>0</x:v>
      </x:c>
      <x:c r="I272" s="23" t="str">
        <x:v>Timing T20 / fictional rates</x:v>
      </x:c>
    </x:row>
    <x:row r="273" ht="21" customHeight="1">
      <x:c r="A273" s="23" t="str">
        <x:v>middle_high</x:v>
      </x:c>
      <x:c r="B273" s="23" t="n">
        <x:v>26</x:v>
      </x:c>
      <x:c r="C273" s="37" t="n">
        <x:v>48761</x:v>
      </x:c>
      <x:c r="D273" s="55" t="n">
        <x:v>0</x:v>
      </x:c>
      <x:c r="E273" s="55" t="n">
        <x:v>0.06</x:v>
      </x:c>
      <x:c r="F273" s="60" t="n">
        <x:v>0</x:v>
      </x:c>
      <x:c r="G273" s="60" t="n">
        <x:v>0.06</x:v>
      </x:c>
      <x:c r="H273" s="23" t="n">
        <x:f>IF(D273=F273,0,1)+IF(E273=G273,0,1)</x:f>
        <x:v>0</x:v>
      </x:c>
      <x:c r="I273" s="23" t="str">
        <x:v>Timing T20 / fictional rates</x:v>
      </x:c>
    </x:row>
    <x:row r="274" ht="21" customHeight="1">
      <x:c r="A274" s="23" t="str">
        <x:v>middle_high</x:v>
      </x:c>
      <x:c r="B274" s="23" t="n">
        <x:v>27</x:v>
      </x:c>
      <x:c r="C274" s="37" t="n">
        <x:v>48853</x:v>
      </x:c>
      <x:c r="D274" s="55" t="n">
        <x:v>0</x:v>
      </x:c>
      <x:c r="E274" s="55" t="n">
        <x:v>0.06</x:v>
      </x:c>
      <x:c r="F274" s="60" t="n">
        <x:v>0</x:v>
      </x:c>
      <x:c r="G274" s="60" t="n">
        <x:v>0.06</x:v>
      </x:c>
      <x:c r="H274" s="23" t="n">
        <x:f>IF(D274=F274,0,1)+IF(E274=G274,0,1)</x:f>
        <x:v>0</x:v>
      </x:c>
      <x:c r="I274" s="23" t="str">
        <x:v>Timing T20 / fictional rates</x:v>
      </x:c>
    </x:row>
    <x:row r="275" ht="21" customHeight="1">
      <x:c r="A275" s="23" t="str">
        <x:v>middle_high</x:v>
      </x:c>
      <x:c r="B275" s="23" t="n">
        <x:v>28</x:v>
      </x:c>
      <x:c r="C275" s="37" t="n">
        <x:v>48945</x:v>
      </x:c>
      <x:c r="D275" s="55" t="n">
        <x:v>0</x:v>
      </x:c>
      <x:c r="E275" s="55" t="n">
        <x:v>0.06</x:v>
      </x:c>
      <x:c r="F275" s="60" t="n">
        <x:v>0</x:v>
      </x:c>
      <x:c r="G275" s="60" t="n">
        <x:v>0.06</x:v>
      </x:c>
      <x:c r="H275" s="23" t="n">
        <x:f>IF(D275=F275,0,1)+IF(E275=G275,0,1)</x:f>
        <x:v>0</x:v>
      </x:c>
      <x:c r="I275" s="23" t="str">
        <x:v>Timing T20 / fictional rates</x:v>
      </x:c>
    </x:row>
    <x:row r="276" ht="21" customHeight="1">
      <x:c r="A276" s="23" t="str">
        <x:v>middle_high</x:v>
      </x:c>
      <x:c r="B276" s="23" t="n">
        <x:v>29</x:v>
      </x:c>
      <x:c r="C276" s="37" t="n">
        <x:v>49035</x:v>
      </x:c>
      <x:c r="D276" s="55" t="n">
        <x:v>0</x:v>
      </x:c>
      <x:c r="E276" s="55" t="n">
        <x:v>0.06</x:v>
      </x:c>
      <x:c r="F276" s="60" t="n">
        <x:v>0</x:v>
      </x:c>
      <x:c r="G276" s="60" t="n">
        <x:v>0.06</x:v>
      </x:c>
      <x:c r="H276" s="23" t="n">
        <x:f>IF(D276=F276,0,1)+IF(E276=G276,0,1)</x:f>
        <x:v>0</x:v>
      </x:c>
      <x:c r="I276" s="23" t="str">
        <x:v>Timing T20 / fictional rates</x:v>
      </x:c>
    </x:row>
    <x:row r="277" ht="21" customHeight="1">
      <x:c r="A277" s="23" t="str">
        <x:v>middle_high</x:v>
      </x:c>
      <x:c r="B277" s="23" t="n">
        <x:v>30</x:v>
      </x:c>
      <x:c r="C277" s="37" t="n">
        <x:v>49126</x:v>
      </x:c>
      <x:c r="D277" s="55" t="n">
        <x:v>0</x:v>
      </x:c>
      <x:c r="E277" s="55" t="n">
        <x:v>0.06</x:v>
      </x:c>
      <x:c r="F277" s="60" t="n">
        <x:v>0</x:v>
      </x:c>
      <x:c r="G277" s="60" t="n">
        <x:v>0.06</x:v>
      </x:c>
      <x:c r="H277" s="23" t="n">
        <x:f>IF(D277=F277,0,1)+IF(E277=G277,0,1)</x:f>
        <x:v>0</x:v>
      </x:c>
      <x:c r="I277" s="23" t="str">
        <x:v>Timing T20 / fictional rates</x:v>
      </x:c>
    </x:row>
    <x:row r="278" ht="21" customHeight="1">
      <x:c r="A278" s="23" t="str">
        <x:v>middle_high</x:v>
      </x:c>
      <x:c r="B278" s="23" t="n">
        <x:v>31</x:v>
      </x:c>
      <x:c r="C278" s="37" t="n">
        <x:v>49218</x:v>
      </x:c>
      <x:c r="D278" s="55" t="n">
        <x:v>0</x:v>
      </x:c>
      <x:c r="E278" s="55" t="n">
        <x:v>0.06</x:v>
      </x:c>
      <x:c r="F278" s="60" t="n">
        <x:v>0</x:v>
      </x:c>
      <x:c r="G278" s="60" t="n">
        <x:v>0.06</x:v>
      </x:c>
      <x:c r="H278" s="23" t="n">
        <x:f>IF(D278=F278,0,1)+IF(E278=G278,0,1)</x:f>
        <x:v>0</x:v>
      </x:c>
      <x:c r="I278" s="23" t="str">
        <x:v>Timing T20 / fictional rates</x:v>
      </x:c>
    </x:row>
    <x:row r="279" ht="21" customHeight="1">
      <x:c r="A279" s="23" t="str">
        <x:v>middle_high</x:v>
      </x:c>
      <x:c r="B279" s="23" t="n">
        <x:v>32</x:v>
      </x:c>
      <x:c r="C279" s="37" t="n">
        <x:v>49310</x:v>
      </x:c>
      <x:c r="D279" s="55" t="n">
        <x:v>0</x:v>
      </x:c>
      <x:c r="E279" s="55" t="n">
        <x:v>0.06</x:v>
      </x:c>
      <x:c r="F279" s="60" t="n">
        <x:v>0</x:v>
      </x:c>
      <x:c r="G279" s="60" t="n">
        <x:v>0.06</x:v>
      </x:c>
      <x:c r="H279" s="23" t="n">
        <x:f>IF(D279=F279,0,1)+IF(E279=G279,0,1)</x:f>
        <x:v>0</x:v>
      </x:c>
      <x:c r="I279" s="23" t="str">
        <x:v>Timing T20 / fictional rates</x:v>
      </x:c>
    </x:row>
    <x:row r="280" ht="21" customHeight="1">
      <x:c r="A280" s="23" t="str">
        <x:v>middle_high</x:v>
      </x:c>
      <x:c r="B280" s="23" t="n">
        <x:v>33</x:v>
      </x:c>
      <x:c r="C280" s="37" t="n">
        <x:v>49400</x:v>
      </x:c>
      <x:c r="D280" s="55" t="n">
        <x:v>0</x:v>
      </x:c>
      <x:c r="E280" s="55" t="n">
        <x:v>0.06</x:v>
      </x:c>
      <x:c r="F280" s="60" t="n">
        <x:v>0</x:v>
      </x:c>
      <x:c r="G280" s="60" t="n">
        <x:v>0.06</x:v>
      </x:c>
      <x:c r="H280" s="23" t="n">
        <x:f>IF(D280=F280,0,1)+IF(E280=G280,0,1)</x:f>
        <x:v>0</x:v>
      </x:c>
      <x:c r="I280" s="23" t="str">
        <x:v>Timing T20 / fictional rates</x:v>
      </x:c>
    </x:row>
    <x:row r="281" ht="21" customHeight="1">
      <x:c r="A281" s="23" t="str">
        <x:v>middle_high</x:v>
      </x:c>
      <x:c r="B281" s="23" t="n">
        <x:v>34</x:v>
      </x:c>
      <x:c r="C281" s="37" t="n">
        <x:v>49491</x:v>
      </x:c>
      <x:c r="D281" s="55" t="n">
        <x:v>0</x:v>
      </x:c>
      <x:c r="E281" s="55" t="n">
        <x:v>0.06</x:v>
      </x:c>
      <x:c r="F281" s="60" t="n">
        <x:v>0</x:v>
      </x:c>
      <x:c r="G281" s="60" t="n">
        <x:v>0.06</x:v>
      </x:c>
      <x:c r="H281" s="23" t="n">
        <x:f>IF(D281=F281,0,1)+IF(E281=G281,0,1)</x:f>
        <x:v>0</x:v>
      </x:c>
      <x:c r="I281" s="23" t="str">
        <x:v>Timing T20 / fictional rates</x:v>
      </x:c>
    </x:row>
    <x:row r="282" ht="21" customHeight="1">
      <x:c r="A282" s="23" t="str">
        <x:v>middle_high</x:v>
      </x:c>
      <x:c r="B282" s="23" t="n">
        <x:v>35</x:v>
      </x:c>
      <x:c r="C282" s="37" t="n">
        <x:v>49583</x:v>
      </x:c>
      <x:c r="D282" s="55" t="n">
        <x:v>0</x:v>
      </x:c>
      <x:c r="E282" s="55" t="n">
        <x:v>0.06</x:v>
      </x:c>
      <x:c r="F282" s="60" t="n">
        <x:v>0</x:v>
      </x:c>
      <x:c r="G282" s="60" t="n">
        <x:v>0.06</x:v>
      </x:c>
      <x:c r="H282" s="23" t="n">
        <x:f>IF(D282=F282,0,1)+IF(E282=G282,0,1)</x:f>
        <x:v>0</x:v>
      </x:c>
      <x:c r="I282" s="23" t="str">
        <x:v>Timing T20 / fictional rates</x:v>
      </x:c>
    </x:row>
    <x:row r="283" ht="21" customHeight="1">
      <x:c r="A283" s="23" t="str">
        <x:v>middle_high</x:v>
      </x:c>
      <x:c r="B283" s="23" t="n">
        <x:v>36</x:v>
      </x:c>
      <x:c r="C283" s="37" t="n">
        <x:v>49675</x:v>
      </x:c>
      <x:c r="D283" s="55" t="n">
        <x:v>0</x:v>
      </x:c>
      <x:c r="E283" s="55" t="n">
        <x:v>0.06</x:v>
      </x:c>
      <x:c r="F283" s="60" t="n">
        <x:v>0</x:v>
      </x:c>
      <x:c r="G283" s="60" t="n">
        <x:v>0.06</x:v>
      </x:c>
      <x:c r="H283" s="23" t="n">
        <x:f>IF(D283=F283,0,1)+IF(E283=G283,0,1)</x:f>
        <x:v>0</x:v>
      </x:c>
      <x:c r="I283" s="23" t="str">
        <x:v>Timing T20 / fictional rates</x:v>
      </x:c>
    </x:row>
    <x:row r="284" ht="21" customHeight="1">
      <x:c r="A284" s="23" t="str">
        <x:v>middle_high</x:v>
      </x:c>
      <x:c r="B284" s="23" t="n">
        <x:v>37</x:v>
      </x:c>
      <x:c r="C284" s="37" t="n">
        <x:v>49766</x:v>
      </x:c>
      <x:c r="D284" s="55" t="n">
        <x:v>0</x:v>
      </x:c>
      <x:c r="E284" s="55" t="n">
        <x:v>0.06</x:v>
      </x:c>
      <x:c r="F284" s="60" t="n">
        <x:v>0</x:v>
      </x:c>
      <x:c r="G284" s="60" t="n">
        <x:v>0.06</x:v>
      </x:c>
      <x:c r="H284" s="23" t="n">
        <x:f>IF(D284=F284,0,1)+IF(E284=G284,0,1)</x:f>
        <x:v>0</x:v>
      </x:c>
      <x:c r="I284" s="23" t="str">
        <x:v>Timing T20 / fictional rates</x:v>
      </x:c>
    </x:row>
    <x:row r="285" ht="21" customHeight="1">
      <x:c r="A285" s="23" t="str">
        <x:v>middle_high</x:v>
      </x:c>
      <x:c r="B285" s="23" t="n">
        <x:v>38</x:v>
      </x:c>
      <x:c r="C285" s="37" t="n">
        <x:v>49857</x:v>
      </x:c>
      <x:c r="D285" s="55" t="n">
        <x:v>0</x:v>
      </x:c>
      <x:c r="E285" s="55" t="n">
        <x:v>0.06</x:v>
      </x:c>
      <x:c r="F285" s="60" t="n">
        <x:v>0</x:v>
      </x:c>
      <x:c r="G285" s="60" t="n">
        <x:v>0.06</x:v>
      </x:c>
      <x:c r="H285" s="23" t="n">
        <x:f>IF(D285=F285,0,1)+IF(E285=G285,0,1)</x:f>
        <x:v>0</x:v>
      </x:c>
      <x:c r="I285" s="23" t="str">
        <x:v>Timing T20 / fictional rates</x:v>
      </x:c>
    </x:row>
    <x:row r="286" ht="21" customHeight="1">
      <x:c r="A286" s="23" t="str">
        <x:v>middle_high</x:v>
      </x:c>
      <x:c r="B286" s="23" t="n">
        <x:v>39</x:v>
      </x:c>
      <x:c r="C286" s="37" t="n">
        <x:v>49949</x:v>
      </x:c>
      <x:c r="D286" s="55" t="n">
        <x:v>0</x:v>
      </x:c>
      <x:c r="E286" s="55" t="n">
        <x:v>0.06</x:v>
      </x:c>
      <x:c r="F286" s="60" t="n">
        <x:v>0</x:v>
      </x:c>
      <x:c r="G286" s="60" t="n">
        <x:v>0.06</x:v>
      </x:c>
      <x:c r="H286" s="23" t="n">
        <x:f>IF(D286=F286,0,1)+IF(E286=G286,0,1)</x:f>
        <x:v>0</x:v>
      </x:c>
      <x:c r="I286" s="23" t="str">
        <x:v>Timing T20 / fictional rates</x:v>
      </x:c>
    </x:row>
    <x:row r="287" ht="21" customHeight="1">
      <x:c r="A287" s="23" t="str">
        <x:v>middle_high</x:v>
      </x:c>
      <x:c r="B287" s="23" t="n">
        <x:v>40</x:v>
      </x:c>
      <x:c r="C287" s="37" t="n">
        <x:v>50041</x:v>
      </x:c>
      <x:c r="D287" s="55" t="n">
        <x:v>0</x:v>
      </x:c>
      <x:c r="E287" s="55" t="n">
        <x:v>0.06</x:v>
      </x:c>
      <x:c r="F287" s="60" t="n">
        <x:v>0</x:v>
      </x:c>
      <x:c r="G287" s="60" t="n">
        <x:v>0.06</x:v>
      </x:c>
      <x:c r="H287" s="23" t="n">
        <x:f>IF(D287=F287,0,1)+IF(E287=G287,0,1)</x:f>
        <x:v>0</x:v>
      </x:c>
      <x:c r="I287" s="23" t="str">
        <x:v>Timing T20 / fictional rates</x:v>
      </x:c>
    </x:row>
    <x:row r="288" ht="21" customHeight="1">
      <x:c r="A288" s="23" t="str">
        <x:v>middle_high</x:v>
      </x:c>
      <x:c r="B288" s="23" t="n">
        <x:v>41</x:v>
      </x:c>
      <x:c r="C288" s="37" t="n">
        <x:v>50131</x:v>
      </x:c>
      <x:c r="D288" s="55" t="n">
        <x:v>0</x:v>
      </x:c>
      <x:c r="E288" s="55" t="n">
        <x:v>0.06</x:v>
      </x:c>
      <x:c r="F288" s="60" t="n">
        <x:v>0</x:v>
      </x:c>
      <x:c r="G288" s="60" t="n">
        <x:v>0.06</x:v>
      </x:c>
      <x:c r="H288" s="23" t="n">
        <x:f>IF(D288=F288,0,1)+IF(E288=G288,0,1)</x:f>
        <x:v>0</x:v>
      </x:c>
      <x:c r="I288" s="23" t="str">
        <x:v>Timing T20 / fictional rates</x:v>
      </x:c>
    </x:row>
    <x:row r="289" ht="21" customHeight="1">
      <x:c r="A289" s="23" t="str">
        <x:v>middle_high</x:v>
      </x:c>
      <x:c r="B289" s="23" t="n">
        <x:v>42</x:v>
      </x:c>
      <x:c r="C289" s="37" t="n">
        <x:v>50222</x:v>
      </x:c>
      <x:c r="D289" s="55" t="n">
        <x:v>0</x:v>
      </x:c>
      <x:c r="E289" s="55" t="n">
        <x:v>0.06</x:v>
      </x:c>
      <x:c r="F289" s="60" t="n">
        <x:v>0</x:v>
      </x:c>
      <x:c r="G289" s="60" t="n">
        <x:v>0.06</x:v>
      </x:c>
      <x:c r="H289" s="23" t="n">
        <x:f>IF(D289=F289,0,1)+IF(E289=G289,0,1)</x:f>
        <x:v>0</x:v>
      </x:c>
      <x:c r="I289" s="23" t="str">
        <x:v>Timing T20 / fictional rates</x:v>
      </x:c>
    </x:row>
    <x:row r="290" ht="21" customHeight="1">
      <x:c r="A290" s="23" t="str">
        <x:v>middle_high</x:v>
      </x:c>
      <x:c r="B290" s="23" t="n">
        <x:v>43</x:v>
      </x:c>
      <x:c r="C290" s="37" t="n">
        <x:v>50314</x:v>
      </x:c>
      <x:c r="D290" s="55" t="n">
        <x:v>0</x:v>
      </x:c>
      <x:c r="E290" s="55" t="n">
        <x:v>0.06</x:v>
      </x:c>
      <x:c r="F290" s="60" t="n">
        <x:v>0</x:v>
      </x:c>
      <x:c r="G290" s="60" t="n">
        <x:v>0.06</x:v>
      </x:c>
      <x:c r="H290" s="23" t="n">
        <x:f>IF(D290=F290,0,1)+IF(E290=G290,0,1)</x:f>
        <x:v>0</x:v>
      </x:c>
      <x:c r="I290" s="23" t="str">
        <x:v>Timing T20 / fictional rates</x:v>
      </x:c>
    </x:row>
    <x:row r="291" ht="21" customHeight="1">
      <x:c r="A291" s="23" t="str">
        <x:v>middle_high</x:v>
      </x:c>
      <x:c r="B291" s="23" t="n">
        <x:v>44</x:v>
      </x:c>
      <x:c r="C291" s="37" t="n">
        <x:v>50406</x:v>
      </x:c>
      <x:c r="D291" s="55" t="n">
        <x:v>0</x:v>
      </x:c>
      <x:c r="E291" s="55" t="n">
        <x:v>0.06</x:v>
      </x:c>
      <x:c r="F291" s="60" t="n">
        <x:v>0</x:v>
      </x:c>
      <x:c r="G291" s="60" t="n">
        <x:v>0.06</x:v>
      </x:c>
      <x:c r="H291" s="23" t="n">
        <x:f>IF(D291=F291,0,1)+IF(E291=G291,0,1)</x:f>
        <x:v>0</x:v>
      </x:c>
      <x:c r="I291" s="23" t="str">
        <x:v>Timing T20 / fictional rates</x:v>
      </x:c>
    </x:row>
    <x:row r="292" ht="21" customHeight="1">
      <x:c r="A292" s="23" t="str">
        <x:v>middle_high</x:v>
      </x:c>
      <x:c r="B292" s="23" t="n">
        <x:v>45</x:v>
      </x:c>
      <x:c r="C292" s="37" t="n">
        <x:v>50496</x:v>
      </x:c>
      <x:c r="D292" s="55" t="n">
        <x:v>0</x:v>
      </x:c>
      <x:c r="E292" s="55" t="n">
        <x:v>0.06</x:v>
      </x:c>
      <x:c r="F292" s="60" t="n">
        <x:v>0</x:v>
      </x:c>
      <x:c r="G292" s="60" t="n">
        <x:v>0.06</x:v>
      </x:c>
      <x:c r="H292" s="23" t="n">
        <x:f>IF(D292=F292,0,1)+IF(E292=G292,0,1)</x:f>
        <x:v>0</x:v>
      </x:c>
      <x:c r="I292" s="23" t="str">
        <x:v>Timing T20 / fictional rates</x:v>
      </x:c>
    </x:row>
    <x:row r="293" ht="21" customHeight="1">
      <x:c r="A293" s="23" t="str">
        <x:v>middle_high</x:v>
      </x:c>
      <x:c r="B293" s="23" t="n">
        <x:v>46</x:v>
      </x:c>
      <x:c r="C293" s="37" t="n">
        <x:v>50587</x:v>
      </x:c>
      <x:c r="D293" s="55" t="n">
        <x:v>0</x:v>
      </x:c>
      <x:c r="E293" s="55" t="n">
        <x:v>0.06</x:v>
      </x:c>
      <x:c r="F293" s="60" t="n">
        <x:v>0</x:v>
      </x:c>
      <x:c r="G293" s="60" t="n">
        <x:v>0.06</x:v>
      </x:c>
      <x:c r="H293" s="23" t="n">
        <x:f>IF(D293=F293,0,1)+IF(E293=G293,0,1)</x:f>
        <x:v>0</x:v>
      </x:c>
      <x:c r="I293" s="23" t="str">
        <x:v>Timing T20 / fictional rates</x:v>
      </x:c>
    </x:row>
    <x:row r="294" ht="21" customHeight="1">
      <x:c r="A294" s="23" t="str">
        <x:v>middle_high</x:v>
      </x:c>
      <x:c r="B294" s="23" t="n">
        <x:v>47</x:v>
      </x:c>
      <x:c r="C294" s="37" t="n">
        <x:v>50679</x:v>
      </x:c>
      <x:c r="D294" s="55" t="n">
        <x:v>0</x:v>
      </x:c>
      <x:c r="E294" s="55" t="n">
        <x:v>0.06</x:v>
      </x:c>
      <x:c r="F294" s="60" t="n">
        <x:v>0</x:v>
      </x:c>
      <x:c r="G294" s="60" t="n">
        <x:v>0.06</x:v>
      </x:c>
      <x:c r="H294" s="23" t="n">
        <x:f>IF(D294=F294,0,1)+IF(E294=G294,0,1)</x:f>
        <x:v>0</x:v>
      </x:c>
      <x:c r="I294" s="23" t="str">
        <x:v>Timing T20 / fictional rates</x:v>
      </x:c>
    </x:row>
    <x:row r="295" ht="21" customHeight="1">
      <x:c r="A295" s="23" t="str">
        <x:v>middle_high</x:v>
      </x:c>
      <x:c r="B295" s="23" t="n">
        <x:v>48</x:v>
      </x:c>
      <x:c r="C295" s="37" t="n">
        <x:v>50771</x:v>
      </x:c>
      <x:c r="D295" s="55" t="n">
        <x:v>0</x:v>
      </x:c>
      <x:c r="E295" s="55" t="n">
        <x:v>0.06</x:v>
      </x:c>
      <x:c r="F295" s="60" t="n">
        <x:v>0</x:v>
      </x:c>
      <x:c r="G295" s="60" t="n">
        <x:v>0.06</x:v>
      </x:c>
      <x:c r="H295" s="23" t="n">
        <x:f>IF(D295=F295,0,1)+IF(E295=G295,0,1)</x:f>
        <x:v>0</x:v>
      </x:c>
      <x:c r="I295" s="23" t="str">
        <x:v>Timing T20 / fictional rates</x:v>
      </x:c>
    </x:row>
    <x:row r="296" ht="21" customHeight="1">
      <x:c r="A296" s="23" t="str">
        <x:v>back_flat</x:v>
      </x:c>
      <x:c r="B296" s="23" t="n">
        <x:v>1</x:v>
      </x:c>
      <x:c r="C296" s="37" t="n">
        <x:v>46478</x:v>
      </x:c>
      <x:c r="D296" s="55" t="n">
        <x:v>0.03</x:v>
      </x:c>
      <x:c r="E296" s="55" t="n">
        <x:v>0.03</x:v>
      </x:c>
      <x:c r="F296" s="60" t="n">
        <x:v>0.03</x:v>
      </x:c>
      <x:c r="G296" s="60" t="n">
        <x:v>0.03</x:v>
      </x:c>
      <x:c r="H296" s="23" t="n">
        <x:f>IF(D296=F296,0,1)+IF(E296=G296,0,1)</x:f>
        <x:v>0</x:v>
      </x:c>
      <x:c r="I296" s="23" t="str">
        <x:v>Timing T20 / fictional rates</x:v>
      </x:c>
    </x:row>
    <x:row r="297" ht="21" customHeight="1">
      <x:c r="A297" s="23" t="str">
        <x:v>back_flat</x:v>
      </x:c>
      <x:c r="B297" s="23" t="n">
        <x:v>2</x:v>
      </x:c>
      <x:c r="C297" s="37" t="n">
        <x:v>46569</x:v>
      </x:c>
      <x:c r="D297" s="55" t="n">
        <x:v>0.03</x:v>
      </x:c>
      <x:c r="E297" s="55" t="n">
        <x:v>0.03</x:v>
      </x:c>
      <x:c r="F297" s="60" t="n">
        <x:v>0.03</x:v>
      </x:c>
      <x:c r="G297" s="60" t="n">
        <x:v>0.03</x:v>
      </x:c>
      <x:c r="H297" s="23" t="n">
        <x:f>IF(D297=F297,0,1)+IF(E297=G297,0,1)</x:f>
        <x:v>0</x:v>
      </x:c>
      <x:c r="I297" s="23" t="str">
        <x:v>Timing T20 / fictional rates</x:v>
      </x:c>
    </x:row>
    <x:row r="298" ht="21" customHeight="1">
      <x:c r="A298" s="23" t="str">
        <x:v>back_flat</x:v>
      </x:c>
      <x:c r="B298" s="23" t="n">
        <x:v>3</x:v>
      </x:c>
      <x:c r="C298" s="37" t="n">
        <x:v>46661</x:v>
      </x:c>
      <x:c r="D298" s="55" t="n">
        <x:v>0.03</x:v>
      </x:c>
      <x:c r="E298" s="55" t="n">
        <x:v>0.03</x:v>
      </x:c>
      <x:c r="F298" s="60" t="n">
        <x:v>0.03</x:v>
      </x:c>
      <x:c r="G298" s="60" t="n">
        <x:v>0.03</x:v>
      </x:c>
      <x:c r="H298" s="23" t="n">
        <x:f>IF(D298=F298,0,1)+IF(E298=G298,0,1)</x:f>
        <x:v>0</x:v>
      </x:c>
      <x:c r="I298" s="23" t="str">
        <x:v>Timing T20 / fictional rates</x:v>
      </x:c>
    </x:row>
    <x:row r="299" ht="21" customHeight="1">
      <x:c r="A299" s="23" t="str">
        <x:v>back_flat</x:v>
      </x:c>
      <x:c r="B299" s="23" t="n">
        <x:v>4</x:v>
      </x:c>
      <x:c r="C299" s="37" t="n">
        <x:v>46753</x:v>
      </x:c>
      <x:c r="D299" s="55" t="n">
        <x:v>0.03</x:v>
      </x:c>
      <x:c r="E299" s="55" t="n">
        <x:v>0.03</x:v>
      </x:c>
      <x:c r="F299" s="60" t="n">
        <x:v>0.03</x:v>
      </x:c>
      <x:c r="G299" s="60" t="n">
        <x:v>0.03</x:v>
      </x:c>
      <x:c r="H299" s="23" t="n">
        <x:f>IF(D299=F299,0,1)+IF(E299=G299,0,1)</x:f>
        <x:v>0</x:v>
      </x:c>
      <x:c r="I299" s="23" t="str">
        <x:v>Timing T20 / fictional rates</x:v>
      </x:c>
    </x:row>
    <x:row r="300" ht="21" customHeight="1">
      <x:c r="A300" s="23" t="str">
        <x:v>back_flat</x:v>
      </x:c>
      <x:c r="B300" s="23" t="n">
        <x:v>5</x:v>
      </x:c>
      <x:c r="C300" s="37" t="n">
        <x:v>46844</x:v>
      </x:c>
      <x:c r="D300" s="55" t="n">
        <x:v>0.045</x:v>
      </x:c>
      <x:c r="E300" s="55" t="n">
        <x:v>0.03</x:v>
      </x:c>
      <x:c r="F300" s="60" t="n">
        <x:v>0.045</x:v>
      </x:c>
      <x:c r="G300" s="60" t="n">
        <x:v>0.03</x:v>
      </x:c>
      <x:c r="H300" s="23" t="n">
        <x:f>IF(D300=F300,0,1)+IF(E300=G300,0,1)</x:f>
        <x:v>0</x:v>
      </x:c>
      <x:c r="I300" s="23" t="str">
        <x:v>Timing T20 / fictional rates</x:v>
      </x:c>
    </x:row>
    <x:row r="301" ht="21" customHeight="1">
      <x:c r="A301" s="23" t="str">
        <x:v>back_flat</x:v>
      </x:c>
      <x:c r="B301" s="23" t="n">
        <x:v>6</x:v>
      </x:c>
      <x:c r="C301" s="37" t="n">
        <x:v>46935</x:v>
      </x:c>
      <x:c r="D301" s="55" t="n">
        <x:v>0.045</x:v>
      </x:c>
      <x:c r="E301" s="55" t="n">
        <x:v>0.03</x:v>
      </x:c>
      <x:c r="F301" s="60" t="n">
        <x:v>0.045</x:v>
      </x:c>
      <x:c r="G301" s="60" t="n">
        <x:v>0.03</x:v>
      </x:c>
      <x:c r="H301" s="23" t="n">
        <x:f>IF(D301=F301,0,1)+IF(E301=G301,0,1)</x:f>
        <x:v>0</x:v>
      </x:c>
      <x:c r="I301" s="23" t="str">
        <x:v>Timing T20 / fictional rates</x:v>
      </x:c>
    </x:row>
    <x:row r="302" ht="21" customHeight="1">
      <x:c r="A302" s="23" t="str">
        <x:v>back_flat</x:v>
      </x:c>
      <x:c r="B302" s="23" t="n">
        <x:v>7</x:v>
      </x:c>
      <x:c r="C302" s="37" t="n">
        <x:v>47027</x:v>
      </x:c>
      <x:c r="D302" s="55" t="n">
        <x:v>0.045</x:v>
      </x:c>
      <x:c r="E302" s="55" t="n">
        <x:v>0.03</x:v>
      </x:c>
      <x:c r="F302" s="60" t="n">
        <x:v>0.045</x:v>
      </x:c>
      <x:c r="G302" s="60" t="n">
        <x:v>0.03</x:v>
      </x:c>
      <x:c r="H302" s="23" t="n">
        <x:f>IF(D302=F302,0,1)+IF(E302=G302,0,1)</x:f>
        <x:v>0</x:v>
      </x:c>
      <x:c r="I302" s="23" t="str">
        <x:v>Timing T20 / fictional rates</x:v>
      </x:c>
    </x:row>
    <x:row r="303" ht="21" customHeight="1">
      <x:c r="A303" s="23" t="str">
        <x:v>back_flat</x:v>
      </x:c>
      <x:c r="B303" s="23" t="n">
        <x:v>8</x:v>
      </x:c>
      <x:c r="C303" s="37" t="n">
        <x:v>47119</x:v>
      </x:c>
      <x:c r="D303" s="55" t="n">
        <x:v>0.045</x:v>
      </x:c>
      <x:c r="E303" s="55" t="n">
        <x:v>0.03</x:v>
      </x:c>
      <x:c r="F303" s="60" t="n">
        <x:v>0.045</x:v>
      </x:c>
      <x:c r="G303" s="60" t="n">
        <x:v>0.03</x:v>
      </x:c>
      <x:c r="H303" s="23" t="n">
        <x:f>IF(D303=F303,0,1)+IF(E303=G303,0,1)</x:f>
        <x:v>0</x:v>
      </x:c>
      <x:c r="I303" s="23" t="str">
        <x:v>Timing T20 / fictional rates</x:v>
      </x:c>
    </x:row>
    <x:row r="304" ht="21" customHeight="1">
      <x:c r="A304" s="23" t="str">
        <x:v>back_flat</x:v>
      </x:c>
      <x:c r="B304" s="23" t="n">
        <x:v>9</x:v>
      </x:c>
      <x:c r="C304" s="37" t="n">
        <x:v>47209</x:v>
      </x:c>
      <x:c r="D304" s="55" t="n">
        <x:v>0.055</x:v>
      </x:c>
      <x:c r="E304" s="55" t="n">
        <x:v>0.03</x:v>
      </x:c>
      <x:c r="F304" s="60" t="n">
        <x:v>0.055</x:v>
      </x:c>
      <x:c r="G304" s="60" t="n">
        <x:v>0.03</x:v>
      </x:c>
      <x:c r="H304" s="23" t="n">
        <x:f>IF(D304=F304,0,1)+IF(E304=G304,0,1)</x:f>
        <x:v>0</x:v>
      </x:c>
      <x:c r="I304" s="23" t="str">
        <x:v>Timing T20 / fictional rates</x:v>
      </x:c>
    </x:row>
    <x:row r="305" ht="21" customHeight="1">
      <x:c r="A305" s="23" t="str">
        <x:v>back_flat</x:v>
      </x:c>
      <x:c r="B305" s="23" t="n">
        <x:v>10</x:v>
      </x:c>
      <x:c r="C305" s="37" t="n">
        <x:v>47300</x:v>
      </x:c>
      <x:c r="D305" s="55" t="n">
        <x:v>0.055</x:v>
      </x:c>
      <x:c r="E305" s="55" t="n">
        <x:v>0.03</x:v>
      </x:c>
      <x:c r="F305" s="60" t="n">
        <x:v>0.055</x:v>
      </x:c>
      <x:c r="G305" s="60" t="n">
        <x:v>0.03</x:v>
      </x:c>
      <x:c r="H305" s="23" t="n">
        <x:f>IF(D305=F305,0,1)+IF(E305=G305,0,1)</x:f>
        <x:v>0</x:v>
      </x:c>
      <x:c r="I305" s="23" t="str">
        <x:v>Timing T20 / fictional rates</x:v>
      </x:c>
    </x:row>
    <x:row r="306" ht="21" customHeight="1">
      <x:c r="A306" s="23" t="str">
        <x:v>back_flat</x:v>
      </x:c>
      <x:c r="B306" s="23" t="n">
        <x:v>11</x:v>
      </x:c>
      <x:c r="C306" s="37" t="n">
        <x:v>47392</x:v>
      </x:c>
      <x:c r="D306" s="55" t="n">
        <x:v>0.055</x:v>
      </x:c>
      <x:c r="E306" s="55" t="n">
        <x:v>0.03</x:v>
      </x:c>
      <x:c r="F306" s="60" t="n">
        <x:v>0.055</x:v>
      </x:c>
      <x:c r="G306" s="60" t="n">
        <x:v>0.03</x:v>
      </x:c>
      <x:c r="H306" s="23" t="n">
        <x:f>IF(D306=F306,0,1)+IF(E306=G306,0,1)</x:f>
        <x:v>0</x:v>
      </x:c>
      <x:c r="I306" s="23" t="str">
        <x:v>Timing T20 / fictional rates</x:v>
      </x:c>
    </x:row>
    <x:row r="307" ht="21" customHeight="1">
      <x:c r="A307" s="23" t="str">
        <x:v>back_flat</x:v>
      </x:c>
      <x:c r="B307" s="23" t="n">
        <x:v>12</x:v>
      </x:c>
      <x:c r="C307" s="37" t="n">
        <x:v>47484</x:v>
      </x:c>
      <x:c r="D307" s="55" t="n">
        <x:v>0.055</x:v>
      </x:c>
      <x:c r="E307" s="55" t="n">
        <x:v>0.03</x:v>
      </x:c>
      <x:c r="F307" s="60" t="n">
        <x:v>0.055</x:v>
      </x:c>
      <x:c r="G307" s="60" t="n">
        <x:v>0.03</x:v>
      </x:c>
      <x:c r="H307" s="23" t="n">
        <x:f>IF(D307=F307,0,1)+IF(E307=G307,0,1)</x:f>
        <x:v>0</x:v>
      </x:c>
      <x:c r="I307" s="23" t="str">
        <x:v>Timing T20 / fictional rates</x:v>
      </x:c>
    </x:row>
    <x:row r="308" ht="21" customHeight="1">
      <x:c r="A308" s="23" t="str">
        <x:v>back_flat</x:v>
      </x:c>
      <x:c r="B308" s="23" t="n">
        <x:v>13</x:v>
      </x:c>
      <x:c r="C308" s="37" t="n">
        <x:v>47574</x:v>
      </x:c>
      <x:c r="D308" s="55" t="n">
        <x:v>0.0575</x:v>
      </x:c>
      <x:c r="E308" s="55" t="n">
        <x:v>0.03</x:v>
      </x:c>
      <x:c r="F308" s="60" t="n">
        <x:v>0.0575</x:v>
      </x:c>
      <x:c r="G308" s="60" t="n">
        <x:v>0.03</x:v>
      </x:c>
      <x:c r="H308" s="23" t="n">
        <x:f>IF(D308=F308,0,1)+IF(E308=G308,0,1)</x:f>
        <x:v>0</x:v>
      </x:c>
      <x:c r="I308" s="23" t="str">
        <x:v>Timing T20 / fictional rates</x:v>
      </x:c>
    </x:row>
    <x:row r="309" ht="21" customHeight="1">
      <x:c r="A309" s="23" t="str">
        <x:v>back_flat</x:v>
      </x:c>
      <x:c r="B309" s="23" t="n">
        <x:v>14</x:v>
      </x:c>
      <x:c r="C309" s="37" t="n">
        <x:v>47665</x:v>
      </x:c>
      <x:c r="D309" s="55" t="n">
        <x:v>0.0575</x:v>
      </x:c>
      <x:c r="E309" s="55" t="n">
        <x:v>0.03</x:v>
      </x:c>
      <x:c r="F309" s="60" t="n">
        <x:v>0.0575</x:v>
      </x:c>
      <x:c r="G309" s="60" t="n">
        <x:v>0.03</x:v>
      </x:c>
      <x:c r="H309" s="23" t="n">
        <x:f>IF(D309=F309,0,1)+IF(E309=G309,0,1)</x:f>
        <x:v>0</x:v>
      </x:c>
      <x:c r="I309" s="23" t="str">
        <x:v>Timing T20 / fictional rates</x:v>
      </x:c>
    </x:row>
    <x:row r="310" ht="21" customHeight="1">
      <x:c r="A310" s="23" t="str">
        <x:v>back_flat</x:v>
      </x:c>
      <x:c r="B310" s="23" t="n">
        <x:v>15</x:v>
      </x:c>
      <x:c r="C310" s="37" t="n">
        <x:v>47757</x:v>
      </x:c>
      <x:c r="D310" s="55" t="n">
        <x:v>0.0575</x:v>
      </x:c>
      <x:c r="E310" s="55" t="n">
        <x:v>0.03</x:v>
      </x:c>
      <x:c r="F310" s="60" t="n">
        <x:v>0.0575</x:v>
      </x:c>
      <x:c r="G310" s="60" t="n">
        <x:v>0.03</x:v>
      </x:c>
      <x:c r="H310" s="23" t="n">
        <x:f>IF(D310=F310,0,1)+IF(E310=G310,0,1)</x:f>
        <x:v>0</x:v>
      </x:c>
      <x:c r="I310" s="23" t="str">
        <x:v>Timing T20 / fictional rates</x:v>
      </x:c>
    </x:row>
    <x:row r="311" ht="21" customHeight="1">
      <x:c r="A311" s="23" t="str">
        <x:v>back_flat</x:v>
      </x:c>
      <x:c r="B311" s="23" t="n">
        <x:v>16</x:v>
      </x:c>
      <x:c r="C311" s="37" t="n">
        <x:v>47849</x:v>
      </x:c>
      <x:c r="D311" s="55" t="n">
        <x:v>0.0575</x:v>
      </x:c>
      <x:c r="E311" s="55" t="n">
        <x:v>0.03</x:v>
      </x:c>
      <x:c r="F311" s="60" t="n">
        <x:v>0.0575</x:v>
      </x:c>
      <x:c r="G311" s="60" t="n">
        <x:v>0.03</x:v>
      </x:c>
      <x:c r="H311" s="23" t="n">
        <x:f>IF(D311=F311,0,1)+IF(E311=G311,0,1)</x:f>
        <x:v>0</x:v>
      </x:c>
      <x:c r="I311" s="23" t="str">
        <x:v>Timing T20 / fictional rates</x:v>
      </x:c>
    </x:row>
    <x:row r="312" ht="21" customHeight="1">
      <x:c r="A312" s="23" t="str">
        <x:v>back_flat</x:v>
      </x:c>
      <x:c r="B312" s="23" t="n">
        <x:v>17</x:v>
      </x:c>
      <x:c r="C312" s="37" t="n">
        <x:v>47939</x:v>
      </x:c>
      <x:c r="D312" s="55" t="n">
        <x:v>0.0625</x:v>
      </x:c>
      <x:c r="E312" s="55" t="n">
        <x:v>0.03</x:v>
      </x:c>
      <x:c r="F312" s="60" t="n">
        <x:v>0.0625</x:v>
      </x:c>
      <x:c r="G312" s="60" t="n">
        <x:v>0.03</x:v>
      </x:c>
      <x:c r="H312" s="23" t="n">
        <x:f>IF(D312=F312,0,1)+IF(E312=G312,0,1)</x:f>
        <x:v>0</x:v>
      </x:c>
      <x:c r="I312" s="23" t="str">
        <x:v>Timing T20 / fictional rates</x:v>
      </x:c>
    </x:row>
    <x:row r="313" ht="21" customHeight="1">
      <x:c r="A313" s="23" t="str">
        <x:v>back_flat</x:v>
      </x:c>
      <x:c r="B313" s="23" t="n">
        <x:v>18</x:v>
      </x:c>
      <x:c r="C313" s="37" t="n">
        <x:v>48030</x:v>
      </x:c>
      <x:c r="D313" s="55" t="n">
        <x:v>0.0625</x:v>
      </x:c>
      <x:c r="E313" s="55" t="n">
        <x:v>0.03</x:v>
      </x:c>
      <x:c r="F313" s="60" t="n">
        <x:v>0.0625</x:v>
      </x:c>
      <x:c r="G313" s="60" t="n">
        <x:v>0.03</x:v>
      </x:c>
      <x:c r="H313" s="23" t="n">
        <x:f>IF(D313=F313,0,1)+IF(E313=G313,0,1)</x:f>
        <x:v>0</x:v>
      </x:c>
      <x:c r="I313" s="23" t="str">
        <x:v>Timing T20 / fictional rates</x:v>
      </x:c>
    </x:row>
    <x:row r="314" ht="21" customHeight="1">
      <x:c r="A314" s="23" t="str">
        <x:v>back_flat</x:v>
      </x:c>
      <x:c r="B314" s="23" t="n">
        <x:v>19</x:v>
      </x:c>
      <x:c r="C314" s="37" t="n">
        <x:v>48122</x:v>
      </x:c>
      <x:c r="D314" s="55" t="n">
        <x:v>0.0625</x:v>
      </x:c>
      <x:c r="E314" s="55" t="n">
        <x:v>0.03</x:v>
      </x:c>
      <x:c r="F314" s="60" t="n">
        <x:v>0.0625</x:v>
      </x:c>
      <x:c r="G314" s="60" t="n">
        <x:v>0.03</x:v>
      </x:c>
      <x:c r="H314" s="23" t="n">
        <x:f>IF(D314=F314,0,1)+IF(E314=G314,0,1)</x:f>
        <x:v>0</x:v>
      </x:c>
      <x:c r="I314" s="23" t="str">
        <x:v>Timing T20 / fictional rates</x:v>
      </x:c>
    </x:row>
    <x:row r="315" ht="21" customHeight="1">
      <x:c r="A315" s="23" t="str">
        <x:v>back_flat</x:v>
      </x:c>
      <x:c r="B315" s="23" t="n">
        <x:v>20</x:v>
      </x:c>
      <x:c r="C315" s="37" t="n">
        <x:v>48214</x:v>
      </x:c>
      <x:c r="D315" s="55" t="n">
        <x:v>0.0625</x:v>
      </x:c>
      <x:c r="E315" s="55" t="n">
        <x:v>0.03</x:v>
      </x:c>
      <x:c r="F315" s="60" t="n">
        <x:v>0.0625</x:v>
      </x:c>
      <x:c r="G315" s="60" t="n">
        <x:v>0.03</x:v>
      </x:c>
      <x:c r="H315" s="23" t="n">
        <x:f>IF(D315=F315,0,1)+IF(E315=G315,0,1)</x:f>
        <x:v>0</x:v>
      </x:c>
      <x:c r="I315" s="23" t="str">
        <x:v>Timing T20 / fictional rates</x:v>
      </x:c>
    </x:row>
    <x:row r="316" ht="21" customHeight="1">
      <x:c r="A316" s="23" t="str">
        <x:v>back_flat</x:v>
      </x:c>
      <x:c r="B316" s="23" t="n">
        <x:v>21</x:v>
      </x:c>
      <x:c r="C316" s="37" t="n">
        <x:v>48305</x:v>
      </x:c>
      <x:c r="D316" s="55" t="n">
        <x:v>0</x:v>
      </x:c>
      <x:c r="E316" s="55" t="n">
        <x:v>0.03</x:v>
      </x:c>
      <x:c r="F316" s="60" t="n">
        <x:v>0</x:v>
      </x:c>
      <x:c r="G316" s="60" t="n">
        <x:v>0.03</x:v>
      </x:c>
      <x:c r="H316" s="23" t="n">
        <x:f>IF(D316=F316,0,1)+IF(E316=G316,0,1)</x:f>
        <x:v>0</x:v>
      </x:c>
      <x:c r="I316" s="23" t="str">
        <x:v>Timing T20 / fictional rates</x:v>
      </x:c>
    </x:row>
    <x:row r="317" ht="21" customHeight="1">
      <x:c r="A317" s="23" t="str">
        <x:v>back_flat</x:v>
      </x:c>
      <x:c r="B317" s="23" t="n">
        <x:v>22</x:v>
      </x:c>
      <x:c r="C317" s="37" t="n">
        <x:v>48396</x:v>
      </x:c>
      <x:c r="D317" s="55" t="n">
        <x:v>0</x:v>
      </x:c>
      <x:c r="E317" s="55" t="n">
        <x:v>0.03</x:v>
      </x:c>
      <x:c r="F317" s="60" t="n">
        <x:v>0</x:v>
      </x:c>
      <x:c r="G317" s="60" t="n">
        <x:v>0.03</x:v>
      </x:c>
      <x:c r="H317" s="23" t="n">
        <x:f>IF(D317=F317,0,1)+IF(E317=G317,0,1)</x:f>
        <x:v>0</x:v>
      </x:c>
      <x:c r="I317" s="23" t="str">
        <x:v>Timing T20 / fictional rates</x:v>
      </x:c>
    </x:row>
    <x:row r="318" ht="21" customHeight="1">
      <x:c r="A318" s="23" t="str">
        <x:v>back_flat</x:v>
      </x:c>
      <x:c r="B318" s="23" t="n">
        <x:v>23</x:v>
      </x:c>
      <x:c r="C318" s="37" t="n">
        <x:v>48488</x:v>
      </x:c>
      <x:c r="D318" s="55" t="n">
        <x:v>0</x:v>
      </x:c>
      <x:c r="E318" s="55" t="n">
        <x:v>0.03</x:v>
      </x:c>
      <x:c r="F318" s="60" t="n">
        <x:v>0</x:v>
      </x:c>
      <x:c r="G318" s="60" t="n">
        <x:v>0.03</x:v>
      </x:c>
      <x:c r="H318" s="23" t="n">
        <x:f>IF(D318=F318,0,1)+IF(E318=G318,0,1)</x:f>
        <x:v>0</x:v>
      </x:c>
      <x:c r="I318" s="23" t="str">
        <x:v>Timing T20 / fictional rates</x:v>
      </x:c>
    </x:row>
    <x:row r="319" ht="21" customHeight="1">
      <x:c r="A319" s="23" t="str">
        <x:v>back_flat</x:v>
      </x:c>
      <x:c r="B319" s="23" t="n">
        <x:v>24</x:v>
      </x:c>
      <x:c r="C319" s="37" t="n">
        <x:v>48580</x:v>
      </x:c>
      <x:c r="D319" s="55" t="n">
        <x:v>0</x:v>
      </x:c>
      <x:c r="E319" s="55" t="n">
        <x:v>0.03</x:v>
      </x:c>
      <x:c r="F319" s="60" t="n">
        <x:v>0</x:v>
      </x:c>
      <x:c r="G319" s="60" t="n">
        <x:v>0.03</x:v>
      </x:c>
      <x:c r="H319" s="23" t="n">
        <x:f>IF(D319=F319,0,1)+IF(E319=G319,0,1)</x:f>
        <x:v>0</x:v>
      </x:c>
      <x:c r="I319" s="23" t="str">
        <x:v>Timing T20 / fictional rates</x:v>
      </x:c>
    </x:row>
    <x:row r="320" ht="21" customHeight="1">
      <x:c r="A320" s="23" t="str">
        <x:v>back_flat</x:v>
      </x:c>
      <x:c r="B320" s="23" t="n">
        <x:v>25</x:v>
      </x:c>
      <x:c r="C320" s="37" t="n">
        <x:v>48670</x:v>
      </x:c>
      <x:c r="D320" s="55" t="n">
        <x:v>0</x:v>
      </x:c>
      <x:c r="E320" s="55" t="n">
        <x:v>0.03</x:v>
      </x:c>
      <x:c r="F320" s="60" t="n">
        <x:v>0</x:v>
      </x:c>
      <x:c r="G320" s="60" t="n">
        <x:v>0.03</x:v>
      </x:c>
      <x:c r="H320" s="23" t="n">
        <x:f>IF(D320=F320,0,1)+IF(E320=G320,0,1)</x:f>
        <x:v>0</x:v>
      </x:c>
      <x:c r="I320" s="23" t="str">
        <x:v>Timing T20 / fictional rates</x:v>
      </x:c>
    </x:row>
    <x:row r="321" ht="21" customHeight="1">
      <x:c r="A321" s="23" t="str">
        <x:v>back_flat</x:v>
      </x:c>
      <x:c r="B321" s="23" t="n">
        <x:v>26</x:v>
      </x:c>
      <x:c r="C321" s="37" t="n">
        <x:v>48761</x:v>
      </x:c>
      <x:c r="D321" s="55" t="n">
        <x:v>0</x:v>
      </x:c>
      <x:c r="E321" s="55" t="n">
        <x:v>0.03</x:v>
      </x:c>
      <x:c r="F321" s="60" t="n">
        <x:v>0</x:v>
      </x:c>
      <x:c r="G321" s="60" t="n">
        <x:v>0.03</x:v>
      </x:c>
      <x:c r="H321" s="23" t="n">
        <x:f>IF(D321=F321,0,1)+IF(E321=G321,0,1)</x:f>
        <x:v>0</x:v>
      </x:c>
      <x:c r="I321" s="23" t="str">
        <x:v>Timing T20 / fictional rates</x:v>
      </x:c>
    </x:row>
    <x:row r="322" ht="21" customHeight="1">
      <x:c r="A322" s="23" t="str">
        <x:v>back_flat</x:v>
      </x:c>
      <x:c r="B322" s="23" t="n">
        <x:v>27</x:v>
      </x:c>
      <x:c r="C322" s="37" t="n">
        <x:v>48853</x:v>
      </x:c>
      <x:c r="D322" s="55" t="n">
        <x:v>0</x:v>
      </x:c>
      <x:c r="E322" s="55" t="n">
        <x:v>0.03</x:v>
      </x:c>
      <x:c r="F322" s="60" t="n">
        <x:v>0</x:v>
      </x:c>
      <x:c r="G322" s="60" t="n">
        <x:v>0.03</x:v>
      </x:c>
      <x:c r="H322" s="23" t="n">
        <x:f>IF(D322=F322,0,1)+IF(E322=G322,0,1)</x:f>
        <x:v>0</x:v>
      </x:c>
      <x:c r="I322" s="23" t="str">
        <x:v>Timing T20 / fictional rates</x:v>
      </x:c>
    </x:row>
    <x:row r="323" ht="21" customHeight="1">
      <x:c r="A323" s="23" t="str">
        <x:v>back_flat</x:v>
      </x:c>
      <x:c r="B323" s="23" t="n">
        <x:v>28</x:v>
      </x:c>
      <x:c r="C323" s="37" t="n">
        <x:v>48945</x:v>
      </x:c>
      <x:c r="D323" s="55" t="n">
        <x:v>0</x:v>
      </x:c>
      <x:c r="E323" s="55" t="n">
        <x:v>0.03</x:v>
      </x:c>
      <x:c r="F323" s="60" t="n">
        <x:v>0</x:v>
      </x:c>
      <x:c r="G323" s="60" t="n">
        <x:v>0.03</x:v>
      </x:c>
      <x:c r="H323" s="23" t="n">
        <x:f>IF(D323=F323,0,1)+IF(E323=G323,0,1)</x:f>
        <x:v>0</x:v>
      </x:c>
      <x:c r="I323" s="23" t="str">
        <x:v>Timing T20 / fictional rates</x:v>
      </x:c>
    </x:row>
    <x:row r="324" ht="21" customHeight="1">
      <x:c r="A324" s="23" t="str">
        <x:v>back_flat</x:v>
      </x:c>
      <x:c r="B324" s="23" t="n">
        <x:v>29</x:v>
      </x:c>
      <x:c r="C324" s="37" t="n">
        <x:v>49035</x:v>
      </x:c>
      <x:c r="D324" s="55" t="n">
        <x:v>0</x:v>
      </x:c>
      <x:c r="E324" s="55" t="n">
        <x:v>0.03</x:v>
      </x:c>
      <x:c r="F324" s="60" t="n">
        <x:v>0</x:v>
      </x:c>
      <x:c r="G324" s="60" t="n">
        <x:v>0.03</x:v>
      </x:c>
      <x:c r="H324" s="23" t="n">
        <x:f>IF(D324=F324,0,1)+IF(E324=G324,0,1)</x:f>
        <x:v>0</x:v>
      </x:c>
      <x:c r="I324" s="23" t="str">
        <x:v>Timing T20 / fictional rates</x:v>
      </x:c>
    </x:row>
    <x:row r="325" ht="21" customHeight="1">
      <x:c r="A325" s="23" t="str">
        <x:v>back_flat</x:v>
      </x:c>
      <x:c r="B325" s="23" t="n">
        <x:v>30</x:v>
      </x:c>
      <x:c r="C325" s="37" t="n">
        <x:v>49126</x:v>
      </x:c>
      <x:c r="D325" s="55" t="n">
        <x:v>0</x:v>
      </x:c>
      <x:c r="E325" s="55" t="n">
        <x:v>0.03</x:v>
      </x:c>
      <x:c r="F325" s="60" t="n">
        <x:v>0</x:v>
      </x:c>
      <x:c r="G325" s="60" t="n">
        <x:v>0.03</x:v>
      </x:c>
      <x:c r="H325" s="23" t="n">
        <x:f>IF(D325=F325,0,1)+IF(E325=G325,0,1)</x:f>
        <x:v>0</x:v>
      </x:c>
      <x:c r="I325" s="23" t="str">
        <x:v>Timing T20 / fictional rates</x:v>
      </x:c>
    </x:row>
    <x:row r="326" ht="21" customHeight="1">
      <x:c r="A326" s="23" t="str">
        <x:v>back_flat</x:v>
      </x:c>
      <x:c r="B326" s="23" t="n">
        <x:v>31</x:v>
      </x:c>
      <x:c r="C326" s="37" t="n">
        <x:v>49218</x:v>
      </x:c>
      <x:c r="D326" s="55" t="n">
        <x:v>0</x:v>
      </x:c>
      <x:c r="E326" s="55" t="n">
        <x:v>0.03</x:v>
      </x:c>
      <x:c r="F326" s="60" t="n">
        <x:v>0</x:v>
      </x:c>
      <x:c r="G326" s="60" t="n">
        <x:v>0.03</x:v>
      </x:c>
      <x:c r="H326" s="23" t="n">
        <x:f>IF(D326=F326,0,1)+IF(E326=G326,0,1)</x:f>
        <x:v>0</x:v>
      </x:c>
      <x:c r="I326" s="23" t="str">
        <x:v>Timing T20 / fictional rates</x:v>
      </x:c>
    </x:row>
    <x:row r="327" ht="21" customHeight="1">
      <x:c r="A327" s="23" t="str">
        <x:v>back_flat</x:v>
      </x:c>
      <x:c r="B327" s="23" t="n">
        <x:v>32</x:v>
      </x:c>
      <x:c r="C327" s="37" t="n">
        <x:v>49310</x:v>
      </x:c>
      <x:c r="D327" s="55" t="n">
        <x:v>0</x:v>
      </x:c>
      <x:c r="E327" s="55" t="n">
        <x:v>0.03</x:v>
      </x:c>
      <x:c r="F327" s="60" t="n">
        <x:v>0</x:v>
      </x:c>
      <x:c r="G327" s="60" t="n">
        <x:v>0.03</x:v>
      </x:c>
      <x:c r="H327" s="23" t="n">
        <x:f>IF(D327=F327,0,1)+IF(E327=G327,0,1)</x:f>
        <x:v>0</x:v>
      </x:c>
      <x:c r="I327" s="23" t="str">
        <x:v>Timing T20 / fictional rates</x:v>
      </x:c>
    </x:row>
    <x:row r="328" ht="21" customHeight="1">
      <x:c r="A328" s="23" t="str">
        <x:v>back_flat</x:v>
      </x:c>
      <x:c r="B328" s="23" t="n">
        <x:v>33</x:v>
      </x:c>
      <x:c r="C328" s="37" t="n">
        <x:v>49400</x:v>
      </x:c>
      <x:c r="D328" s="55" t="n">
        <x:v>0</x:v>
      </x:c>
      <x:c r="E328" s="55" t="n">
        <x:v>0.03</x:v>
      </x:c>
      <x:c r="F328" s="60" t="n">
        <x:v>0</x:v>
      </x:c>
      <x:c r="G328" s="60" t="n">
        <x:v>0.03</x:v>
      </x:c>
      <x:c r="H328" s="23" t="n">
        <x:f>IF(D328=F328,0,1)+IF(E328=G328,0,1)</x:f>
        <x:v>0</x:v>
      </x:c>
      <x:c r="I328" s="23" t="str">
        <x:v>Timing T20 / fictional rates</x:v>
      </x:c>
    </x:row>
    <x:row r="329" ht="21" customHeight="1">
      <x:c r="A329" s="23" t="str">
        <x:v>back_flat</x:v>
      </x:c>
      <x:c r="B329" s="23" t="n">
        <x:v>34</x:v>
      </x:c>
      <x:c r="C329" s="37" t="n">
        <x:v>49491</x:v>
      </x:c>
      <x:c r="D329" s="55" t="n">
        <x:v>0</x:v>
      </x:c>
      <x:c r="E329" s="55" t="n">
        <x:v>0.03</x:v>
      </x:c>
      <x:c r="F329" s="60" t="n">
        <x:v>0</x:v>
      </x:c>
      <x:c r="G329" s="60" t="n">
        <x:v>0.03</x:v>
      </x:c>
      <x:c r="H329" s="23" t="n">
        <x:f>IF(D329=F329,0,1)+IF(E329=G329,0,1)</x:f>
        <x:v>0</x:v>
      </x:c>
      <x:c r="I329" s="23" t="str">
        <x:v>Timing T20 / fictional rates</x:v>
      </x:c>
    </x:row>
    <x:row r="330" ht="21" customHeight="1">
      <x:c r="A330" s="23" t="str">
        <x:v>back_flat</x:v>
      </x:c>
      <x:c r="B330" s="23" t="n">
        <x:v>35</x:v>
      </x:c>
      <x:c r="C330" s="37" t="n">
        <x:v>49583</x:v>
      </x:c>
      <x:c r="D330" s="55" t="n">
        <x:v>0</x:v>
      </x:c>
      <x:c r="E330" s="55" t="n">
        <x:v>0.03</x:v>
      </x:c>
      <x:c r="F330" s="60" t="n">
        <x:v>0</x:v>
      </x:c>
      <x:c r="G330" s="60" t="n">
        <x:v>0.03</x:v>
      </x:c>
      <x:c r="H330" s="23" t="n">
        <x:f>IF(D330=F330,0,1)+IF(E330=G330,0,1)</x:f>
        <x:v>0</x:v>
      </x:c>
      <x:c r="I330" s="23" t="str">
        <x:v>Timing T20 / fictional rates</x:v>
      </x:c>
    </x:row>
    <x:row r="331" ht="21" customHeight="1">
      <x:c r="A331" s="23" t="str">
        <x:v>back_flat</x:v>
      </x:c>
      <x:c r="B331" s="23" t="n">
        <x:v>36</x:v>
      </x:c>
      <x:c r="C331" s="37" t="n">
        <x:v>49675</x:v>
      </x:c>
      <x:c r="D331" s="55" t="n">
        <x:v>0</x:v>
      </x:c>
      <x:c r="E331" s="55" t="n">
        <x:v>0.03</x:v>
      </x:c>
      <x:c r="F331" s="60" t="n">
        <x:v>0</x:v>
      </x:c>
      <x:c r="G331" s="60" t="n">
        <x:v>0.03</x:v>
      </x:c>
      <x:c r="H331" s="23" t="n">
        <x:f>IF(D331=F331,0,1)+IF(E331=G331,0,1)</x:f>
        <x:v>0</x:v>
      </x:c>
      <x:c r="I331" s="23" t="str">
        <x:v>Timing T20 / fictional rates</x:v>
      </x:c>
    </x:row>
    <x:row r="332" ht="21" customHeight="1">
      <x:c r="A332" s="23" t="str">
        <x:v>back_flat</x:v>
      </x:c>
      <x:c r="B332" s="23" t="n">
        <x:v>37</x:v>
      </x:c>
      <x:c r="C332" s="37" t="n">
        <x:v>49766</x:v>
      </x:c>
      <x:c r="D332" s="55" t="n">
        <x:v>0</x:v>
      </x:c>
      <x:c r="E332" s="55" t="n">
        <x:v>0.03</x:v>
      </x:c>
      <x:c r="F332" s="60" t="n">
        <x:v>0</x:v>
      </x:c>
      <x:c r="G332" s="60" t="n">
        <x:v>0.03</x:v>
      </x:c>
      <x:c r="H332" s="23" t="n">
        <x:f>IF(D332=F332,0,1)+IF(E332=G332,0,1)</x:f>
        <x:v>0</x:v>
      </x:c>
      <x:c r="I332" s="23" t="str">
        <x:v>Timing T20 / fictional rates</x:v>
      </x:c>
    </x:row>
    <x:row r="333" ht="21" customHeight="1">
      <x:c r="A333" s="23" t="str">
        <x:v>back_flat</x:v>
      </x:c>
      <x:c r="B333" s="23" t="n">
        <x:v>38</x:v>
      </x:c>
      <x:c r="C333" s="37" t="n">
        <x:v>49857</x:v>
      </x:c>
      <x:c r="D333" s="55" t="n">
        <x:v>0</x:v>
      </x:c>
      <x:c r="E333" s="55" t="n">
        <x:v>0.03</x:v>
      </x:c>
      <x:c r="F333" s="60" t="n">
        <x:v>0</x:v>
      </x:c>
      <x:c r="G333" s="60" t="n">
        <x:v>0.03</x:v>
      </x:c>
      <x:c r="H333" s="23" t="n">
        <x:f>IF(D333=F333,0,1)+IF(E333=G333,0,1)</x:f>
        <x:v>0</x:v>
      </x:c>
      <x:c r="I333" s="23" t="str">
        <x:v>Timing T20 / fictional rates</x:v>
      </x:c>
    </x:row>
    <x:row r="334" ht="21" customHeight="1">
      <x:c r="A334" s="23" t="str">
        <x:v>back_flat</x:v>
      </x:c>
      <x:c r="B334" s="23" t="n">
        <x:v>39</x:v>
      </x:c>
      <x:c r="C334" s="37" t="n">
        <x:v>49949</x:v>
      </x:c>
      <x:c r="D334" s="55" t="n">
        <x:v>0</x:v>
      </x:c>
      <x:c r="E334" s="55" t="n">
        <x:v>0.03</x:v>
      </x:c>
      <x:c r="F334" s="60" t="n">
        <x:v>0</x:v>
      </x:c>
      <x:c r="G334" s="60" t="n">
        <x:v>0.03</x:v>
      </x:c>
      <x:c r="H334" s="23" t="n">
        <x:f>IF(D334=F334,0,1)+IF(E334=G334,0,1)</x:f>
        <x:v>0</x:v>
      </x:c>
      <x:c r="I334" s="23" t="str">
        <x:v>Timing T20 / fictional rates</x:v>
      </x:c>
    </x:row>
    <x:row r="335" ht="21" customHeight="1">
      <x:c r="A335" s="23" t="str">
        <x:v>back_flat</x:v>
      </x:c>
      <x:c r="B335" s="23" t="n">
        <x:v>40</x:v>
      </x:c>
      <x:c r="C335" s="37" t="n">
        <x:v>50041</x:v>
      </x:c>
      <x:c r="D335" s="55" t="n">
        <x:v>0</x:v>
      </x:c>
      <x:c r="E335" s="55" t="n">
        <x:v>0.03</x:v>
      </x:c>
      <x:c r="F335" s="60" t="n">
        <x:v>0</x:v>
      </x:c>
      <x:c r="G335" s="60" t="n">
        <x:v>0.03</x:v>
      </x:c>
      <x:c r="H335" s="23" t="n">
        <x:f>IF(D335=F335,0,1)+IF(E335=G335,0,1)</x:f>
        <x:v>0</x:v>
      </x:c>
      <x:c r="I335" s="23" t="str">
        <x:v>Timing T20 / fictional rates</x:v>
      </x:c>
    </x:row>
    <x:row r="336" ht="21" customHeight="1">
      <x:c r="A336" s="23" t="str">
        <x:v>back_flat</x:v>
      </x:c>
      <x:c r="B336" s="23" t="n">
        <x:v>41</x:v>
      </x:c>
      <x:c r="C336" s="37" t="n">
        <x:v>50131</x:v>
      </x:c>
      <x:c r="D336" s="55" t="n">
        <x:v>0</x:v>
      </x:c>
      <x:c r="E336" s="55" t="n">
        <x:v>0.03</x:v>
      </x:c>
      <x:c r="F336" s="60" t="n">
        <x:v>0</x:v>
      </x:c>
      <x:c r="G336" s="60" t="n">
        <x:v>0.03</x:v>
      </x:c>
      <x:c r="H336" s="23" t="n">
        <x:f>IF(D336=F336,0,1)+IF(E336=G336,0,1)</x:f>
        <x:v>0</x:v>
      </x:c>
      <x:c r="I336" s="23" t="str">
        <x:v>Timing T20 / fictional rates</x:v>
      </x:c>
    </x:row>
    <x:row r="337" ht="21" customHeight="1">
      <x:c r="A337" s="23" t="str">
        <x:v>back_flat</x:v>
      </x:c>
      <x:c r="B337" s="23" t="n">
        <x:v>42</x:v>
      </x:c>
      <x:c r="C337" s="37" t="n">
        <x:v>50222</x:v>
      </x:c>
      <x:c r="D337" s="55" t="n">
        <x:v>0</x:v>
      </x:c>
      <x:c r="E337" s="55" t="n">
        <x:v>0.03</x:v>
      </x:c>
      <x:c r="F337" s="60" t="n">
        <x:v>0</x:v>
      </x:c>
      <x:c r="G337" s="60" t="n">
        <x:v>0.03</x:v>
      </x:c>
      <x:c r="H337" s="23" t="n">
        <x:f>IF(D337=F337,0,1)+IF(E337=G337,0,1)</x:f>
        <x:v>0</x:v>
      </x:c>
      <x:c r="I337" s="23" t="str">
        <x:v>Timing T20 / fictional rates</x:v>
      </x:c>
    </x:row>
    <x:row r="338" ht="21" customHeight="1">
      <x:c r="A338" s="23" t="str">
        <x:v>back_flat</x:v>
      </x:c>
      <x:c r="B338" s="23" t="n">
        <x:v>43</x:v>
      </x:c>
      <x:c r="C338" s="37" t="n">
        <x:v>50314</x:v>
      </x:c>
      <x:c r="D338" s="55" t="n">
        <x:v>0</x:v>
      </x:c>
      <x:c r="E338" s="55" t="n">
        <x:v>0.03</x:v>
      </x:c>
      <x:c r="F338" s="60" t="n">
        <x:v>0</x:v>
      </x:c>
      <x:c r="G338" s="60" t="n">
        <x:v>0.03</x:v>
      </x:c>
      <x:c r="H338" s="23" t="n">
        <x:f>IF(D338=F338,0,1)+IF(E338=G338,0,1)</x:f>
        <x:v>0</x:v>
      </x:c>
      <x:c r="I338" s="23" t="str">
        <x:v>Timing T20 / fictional rates</x:v>
      </x:c>
    </x:row>
    <x:row r="339" ht="21" customHeight="1">
      <x:c r="A339" s="23" t="str">
        <x:v>back_flat</x:v>
      </x:c>
      <x:c r="B339" s="23" t="n">
        <x:v>44</x:v>
      </x:c>
      <x:c r="C339" s="37" t="n">
        <x:v>50406</x:v>
      </x:c>
      <x:c r="D339" s="55" t="n">
        <x:v>0</x:v>
      </x:c>
      <x:c r="E339" s="55" t="n">
        <x:v>0.03</x:v>
      </x:c>
      <x:c r="F339" s="60" t="n">
        <x:v>0</x:v>
      </x:c>
      <x:c r="G339" s="60" t="n">
        <x:v>0.03</x:v>
      </x:c>
      <x:c r="H339" s="23" t="n">
        <x:f>IF(D339=F339,0,1)+IF(E339=G339,0,1)</x:f>
        <x:v>0</x:v>
      </x:c>
      <x:c r="I339" s="23" t="str">
        <x:v>Timing T20 / fictional rates</x:v>
      </x:c>
    </x:row>
    <x:row r="340" ht="21" customHeight="1">
      <x:c r="A340" s="23" t="str">
        <x:v>back_flat</x:v>
      </x:c>
      <x:c r="B340" s="23" t="n">
        <x:v>45</x:v>
      </x:c>
      <x:c r="C340" s="37" t="n">
        <x:v>50496</x:v>
      </x:c>
      <x:c r="D340" s="55" t="n">
        <x:v>0</x:v>
      </x:c>
      <x:c r="E340" s="55" t="n">
        <x:v>0.03</x:v>
      </x:c>
      <x:c r="F340" s="60" t="n">
        <x:v>0</x:v>
      </x:c>
      <x:c r="G340" s="60" t="n">
        <x:v>0.03</x:v>
      </x:c>
      <x:c r="H340" s="23" t="n">
        <x:f>IF(D340=F340,0,1)+IF(E340=G340,0,1)</x:f>
        <x:v>0</x:v>
      </x:c>
      <x:c r="I340" s="23" t="str">
        <x:v>Timing T20 / fictional rates</x:v>
      </x:c>
    </x:row>
    <x:row r="341" ht="21" customHeight="1">
      <x:c r="A341" s="23" t="str">
        <x:v>back_flat</x:v>
      </x:c>
      <x:c r="B341" s="23" t="n">
        <x:v>46</x:v>
      </x:c>
      <x:c r="C341" s="37" t="n">
        <x:v>50587</x:v>
      </x:c>
      <x:c r="D341" s="55" t="n">
        <x:v>0</x:v>
      </x:c>
      <x:c r="E341" s="55" t="n">
        <x:v>0.03</x:v>
      </x:c>
      <x:c r="F341" s="60" t="n">
        <x:v>0</x:v>
      </x:c>
      <x:c r="G341" s="60" t="n">
        <x:v>0.03</x:v>
      </x:c>
      <x:c r="H341" s="23" t="n">
        <x:f>IF(D341=F341,0,1)+IF(E341=G341,0,1)</x:f>
        <x:v>0</x:v>
      </x:c>
      <x:c r="I341" s="23" t="str">
        <x:v>Timing T20 / fictional rates</x:v>
      </x:c>
    </x:row>
    <x:row r="342" ht="21" customHeight="1">
      <x:c r="A342" s="23" t="str">
        <x:v>back_flat</x:v>
      </x:c>
      <x:c r="B342" s="23" t="n">
        <x:v>47</x:v>
      </x:c>
      <x:c r="C342" s="37" t="n">
        <x:v>50679</x:v>
      </x:c>
      <x:c r="D342" s="55" t="n">
        <x:v>0</x:v>
      </x:c>
      <x:c r="E342" s="55" t="n">
        <x:v>0.03</x:v>
      </x:c>
      <x:c r="F342" s="60" t="n">
        <x:v>0</x:v>
      </x:c>
      <x:c r="G342" s="60" t="n">
        <x:v>0.03</x:v>
      </x:c>
      <x:c r="H342" s="23" t="n">
        <x:f>IF(D342=F342,0,1)+IF(E342=G342,0,1)</x:f>
        <x:v>0</x:v>
      </x:c>
      <x:c r="I342" s="23" t="str">
        <x:v>Timing T20 / fictional rates</x:v>
      </x:c>
    </x:row>
    <x:row r="343" ht="21" customHeight="1">
      <x:c r="A343" s="23" t="str">
        <x:v>back_flat</x:v>
      </x:c>
      <x:c r="B343" s="23" t="n">
        <x:v>48</x:v>
      </x:c>
      <x:c r="C343" s="37" t="n">
        <x:v>50771</x:v>
      </x:c>
      <x:c r="D343" s="55" t="n">
        <x:v>0</x:v>
      </x:c>
      <x:c r="E343" s="55" t="n">
        <x:v>0.03</x:v>
      </x:c>
      <x:c r="F343" s="60" t="n">
        <x:v>0</x:v>
      </x:c>
      <x:c r="G343" s="60" t="n">
        <x:v>0.03</x:v>
      </x:c>
      <x:c r="H343" s="23" t="n">
        <x:f>IF(D343=F343,0,1)+IF(E343=G343,0,1)</x:f>
        <x:v>0</x:v>
      </x:c>
      <x:c r="I343" s="23" t="str">
        <x:v>Timing T20 / fictional rates</x:v>
      </x:c>
    </x:row>
    <x:row r="344" ht="21" customHeight="1">
      <x:c r="A344" s="23" t="str">
        <x:v>back_low</x:v>
      </x:c>
      <x:c r="B344" s="23" t="n">
        <x:v>1</x:v>
      </x:c>
      <x:c r="C344" s="37" t="n">
        <x:v>46478</x:v>
      </x:c>
      <x:c r="D344" s="55" t="n">
        <x:v>0.03</x:v>
      </x:c>
      <x:c r="E344" s="55" t="n">
        <x:v>0.005</x:v>
      </x:c>
      <x:c r="F344" s="60" t="n">
        <x:v>0.03</x:v>
      </x:c>
      <x:c r="G344" s="60" t="n">
        <x:v>0.005</x:v>
      </x:c>
      <x:c r="H344" s="23" t="n">
        <x:f>IF(D344=F344,0,1)+IF(E344=G344,0,1)</x:f>
        <x:v>0</x:v>
      </x:c>
      <x:c r="I344" s="23" t="str">
        <x:v>Timing T20 / fictional rates</x:v>
      </x:c>
    </x:row>
    <x:row r="345" ht="21" customHeight="1">
      <x:c r="A345" s="23" t="str">
        <x:v>back_low</x:v>
      </x:c>
      <x:c r="B345" s="23" t="n">
        <x:v>2</x:v>
      </x:c>
      <x:c r="C345" s="37" t="n">
        <x:v>46569</x:v>
      </x:c>
      <x:c r="D345" s="55" t="n">
        <x:v>0.03</x:v>
      </x:c>
      <x:c r="E345" s="55" t="n">
        <x:v>0.005</x:v>
      </x:c>
      <x:c r="F345" s="60" t="n">
        <x:v>0.03</x:v>
      </x:c>
      <x:c r="G345" s="60" t="n">
        <x:v>0.005</x:v>
      </x:c>
      <x:c r="H345" s="23" t="n">
        <x:f>IF(D345=F345,0,1)+IF(E345=G345,0,1)</x:f>
        <x:v>0</x:v>
      </x:c>
      <x:c r="I345" s="23" t="str">
        <x:v>Timing T20 / fictional rates</x:v>
      </x:c>
    </x:row>
    <x:row r="346" ht="21" customHeight="1">
      <x:c r="A346" s="23" t="str">
        <x:v>back_low</x:v>
      </x:c>
      <x:c r="B346" s="23" t="n">
        <x:v>3</x:v>
      </x:c>
      <x:c r="C346" s="37" t="n">
        <x:v>46661</x:v>
      </x:c>
      <x:c r="D346" s="55" t="n">
        <x:v>0.03</x:v>
      </x:c>
      <x:c r="E346" s="55" t="n">
        <x:v>0.005</x:v>
      </x:c>
      <x:c r="F346" s="60" t="n">
        <x:v>0.03</x:v>
      </x:c>
      <x:c r="G346" s="60" t="n">
        <x:v>0.005</x:v>
      </x:c>
      <x:c r="H346" s="23" t="n">
        <x:f>IF(D346=F346,0,1)+IF(E346=G346,0,1)</x:f>
        <x:v>0</x:v>
      </x:c>
      <x:c r="I346" s="23" t="str">
        <x:v>Timing T20 / fictional rates</x:v>
      </x:c>
    </x:row>
    <x:row r="347" ht="21" customHeight="1">
      <x:c r="A347" s="23" t="str">
        <x:v>back_low</x:v>
      </x:c>
      <x:c r="B347" s="23" t="n">
        <x:v>4</x:v>
      </x:c>
      <x:c r="C347" s="37" t="n">
        <x:v>46753</x:v>
      </x:c>
      <x:c r="D347" s="55" t="n">
        <x:v>0.03</x:v>
      </x:c>
      <x:c r="E347" s="55" t="n">
        <x:v>0.005</x:v>
      </x:c>
      <x:c r="F347" s="60" t="n">
        <x:v>0.03</x:v>
      </x:c>
      <x:c r="G347" s="60" t="n">
        <x:v>0.005</x:v>
      </x:c>
      <x:c r="H347" s="23" t="n">
        <x:f>IF(D347=F347,0,1)+IF(E347=G347,0,1)</x:f>
        <x:v>0</x:v>
      </x:c>
      <x:c r="I347" s="23" t="str">
        <x:v>Timing T20 / fictional rates</x:v>
      </x:c>
    </x:row>
    <x:row r="348" ht="21" customHeight="1">
      <x:c r="A348" s="23" t="str">
        <x:v>back_low</x:v>
      </x:c>
      <x:c r="B348" s="23" t="n">
        <x:v>5</x:v>
      </x:c>
      <x:c r="C348" s="37" t="n">
        <x:v>46844</x:v>
      </x:c>
      <x:c r="D348" s="55" t="n">
        <x:v>0.045</x:v>
      </x:c>
      <x:c r="E348" s="55" t="n">
        <x:v>0.005</x:v>
      </x:c>
      <x:c r="F348" s="60" t="n">
        <x:v>0.045</x:v>
      </x:c>
      <x:c r="G348" s="60" t="n">
        <x:v>0.005</x:v>
      </x:c>
      <x:c r="H348" s="23" t="n">
        <x:f>IF(D348=F348,0,1)+IF(E348=G348,0,1)</x:f>
        <x:v>0</x:v>
      </x:c>
      <x:c r="I348" s="23" t="str">
        <x:v>Timing T20 / fictional rates</x:v>
      </x:c>
    </x:row>
    <x:row r="349" ht="21" customHeight="1">
      <x:c r="A349" s="23" t="str">
        <x:v>back_low</x:v>
      </x:c>
      <x:c r="B349" s="23" t="n">
        <x:v>6</x:v>
      </x:c>
      <x:c r="C349" s="37" t="n">
        <x:v>46935</x:v>
      </x:c>
      <x:c r="D349" s="55" t="n">
        <x:v>0.045</x:v>
      </x:c>
      <x:c r="E349" s="55" t="n">
        <x:v>0.005</x:v>
      </x:c>
      <x:c r="F349" s="60" t="n">
        <x:v>0.045</x:v>
      </x:c>
      <x:c r="G349" s="60" t="n">
        <x:v>0.005</x:v>
      </x:c>
      <x:c r="H349" s="23" t="n">
        <x:f>IF(D349=F349,0,1)+IF(E349=G349,0,1)</x:f>
        <x:v>0</x:v>
      </x:c>
      <x:c r="I349" s="23" t="str">
        <x:v>Timing T20 / fictional rates</x:v>
      </x:c>
    </x:row>
    <x:row r="350" ht="21" customHeight="1">
      <x:c r="A350" s="23" t="str">
        <x:v>back_low</x:v>
      </x:c>
      <x:c r="B350" s="23" t="n">
        <x:v>7</x:v>
      </x:c>
      <x:c r="C350" s="37" t="n">
        <x:v>47027</x:v>
      </x:c>
      <x:c r="D350" s="55" t="n">
        <x:v>0.045</x:v>
      </x:c>
      <x:c r="E350" s="55" t="n">
        <x:v>0.005</x:v>
      </x:c>
      <x:c r="F350" s="60" t="n">
        <x:v>0.045</x:v>
      </x:c>
      <x:c r="G350" s="60" t="n">
        <x:v>0.005</x:v>
      </x:c>
      <x:c r="H350" s="23" t="n">
        <x:f>IF(D350=F350,0,1)+IF(E350=G350,0,1)</x:f>
        <x:v>0</x:v>
      </x:c>
      <x:c r="I350" s="23" t="str">
        <x:v>Timing T20 / fictional rates</x:v>
      </x:c>
    </x:row>
    <x:row r="351" ht="21" customHeight="1">
      <x:c r="A351" s="23" t="str">
        <x:v>back_low</x:v>
      </x:c>
      <x:c r="B351" s="23" t="n">
        <x:v>8</x:v>
      </x:c>
      <x:c r="C351" s="37" t="n">
        <x:v>47119</x:v>
      </x:c>
      <x:c r="D351" s="55" t="n">
        <x:v>0.045</x:v>
      </x:c>
      <x:c r="E351" s="55" t="n">
        <x:v>0.005</x:v>
      </x:c>
      <x:c r="F351" s="60" t="n">
        <x:v>0.045</x:v>
      </x:c>
      <x:c r="G351" s="60" t="n">
        <x:v>0.005</x:v>
      </x:c>
      <x:c r="H351" s="23" t="n">
        <x:f>IF(D351=F351,0,1)+IF(E351=G351,0,1)</x:f>
        <x:v>0</x:v>
      </x:c>
      <x:c r="I351" s="23" t="str">
        <x:v>Timing T20 / fictional rates</x:v>
      </x:c>
    </x:row>
    <x:row r="352" ht="21" customHeight="1">
      <x:c r="A352" s="23" t="str">
        <x:v>back_low</x:v>
      </x:c>
      <x:c r="B352" s="23" t="n">
        <x:v>9</x:v>
      </x:c>
      <x:c r="C352" s="37" t="n">
        <x:v>47209</x:v>
      </x:c>
      <x:c r="D352" s="55" t="n">
        <x:v>0.055</x:v>
      </x:c>
      <x:c r="E352" s="55" t="n">
        <x:v>0.005</x:v>
      </x:c>
      <x:c r="F352" s="60" t="n">
        <x:v>0.055</x:v>
      </x:c>
      <x:c r="G352" s="60" t="n">
        <x:v>0.005</x:v>
      </x:c>
      <x:c r="H352" s="23" t="n">
        <x:f>IF(D352=F352,0,1)+IF(E352=G352,0,1)</x:f>
        <x:v>0</x:v>
      </x:c>
      <x:c r="I352" s="23" t="str">
        <x:v>Timing T20 / fictional rates</x:v>
      </x:c>
    </x:row>
    <x:row r="353" ht="21" customHeight="1">
      <x:c r="A353" s="23" t="str">
        <x:v>back_low</x:v>
      </x:c>
      <x:c r="B353" s="23" t="n">
        <x:v>10</x:v>
      </x:c>
      <x:c r="C353" s="37" t="n">
        <x:v>47300</x:v>
      </x:c>
      <x:c r="D353" s="55" t="n">
        <x:v>0.055</x:v>
      </x:c>
      <x:c r="E353" s="55" t="n">
        <x:v>0.005</x:v>
      </x:c>
      <x:c r="F353" s="60" t="n">
        <x:v>0.055</x:v>
      </x:c>
      <x:c r="G353" s="60" t="n">
        <x:v>0.005</x:v>
      </x:c>
      <x:c r="H353" s="23" t="n">
        <x:f>IF(D353=F353,0,1)+IF(E353=G353,0,1)</x:f>
        <x:v>0</x:v>
      </x:c>
      <x:c r="I353" s="23" t="str">
        <x:v>Timing T20 / fictional rates</x:v>
      </x:c>
    </x:row>
    <x:row r="354" ht="21" customHeight="1">
      <x:c r="A354" s="23" t="str">
        <x:v>back_low</x:v>
      </x:c>
      <x:c r="B354" s="23" t="n">
        <x:v>11</x:v>
      </x:c>
      <x:c r="C354" s="37" t="n">
        <x:v>47392</x:v>
      </x:c>
      <x:c r="D354" s="55" t="n">
        <x:v>0.055</x:v>
      </x:c>
      <x:c r="E354" s="55" t="n">
        <x:v>0.005</x:v>
      </x:c>
      <x:c r="F354" s="60" t="n">
        <x:v>0.055</x:v>
      </x:c>
      <x:c r="G354" s="60" t="n">
        <x:v>0.005</x:v>
      </x:c>
      <x:c r="H354" s="23" t="n">
        <x:f>IF(D354=F354,0,1)+IF(E354=G354,0,1)</x:f>
        <x:v>0</x:v>
      </x:c>
      <x:c r="I354" s="23" t="str">
        <x:v>Timing T20 / fictional rates</x:v>
      </x:c>
    </x:row>
    <x:row r="355" ht="21" customHeight="1">
      <x:c r="A355" s="23" t="str">
        <x:v>back_low</x:v>
      </x:c>
      <x:c r="B355" s="23" t="n">
        <x:v>12</x:v>
      </x:c>
      <x:c r="C355" s="37" t="n">
        <x:v>47484</x:v>
      </x:c>
      <x:c r="D355" s="55" t="n">
        <x:v>0.055</x:v>
      </x:c>
      <x:c r="E355" s="55" t="n">
        <x:v>0.005</x:v>
      </x:c>
      <x:c r="F355" s="60" t="n">
        <x:v>0.055</x:v>
      </x:c>
      <x:c r="G355" s="60" t="n">
        <x:v>0.005</x:v>
      </x:c>
      <x:c r="H355" s="23" t="n">
        <x:f>IF(D355=F355,0,1)+IF(E355=G355,0,1)</x:f>
        <x:v>0</x:v>
      </x:c>
      <x:c r="I355" s="23" t="str">
        <x:v>Timing T20 / fictional rates</x:v>
      </x:c>
    </x:row>
    <x:row r="356" ht="21" customHeight="1">
      <x:c r="A356" s="23" t="str">
        <x:v>back_low</x:v>
      </x:c>
      <x:c r="B356" s="23" t="n">
        <x:v>13</x:v>
      </x:c>
      <x:c r="C356" s="37" t="n">
        <x:v>47574</x:v>
      </x:c>
      <x:c r="D356" s="55" t="n">
        <x:v>0.0575</x:v>
      </x:c>
      <x:c r="E356" s="55" t="n">
        <x:v>0.005</x:v>
      </x:c>
      <x:c r="F356" s="60" t="n">
        <x:v>0.0575</x:v>
      </x:c>
      <x:c r="G356" s="60" t="n">
        <x:v>0.005</x:v>
      </x:c>
      <x:c r="H356" s="23" t="n">
        <x:f>IF(D356=F356,0,1)+IF(E356=G356,0,1)</x:f>
        <x:v>0</x:v>
      </x:c>
      <x:c r="I356" s="23" t="str">
        <x:v>Timing T20 / fictional rates</x:v>
      </x:c>
    </x:row>
    <x:row r="357" ht="21" customHeight="1">
      <x:c r="A357" s="23" t="str">
        <x:v>back_low</x:v>
      </x:c>
      <x:c r="B357" s="23" t="n">
        <x:v>14</x:v>
      </x:c>
      <x:c r="C357" s="37" t="n">
        <x:v>47665</x:v>
      </x:c>
      <x:c r="D357" s="55" t="n">
        <x:v>0.0575</x:v>
      </x:c>
      <x:c r="E357" s="55" t="n">
        <x:v>0.005</x:v>
      </x:c>
      <x:c r="F357" s="60" t="n">
        <x:v>0.0575</x:v>
      </x:c>
      <x:c r="G357" s="60" t="n">
        <x:v>0.005</x:v>
      </x:c>
      <x:c r="H357" s="23" t="n">
        <x:f>IF(D357=F357,0,1)+IF(E357=G357,0,1)</x:f>
        <x:v>0</x:v>
      </x:c>
      <x:c r="I357" s="23" t="str">
        <x:v>Timing T20 / fictional rates</x:v>
      </x:c>
    </x:row>
    <x:row r="358" ht="21" customHeight="1">
      <x:c r="A358" s="23" t="str">
        <x:v>back_low</x:v>
      </x:c>
      <x:c r="B358" s="23" t="n">
        <x:v>15</x:v>
      </x:c>
      <x:c r="C358" s="37" t="n">
        <x:v>47757</x:v>
      </x:c>
      <x:c r="D358" s="55" t="n">
        <x:v>0.0575</x:v>
      </x:c>
      <x:c r="E358" s="55" t="n">
        <x:v>0.005</x:v>
      </x:c>
      <x:c r="F358" s="60" t="n">
        <x:v>0.0575</x:v>
      </x:c>
      <x:c r="G358" s="60" t="n">
        <x:v>0.005</x:v>
      </x:c>
      <x:c r="H358" s="23" t="n">
        <x:f>IF(D358=F358,0,1)+IF(E358=G358,0,1)</x:f>
        <x:v>0</x:v>
      </x:c>
      <x:c r="I358" s="23" t="str">
        <x:v>Timing T20 / fictional rates</x:v>
      </x:c>
    </x:row>
    <x:row r="359" ht="21" customHeight="1">
      <x:c r="A359" s="23" t="str">
        <x:v>back_low</x:v>
      </x:c>
      <x:c r="B359" s="23" t="n">
        <x:v>16</x:v>
      </x:c>
      <x:c r="C359" s="37" t="n">
        <x:v>47849</x:v>
      </x:c>
      <x:c r="D359" s="55" t="n">
        <x:v>0.0575</x:v>
      </x:c>
      <x:c r="E359" s="55" t="n">
        <x:v>0.005</x:v>
      </x:c>
      <x:c r="F359" s="60" t="n">
        <x:v>0.0575</x:v>
      </x:c>
      <x:c r="G359" s="60" t="n">
        <x:v>0.005</x:v>
      </x:c>
      <x:c r="H359" s="23" t="n">
        <x:f>IF(D359=F359,0,1)+IF(E359=G359,0,1)</x:f>
        <x:v>0</x:v>
      </x:c>
      <x:c r="I359" s="23" t="str">
        <x:v>Timing T20 / fictional rates</x:v>
      </x:c>
    </x:row>
    <x:row r="360" ht="21" customHeight="1">
      <x:c r="A360" s="23" t="str">
        <x:v>back_low</x:v>
      </x:c>
      <x:c r="B360" s="23" t="n">
        <x:v>17</x:v>
      </x:c>
      <x:c r="C360" s="37" t="n">
        <x:v>47939</x:v>
      </x:c>
      <x:c r="D360" s="55" t="n">
        <x:v>0.0625</x:v>
      </x:c>
      <x:c r="E360" s="55" t="n">
        <x:v>0.005</x:v>
      </x:c>
      <x:c r="F360" s="60" t="n">
        <x:v>0.0625</x:v>
      </x:c>
      <x:c r="G360" s="60" t="n">
        <x:v>0.005</x:v>
      </x:c>
      <x:c r="H360" s="23" t="n">
        <x:f>IF(D360=F360,0,1)+IF(E360=G360,0,1)</x:f>
        <x:v>0</x:v>
      </x:c>
      <x:c r="I360" s="23" t="str">
        <x:v>Timing T20 / fictional rates</x:v>
      </x:c>
    </x:row>
    <x:row r="361" ht="21" customHeight="1">
      <x:c r="A361" s="23" t="str">
        <x:v>back_low</x:v>
      </x:c>
      <x:c r="B361" s="23" t="n">
        <x:v>18</x:v>
      </x:c>
      <x:c r="C361" s="37" t="n">
        <x:v>48030</x:v>
      </x:c>
      <x:c r="D361" s="55" t="n">
        <x:v>0.0625</x:v>
      </x:c>
      <x:c r="E361" s="55" t="n">
        <x:v>0.005</x:v>
      </x:c>
      <x:c r="F361" s="60" t="n">
        <x:v>0.0625</x:v>
      </x:c>
      <x:c r="G361" s="60" t="n">
        <x:v>0.005</x:v>
      </x:c>
      <x:c r="H361" s="23" t="n">
        <x:f>IF(D361=F361,0,1)+IF(E361=G361,0,1)</x:f>
        <x:v>0</x:v>
      </x:c>
      <x:c r="I361" s="23" t="str">
        <x:v>Timing T20 / fictional rates</x:v>
      </x:c>
    </x:row>
    <x:row r="362" ht="21" customHeight="1">
      <x:c r="A362" s="23" t="str">
        <x:v>back_low</x:v>
      </x:c>
      <x:c r="B362" s="23" t="n">
        <x:v>19</x:v>
      </x:c>
      <x:c r="C362" s="37" t="n">
        <x:v>48122</x:v>
      </x:c>
      <x:c r="D362" s="55" t="n">
        <x:v>0.0625</x:v>
      </x:c>
      <x:c r="E362" s="55" t="n">
        <x:v>0.005</x:v>
      </x:c>
      <x:c r="F362" s="60" t="n">
        <x:v>0.0625</x:v>
      </x:c>
      <x:c r="G362" s="60" t="n">
        <x:v>0.005</x:v>
      </x:c>
      <x:c r="H362" s="23" t="n">
        <x:f>IF(D362=F362,0,1)+IF(E362=G362,0,1)</x:f>
        <x:v>0</x:v>
      </x:c>
      <x:c r="I362" s="23" t="str">
        <x:v>Timing T20 / fictional rates</x:v>
      </x:c>
    </x:row>
    <x:row r="363" ht="21" customHeight="1">
      <x:c r="A363" s="23" t="str">
        <x:v>back_low</x:v>
      </x:c>
      <x:c r="B363" s="23" t="n">
        <x:v>20</x:v>
      </x:c>
      <x:c r="C363" s="37" t="n">
        <x:v>48214</x:v>
      </x:c>
      <x:c r="D363" s="55" t="n">
        <x:v>0.0625</x:v>
      </x:c>
      <x:c r="E363" s="55" t="n">
        <x:v>0.005</x:v>
      </x:c>
      <x:c r="F363" s="60" t="n">
        <x:v>0.0625</x:v>
      </x:c>
      <x:c r="G363" s="60" t="n">
        <x:v>0.005</x:v>
      </x:c>
      <x:c r="H363" s="23" t="n">
        <x:f>IF(D363=F363,0,1)+IF(E363=G363,0,1)</x:f>
        <x:v>0</x:v>
      </x:c>
      <x:c r="I363" s="23" t="str">
        <x:v>Timing T20 / fictional rates</x:v>
      </x:c>
    </x:row>
    <x:row r="364" ht="21" customHeight="1">
      <x:c r="A364" s="23" t="str">
        <x:v>back_low</x:v>
      </x:c>
      <x:c r="B364" s="23" t="n">
        <x:v>21</x:v>
      </x:c>
      <x:c r="C364" s="37" t="n">
        <x:v>48305</x:v>
      </x:c>
      <x:c r="D364" s="55" t="n">
        <x:v>0</x:v>
      </x:c>
      <x:c r="E364" s="55" t="n">
        <x:v>0.005</x:v>
      </x:c>
      <x:c r="F364" s="60" t="n">
        <x:v>0</x:v>
      </x:c>
      <x:c r="G364" s="60" t="n">
        <x:v>0.005</x:v>
      </x:c>
      <x:c r="H364" s="23" t="n">
        <x:f>IF(D364=F364,0,1)+IF(E364=G364,0,1)</x:f>
        <x:v>0</x:v>
      </x:c>
      <x:c r="I364" s="23" t="str">
        <x:v>Timing T20 / fictional rates</x:v>
      </x:c>
    </x:row>
    <x:row r="365" ht="21" customHeight="1">
      <x:c r="A365" s="23" t="str">
        <x:v>back_low</x:v>
      </x:c>
      <x:c r="B365" s="23" t="n">
        <x:v>22</x:v>
      </x:c>
      <x:c r="C365" s="37" t="n">
        <x:v>48396</x:v>
      </x:c>
      <x:c r="D365" s="55" t="n">
        <x:v>0</x:v>
      </x:c>
      <x:c r="E365" s="55" t="n">
        <x:v>0.005</x:v>
      </x:c>
      <x:c r="F365" s="60" t="n">
        <x:v>0</x:v>
      </x:c>
      <x:c r="G365" s="60" t="n">
        <x:v>0.005</x:v>
      </x:c>
      <x:c r="H365" s="23" t="n">
        <x:f>IF(D365=F365,0,1)+IF(E365=G365,0,1)</x:f>
        <x:v>0</x:v>
      </x:c>
      <x:c r="I365" s="23" t="str">
        <x:v>Timing T20 / fictional rates</x:v>
      </x:c>
    </x:row>
    <x:row r="366" ht="21" customHeight="1">
      <x:c r="A366" s="23" t="str">
        <x:v>back_low</x:v>
      </x:c>
      <x:c r="B366" s="23" t="n">
        <x:v>23</x:v>
      </x:c>
      <x:c r="C366" s="37" t="n">
        <x:v>48488</x:v>
      </x:c>
      <x:c r="D366" s="55" t="n">
        <x:v>0</x:v>
      </x:c>
      <x:c r="E366" s="55" t="n">
        <x:v>0.005</x:v>
      </x:c>
      <x:c r="F366" s="60" t="n">
        <x:v>0</x:v>
      </x:c>
      <x:c r="G366" s="60" t="n">
        <x:v>0.005</x:v>
      </x:c>
      <x:c r="H366" s="23" t="n">
        <x:f>IF(D366=F366,0,1)+IF(E366=G366,0,1)</x:f>
        <x:v>0</x:v>
      </x:c>
      <x:c r="I366" s="23" t="str">
        <x:v>Timing T20 / fictional rates</x:v>
      </x:c>
    </x:row>
    <x:row r="367" ht="21" customHeight="1">
      <x:c r="A367" s="23" t="str">
        <x:v>back_low</x:v>
      </x:c>
      <x:c r="B367" s="23" t="n">
        <x:v>24</x:v>
      </x:c>
      <x:c r="C367" s="37" t="n">
        <x:v>48580</x:v>
      </x:c>
      <x:c r="D367" s="55" t="n">
        <x:v>0</x:v>
      </x:c>
      <x:c r="E367" s="55" t="n">
        <x:v>0.005</x:v>
      </x:c>
      <x:c r="F367" s="60" t="n">
        <x:v>0</x:v>
      </x:c>
      <x:c r="G367" s="60" t="n">
        <x:v>0.005</x:v>
      </x:c>
      <x:c r="H367" s="23" t="n">
        <x:f>IF(D367=F367,0,1)+IF(E367=G367,0,1)</x:f>
        <x:v>0</x:v>
      </x:c>
      <x:c r="I367" s="23" t="str">
        <x:v>Timing T20 / fictional rates</x:v>
      </x:c>
    </x:row>
    <x:row r="368" ht="21" customHeight="1">
      <x:c r="A368" s="23" t="str">
        <x:v>back_low</x:v>
      </x:c>
      <x:c r="B368" s="23" t="n">
        <x:v>25</x:v>
      </x:c>
      <x:c r="C368" s="37" t="n">
        <x:v>48670</x:v>
      </x:c>
      <x:c r="D368" s="55" t="n">
        <x:v>0</x:v>
      </x:c>
      <x:c r="E368" s="55" t="n">
        <x:v>0.005</x:v>
      </x:c>
      <x:c r="F368" s="60" t="n">
        <x:v>0</x:v>
      </x:c>
      <x:c r="G368" s="60" t="n">
        <x:v>0.005</x:v>
      </x:c>
      <x:c r="H368" s="23" t="n">
        <x:f>IF(D368=F368,0,1)+IF(E368=G368,0,1)</x:f>
        <x:v>0</x:v>
      </x:c>
      <x:c r="I368" s="23" t="str">
        <x:v>Timing T20 / fictional rates</x:v>
      </x:c>
    </x:row>
    <x:row r="369" ht="21" customHeight="1">
      <x:c r="A369" s="23" t="str">
        <x:v>back_low</x:v>
      </x:c>
      <x:c r="B369" s="23" t="n">
        <x:v>26</x:v>
      </x:c>
      <x:c r="C369" s="37" t="n">
        <x:v>48761</x:v>
      </x:c>
      <x:c r="D369" s="55" t="n">
        <x:v>0</x:v>
      </x:c>
      <x:c r="E369" s="55" t="n">
        <x:v>0.005</x:v>
      </x:c>
      <x:c r="F369" s="60" t="n">
        <x:v>0</x:v>
      </x:c>
      <x:c r="G369" s="60" t="n">
        <x:v>0.005</x:v>
      </x:c>
      <x:c r="H369" s="23" t="n">
        <x:f>IF(D369=F369,0,1)+IF(E369=G369,0,1)</x:f>
        <x:v>0</x:v>
      </x:c>
      <x:c r="I369" s="23" t="str">
        <x:v>Timing T20 / fictional rates</x:v>
      </x:c>
    </x:row>
    <x:row r="370" ht="21" customHeight="1">
      <x:c r="A370" s="23" t="str">
        <x:v>back_low</x:v>
      </x:c>
      <x:c r="B370" s="23" t="n">
        <x:v>27</x:v>
      </x:c>
      <x:c r="C370" s="37" t="n">
        <x:v>48853</x:v>
      </x:c>
      <x:c r="D370" s="55" t="n">
        <x:v>0</x:v>
      </x:c>
      <x:c r="E370" s="55" t="n">
        <x:v>0.005</x:v>
      </x:c>
      <x:c r="F370" s="60" t="n">
        <x:v>0</x:v>
      </x:c>
      <x:c r="G370" s="60" t="n">
        <x:v>0.005</x:v>
      </x:c>
      <x:c r="H370" s="23" t="n">
        <x:f>IF(D370=F370,0,1)+IF(E370=G370,0,1)</x:f>
        <x:v>0</x:v>
      </x:c>
      <x:c r="I370" s="23" t="str">
        <x:v>Timing T20 / fictional rates</x:v>
      </x:c>
    </x:row>
    <x:row r="371" ht="21" customHeight="1">
      <x:c r="A371" s="23" t="str">
        <x:v>back_low</x:v>
      </x:c>
      <x:c r="B371" s="23" t="n">
        <x:v>28</x:v>
      </x:c>
      <x:c r="C371" s="37" t="n">
        <x:v>48945</x:v>
      </x:c>
      <x:c r="D371" s="55" t="n">
        <x:v>0</x:v>
      </x:c>
      <x:c r="E371" s="55" t="n">
        <x:v>0.005</x:v>
      </x:c>
      <x:c r="F371" s="60" t="n">
        <x:v>0</x:v>
      </x:c>
      <x:c r="G371" s="60" t="n">
        <x:v>0.005</x:v>
      </x:c>
      <x:c r="H371" s="23" t="n">
        <x:f>IF(D371=F371,0,1)+IF(E371=G371,0,1)</x:f>
        <x:v>0</x:v>
      </x:c>
      <x:c r="I371" s="23" t="str">
        <x:v>Timing T20 / fictional rates</x:v>
      </x:c>
    </x:row>
    <x:row r="372" ht="21" customHeight="1">
      <x:c r="A372" s="23" t="str">
        <x:v>back_low</x:v>
      </x:c>
      <x:c r="B372" s="23" t="n">
        <x:v>29</x:v>
      </x:c>
      <x:c r="C372" s="37" t="n">
        <x:v>49035</x:v>
      </x:c>
      <x:c r="D372" s="55" t="n">
        <x:v>0</x:v>
      </x:c>
      <x:c r="E372" s="55" t="n">
        <x:v>0.005</x:v>
      </x:c>
      <x:c r="F372" s="60" t="n">
        <x:v>0</x:v>
      </x:c>
      <x:c r="G372" s="60" t="n">
        <x:v>0.005</x:v>
      </x:c>
      <x:c r="H372" s="23" t="n">
        <x:f>IF(D372=F372,0,1)+IF(E372=G372,0,1)</x:f>
        <x:v>0</x:v>
      </x:c>
      <x:c r="I372" s="23" t="str">
        <x:v>Timing T20 / fictional rates</x:v>
      </x:c>
    </x:row>
    <x:row r="373" ht="21" customHeight="1">
      <x:c r="A373" s="23" t="str">
        <x:v>back_low</x:v>
      </x:c>
      <x:c r="B373" s="23" t="n">
        <x:v>30</x:v>
      </x:c>
      <x:c r="C373" s="37" t="n">
        <x:v>49126</x:v>
      </x:c>
      <x:c r="D373" s="55" t="n">
        <x:v>0</x:v>
      </x:c>
      <x:c r="E373" s="55" t="n">
        <x:v>0.005</x:v>
      </x:c>
      <x:c r="F373" s="60" t="n">
        <x:v>0</x:v>
      </x:c>
      <x:c r="G373" s="60" t="n">
        <x:v>0.005</x:v>
      </x:c>
      <x:c r="H373" s="23" t="n">
        <x:f>IF(D373=F373,0,1)+IF(E373=G373,0,1)</x:f>
        <x:v>0</x:v>
      </x:c>
      <x:c r="I373" s="23" t="str">
        <x:v>Timing T20 / fictional rates</x:v>
      </x:c>
    </x:row>
    <x:row r="374" ht="21" customHeight="1">
      <x:c r="A374" s="23" t="str">
        <x:v>back_low</x:v>
      </x:c>
      <x:c r="B374" s="23" t="n">
        <x:v>31</x:v>
      </x:c>
      <x:c r="C374" s="37" t="n">
        <x:v>49218</x:v>
      </x:c>
      <x:c r="D374" s="55" t="n">
        <x:v>0</x:v>
      </x:c>
      <x:c r="E374" s="55" t="n">
        <x:v>0.005</x:v>
      </x:c>
      <x:c r="F374" s="60" t="n">
        <x:v>0</x:v>
      </x:c>
      <x:c r="G374" s="60" t="n">
        <x:v>0.005</x:v>
      </x:c>
      <x:c r="H374" s="23" t="n">
        <x:f>IF(D374=F374,0,1)+IF(E374=G374,0,1)</x:f>
        <x:v>0</x:v>
      </x:c>
      <x:c r="I374" s="23" t="str">
        <x:v>Timing T20 / fictional rates</x:v>
      </x:c>
    </x:row>
    <x:row r="375" ht="21" customHeight="1">
      <x:c r="A375" s="23" t="str">
        <x:v>back_low</x:v>
      </x:c>
      <x:c r="B375" s="23" t="n">
        <x:v>32</x:v>
      </x:c>
      <x:c r="C375" s="37" t="n">
        <x:v>49310</x:v>
      </x:c>
      <x:c r="D375" s="55" t="n">
        <x:v>0</x:v>
      </x:c>
      <x:c r="E375" s="55" t="n">
        <x:v>0.005</x:v>
      </x:c>
      <x:c r="F375" s="60" t="n">
        <x:v>0</x:v>
      </x:c>
      <x:c r="G375" s="60" t="n">
        <x:v>0.005</x:v>
      </x:c>
      <x:c r="H375" s="23" t="n">
        <x:f>IF(D375=F375,0,1)+IF(E375=G375,0,1)</x:f>
        <x:v>0</x:v>
      </x:c>
      <x:c r="I375" s="23" t="str">
        <x:v>Timing T20 / fictional rates</x:v>
      </x:c>
    </x:row>
    <x:row r="376" ht="21" customHeight="1">
      <x:c r="A376" s="23" t="str">
        <x:v>back_low</x:v>
      </x:c>
      <x:c r="B376" s="23" t="n">
        <x:v>33</x:v>
      </x:c>
      <x:c r="C376" s="37" t="n">
        <x:v>49400</x:v>
      </x:c>
      <x:c r="D376" s="55" t="n">
        <x:v>0</x:v>
      </x:c>
      <x:c r="E376" s="55" t="n">
        <x:v>0.005</x:v>
      </x:c>
      <x:c r="F376" s="60" t="n">
        <x:v>0</x:v>
      </x:c>
      <x:c r="G376" s="60" t="n">
        <x:v>0.005</x:v>
      </x:c>
      <x:c r="H376" s="23" t="n">
        <x:f>IF(D376=F376,0,1)+IF(E376=G376,0,1)</x:f>
        <x:v>0</x:v>
      </x:c>
      <x:c r="I376" s="23" t="str">
        <x:v>Timing T20 / fictional rates</x:v>
      </x:c>
    </x:row>
    <x:row r="377" ht="21" customHeight="1">
      <x:c r="A377" s="23" t="str">
        <x:v>back_low</x:v>
      </x:c>
      <x:c r="B377" s="23" t="n">
        <x:v>34</x:v>
      </x:c>
      <x:c r="C377" s="37" t="n">
        <x:v>49491</x:v>
      </x:c>
      <x:c r="D377" s="55" t="n">
        <x:v>0</x:v>
      </x:c>
      <x:c r="E377" s="55" t="n">
        <x:v>0.005</x:v>
      </x:c>
      <x:c r="F377" s="60" t="n">
        <x:v>0</x:v>
      </x:c>
      <x:c r="G377" s="60" t="n">
        <x:v>0.005</x:v>
      </x:c>
      <x:c r="H377" s="23" t="n">
        <x:f>IF(D377=F377,0,1)+IF(E377=G377,0,1)</x:f>
        <x:v>0</x:v>
      </x:c>
      <x:c r="I377" s="23" t="str">
        <x:v>Timing T20 / fictional rates</x:v>
      </x:c>
    </x:row>
    <x:row r="378" ht="21" customHeight="1">
      <x:c r="A378" s="23" t="str">
        <x:v>back_low</x:v>
      </x:c>
      <x:c r="B378" s="23" t="n">
        <x:v>35</x:v>
      </x:c>
      <x:c r="C378" s="37" t="n">
        <x:v>49583</x:v>
      </x:c>
      <x:c r="D378" s="55" t="n">
        <x:v>0</x:v>
      </x:c>
      <x:c r="E378" s="55" t="n">
        <x:v>0.005</x:v>
      </x:c>
      <x:c r="F378" s="60" t="n">
        <x:v>0</x:v>
      </x:c>
      <x:c r="G378" s="60" t="n">
        <x:v>0.005</x:v>
      </x:c>
      <x:c r="H378" s="23" t="n">
        <x:f>IF(D378=F378,0,1)+IF(E378=G378,0,1)</x:f>
        <x:v>0</x:v>
      </x:c>
      <x:c r="I378" s="23" t="str">
        <x:v>Timing T20 / fictional rates</x:v>
      </x:c>
    </x:row>
    <x:row r="379" ht="21" customHeight="1">
      <x:c r="A379" s="23" t="str">
        <x:v>back_low</x:v>
      </x:c>
      <x:c r="B379" s="23" t="n">
        <x:v>36</x:v>
      </x:c>
      <x:c r="C379" s="37" t="n">
        <x:v>49675</x:v>
      </x:c>
      <x:c r="D379" s="55" t="n">
        <x:v>0</x:v>
      </x:c>
      <x:c r="E379" s="55" t="n">
        <x:v>0.005</x:v>
      </x:c>
      <x:c r="F379" s="60" t="n">
        <x:v>0</x:v>
      </x:c>
      <x:c r="G379" s="60" t="n">
        <x:v>0.005</x:v>
      </x:c>
      <x:c r="H379" s="23" t="n">
        <x:f>IF(D379=F379,0,1)+IF(E379=G379,0,1)</x:f>
        <x:v>0</x:v>
      </x:c>
      <x:c r="I379" s="23" t="str">
        <x:v>Timing T20 / fictional rates</x:v>
      </x:c>
    </x:row>
    <x:row r="380" ht="21" customHeight="1">
      <x:c r="A380" s="23" t="str">
        <x:v>back_low</x:v>
      </x:c>
      <x:c r="B380" s="23" t="n">
        <x:v>37</x:v>
      </x:c>
      <x:c r="C380" s="37" t="n">
        <x:v>49766</x:v>
      </x:c>
      <x:c r="D380" s="55" t="n">
        <x:v>0</x:v>
      </x:c>
      <x:c r="E380" s="55" t="n">
        <x:v>0.005</x:v>
      </x:c>
      <x:c r="F380" s="60" t="n">
        <x:v>0</x:v>
      </x:c>
      <x:c r="G380" s="60" t="n">
        <x:v>0.005</x:v>
      </x:c>
      <x:c r="H380" s="23" t="n">
        <x:f>IF(D380=F380,0,1)+IF(E380=G380,0,1)</x:f>
        <x:v>0</x:v>
      </x:c>
      <x:c r="I380" s="23" t="str">
        <x:v>Timing T20 / fictional rates</x:v>
      </x:c>
    </x:row>
    <x:row r="381" ht="21" customHeight="1">
      <x:c r="A381" s="23" t="str">
        <x:v>back_low</x:v>
      </x:c>
      <x:c r="B381" s="23" t="n">
        <x:v>38</x:v>
      </x:c>
      <x:c r="C381" s="37" t="n">
        <x:v>49857</x:v>
      </x:c>
      <x:c r="D381" s="55" t="n">
        <x:v>0</x:v>
      </x:c>
      <x:c r="E381" s="55" t="n">
        <x:v>0.005</x:v>
      </x:c>
      <x:c r="F381" s="60" t="n">
        <x:v>0</x:v>
      </x:c>
      <x:c r="G381" s="60" t="n">
        <x:v>0.005</x:v>
      </x:c>
      <x:c r="H381" s="23" t="n">
        <x:f>IF(D381=F381,0,1)+IF(E381=G381,0,1)</x:f>
        <x:v>0</x:v>
      </x:c>
      <x:c r="I381" s="23" t="str">
        <x:v>Timing T20 / fictional rates</x:v>
      </x:c>
    </x:row>
    <x:row r="382" ht="21" customHeight="1">
      <x:c r="A382" s="23" t="str">
        <x:v>back_low</x:v>
      </x:c>
      <x:c r="B382" s="23" t="n">
        <x:v>39</x:v>
      </x:c>
      <x:c r="C382" s="37" t="n">
        <x:v>49949</x:v>
      </x:c>
      <x:c r="D382" s="55" t="n">
        <x:v>0</x:v>
      </x:c>
      <x:c r="E382" s="55" t="n">
        <x:v>0.005</x:v>
      </x:c>
      <x:c r="F382" s="60" t="n">
        <x:v>0</x:v>
      </x:c>
      <x:c r="G382" s="60" t="n">
        <x:v>0.005</x:v>
      </x:c>
      <x:c r="H382" s="23" t="n">
        <x:f>IF(D382=F382,0,1)+IF(E382=G382,0,1)</x:f>
        <x:v>0</x:v>
      </x:c>
      <x:c r="I382" s="23" t="str">
        <x:v>Timing T20 / fictional rates</x:v>
      </x:c>
    </x:row>
    <x:row r="383" ht="21" customHeight="1">
      <x:c r="A383" s="23" t="str">
        <x:v>back_low</x:v>
      </x:c>
      <x:c r="B383" s="23" t="n">
        <x:v>40</x:v>
      </x:c>
      <x:c r="C383" s="37" t="n">
        <x:v>50041</x:v>
      </x:c>
      <x:c r="D383" s="55" t="n">
        <x:v>0</x:v>
      </x:c>
      <x:c r="E383" s="55" t="n">
        <x:v>0.005</x:v>
      </x:c>
      <x:c r="F383" s="60" t="n">
        <x:v>0</x:v>
      </x:c>
      <x:c r="G383" s="60" t="n">
        <x:v>0.005</x:v>
      </x:c>
      <x:c r="H383" s="23" t="n">
        <x:f>IF(D383=F383,0,1)+IF(E383=G383,0,1)</x:f>
        <x:v>0</x:v>
      </x:c>
      <x:c r="I383" s="23" t="str">
        <x:v>Timing T20 / fictional rates</x:v>
      </x:c>
    </x:row>
    <x:row r="384" ht="21" customHeight="1">
      <x:c r="A384" s="23" t="str">
        <x:v>back_low</x:v>
      </x:c>
      <x:c r="B384" s="23" t="n">
        <x:v>41</x:v>
      </x:c>
      <x:c r="C384" s="37" t="n">
        <x:v>50131</x:v>
      </x:c>
      <x:c r="D384" s="55" t="n">
        <x:v>0</x:v>
      </x:c>
      <x:c r="E384" s="55" t="n">
        <x:v>0.005</x:v>
      </x:c>
      <x:c r="F384" s="60" t="n">
        <x:v>0</x:v>
      </x:c>
      <x:c r="G384" s="60" t="n">
        <x:v>0.005</x:v>
      </x:c>
      <x:c r="H384" s="23" t="n">
        <x:f>IF(D384=F384,0,1)+IF(E384=G384,0,1)</x:f>
        <x:v>0</x:v>
      </x:c>
      <x:c r="I384" s="23" t="str">
        <x:v>Timing T20 / fictional rates</x:v>
      </x:c>
    </x:row>
    <x:row r="385" ht="21" customHeight="1">
      <x:c r="A385" s="23" t="str">
        <x:v>back_low</x:v>
      </x:c>
      <x:c r="B385" s="23" t="n">
        <x:v>42</x:v>
      </x:c>
      <x:c r="C385" s="37" t="n">
        <x:v>50222</x:v>
      </x:c>
      <x:c r="D385" s="55" t="n">
        <x:v>0</x:v>
      </x:c>
      <x:c r="E385" s="55" t="n">
        <x:v>0.005</x:v>
      </x:c>
      <x:c r="F385" s="60" t="n">
        <x:v>0</x:v>
      </x:c>
      <x:c r="G385" s="60" t="n">
        <x:v>0.005</x:v>
      </x:c>
      <x:c r="H385" s="23" t="n">
        <x:f>IF(D385=F385,0,1)+IF(E385=G385,0,1)</x:f>
        <x:v>0</x:v>
      </x:c>
      <x:c r="I385" s="23" t="str">
        <x:v>Timing T20 / fictional rates</x:v>
      </x:c>
    </x:row>
    <x:row r="386" ht="21" customHeight="1">
      <x:c r="A386" s="23" t="str">
        <x:v>back_low</x:v>
      </x:c>
      <x:c r="B386" s="23" t="n">
        <x:v>43</x:v>
      </x:c>
      <x:c r="C386" s="37" t="n">
        <x:v>50314</x:v>
      </x:c>
      <x:c r="D386" s="55" t="n">
        <x:v>0</x:v>
      </x:c>
      <x:c r="E386" s="55" t="n">
        <x:v>0.005</x:v>
      </x:c>
      <x:c r="F386" s="60" t="n">
        <x:v>0</x:v>
      </x:c>
      <x:c r="G386" s="60" t="n">
        <x:v>0.005</x:v>
      </x:c>
      <x:c r="H386" s="23" t="n">
        <x:f>IF(D386=F386,0,1)+IF(E386=G386,0,1)</x:f>
        <x:v>0</x:v>
      </x:c>
      <x:c r="I386" s="23" t="str">
        <x:v>Timing T20 / fictional rates</x:v>
      </x:c>
    </x:row>
    <x:row r="387" ht="21" customHeight="1">
      <x:c r="A387" s="23" t="str">
        <x:v>back_low</x:v>
      </x:c>
      <x:c r="B387" s="23" t="n">
        <x:v>44</x:v>
      </x:c>
      <x:c r="C387" s="37" t="n">
        <x:v>50406</x:v>
      </x:c>
      <x:c r="D387" s="55" t="n">
        <x:v>0</x:v>
      </x:c>
      <x:c r="E387" s="55" t="n">
        <x:v>0.005</x:v>
      </x:c>
      <x:c r="F387" s="60" t="n">
        <x:v>0</x:v>
      </x:c>
      <x:c r="G387" s="60" t="n">
        <x:v>0.005</x:v>
      </x:c>
      <x:c r="H387" s="23" t="n">
        <x:f>IF(D387=F387,0,1)+IF(E387=G387,0,1)</x:f>
        <x:v>0</x:v>
      </x:c>
      <x:c r="I387" s="23" t="str">
        <x:v>Timing T20 / fictional rates</x:v>
      </x:c>
    </x:row>
    <x:row r="388" ht="21" customHeight="1">
      <x:c r="A388" s="23" t="str">
        <x:v>back_low</x:v>
      </x:c>
      <x:c r="B388" s="23" t="n">
        <x:v>45</x:v>
      </x:c>
      <x:c r="C388" s="37" t="n">
        <x:v>50496</x:v>
      </x:c>
      <x:c r="D388" s="55" t="n">
        <x:v>0</x:v>
      </x:c>
      <x:c r="E388" s="55" t="n">
        <x:v>0.005</x:v>
      </x:c>
      <x:c r="F388" s="60" t="n">
        <x:v>0</x:v>
      </x:c>
      <x:c r="G388" s="60" t="n">
        <x:v>0.005</x:v>
      </x:c>
      <x:c r="H388" s="23" t="n">
        <x:f>IF(D388=F388,0,1)+IF(E388=G388,0,1)</x:f>
        <x:v>0</x:v>
      </x:c>
      <x:c r="I388" s="23" t="str">
        <x:v>Timing T20 / fictional rates</x:v>
      </x:c>
    </x:row>
    <x:row r="389" ht="21" customHeight="1">
      <x:c r="A389" s="23" t="str">
        <x:v>back_low</x:v>
      </x:c>
      <x:c r="B389" s="23" t="n">
        <x:v>46</x:v>
      </x:c>
      <x:c r="C389" s="37" t="n">
        <x:v>50587</x:v>
      </x:c>
      <x:c r="D389" s="55" t="n">
        <x:v>0</x:v>
      </x:c>
      <x:c r="E389" s="55" t="n">
        <x:v>0.005</x:v>
      </x:c>
      <x:c r="F389" s="60" t="n">
        <x:v>0</x:v>
      </x:c>
      <x:c r="G389" s="60" t="n">
        <x:v>0.005</x:v>
      </x:c>
      <x:c r="H389" s="23" t="n">
        <x:f>IF(D389=F389,0,1)+IF(E389=G389,0,1)</x:f>
        <x:v>0</x:v>
      </x:c>
      <x:c r="I389" s="23" t="str">
        <x:v>Timing T20 / fictional rates</x:v>
      </x:c>
    </x:row>
    <x:row r="390" ht="21" customHeight="1">
      <x:c r="A390" s="23" t="str">
        <x:v>back_low</x:v>
      </x:c>
      <x:c r="B390" s="23" t="n">
        <x:v>47</x:v>
      </x:c>
      <x:c r="C390" s="37" t="n">
        <x:v>50679</x:v>
      </x:c>
      <x:c r="D390" s="55" t="n">
        <x:v>0</x:v>
      </x:c>
      <x:c r="E390" s="55" t="n">
        <x:v>0.005</x:v>
      </x:c>
      <x:c r="F390" s="60" t="n">
        <x:v>0</x:v>
      </x:c>
      <x:c r="G390" s="60" t="n">
        <x:v>0.005</x:v>
      </x:c>
      <x:c r="H390" s="23" t="n">
        <x:f>IF(D390=F390,0,1)+IF(E390=G390,0,1)</x:f>
        <x:v>0</x:v>
      </x:c>
      <x:c r="I390" s="23" t="str">
        <x:v>Timing T20 / fictional rates</x:v>
      </x:c>
    </x:row>
    <x:row r="391" ht="21" customHeight="1">
      <x:c r="A391" s="23" t="str">
        <x:v>back_low</x:v>
      </x:c>
      <x:c r="B391" s="23" t="n">
        <x:v>48</x:v>
      </x:c>
      <x:c r="C391" s="37" t="n">
        <x:v>50771</x:v>
      </x:c>
      <x:c r="D391" s="55" t="n">
        <x:v>0</x:v>
      </x:c>
      <x:c r="E391" s="55" t="n">
        <x:v>0.005</x:v>
      </x:c>
      <x:c r="F391" s="60" t="n">
        <x:v>0</x:v>
      </x:c>
      <x:c r="G391" s="60" t="n">
        <x:v>0.005</x:v>
      </x:c>
      <x:c r="H391" s="23" t="n">
        <x:f>IF(D391=F391,0,1)+IF(E391=G391,0,1)</x:f>
        <x:v>0</x:v>
      </x:c>
      <x:c r="I391" s="23" t="str">
        <x:v>Timing T20 / fictional rates</x:v>
      </x:c>
    </x:row>
    <x:row r="392" ht="21" customHeight="1">
      <x:c r="A392" s="23" t="str">
        <x:v>back_high</x:v>
      </x:c>
      <x:c r="B392" s="23" t="n">
        <x:v>1</x:v>
      </x:c>
      <x:c r="C392" s="37" t="n">
        <x:v>46478</x:v>
      </x:c>
      <x:c r="D392" s="55" t="n">
        <x:v>0.03</x:v>
      </x:c>
      <x:c r="E392" s="55" t="n">
        <x:v>0.06</x:v>
      </x:c>
      <x:c r="F392" s="60" t="n">
        <x:v>0.03</x:v>
      </x:c>
      <x:c r="G392" s="60" t="n">
        <x:v>0.06</x:v>
      </x:c>
      <x:c r="H392" s="23" t="n">
        <x:f>IF(D392=F392,0,1)+IF(E392=G392,0,1)</x:f>
        <x:v>0</x:v>
      </x:c>
      <x:c r="I392" s="23" t="str">
        <x:v>Timing T20 / fictional rates</x:v>
      </x:c>
    </x:row>
    <x:row r="393" ht="21" customHeight="1">
      <x:c r="A393" s="23" t="str">
        <x:v>back_high</x:v>
      </x:c>
      <x:c r="B393" s="23" t="n">
        <x:v>2</x:v>
      </x:c>
      <x:c r="C393" s="37" t="n">
        <x:v>46569</x:v>
      </x:c>
      <x:c r="D393" s="55" t="n">
        <x:v>0.03</x:v>
      </x:c>
      <x:c r="E393" s="55" t="n">
        <x:v>0.06</x:v>
      </x:c>
      <x:c r="F393" s="60" t="n">
        <x:v>0.03</x:v>
      </x:c>
      <x:c r="G393" s="60" t="n">
        <x:v>0.06</x:v>
      </x:c>
      <x:c r="H393" s="23" t="n">
        <x:f>IF(D393=F393,0,1)+IF(E393=G393,0,1)</x:f>
        <x:v>0</x:v>
      </x:c>
      <x:c r="I393" s="23" t="str">
        <x:v>Timing T20 / fictional rates</x:v>
      </x:c>
    </x:row>
    <x:row r="394" ht="21" customHeight="1">
      <x:c r="A394" s="23" t="str">
        <x:v>back_high</x:v>
      </x:c>
      <x:c r="B394" s="23" t="n">
        <x:v>3</x:v>
      </x:c>
      <x:c r="C394" s="37" t="n">
        <x:v>46661</x:v>
      </x:c>
      <x:c r="D394" s="55" t="n">
        <x:v>0.03</x:v>
      </x:c>
      <x:c r="E394" s="55" t="n">
        <x:v>0.06</x:v>
      </x:c>
      <x:c r="F394" s="60" t="n">
        <x:v>0.03</x:v>
      </x:c>
      <x:c r="G394" s="60" t="n">
        <x:v>0.06</x:v>
      </x:c>
      <x:c r="H394" s="23" t="n">
        <x:f>IF(D394=F394,0,1)+IF(E394=G394,0,1)</x:f>
        <x:v>0</x:v>
      </x:c>
      <x:c r="I394" s="23" t="str">
        <x:v>Timing T20 / fictional rates</x:v>
      </x:c>
    </x:row>
    <x:row r="395" ht="21" customHeight="1">
      <x:c r="A395" s="23" t="str">
        <x:v>back_high</x:v>
      </x:c>
      <x:c r="B395" s="23" t="n">
        <x:v>4</x:v>
      </x:c>
      <x:c r="C395" s="37" t="n">
        <x:v>46753</x:v>
      </x:c>
      <x:c r="D395" s="55" t="n">
        <x:v>0.03</x:v>
      </x:c>
      <x:c r="E395" s="55" t="n">
        <x:v>0.06</x:v>
      </x:c>
      <x:c r="F395" s="60" t="n">
        <x:v>0.03</x:v>
      </x:c>
      <x:c r="G395" s="60" t="n">
        <x:v>0.06</x:v>
      </x:c>
      <x:c r="H395" s="23" t="n">
        <x:f>IF(D395=F395,0,1)+IF(E395=G395,0,1)</x:f>
        <x:v>0</x:v>
      </x:c>
      <x:c r="I395" s="23" t="str">
        <x:v>Timing T20 / fictional rates</x:v>
      </x:c>
    </x:row>
    <x:row r="396" ht="21" customHeight="1">
      <x:c r="A396" s="23" t="str">
        <x:v>back_high</x:v>
      </x:c>
      <x:c r="B396" s="23" t="n">
        <x:v>5</x:v>
      </x:c>
      <x:c r="C396" s="37" t="n">
        <x:v>46844</x:v>
      </x:c>
      <x:c r="D396" s="55" t="n">
        <x:v>0.045</x:v>
      </x:c>
      <x:c r="E396" s="55" t="n">
        <x:v>0.06</x:v>
      </x:c>
      <x:c r="F396" s="60" t="n">
        <x:v>0.045</x:v>
      </x:c>
      <x:c r="G396" s="60" t="n">
        <x:v>0.06</x:v>
      </x:c>
      <x:c r="H396" s="23" t="n">
        <x:f>IF(D396=F396,0,1)+IF(E396=G396,0,1)</x:f>
        <x:v>0</x:v>
      </x:c>
      <x:c r="I396" s="23" t="str">
        <x:v>Timing T20 / fictional rates</x:v>
      </x:c>
    </x:row>
    <x:row r="397" ht="21" customHeight="1">
      <x:c r="A397" s="23" t="str">
        <x:v>back_high</x:v>
      </x:c>
      <x:c r="B397" s="23" t="n">
        <x:v>6</x:v>
      </x:c>
      <x:c r="C397" s="37" t="n">
        <x:v>46935</x:v>
      </x:c>
      <x:c r="D397" s="55" t="n">
        <x:v>0.045</x:v>
      </x:c>
      <x:c r="E397" s="55" t="n">
        <x:v>0.06</x:v>
      </x:c>
      <x:c r="F397" s="60" t="n">
        <x:v>0.045</x:v>
      </x:c>
      <x:c r="G397" s="60" t="n">
        <x:v>0.06</x:v>
      </x:c>
      <x:c r="H397" s="23" t="n">
        <x:f>IF(D397=F397,0,1)+IF(E397=G397,0,1)</x:f>
        <x:v>0</x:v>
      </x:c>
      <x:c r="I397" s="23" t="str">
        <x:v>Timing T20 / fictional rates</x:v>
      </x:c>
    </x:row>
    <x:row r="398" ht="21" customHeight="1">
      <x:c r="A398" s="23" t="str">
        <x:v>back_high</x:v>
      </x:c>
      <x:c r="B398" s="23" t="n">
        <x:v>7</x:v>
      </x:c>
      <x:c r="C398" s="37" t="n">
        <x:v>47027</x:v>
      </x:c>
      <x:c r="D398" s="55" t="n">
        <x:v>0.045</x:v>
      </x:c>
      <x:c r="E398" s="55" t="n">
        <x:v>0.06</x:v>
      </x:c>
      <x:c r="F398" s="60" t="n">
        <x:v>0.045</x:v>
      </x:c>
      <x:c r="G398" s="60" t="n">
        <x:v>0.06</x:v>
      </x:c>
      <x:c r="H398" s="23" t="n">
        <x:f>IF(D398=F398,0,1)+IF(E398=G398,0,1)</x:f>
        <x:v>0</x:v>
      </x:c>
      <x:c r="I398" s="23" t="str">
        <x:v>Timing T20 / fictional rates</x:v>
      </x:c>
    </x:row>
    <x:row r="399" ht="21" customHeight="1">
      <x:c r="A399" s="23" t="str">
        <x:v>back_high</x:v>
      </x:c>
      <x:c r="B399" s="23" t="n">
        <x:v>8</x:v>
      </x:c>
      <x:c r="C399" s="37" t="n">
        <x:v>47119</x:v>
      </x:c>
      <x:c r="D399" s="55" t="n">
        <x:v>0.045</x:v>
      </x:c>
      <x:c r="E399" s="55" t="n">
        <x:v>0.06</x:v>
      </x:c>
      <x:c r="F399" s="60" t="n">
        <x:v>0.045</x:v>
      </x:c>
      <x:c r="G399" s="60" t="n">
        <x:v>0.06</x:v>
      </x:c>
      <x:c r="H399" s="23" t="n">
        <x:f>IF(D399=F399,0,1)+IF(E399=G399,0,1)</x:f>
        <x:v>0</x:v>
      </x:c>
      <x:c r="I399" s="23" t="str">
        <x:v>Timing T20 / fictional rates</x:v>
      </x:c>
    </x:row>
    <x:row r="400" ht="21" customHeight="1">
      <x:c r="A400" s="23" t="str">
        <x:v>back_high</x:v>
      </x:c>
      <x:c r="B400" s="23" t="n">
        <x:v>9</x:v>
      </x:c>
      <x:c r="C400" s="37" t="n">
        <x:v>47209</x:v>
      </x:c>
      <x:c r="D400" s="55" t="n">
        <x:v>0.055</x:v>
      </x:c>
      <x:c r="E400" s="55" t="n">
        <x:v>0.06</x:v>
      </x:c>
      <x:c r="F400" s="60" t="n">
        <x:v>0.055</x:v>
      </x:c>
      <x:c r="G400" s="60" t="n">
        <x:v>0.06</x:v>
      </x:c>
      <x:c r="H400" s="23" t="n">
        <x:f>IF(D400=F400,0,1)+IF(E400=G400,0,1)</x:f>
        <x:v>0</x:v>
      </x:c>
      <x:c r="I400" s="23" t="str">
        <x:v>Timing T20 / fictional rates</x:v>
      </x:c>
    </x:row>
    <x:row r="401" ht="21" customHeight="1">
      <x:c r="A401" s="23" t="str">
        <x:v>back_high</x:v>
      </x:c>
      <x:c r="B401" s="23" t="n">
        <x:v>10</x:v>
      </x:c>
      <x:c r="C401" s="37" t="n">
        <x:v>47300</x:v>
      </x:c>
      <x:c r="D401" s="55" t="n">
        <x:v>0.055</x:v>
      </x:c>
      <x:c r="E401" s="55" t="n">
        <x:v>0.06</x:v>
      </x:c>
      <x:c r="F401" s="60" t="n">
        <x:v>0.055</x:v>
      </x:c>
      <x:c r="G401" s="60" t="n">
        <x:v>0.06</x:v>
      </x:c>
      <x:c r="H401" s="23" t="n">
        <x:f>IF(D401=F401,0,1)+IF(E401=G401,0,1)</x:f>
        <x:v>0</x:v>
      </x:c>
      <x:c r="I401" s="23" t="str">
        <x:v>Timing T20 / fictional rates</x:v>
      </x:c>
    </x:row>
    <x:row r="402" ht="21" customHeight="1">
      <x:c r="A402" s="23" t="str">
        <x:v>back_high</x:v>
      </x:c>
      <x:c r="B402" s="23" t="n">
        <x:v>11</x:v>
      </x:c>
      <x:c r="C402" s="37" t="n">
        <x:v>47392</x:v>
      </x:c>
      <x:c r="D402" s="55" t="n">
        <x:v>0.055</x:v>
      </x:c>
      <x:c r="E402" s="55" t="n">
        <x:v>0.06</x:v>
      </x:c>
      <x:c r="F402" s="60" t="n">
        <x:v>0.055</x:v>
      </x:c>
      <x:c r="G402" s="60" t="n">
        <x:v>0.06</x:v>
      </x:c>
      <x:c r="H402" s="23" t="n">
        <x:f>IF(D402=F402,0,1)+IF(E402=G402,0,1)</x:f>
        <x:v>0</x:v>
      </x:c>
      <x:c r="I402" s="23" t="str">
        <x:v>Timing T20 / fictional rates</x:v>
      </x:c>
    </x:row>
    <x:row r="403" ht="21" customHeight="1">
      <x:c r="A403" s="23" t="str">
        <x:v>back_high</x:v>
      </x:c>
      <x:c r="B403" s="23" t="n">
        <x:v>12</x:v>
      </x:c>
      <x:c r="C403" s="37" t="n">
        <x:v>47484</x:v>
      </x:c>
      <x:c r="D403" s="55" t="n">
        <x:v>0.055</x:v>
      </x:c>
      <x:c r="E403" s="55" t="n">
        <x:v>0.06</x:v>
      </x:c>
      <x:c r="F403" s="60" t="n">
        <x:v>0.055</x:v>
      </x:c>
      <x:c r="G403" s="60" t="n">
        <x:v>0.06</x:v>
      </x:c>
      <x:c r="H403" s="23" t="n">
        <x:f>IF(D403=F403,0,1)+IF(E403=G403,0,1)</x:f>
        <x:v>0</x:v>
      </x:c>
      <x:c r="I403" s="23" t="str">
        <x:v>Timing T20 / fictional rates</x:v>
      </x:c>
    </x:row>
    <x:row r="404" ht="21" customHeight="1">
      <x:c r="A404" s="23" t="str">
        <x:v>back_high</x:v>
      </x:c>
      <x:c r="B404" s="23" t="n">
        <x:v>13</x:v>
      </x:c>
      <x:c r="C404" s="37" t="n">
        <x:v>47574</x:v>
      </x:c>
      <x:c r="D404" s="55" t="n">
        <x:v>0.0575</x:v>
      </x:c>
      <x:c r="E404" s="55" t="n">
        <x:v>0.06</x:v>
      </x:c>
      <x:c r="F404" s="60" t="n">
        <x:v>0.0575</x:v>
      </x:c>
      <x:c r="G404" s="60" t="n">
        <x:v>0.06</x:v>
      </x:c>
      <x:c r="H404" s="23" t="n">
        <x:f>IF(D404=F404,0,1)+IF(E404=G404,0,1)</x:f>
        <x:v>0</x:v>
      </x:c>
      <x:c r="I404" s="23" t="str">
        <x:v>Timing T20 / fictional rates</x:v>
      </x:c>
    </x:row>
    <x:row r="405" ht="21" customHeight="1">
      <x:c r="A405" s="23" t="str">
        <x:v>back_high</x:v>
      </x:c>
      <x:c r="B405" s="23" t="n">
        <x:v>14</x:v>
      </x:c>
      <x:c r="C405" s="37" t="n">
        <x:v>47665</x:v>
      </x:c>
      <x:c r="D405" s="55" t="n">
        <x:v>0.0575</x:v>
      </x:c>
      <x:c r="E405" s="55" t="n">
        <x:v>0.06</x:v>
      </x:c>
      <x:c r="F405" s="60" t="n">
        <x:v>0.0575</x:v>
      </x:c>
      <x:c r="G405" s="60" t="n">
        <x:v>0.06</x:v>
      </x:c>
      <x:c r="H405" s="23" t="n">
        <x:f>IF(D405=F405,0,1)+IF(E405=G405,0,1)</x:f>
        <x:v>0</x:v>
      </x:c>
      <x:c r="I405" s="23" t="str">
        <x:v>Timing T20 / fictional rates</x:v>
      </x:c>
    </x:row>
    <x:row r="406" ht="21" customHeight="1">
      <x:c r="A406" s="23" t="str">
        <x:v>back_high</x:v>
      </x:c>
      <x:c r="B406" s="23" t="n">
        <x:v>15</x:v>
      </x:c>
      <x:c r="C406" s="37" t="n">
        <x:v>47757</x:v>
      </x:c>
      <x:c r="D406" s="55" t="n">
        <x:v>0.0575</x:v>
      </x:c>
      <x:c r="E406" s="55" t="n">
        <x:v>0.06</x:v>
      </x:c>
      <x:c r="F406" s="60" t="n">
        <x:v>0.0575</x:v>
      </x:c>
      <x:c r="G406" s="60" t="n">
        <x:v>0.06</x:v>
      </x:c>
      <x:c r="H406" s="23" t="n">
        <x:f>IF(D406=F406,0,1)+IF(E406=G406,0,1)</x:f>
        <x:v>0</x:v>
      </x:c>
      <x:c r="I406" s="23" t="str">
        <x:v>Timing T20 / fictional rates</x:v>
      </x:c>
    </x:row>
    <x:row r="407" ht="21" customHeight="1">
      <x:c r="A407" s="23" t="str">
        <x:v>back_high</x:v>
      </x:c>
      <x:c r="B407" s="23" t="n">
        <x:v>16</x:v>
      </x:c>
      <x:c r="C407" s="37" t="n">
        <x:v>47849</x:v>
      </x:c>
      <x:c r="D407" s="55" t="n">
        <x:v>0.0575</x:v>
      </x:c>
      <x:c r="E407" s="55" t="n">
        <x:v>0.06</x:v>
      </x:c>
      <x:c r="F407" s="60" t="n">
        <x:v>0.0575</x:v>
      </x:c>
      <x:c r="G407" s="60" t="n">
        <x:v>0.06</x:v>
      </x:c>
      <x:c r="H407" s="23" t="n">
        <x:f>IF(D407=F407,0,1)+IF(E407=G407,0,1)</x:f>
        <x:v>0</x:v>
      </x:c>
      <x:c r="I407" s="23" t="str">
        <x:v>Timing T20 / fictional rates</x:v>
      </x:c>
    </x:row>
    <x:row r="408" ht="21" customHeight="1">
      <x:c r="A408" s="23" t="str">
        <x:v>back_high</x:v>
      </x:c>
      <x:c r="B408" s="23" t="n">
        <x:v>17</x:v>
      </x:c>
      <x:c r="C408" s="37" t="n">
        <x:v>47939</x:v>
      </x:c>
      <x:c r="D408" s="55" t="n">
        <x:v>0.0625</x:v>
      </x:c>
      <x:c r="E408" s="55" t="n">
        <x:v>0.06</x:v>
      </x:c>
      <x:c r="F408" s="60" t="n">
        <x:v>0.0625</x:v>
      </x:c>
      <x:c r="G408" s="60" t="n">
        <x:v>0.06</x:v>
      </x:c>
      <x:c r="H408" s="23" t="n">
        <x:f>IF(D408=F408,0,1)+IF(E408=G408,0,1)</x:f>
        <x:v>0</x:v>
      </x:c>
      <x:c r="I408" s="23" t="str">
        <x:v>Timing T20 / fictional rates</x:v>
      </x:c>
    </x:row>
    <x:row r="409" ht="21" customHeight="1">
      <x:c r="A409" s="23" t="str">
        <x:v>back_high</x:v>
      </x:c>
      <x:c r="B409" s="23" t="n">
        <x:v>18</x:v>
      </x:c>
      <x:c r="C409" s="37" t="n">
        <x:v>48030</x:v>
      </x:c>
      <x:c r="D409" s="55" t="n">
        <x:v>0.0625</x:v>
      </x:c>
      <x:c r="E409" s="55" t="n">
        <x:v>0.06</x:v>
      </x:c>
      <x:c r="F409" s="60" t="n">
        <x:v>0.0625</x:v>
      </x:c>
      <x:c r="G409" s="60" t="n">
        <x:v>0.06</x:v>
      </x:c>
      <x:c r="H409" s="23" t="n">
        <x:f>IF(D409=F409,0,1)+IF(E409=G409,0,1)</x:f>
        <x:v>0</x:v>
      </x:c>
      <x:c r="I409" s="23" t="str">
        <x:v>Timing T20 / fictional rates</x:v>
      </x:c>
    </x:row>
    <x:row r="410" ht="21" customHeight="1">
      <x:c r="A410" s="23" t="str">
        <x:v>back_high</x:v>
      </x:c>
      <x:c r="B410" s="23" t="n">
        <x:v>19</x:v>
      </x:c>
      <x:c r="C410" s="37" t="n">
        <x:v>48122</x:v>
      </x:c>
      <x:c r="D410" s="55" t="n">
        <x:v>0.0625</x:v>
      </x:c>
      <x:c r="E410" s="55" t="n">
        <x:v>0.06</x:v>
      </x:c>
      <x:c r="F410" s="60" t="n">
        <x:v>0.0625</x:v>
      </x:c>
      <x:c r="G410" s="60" t="n">
        <x:v>0.06</x:v>
      </x:c>
      <x:c r="H410" s="23" t="n">
        <x:f>IF(D410=F410,0,1)+IF(E410=G410,0,1)</x:f>
        <x:v>0</x:v>
      </x:c>
      <x:c r="I410" s="23" t="str">
        <x:v>Timing T20 / fictional rates</x:v>
      </x:c>
    </x:row>
    <x:row r="411" ht="21" customHeight="1">
      <x:c r="A411" s="23" t="str">
        <x:v>back_high</x:v>
      </x:c>
      <x:c r="B411" s="23" t="n">
        <x:v>20</x:v>
      </x:c>
      <x:c r="C411" s="37" t="n">
        <x:v>48214</x:v>
      </x:c>
      <x:c r="D411" s="55" t="n">
        <x:v>0.0625</x:v>
      </x:c>
      <x:c r="E411" s="55" t="n">
        <x:v>0.06</x:v>
      </x:c>
      <x:c r="F411" s="60" t="n">
        <x:v>0.0625</x:v>
      </x:c>
      <x:c r="G411" s="60" t="n">
        <x:v>0.06</x:v>
      </x:c>
      <x:c r="H411" s="23" t="n">
        <x:f>IF(D411=F411,0,1)+IF(E411=G411,0,1)</x:f>
        <x:v>0</x:v>
      </x:c>
      <x:c r="I411" s="23" t="str">
        <x:v>Timing T20 / fictional rates</x:v>
      </x:c>
    </x:row>
    <x:row r="412" ht="21" customHeight="1">
      <x:c r="A412" s="23" t="str">
        <x:v>back_high</x:v>
      </x:c>
      <x:c r="B412" s="23" t="n">
        <x:v>21</x:v>
      </x:c>
      <x:c r="C412" s="37" t="n">
        <x:v>48305</x:v>
      </x:c>
      <x:c r="D412" s="55" t="n">
        <x:v>0</x:v>
      </x:c>
      <x:c r="E412" s="55" t="n">
        <x:v>0.06</x:v>
      </x:c>
      <x:c r="F412" s="60" t="n">
        <x:v>0</x:v>
      </x:c>
      <x:c r="G412" s="60" t="n">
        <x:v>0.06</x:v>
      </x:c>
      <x:c r="H412" s="23" t="n">
        <x:f>IF(D412=F412,0,1)+IF(E412=G412,0,1)</x:f>
        <x:v>0</x:v>
      </x:c>
      <x:c r="I412" s="23" t="str">
        <x:v>Timing T20 / fictional rates</x:v>
      </x:c>
    </x:row>
    <x:row r="413" ht="21" customHeight="1">
      <x:c r="A413" s="23" t="str">
        <x:v>back_high</x:v>
      </x:c>
      <x:c r="B413" s="23" t="n">
        <x:v>22</x:v>
      </x:c>
      <x:c r="C413" s="37" t="n">
        <x:v>48396</x:v>
      </x:c>
      <x:c r="D413" s="55" t="n">
        <x:v>0</x:v>
      </x:c>
      <x:c r="E413" s="55" t="n">
        <x:v>0.06</x:v>
      </x:c>
      <x:c r="F413" s="60" t="n">
        <x:v>0</x:v>
      </x:c>
      <x:c r="G413" s="60" t="n">
        <x:v>0.06</x:v>
      </x:c>
      <x:c r="H413" s="23" t="n">
        <x:f>IF(D413=F413,0,1)+IF(E413=G413,0,1)</x:f>
        <x:v>0</x:v>
      </x:c>
      <x:c r="I413" s="23" t="str">
        <x:v>Timing T20 / fictional rates</x:v>
      </x:c>
    </x:row>
    <x:row r="414" ht="21" customHeight="1">
      <x:c r="A414" s="23" t="str">
        <x:v>back_high</x:v>
      </x:c>
      <x:c r="B414" s="23" t="n">
        <x:v>23</x:v>
      </x:c>
      <x:c r="C414" s="37" t="n">
        <x:v>48488</x:v>
      </x:c>
      <x:c r="D414" s="55" t="n">
        <x:v>0</x:v>
      </x:c>
      <x:c r="E414" s="55" t="n">
        <x:v>0.06</x:v>
      </x:c>
      <x:c r="F414" s="60" t="n">
        <x:v>0</x:v>
      </x:c>
      <x:c r="G414" s="60" t="n">
        <x:v>0.06</x:v>
      </x:c>
      <x:c r="H414" s="23" t="n">
        <x:f>IF(D414=F414,0,1)+IF(E414=G414,0,1)</x:f>
        <x:v>0</x:v>
      </x:c>
      <x:c r="I414" s="23" t="str">
        <x:v>Timing T20 / fictional rates</x:v>
      </x:c>
    </x:row>
    <x:row r="415" ht="21" customHeight="1">
      <x:c r="A415" s="23" t="str">
        <x:v>back_high</x:v>
      </x:c>
      <x:c r="B415" s="23" t="n">
        <x:v>24</x:v>
      </x:c>
      <x:c r="C415" s="37" t="n">
        <x:v>48580</x:v>
      </x:c>
      <x:c r="D415" s="55" t="n">
        <x:v>0</x:v>
      </x:c>
      <x:c r="E415" s="55" t="n">
        <x:v>0.06</x:v>
      </x:c>
      <x:c r="F415" s="60" t="n">
        <x:v>0</x:v>
      </x:c>
      <x:c r="G415" s="60" t="n">
        <x:v>0.06</x:v>
      </x:c>
      <x:c r="H415" s="23" t="n">
        <x:f>IF(D415=F415,0,1)+IF(E415=G415,0,1)</x:f>
        <x:v>0</x:v>
      </x:c>
      <x:c r="I415" s="23" t="str">
        <x:v>Timing T20 / fictional rates</x:v>
      </x:c>
    </x:row>
    <x:row r="416" ht="21" customHeight="1">
      <x:c r="A416" s="23" t="str">
        <x:v>back_high</x:v>
      </x:c>
      <x:c r="B416" s="23" t="n">
        <x:v>25</x:v>
      </x:c>
      <x:c r="C416" s="37" t="n">
        <x:v>48670</x:v>
      </x:c>
      <x:c r="D416" s="55" t="n">
        <x:v>0</x:v>
      </x:c>
      <x:c r="E416" s="55" t="n">
        <x:v>0.06</x:v>
      </x:c>
      <x:c r="F416" s="60" t="n">
        <x:v>0</x:v>
      </x:c>
      <x:c r="G416" s="60" t="n">
        <x:v>0.06</x:v>
      </x:c>
      <x:c r="H416" s="23" t="n">
        <x:f>IF(D416=F416,0,1)+IF(E416=G416,0,1)</x:f>
        <x:v>0</x:v>
      </x:c>
      <x:c r="I416" s="23" t="str">
        <x:v>Timing T20 / fictional rates</x:v>
      </x:c>
    </x:row>
    <x:row r="417" ht="21" customHeight="1">
      <x:c r="A417" s="23" t="str">
        <x:v>back_high</x:v>
      </x:c>
      <x:c r="B417" s="23" t="n">
        <x:v>26</x:v>
      </x:c>
      <x:c r="C417" s="37" t="n">
        <x:v>48761</x:v>
      </x:c>
      <x:c r="D417" s="55" t="n">
        <x:v>0</x:v>
      </x:c>
      <x:c r="E417" s="55" t="n">
        <x:v>0.06</x:v>
      </x:c>
      <x:c r="F417" s="60" t="n">
        <x:v>0</x:v>
      </x:c>
      <x:c r="G417" s="60" t="n">
        <x:v>0.06</x:v>
      </x:c>
      <x:c r="H417" s="23" t="n">
        <x:f>IF(D417=F417,0,1)+IF(E417=G417,0,1)</x:f>
        <x:v>0</x:v>
      </x:c>
      <x:c r="I417" s="23" t="str">
        <x:v>Timing T20 / fictional rates</x:v>
      </x:c>
    </x:row>
    <x:row r="418" ht="21" customHeight="1">
      <x:c r="A418" s="23" t="str">
        <x:v>back_high</x:v>
      </x:c>
      <x:c r="B418" s="23" t="n">
        <x:v>27</x:v>
      </x:c>
      <x:c r="C418" s="37" t="n">
        <x:v>48853</x:v>
      </x:c>
      <x:c r="D418" s="55" t="n">
        <x:v>0</x:v>
      </x:c>
      <x:c r="E418" s="55" t="n">
        <x:v>0.06</x:v>
      </x:c>
      <x:c r="F418" s="60" t="n">
        <x:v>0</x:v>
      </x:c>
      <x:c r="G418" s="60" t="n">
        <x:v>0.06</x:v>
      </x:c>
      <x:c r="H418" s="23" t="n">
        <x:f>IF(D418=F418,0,1)+IF(E418=G418,0,1)</x:f>
        <x:v>0</x:v>
      </x:c>
      <x:c r="I418" s="23" t="str">
        <x:v>Timing T20 / fictional rates</x:v>
      </x:c>
    </x:row>
    <x:row r="419" ht="21" customHeight="1">
      <x:c r="A419" s="23" t="str">
        <x:v>back_high</x:v>
      </x:c>
      <x:c r="B419" s="23" t="n">
        <x:v>28</x:v>
      </x:c>
      <x:c r="C419" s="37" t="n">
        <x:v>48945</x:v>
      </x:c>
      <x:c r="D419" s="55" t="n">
        <x:v>0</x:v>
      </x:c>
      <x:c r="E419" s="55" t="n">
        <x:v>0.06</x:v>
      </x:c>
      <x:c r="F419" s="60" t="n">
        <x:v>0</x:v>
      </x:c>
      <x:c r="G419" s="60" t="n">
        <x:v>0.06</x:v>
      </x:c>
      <x:c r="H419" s="23" t="n">
        <x:f>IF(D419=F419,0,1)+IF(E419=G419,0,1)</x:f>
        <x:v>0</x:v>
      </x:c>
      <x:c r="I419" s="23" t="str">
        <x:v>Timing T20 / fictional rates</x:v>
      </x:c>
    </x:row>
    <x:row r="420" ht="21" customHeight="1">
      <x:c r="A420" s="23" t="str">
        <x:v>back_high</x:v>
      </x:c>
      <x:c r="B420" s="23" t="n">
        <x:v>29</x:v>
      </x:c>
      <x:c r="C420" s="37" t="n">
        <x:v>49035</x:v>
      </x:c>
      <x:c r="D420" s="55" t="n">
        <x:v>0</x:v>
      </x:c>
      <x:c r="E420" s="55" t="n">
        <x:v>0.06</x:v>
      </x:c>
      <x:c r="F420" s="60" t="n">
        <x:v>0</x:v>
      </x:c>
      <x:c r="G420" s="60" t="n">
        <x:v>0.06</x:v>
      </x:c>
      <x:c r="H420" s="23" t="n">
        <x:f>IF(D420=F420,0,1)+IF(E420=G420,0,1)</x:f>
        <x:v>0</x:v>
      </x:c>
      <x:c r="I420" s="23" t="str">
        <x:v>Timing T20 / fictional rates</x:v>
      </x:c>
    </x:row>
    <x:row r="421" ht="21" customHeight="1">
      <x:c r="A421" s="23" t="str">
        <x:v>back_high</x:v>
      </x:c>
      <x:c r="B421" s="23" t="n">
        <x:v>30</x:v>
      </x:c>
      <x:c r="C421" s="37" t="n">
        <x:v>49126</x:v>
      </x:c>
      <x:c r="D421" s="55" t="n">
        <x:v>0</x:v>
      </x:c>
      <x:c r="E421" s="55" t="n">
        <x:v>0.06</x:v>
      </x:c>
      <x:c r="F421" s="60" t="n">
        <x:v>0</x:v>
      </x:c>
      <x:c r="G421" s="60" t="n">
        <x:v>0.06</x:v>
      </x:c>
      <x:c r="H421" s="23" t="n">
        <x:f>IF(D421=F421,0,1)+IF(E421=G421,0,1)</x:f>
        <x:v>0</x:v>
      </x:c>
      <x:c r="I421" s="23" t="str">
        <x:v>Timing T20 / fictional rates</x:v>
      </x:c>
    </x:row>
    <x:row r="422" ht="21" customHeight="1">
      <x:c r="A422" s="23" t="str">
        <x:v>back_high</x:v>
      </x:c>
      <x:c r="B422" s="23" t="n">
        <x:v>31</x:v>
      </x:c>
      <x:c r="C422" s="37" t="n">
        <x:v>49218</x:v>
      </x:c>
      <x:c r="D422" s="55" t="n">
        <x:v>0</x:v>
      </x:c>
      <x:c r="E422" s="55" t="n">
        <x:v>0.06</x:v>
      </x:c>
      <x:c r="F422" s="60" t="n">
        <x:v>0</x:v>
      </x:c>
      <x:c r="G422" s="60" t="n">
        <x:v>0.06</x:v>
      </x:c>
      <x:c r="H422" s="23" t="n">
        <x:f>IF(D422=F422,0,1)+IF(E422=G422,0,1)</x:f>
        <x:v>0</x:v>
      </x:c>
      <x:c r="I422" s="23" t="str">
        <x:v>Timing T20 / fictional rates</x:v>
      </x:c>
    </x:row>
    <x:row r="423" ht="21" customHeight="1">
      <x:c r="A423" s="23" t="str">
        <x:v>back_high</x:v>
      </x:c>
      <x:c r="B423" s="23" t="n">
        <x:v>32</x:v>
      </x:c>
      <x:c r="C423" s="37" t="n">
        <x:v>49310</x:v>
      </x:c>
      <x:c r="D423" s="55" t="n">
        <x:v>0</x:v>
      </x:c>
      <x:c r="E423" s="55" t="n">
        <x:v>0.06</x:v>
      </x:c>
      <x:c r="F423" s="60" t="n">
        <x:v>0</x:v>
      </x:c>
      <x:c r="G423" s="60" t="n">
        <x:v>0.06</x:v>
      </x:c>
      <x:c r="H423" s="23" t="n">
        <x:f>IF(D423=F423,0,1)+IF(E423=G423,0,1)</x:f>
        <x:v>0</x:v>
      </x:c>
      <x:c r="I423" s="23" t="str">
        <x:v>Timing T20 / fictional rates</x:v>
      </x:c>
    </x:row>
    <x:row r="424" ht="21" customHeight="1">
      <x:c r="A424" s="23" t="str">
        <x:v>back_high</x:v>
      </x:c>
      <x:c r="B424" s="23" t="n">
        <x:v>33</x:v>
      </x:c>
      <x:c r="C424" s="37" t="n">
        <x:v>49400</x:v>
      </x:c>
      <x:c r="D424" s="55" t="n">
        <x:v>0</x:v>
      </x:c>
      <x:c r="E424" s="55" t="n">
        <x:v>0.06</x:v>
      </x:c>
      <x:c r="F424" s="60" t="n">
        <x:v>0</x:v>
      </x:c>
      <x:c r="G424" s="60" t="n">
        <x:v>0.06</x:v>
      </x:c>
      <x:c r="H424" s="23" t="n">
        <x:f>IF(D424=F424,0,1)+IF(E424=G424,0,1)</x:f>
        <x:v>0</x:v>
      </x:c>
      <x:c r="I424" s="23" t="str">
        <x:v>Timing T20 / fictional rates</x:v>
      </x:c>
    </x:row>
    <x:row r="425" ht="21" customHeight="1">
      <x:c r="A425" s="23" t="str">
        <x:v>back_high</x:v>
      </x:c>
      <x:c r="B425" s="23" t="n">
        <x:v>34</x:v>
      </x:c>
      <x:c r="C425" s="37" t="n">
        <x:v>49491</x:v>
      </x:c>
      <x:c r="D425" s="55" t="n">
        <x:v>0</x:v>
      </x:c>
      <x:c r="E425" s="55" t="n">
        <x:v>0.06</x:v>
      </x:c>
      <x:c r="F425" s="60" t="n">
        <x:v>0</x:v>
      </x:c>
      <x:c r="G425" s="60" t="n">
        <x:v>0.06</x:v>
      </x:c>
      <x:c r="H425" s="23" t="n">
        <x:f>IF(D425=F425,0,1)+IF(E425=G425,0,1)</x:f>
        <x:v>0</x:v>
      </x:c>
      <x:c r="I425" s="23" t="str">
        <x:v>Timing T20 / fictional rates</x:v>
      </x:c>
    </x:row>
    <x:row r="426" ht="21" customHeight="1">
      <x:c r="A426" s="23" t="str">
        <x:v>back_high</x:v>
      </x:c>
      <x:c r="B426" s="23" t="n">
        <x:v>35</x:v>
      </x:c>
      <x:c r="C426" s="37" t="n">
        <x:v>49583</x:v>
      </x:c>
      <x:c r="D426" s="55" t="n">
        <x:v>0</x:v>
      </x:c>
      <x:c r="E426" s="55" t="n">
        <x:v>0.06</x:v>
      </x:c>
      <x:c r="F426" s="60" t="n">
        <x:v>0</x:v>
      </x:c>
      <x:c r="G426" s="60" t="n">
        <x:v>0.06</x:v>
      </x:c>
      <x:c r="H426" s="23" t="n">
        <x:f>IF(D426=F426,0,1)+IF(E426=G426,0,1)</x:f>
        <x:v>0</x:v>
      </x:c>
      <x:c r="I426" s="23" t="str">
        <x:v>Timing T20 / fictional rates</x:v>
      </x:c>
    </x:row>
    <x:row r="427" ht="21" customHeight="1">
      <x:c r="A427" s="23" t="str">
        <x:v>back_high</x:v>
      </x:c>
      <x:c r="B427" s="23" t="n">
        <x:v>36</x:v>
      </x:c>
      <x:c r="C427" s="37" t="n">
        <x:v>49675</x:v>
      </x:c>
      <x:c r="D427" s="55" t="n">
        <x:v>0</x:v>
      </x:c>
      <x:c r="E427" s="55" t="n">
        <x:v>0.06</x:v>
      </x:c>
      <x:c r="F427" s="60" t="n">
        <x:v>0</x:v>
      </x:c>
      <x:c r="G427" s="60" t="n">
        <x:v>0.06</x:v>
      </x:c>
      <x:c r="H427" s="23" t="n">
        <x:f>IF(D427=F427,0,1)+IF(E427=G427,0,1)</x:f>
        <x:v>0</x:v>
      </x:c>
      <x:c r="I427" s="23" t="str">
        <x:v>Timing T20 / fictional rates</x:v>
      </x:c>
    </x:row>
    <x:row r="428" ht="21" customHeight="1">
      <x:c r="A428" s="23" t="str">
        <x:v>back_high</x:v>
      </x:c>
      <x:c r="B428" s="23" t="n">
        <x:v>37</x:v>
      </x:c>
      <x:c r="C428" s="37" t="n">
        <x:v>49766</x:v>
      </x:c>
      <x:c r="D428" s="55" t="n">
        <x:v>0</x:v>
      </x:c>
      <x:c r="E428" s="55" t="n">
        <x:v>0.06</x:v>
      </x:c>
      <x:c r="F428" s="60" t="n">
        <x:v>0</x:v>
      </x:c>
      <x:c r="G428" s="60" t="n">
        <x:v>0.06</x:v>
      </x:c>
      <x:c r="H428" s="23" t="n">
        <x:f>IF(D428=F428,0,1)+IF(E428=G428,0,1)</x:f>
        <x:v>0</x:v>
      </x:c>
      <x:c r="I428" s="23" t="str">
        <x:v>Timing T20 / fictional rates</x:v>
      </x:c>
    </x:row>
    <x:row r="429" ht="21" customHeight="1">
      <x:c r="A429" s="23" t="str">
        <x:v>back_high</x:v>
      </x:c>
      <x:c r="B429" s="23" t="n">
        <x:v>38</x:v>
      </x:c>
      <x:c r="C429" s="37" t="n">
        <x:v>49857</x:v>
      </x:c>
      <x:c r="D429" s="55" t="n">
        <x:v>0</x:v>
      </x:c>
      <x:c r="E429" s="55" t="n">
        <x:v>0.06</x:v>
      </x:c>
      <x:c r="F429" s="60" t="n">
        <x:v>0</x:v>
      </x:c>
      <x:c r="G429" s="60" t="n">
        <x:v>0.06</x:v>
      </x:c>
      <x:c r="H429" s="23" t="n">
        <x:f>IF(D429=F429,0,1)+IF(E429=G429,0,1)</x:f>
        <x:v>0</x:v>
      </x:c>
      <x:c r="I429" s="23" t="str">
        <x:v>Timing T20 / fictional rates</x:v>
      </x:c>
    </x:row>
    <x:row r="430" ht="21" customHeight="1">
      <x:c r="A430" s="23" t="str">
        <x:v>back_high</x:v>
      </x:c>
      <x:c r="B430" s="23" t="n">
        <x:v>39</x:v>
      </x:c>
      <x:c r="C430" s="37" t="n">
        <x:v>49949</x:v>
      </x:c>
      <x:c r="D430" s="55" t="n">
        <x:v>0</x:v>
      </x:c>
      <x:c r="E430" s="55" t="n">
        <x:v>0.06</x:v>
      </x:c>
      <x:c r="F430" s="60" t="n">
        <x:v>0</x:v>
      </x:c>
      <x:c r="G430" s="60" t="n">
        <x:v>0.06</x:v>
      </x:c>
      <x:c r="H430" s="23" t="n">
        <x:f>IF(D430=F430,0,1)+IF(E430=G430,0,1)</x:f>
        <x:v>0</x:v>
      </x:c>
      <x:c r="I430" s="23" t="str">
        <x:v>Timing T20 / fictional rates</x:v>
      </x:c>
    </x:row>
    <x:row r="431" ht="21" customHeight="1">
      <x:c r="A431" s="23" t="str">
        <x:v>back_high</x:v>
      </x:c>
      <x:c r="B431" s="23" t="n">
        <x:v>40</x:v>
      </x:c>
      <x:c r="C431" s="37" t="n">
        <x:v>50041</x:v>
      </x:c>
      <x:c r="D431" s="55" t="n">
        <x:v>0</x:v>
      </x:c>
      <x:c r="E431" s="55" t="n">
        <x:v>0.06</x:v>
      </x:c>
      <x:c r="F431" s="60" t="n">
        <x:v>0</x:v>
      </x:c>
      <x:c r="G431" s="60" t="n">
        <x:v>0.06</x:v>
      </x:c>
      <x:c r="H431" s="23" t="n">
        <x:f>IF(D431=F431,0,1)+IF(E431=G431,0,1)</x:f>
        <x:v>0</x:v>
      </x:c>
      <x:c r="I431" s="23" t="str">
        <x:v>Timing T20 / fictional rates</x:v>
      </x:c>
    </x:row>
    <x:row r="432" ht="21" customHeight="1">
      <x:c r="A432" s="23" t="str">
        <x:v>back_high</x:v>
      </x:c>
      <x:c r="B432" s="23" t="n">
        <x:v>41</x:v>
      </x:c>
      <x:c r="C432" s="37" t="n">
        <x:v>50131</x:v>
      </x:c>
      <x:c r="D432" s="55" t="n">
        <x:v>0</x:v>
      </x:c>
      <x:c r="E432" s="55" t="n">
        <x:v>0.06</x:v>
      </x:c>
      <x:c r="F432" s="60" t="n">
        <x:v>0</x:v>
      </x:c>
      <x:c r="G432" s="60" t="n">
        <x:v>0.06</x:v>
      </x:c>
      <x:c r="H432" s="23" t="n">
        <x:f>IF(D432=F432,0,1)+IF(E432=G432,0,1)</x:f>
        <x:v>0</x:v>
      </x:c>
      <x:c r="I432" s="23" t="str">
        <x:v>Timing T20 / fictional rates</x:v>
      </x:c>
    </x:row>
    <x:row r="433" ht="21" customHeight="1">
      <x:c r="A433" s="23" t="str">
        <x:v>back_high</x:v>
      </x:c>
      <x:c r="B433" s="23" t="n">
        <x:v>42</x:v>
      </x:c>
      <x:c r="C433" s="37" t="n">
        <x:v>50222</x:v>
      </x:c>
      <x:c r="D433" s="55" t="n">
        <x:v>0</x:v>
      </x:c>
      <x:c r="E433" s="55" t="n">
        <x:v>0.06</x:v>
      </x:c>
      <x:c r="F433" s="60" t="n">
        <x:v>0</x:v>
      </x:c>
      <x:c r="G433" s="60" t="n">
        <x:v>0.06</x:v>
      </x:c>
      <x:c r="H433" s="23" t="n">
        <x:f>IF(D433=F433,0,1)+IF(E433=G433,0,1)</x:f>
        <x:v>0</x:v>
      </x:c>
      <x:c r="I433" s="23" t="str">
        <x:v>Timing T20 / fictional rates</x:v>
      </x:c>
    </x:row>
    <x:row r="434" ht="21" customHeight="1">
      <x:c r="A434" s="23" t="str">
        <x:v>back_high</x:v>
      </x:c>
      <x:c r="B434" s="23" t="n">
        <x:v>43</x:v>
      </x:c>
      <x:c r="C434" s="37" t="n">
        <x:v>50314</x:v>
      </x:c>
      <x:c r="D434" s="55" t="n">
        <x:v>0</x:v>
      </x:c>
      <x:c r="E434" s="55" t="n">
        <x:v>0.06</x:v>
      </x:c>
      <x:c r="F434" s="60" t="n">
        <x:v>0</x:v>
      </x:c>
      <x:c r="G434" s="60" t="n">
        <x:v>0.06</x:v>
      </x:c>
      <x:c r="H434" s="23" t="n">
        <x:f>IF(D434=F434,0,1)+IF(E434=G434,0,1)</x:f>
        <x:v>0</x:v>
      </x:c>
      <x:c r="I434" s="23" t="str">
        <x:v>Timing T20 / fictional rates</x:v>
      </x:c>
    </x:row>
    <x:row r="435" ht="21" customHeight="1">
      <x:c r="A435" s="23" t="str">
        <x:v>back_high</x:v>
      </x:c>
      <x:c r="B435" s="23" t="n">
        <x:v>44</x:v>
      </x:c>
      <x:c r="C435" s="37" t="n">
        <x:v>50406</x:v>
      </x:c>
      <x:c r="D435" s="55" t="n">
        <x:v>0</x:v>
      </x:c>
      <x:c r="E435" s="55" t="n">
        <x:v>0.06</x:v>
      </x:c>
      <x:c r="F435" s="60" t="n">
        <x:v>0</x:v>
      </x:c>
      <x:c r="G435" s="60" t="n">
        <x:v>0.06</x:v>
      </x:c>
      <x:c r="H435" s="23" t="n">
        <x:f>IF(D435=F435,0,1)+IF(E435=G435,0,1)</x:f>
        <x:v>0</x:v>
      </x:c>
      <x:c r="I435" s="23" t="str">
        <x:v>Timing T20 / fictional rates</x:v>
      </x:c>
    </x:row>
    <x:row r="436" ht="21" customHeight="1">
      <x:c r="A436" s="23" t="str">
        <x:v>back_high</x:v>
      </x:c>
      <x:c r="B436" s="23" t="n">
        <x:v>45</x:v>
      </x:c>
      <x:c r="C436" s="37" t="n">
        <x:v>50496</x:v>
      </x:c>
      <x:c r="D436" s="55" t="n">
        <x:v>0</x:v>
      </x:c>
      <x:c r="E436" s="55" t="n">
        <x:v>0.06</x:v>
      </x:c>
      <x:c r="F436" s="60" t="n">
        <x:v>0</x:v>
      </x:c>
      <x:c r="G436" s="60" t="n">
        <x:v>0.06</x:v>
      </x:c>
      <x:c r="H436" s="23" t="n">
        <x:f>IF(D436=F436,0,1)+IF(E436=G436,0,1)</x:f>
        <x:v>0</x:v>
      </x:c>
      <x:c r="I436" s="23" t="str">
        <x:v>Timing T20 / fictional rates</x:v>
      </x:c>
    </x:row>
    <x:row r="437" ht="21" customHeight="1">
      <x:c r="A437" s="23" t="str">
        <x:v>back_high</x:v>
      </x:c>
      <x:c r="B437" s="23" t="n">
        <x:v>46</x:v>
      </x:c>
      <x:c r="C437" s="37" t="n">
        <x:v>50587</x:v>
      </x:c>
      <x:c r="D437" s="55" t="n">
        <x:v>0</x:v>
      </x:c>
      <x:c r="E437" s="55" t="n">
        <x:v>0.06</x:v>
      </x:c>
      <x:c r="F437" s="60" t="n">
        <x:v>0</x:v>
      </x:c>
      <x:c r="G437" s="60" t="n">
        <x:v>0.06</x:v>
      </x:c>
      <x:c r="H437" s="23" t="n">
        <x:f>IF(D437=F437,0,1)+IF(E437=G437,0,1)</x:f>
        <x:v>0</x:v>
      </x:c>
      <x:c r="I437" s="23" t="str">
        <x:v>Timing T20 / fictional rates</x:v>
      </x:c>
    </x:row>
    <x:row r="438" ht="21" customHeight="1">
      <x:c r="A438" s="23" t="str">
        <x:v>back_high</x:v>
      </x:c>
      <x:c r="B438" s="23" t="n">
        <x:v>47</x:v>
      </x:c>
      <x:c r="C438" s="37" t="n">
        <x:v>50679</x:v>
      </x:c>
      <x:c r="D438" s="55" t="n">
        <x:v>0</x:v>
      </x:c>
      <x:c r="E438" s="55" t="n">
        <x:v>0.06</x:v>
      </x:c>
      <x:c r="F438" s="60" t="n">
        <x:v>0</x:v>
      </x:c>
      <x:c r="G438" s="60" t="n">
        <x:v>0.06</x:v>
      </x:c>
      <x:c r="H438" s="23" t="n">
        <x:f>IF(D438=F438,0,1)+IF(E438=G438,0,1)</x:f>
        <x:v>0</x:v>
      </x:c>
      <x:c r="I438" s="23" t="str">
        <x:v>Timing T20 / fictional rates</x:v>
      </x:c>
    </x:row>
    <x:row r="439" ht="21" customHeight="1">
      <x:c r="A439" s="23" t="str">
        <x:v>back_high</x:v>
      </x:c>
      <x:c r="B439" s="23" t="n">
        <x:v>48</x:v>
      </x:c>
      <x:c r="C439" s="37" t="n">
        <x:v>50771</x:v>
      </x:c>
      <x:c r="D439" s="55" t="n">
        <x:v>0</x:v>
      </x:c>
      <x:c r="E439" s="55" t="n">
        <x:v>0.06</x:v>
      </x:c>
      <x:c r="F439" s="60" t="n">
        <x:v>0</x:v>
      </x:c>
      <x:c r="G439" s="60" t="n">
        <x:v>0.06</x:v>
      </x:c>
      <x:c r="H439" s="23" t="n">
        <x:f>IF(D439=F439,0,1)+IF(E439=G439,0,1)</x:f>
        <x:v>0</x:v>
      </x:c>
      <x:c r="I439" s="23" t="str">
        <x:v>Timing T20 / fictional rates</x:v>
      </x:c>
    </x:row>
    <x:row r="440" ht="21" customHeight="1">
      <x:c r="A440" s="23" t="str">
        <x:v>level_flat</x:v>
      </x:c>
      <x:c r="B440" s="23" t="n">
        <x:v>1</x:v>
      </x:c>
      <x:c r="C440" s="37" t="n">
        <x:v>46478</x:v>
      </x:c>
      <x:c r="D440" s="55" t="n">
        <x:v>0.05</x:v>
      </x:c>
      <x:c r="E440" s="55" t="n">
        <x:v>0.03</x:v>
      </x:c>
      <x:c r="F440" s="60" t="n">
        <x:v>0.05</x:v>
      </x:c>
      <x:c r="G440" s="60" t="n">
        <x:v>0.03</x:v>
      </x:c>
      <x:c r="H440" s="23" t="n">
        <x:f>IF(D440=F440,0,1)+IF(E440=G440,0,1)</x:f>
        <x:v>0</x:v>
      </x:c>
      <x:c r="I440" s="23" t="str">
        <x:v>Timing T20 / fictional rates</x:v>
      </x:c>
    </x:row>
    <x:row r="441" ht="21" customHeight="1">
      <x:c r="A441" s="23" t="str">
        <x:v>level_flat</x:v>
      </x:c>
      <x:c r="B441" s="23" t="n">
        <x:v>2</x:v>
      </x:c>
      <x:c r="C441" s="37" t="n">
        <x:v>46569</x:v>
      </x:c>
      <x:c r="D441" s="55" t="n">
        <x:v>0.05</x:v>
      </x:c>
      <x:c r="E441" s="55" t="n">
        <x:v>0.03</x:v>
      </x:c>
      <x:c r="F441" s="60" t="n">
        <x:v>0.05</x:v>
      </x:c>
      <x:c r="G441" s="60" t="n">
        <x:v>0.03</x:v>
      </x:c>
      <x:c r="H441" s="23" t="n">
        <x:f>IF(D441=F441,0,1)+IF(E441=G441,0,1)</x:f>
        <x:v>0</x:v>
      </x:c>
      <x:c r="I441" s="23" t="str">
        <x:v>Timing T20 / fictional rates</x:v>
      </x:c>
    </x:row>
    <x:row r="442" ht="21" customHeight="1">
      <x:c r="A442" s="23" t="str">
        <x:v>level_flat</x:v>
      </x:c>
      <x:c r="B442" s="23" t="n">
        <x:v>3</x:v>
      </x:c>
      <x:c r="C442" s="37" t="n">
        <x:v>46661</x:v>
      </x:c>
      <x:c r="D442" s="55" t="n">
        <x:v>0.05</x:v>
      </x:c>
      <x:c r="E442" s="55" t="n">
        <x:v>0.03</x:v>
      </x:c>
      <x:c r="F442" s="60" t="n">
        <x:v>0.05</x:v>
      </x:c>
      <x:c r="G442" s="60" t="n">
        <x:v>0.03</x:v>
      </x:c>
      <x:c r="H442" s="23" t="n">
        <x:f>IF(D442=F442,0,1)+IF(E442=G442,0,1)</x:f>
        <x:v>0</x:v>
      </x:c>
      <x:c r="I442" s="23" t="str">
        <x:v>Timing T20 / fictional rates</x:v>
      </x:c>
    </x:row>
    <x:row r="443" ht="21" customHeight="1">
      <x:c r="A443" s="23" t="str">
        <x:v>level_flat</x:v>
      </x:c>
      <x:c r="B443" s="23" t="n">
        <x:v>4</x:v>
      </x:c>
      <x:c r="C443" s="37" t="n">
        <x:v>46753</x:v>
      </x:c>
      <x:c r="D443" s="55" t="n">
        <x:v>0.05</x:v>
      </x:c>
      <x:c r="E443" s="55" t="n">
        <x:v>0.03</x:v>
      </x:c>
      <x:c r="F443" s="60" t="n">
        <x:v>0.05</x:v>
      </x:c>
      <x:c r="G443" s="60" t="n">
        <x:v>0.03</x:v>
      </x:c>
      <x:c r="H443" s="23" t="n">
        <x:f>IF(D443=F443,0,1)+IF(E443=G443,0,1)</x:f>
        <x:v>0</x:v>
      </x:c>
      <x:c r="I443" s="23" t="str">
        <x:v>Timing T20 / fictional rates</x:v>
      </x:c>
    </x:row>
    <x:row r="444" ht="21" customHeight="1">
      <x:c r="A444" s="23" t="str">
        <x:v>level_flat</x:v>
      </x:c>
      <x:c r="B444" s="23" t="n">
        <x:v>5</x:v>
      </x:c>
      <x:c r="C444" s="37" t="n">
        <x:v>46844</x:v>
      </x:c>
      <x:c r="D444" s="55" t="n">
        <x:v>0.05</x:v>
      </x:c>
      <x:c r="E444" s="55" t="n">
        <x:v>0.03</x:v>
      </x:c>
      <x:c r="F444" s="60" t="n">
        <x:v>0.05</x:v>
      </x:c>
      <x:c r="G444" s="60" t="n">
        <x:v>0.03</x:v>
      </x:c>
      <x:c r="H444" s="23" t="n">
        <x:f>IF(D444=F444,0,1)+IF(E444=G444,0,1)</x:f>
        <x:v>0</x:v>
      </x:c>
      <x:c r="I444" s="23" t="str">
        <x:v>Timing T20 / fictional rates</x:v>
      </x:c>
    </x:row>
    <x:row r="445" ht="21" customHeight="1">
      <x:c r="A445" s="23" t="str">
        <x:v>level_flat</x:v>
      </x:c>
      <x:c r="B445" s="23" t="n">
        <x:v>6</x:v>
      </x:c>
      <x:c r="C445" s="37" t="n">
        <x:v>46935</x:v>
      </x:c>
      <x:c r="D445" s="55" t="n">
        <x:v>0.05</x:v>
      </x:c>
      <x:c r="E445" s="55" t="n">
        <x:v>0.03</x:v>
      </x:c>
      <x:c r="F445" s="60" t="n">
        <x:v>0.05</x:v>
      </x:c>
      <x:c r="G445" s="60" t="n">
        <x:v>0.03</x:v>
      </x:c>
      <x:c r="H445" s="23" t="n">
        <x:f>IF(D445=F445,0,1)+IF(E445=G445,0,1)</x:f>
        <x:v>0</x:v>
      </x:c>
      <x:c r="I445" s="23" t="str">
        <x:v>Timing T20 / fictional rates</x:v>
      </x:c>
    </x:row>
    <x:row r="446" ht="21" customHeight="1">
      <x:c r="A446" s="23" t="str">
        <x:v>level_flat</x:v>
      </x:c>
      <x:c r="B446" s="23" t="n">
        <x:v>7</x:v>
      </x:c>
      <x:c r="C446" s="37" t="n">
        <x:v>47027</x:v>
      </x:c>
      <x:c r="D446" s="55" t="n">
        <x:v>0.05</x:v>
      </x:c>
      <x:c r="E446" s="55" t="n">
        <x:v>0.03</x:v>
      </x:c>
      <x:c r="F446" s="60" t="n">
        <x:v>0.05</x:v>
      </x:c>
      <x:c r="G446" s="60" t="n">
        <x:v>0.03</x:v>
      </x:c>
      <x:c r="H446" s="23" t="n">
        <x:f>IF(D446=F446,0,1)+IF(E446=G446,0,1)</x:f>
        <x:v>0</x:v>
      </x:c>
      <x:c r="I446" s="23" t="str">
        <x:v>Timing T20 / fictional rates</x:v>
      </x:c>
    </x:row>
    <x:row r="447" ht="21" customHeight="1">
      <x:c r="A447" s="23" t="str">
        <x:v>level_flat</x:v>
      </x:c>
      <x:c r="B447" s="23" t="n">
        <x:v>8</x:v>
      </x:c>
      <x:c r="C447" s="37" t="n">
        <x:v>47119</x:v>
      </x:c>
      <x:c r="D447" s="55" t="n">
        <x:v>0.05</x:v>
      </x:c>
      <x:c r="E447" s="55" t="n">
        <x:v>0.03</x:v>
      </x:c>
      <x:c r="F447" s="60" t="n">
        <x:v>0.05</x:v>
      </x:c>
      <x:c r="G447" s="60" t="n">
        <x:v>0.03</x:v>
      </x:c>
      <x:c r="H447" s="23" t="n">
        <x:f>IF(D447=F447,0,1)+IF(E447=G447,0,1)</x:f>
        <x:v>0</x:v>
      </x:c>
      <x:c r="I447" s="23" t="str">
        <x:v>Timing T20 / fictional rates</x:v>
      </x:c>
    </x:row>
    <x:row r="448" ht="21" customHeight="1">
      <x:c r="A448" s="23" t="str">
        <x:v>level_flat</x:v>
      </x:c>
      <x:c r="B448" s="23" t="n">
        <x:v>9</x:v>
      </x:c>
      <x:c r="C448" s="37" t="n">
        <x:v>47209</x:v>
      </x:c>
      <x:c r="D448" s="55" t="n">
        <x:v>0.05</x:v>
      </x:c>
      <x:c r="E448" s="55" t="n">
        <x:v>0.03</x:v>
      </x:c>
      <x:c r="F448" s="60" t="n">
        <x:v>0.05</x:v>
      </x:c>
      <x:c r="G448" s="60" t="n">
        <x:v>0.03</x:v>
      </x:c>
      <x:c r="H448" s="23" t="n">
        <x:f>IF(D448=F448,0,1)+IF(E448=G448,0,1)</x:f>
        <x:v>0</x:v>
      </x:c>
      <x:c r="I448" s="23" t="str">
        <x:v>Timing T20 / fictional rates</x:v>
      </x:c>
    </x:row>
    <x:row r="449" ht="21" customHeight="1">
      <x:c r="A449" s="23" t="str">
        <x:v>level_flat</x:v>
      </x:c>
      <x:c r="B449" s="23" t="n">
        <x:v>10</x:v>
      </x:c>
      <x:c r="C449" s="37" t="n">
        <x:v>47300</x:v>
      </x:c>
      <x:c r="D449" s="55" t="n">
        <x:v>0.05</x:v>
      </x:c>
      <x:c r="E449" s="55" t="n">
        <x:v>0.03</x:v>
      </x:c>
      <x:c r="F449" s="60" t="n">
        <x:v>0.05</x:v>
      </x:c>
      <x:c r="G449" s="60" t="n">
        <x:v>0.03</x:v>
      </x:c>
      <x:c r="H449" s="23" t="n">
        <x:f>IF(D449=F449,0,1)+IF(E449=G449,0,1)</x:f>
        <x:v>0</x:v>
      </x:c>
      <x:c r="I449" s="23" t="str">
        <x:v>Timing T20 / fictional rates</x:v>
      </x:c>
    </x:row>
    <x:row r="450" ht="21" customHeight="1">
      <x:c r="A450" s="23" t="str">
        <x:v>level_flat</x:v>
      </x:c>
      <x:c r="B450" s="23" t="n">
        <x:v>11</x:v>
      </x:c>
      <x:c r="C450" s="37" t="n">
        <x:v>47392</x:v>
      </x:c>
      <x:c r="D450" s="55" t="n">
        <x:v>0.05</x:v>
      </x:c>
      <x:c r="E450" s="55" t="n">
        <x:v>0.03</x:v>
      </x:c>
      <x:c r="F450" s="60" t="n">
        <x:v>0.05</x:v>
      </x:c>
      <x:c r="G450" s="60" t="n">
        <x:v>0.03</x:v>
      </x:c>
      <x:c r="H450" s="23" t="n">
        <x:f>IF(D450=F450,0,1)+IF(E450=G450,0,1)</x:f>
        <x:v>0</x:v>
      </x:c>
      <x:c r="I450" s="23" t="str">
        <x:v>Timing T20 / fictional rates</x:v>
      </x:c>
    </x:row>
    <x:row r="451" ht="21" customHeight="1">
      <x:c r="A451" s="23" t="str">
        <x:v>level_flat</x:v>
      </x:c>
      <x:c r="B451" s="23" t="n">
        <x:v>12</x:v>
      </x:c>
      <x:c r="C451" s="37" t="n">
        <x:v>47484</x:v>
      </x:c>
      <x:c r="D451" s="55" t="n">
        <x:v>0.05</x:v>
      </x:c>
      <x:c r="E451" s="55" t="n">
        <x:v>0.03</x:v>
      </x:c>
      <x:c r="F451" s="60" t="n">
        <x:v>0.05</x:v>
      </x:c>
      <x:c r="G451" s="60" t="n">
        <x:v>0.03</x:v>
      </x:c>
      <x:c r="H451" s="23" t="n">
        <x:f>IF(D451=F451,0,1)+IF(E451=G451,0,1)</x:f>
        <x:v>0</x:v>
      </x:c>
      <x:c r="I451" s="23" t="str">
        <x:v>Timing T20 / fictional rates</x:v>
      </x:c>
    </x:row>
    <x:row r="452" ht="21" customHeight="1">
      <x:c r="A452" s="23" t="str">
        <x:v>level_flat</x:v>
      </x:c>
      <x:c r="B452" s="23" t="n">
        <x:v>13</x:v>
      </x:c>
      <x:c r="C452" s="37" t="n">
        <x:v>47574</x:v>
      </x:c>
      <x:c r="D452" s="55" t="n">
        <x:v>0.05</x:v>
      </x:c>
      <x:c r="E452" s="55" t="n">
        <x:v>0.03</x:v>
      </x:c>
      <x:c r="F452" s="60" t="n">
        <x:v>0.05</x:v>
      </x:c>
      <x:c r="G452" s="60" t="n">
        <x:v>0.03</x:v>
      </x:c>
      <x:c r="H452" s="23" t="n">
        <x:f>IF(D452=F452,0,1)+IF(E452=G452,0,1)</x:f>
        <x:v>0</x:v>
      </x:c>
      <x:c r="I452" s="23" t="str">
        <x:v>Timing T20 / fictional rates</x:v>
      </x:c>
    </x:row>
    <x:row r="453" ht="21" customHeight="1">
      <x:c r="A453" s="23" t="str">
        <x:v>level_flat</x:v>
      </x:c>
      <x:c r="B453" s="23" t="n">
        <x:v>14</x:v>
      </x:c>
      <x:c r="C453" s="37" t="n">
        <x:v>47665</x:v>
      </x:c>
      <x:c r="D453" s="55" t="n">
        <x:v>0.05</x:v>
      </x:c>
      <x:c r="E453" s="55" t="n">
        <x:v>0.03</x:v>
      </x:c>
      <x:c r="F453" s="60" t="n">
        <x:v>0.05</x:v>
      </x:c>
      <x:c r="G453" s="60" t="n">
        <x:v>0.03</x:v>
      </x:c>
      <x:c r="H453" s="23" t="n">
        <x:f>IF(D453=F453,0,1)+IF(E453=G453,0,1)</x:f>
        <x:v>0</x:v>
      </x:c>
      <x:c r="I453" s="23" t="str">
        <x:v>Timing T20 / fictional rates</x:v>
      </x:c>
    </x:row>
    <x:row r="454" ht="21" customHeight="1">
      <x:c r="A454" s="23" t="str">
        <x:v>level_flat</x:v>
      </x:c>
      <x:c r="B454" s="23" t="n">
        <x:v>15</x:v>
      </x:c>
      <x:c r="C454" s="37" t="n">
        <x:v>47757</x:v>
      </x:c>
      <x:c r="D454" s="55" t="n">
        <x:v>0.05</x:v>
      </x:c>
      <x:c r="E454" s="55" t="n">
        <x:v>0.03</x:v>
      </x:c>
      <x:c r="F454" s="60" t="n">
        <x:v>0.05</x:v>
      </x:c>
      <x:c r="G454" s="60" t="n">
        <x:v>0.03</x:v>
      </x:c>
      <x:c r="H454" s="23" t="n">
        <x:f>IF(D454=F454,0,1)+IF(E454=G454,0,1)</x:f>
        <x:v>0</x:v>
      </x:c>
      <x:c r="I454" s="23" t="str">
        <x:v>Timing T20 / fictional rates</x:v>
      </x:c>
    </x:row>
    <x:row r="455" ht="21" customHeight="1">
      <x:c r="A455" s="23" t="str">
        <x:v>level_flat</x:v>
      </x:c>
      <x:c r="B455" s="23" t="n">
        <x:v>16</x:v>
      </x:c>
      <x:c r="C455" s="37" t="n">
        <x:v>47849</x:v>
      </x:c>
      <x:c r="D455" s="55" t="n">
        <x:v>0.05</x:v>
      </x:c>
      <x:c r="E455" s="55" t="n">
        <x:v>0.03</x:v>
      </x:c>
      <x:c r="F455" s="60" t="n">
        <x:v>0.05</x:v>
      </x:c>
      <x:c r="G455" s="60" t="n">
        <x:v>0.03</x:v>
      </x:c>
      <x:c r="H455" s="23" t="n">
        <x:f>IF(D455=F455,0,1)+IF(E455=G455,0,1)</x:f>
        <x:v>0</x:v>
      </x:c>
      <x:c r="I455" s="23" t="str">
        <x:v>Timing T20 / fictional rates</x:v>
      </x:c>
    </x:row>
    <x:row r="456" ht="21" customHeight="1">
      <x:c r="A456" s="23" t="str">
        <x:v>level_flat</x:v>
      </x:c>
      <x:c r="B456" s="23" t="n">
        <x:v>17</x:v>
      </x:c>
      <x:c r="C456" s="37" t="n">
        <x:v>47939</x:v>
      </x:c>
      <x:c r="D456" s="55" t="n">
        <x:v>0.05</x:v>
      </x:c>
      <x:c r="E456" s="55" t="n">
        <x:v>0.03</x:v>
      </x:c>
      <x:c r="F456" s="60" t="n">
        <x:v>0.05</x:v>
      </x:c>
      <x:c r="G456" s="60" t="n">
        <x:v>0.03</x:v>
      </x:c>
      <x:c r="H456" s="23" t="n">
        <x:f>IF(D456=F456,0,1)+IF(E456=G456,0,1)</x:f>
        <x:v>0</x:v>
      </x:c>
      <x:c r="I456" s="23" t="str">
        <x:v>Timing T20 / fictional rates</x:v>
      </x:c>
    </x:row>
    <x:row r="457" ht="21" customHeight="1">
      <x:c r="A457" s="23" t="str">
        <x:v>level_flat</x:v>
      </x:c>
      <x:c r="B457" s="23" t="n">
        <x:v>18</x:v>
      </x:c>
      <x:c r="C457" s="37" t="n">
        <x:v>48030</x:v>
      </x:c>
      <x:c r="D457" s="55" t="n">
        <x:v>0.05</x:v>
      </x:c>
      <x:c r="E457" s="55" t="n">
        <x:v>0.03</x:v>
      </x:c>
      <x:c r="F457" s="60" t="n">
        <x:v>0.05</x:v>
      </x:c>
      <x:c r="G457" s="60" t="n">
        <x:v>0.03</x:v>
      </x:c>
      <x:c r="H457" s="23" t="n">
        <x:f>IF(D457=F457,0,1)+IF(E457=G457,0,1)</x:f>
        <x:v>0</x:v>
      </x:c>
      <x:c r="I457" s="23" t="str">
        <x:v>Timing T20 / fictional rates</x:v>
      </x:c>
    </x:row>
    <x:row r="458" ht="21" customHeight="1">
      <x:c r="A458" s="23" t="str">
        <x:v>level_flat</x:v>
      </x:c>
      <x:c r="B458" s="23" t="n">
        <x:v>19</x:v>
      </x:c>
      <x:c r="C458" s="37" t="n">
        <x:v>48122</x:v>
      </x:c>
      <x:c r="D458" s="55" t="n">
        <x:v>0.05</x:v>
      </x:c>
      <x:c r="E458" s="55" t="n">
        <x:v>0.03</x:v>
      </x:c>
      <x:c r="F458" s="60" t="n">
        <x:v>0.05</x:v>
      </x:c>
      <x:c r="G458" s="60" t="n">
        <x:v>0.03</x:v>
      </x:c>
      <x:c r="H458" s="23" t="n">
        <x:f>IF(D458=F458,0,1)+IF(E458=G458,0,1)</x:f>
        <x:v>0</x:v>
      </x:c>
      <x:c r="I458" s="23" t="str">
        <x:v>Timing T20 / fictional rates</x:v>
      </x:c>
    </x:row>
    <x:row r="459" ht="21" customHeight="1">
      <x:c r="A459" s="23" t="str">
        <x:v>level_flat</x:v>
      </x:c>
      <x:c r="B459" s="23" t="n">
        <x:v>20</x:v>
      </x:c>
      <x:c r="C459" s="37" t="n">
        <x:v>48214</x:v>
      </x:c>
      <x:c r="D459" s="55" t="n">
        <x:v>0.05</x:v>
      </x:c>
      <x:c r="E459" s="55" t="n">
        <x:v>0.03</x:v>
      </x:c>
      <x:c r="F459" s="60" t="n">
        <x:v>0.05</x:v>
      </x:c>
      <x:c r="G459" s="60" t="n">
        <x:v>0.03</x:v>
      </x:c>
      <x:c r="H459" s="23" t="n">
        <x:f>IF(D459=F459,0,1)+IF(E459=G459,0,1)</x:f>
        <x:v>0</x:v>
      </x:c>
      <x:c r="I459" s="23" t="str">
        <x:v>Timing T20 / fictional rates</x:v>
      </x:c>
    </x:row>
    <x:row r="460" ht="21" customHeight="1">
      <x:c r="A460" s="23" t="str">
        <x:v>level_flat</x:v>
      </x:c>
      <x:c r="B460" s="23" t="n">
        <x:v>21</x:v>
      </x:c>
      <x:c r="C460" s="37" t="n">
        <x:v>48305</x:v>
      </x:c>
      <x:c r="D460" s="55" t="n">
        <x:v>0</x:v>
      </x:c>
      <x:c r="E460" s="55" t="n">
        <x:v>0.03</x:v>
      </x:c>
      <x:c r="F460" s="60" t="n">
        <x:v>0</x:v>
      </x:c>
      <x:c r="G460" s="60" t="n">
        <x:v>0.03</x:v>
      </x:c>
      <x:c r="H460" s="23" t="n">
        <x:f>IF(D460=F460,0,1)+IF(E460=G460,0,1)</x:f>
        <x:v>0</x:v>
      </x:c>
      <x:c r="I460" s="23" t="str">
        <x:v>Timing T20 / fictional rates</x:v>
      </x:c>
    </x:row>
    <x:row r="461" ht="21" customHeight="1">
      <x:c r="A461" s="23" t="str">
        <x:v>level_flat</x:v>
      </x:c>
      <x:c r="B461" s="23" t="n">
        <x:v>22</x:v>
      </x:c>
      <x:c r="C461" s="37" t="n">
        <x:v>48396</x:v>
      </x:c>
      <x:c r="D461" s="55" t="n">
        <x:v>0</x:v>
      </x:c>
      <x:c r="E461" s="55" t="n">
        <x:v>0.03</x:v>
      </x:c>
      <x:c r="F461" s="60" t="n">
        <x:v>0</x:v>
      </x:c>
      <x:c r="G461" s="60" t="n">
        <x:v>0.03</x:v>
      </x:c>
      <x:c r="H461" s="23" t="n">
        <x:f>IF(D461=F461,0,1)+IF(E461=G461,0,1)</x:f>
        <x:v>0</x:v>
      </x:c>
      <x:c r="I461" s="23" t="str">
        <x:v>Timing T20 / fictional rates</x:v>
      </x:c>
    </x:row>
    <x:row r="462" ht="21" customHeight="1">
      <x:c r="A462" s="23" t="str">
        <x:v>level_flat</x:v>
      </x:c>
      <x:c r="B462" s="23" t="n">
        <x:v>23</x:v>
      </x:c>
      <x:c r="C462" s="37" t="n">
        <x:v>48488</x:v>
      </x:c>
      <x:c r="D462" s="55" t="n">
        <x:v>0</x:v>
      </x:c>
      <x:c r="E462" s="55" t="n">
        <x:v>0.03</x:v>
      </x:c>
      <x:c r="F462" s="60" t="n">
        <x:v>0</x:v>
      </x:c>
      <x:c r="G462" s="60" t="n">
        <x:v>0.03</x:v>
      </x:c>
      <x:c r="H462" s="23" t="n">
        <x:f>IF(D462=F462,0,1)+IF(E462=G462,0,1)</x:f>
        <x:v>0</x:v>
      </x:c>
      <x:c r="I462" s="23" t="str">
        <x:v>Timing T20 / fictional rates</x:v>
      </x:c>
    </x:row>
    <x:row r="463" ht="21" customHeight="1">
      <x:c r="A463" s="23" t="str">
        <x:v>level_flat</x:v>
      </x:c>
      <x:c r="B463" s="23" t="n">
        <x:v>24</x:v>
      </x:c>
      <x:c r="C463" s="37" t="n">
        <x:v>48580</x:v>
      </x:c>
      <x:c r="D463" s="55" t="n">
        <x:v>0</x:v>
      </x:c>
      <x:c r="E463" s="55" t="n">
        <x:v>0.03</x:v>
      </x:c>
      <x:c r="F463" s="60" t="n">
        <x:v>0</x:v>
      </x:c>
      <x:c r="G463" s="60" t="n">
        <x:v>0.03</x:v>
      </x:c>
      <x:c r="H463" s="23" t="n">
        <x:f>IF(D463=F463,0,1)+IF(E463=G463,0,1)</x:f>
        <x:v>0</x:v>
      </x:c>
      <x:c r="I463" s="23" t="str">
        <x:v>Timing T20 / fictional rates</x:v>
      </x:c>
    </x:row>
    <x:row r="464" ht="21" customHeight="1">
      <x:c r="A464" s="23" t="str">
        <x:v>level_flat</x:v>
      </x:c>
      <x:c r="B464" s="23" t="n">
        <x:v>25</x:v>
      </x:c>
      <x:c r="C464" s="37" t="n">
        <x:v>48670</x:v>
      </x:c>
      <x:c r="D464" s="55" t="n">
        <x:v>0</x:v>
      </x:c>
      <x:c r="E464" s="55" t="n">
        <x:v>0.03</x:v>
      </x:c>
      <x:c r="F464" s="60" t="n">
        <x:v>0</x:v>
      </x:c>
      <x:c r="G464" s="60" t="n">
        <x:v>0.03</x:v>
      </x:c>
      <x:c r="H464" s="23" t="n">
        <x:f>IF(D464=F464,0,1)+IF(E464=G464,0,1)</x:f>
        <x:v>0</x:v>
      </x:c>
      <x:c r="I464" s="23" t="str">
        <x:v>Timing T20 / fictional rates</x:v>
      </x:c>
    </x:row>
    <x:row r="465" ht="21" customHeight="1">
      <x:c r="A465" s="23" t="str">
        <x:v>level_flat</x:v>
      </x:c>
      <x:c r="B465" s="23" t="n">
        <x:v>26</x:v>
      </x:c>
      <x:c r="C465" s="37" t="n">
        <x:v>48761</x:v>
      </x:c>
      <x:c r="D465" s="55" t="n">
        <x:v>0</x:v>
      </x:c>
      <x:c r="E465" s="55" t="n">
        <x:v>0.03</x:v>
      </x:c>
      <x:c r="F465" s="60" t="n">
        <x:v>0</x:v>
      </x:c>
      <x:c r="G465" s="60" t="n">
        <x:v>0.03</x:v>
      </x:c>
      <x:c r="H465" s="23" t="n">
        <x:f>IF(D465=F465,0,1)+IF(E465=G465,0,1)</x:f>
        <x:v>0</x:v>
      </x:c>
      <x:c r="I465" s="23" t="str">
        <x:v>Timing T20 / fictional rates</x:v>
      </x:c>
    </x:row>
    <x:row r="466" ht="21" customHeight="1">
      <x:c r="A466" s="23" t="str">
        <x:v>level_flat</x:v>
      </x:c>
      <x:c r="B466" s="23" t="n">
        <x:v>27</x:v>
      </x:c>
      <x:c r="C466" s="37" t="n">
        <x:v>48853</x:v>
      </x:c>
      <x:c r="D466" s="55" t="n">
        <x:v>0</x:v>
      </x:c>
      <x:c r="E466" s="55" t="n">
        <x:v>0.03</x:v>
      </x:c>
      <x:c r="F466" s="60" t="n">
        <x:v>0</x:v>
      </x:c>
      <x:c r="G466" s="60" t="n">
        <x:v>0.03</x:v>
      </x:c>
      <x:c r="H466" s="23" t="n">
        <x:f>IF(D466=F466,0,1)+IF(E466=G466,0,1)</x:f>
        <x:v>0</x:v>
      </x:c>
      <x:c r="I466" s="23" t="str">
        <x:v>Timing T20 / fictional rates</x:v>
      </x:c>
    </x:row>
    <x:row r="467" ht="21" customHeight="1">
      <x:c r="A467" s="23" t="str">
        <x:v>level_flat</x:v>
      </x:c>
      <x:c r="B467" s="23" t="n">
        <x:v>28</x:v>
      </x:c>
      <x:c r="C467" s="37" t="n">
        <x:v>48945</x:v>
      </x:c>
      <x:c r="D467" s="55" t="n">
        <x:v>0</x:v>
      </x:c>
      <x:c r="E467" s="55" t="n">
        <x:v>0.03</x:v>
      </x:c>
      <x:c r="F467" s="60" t="n">
        <x:v>0</x:v>
      </x:c>
      <x:c r="G467" s="60" t="n">
        <x:v>0.03</x:v>
      </x:c>
      <x:c r="H467" s="23" t="n">
        <x:f>IF(D467=F467,0,1)+IF(E467=G467,0,1)</x:f>
        <x:v>0</x:v>
      </x:c>
      <x:c r="I467" s="23" t="str">
        <x:v>Timing T20 / fictional rates</x:v>
      </x:c>
    </x:row>
    <x:row r="468" ht="21" customHeight="1">
      <x:c r="A468" s="23" t="str">
        <x:v>level_flat</x:v>
      </x:c>
      <x:c r="B468" s="23" t="n">
        <x:v>29</x:v>
      </x:c>
      <x:c r="C468" s="37" t="n">
        <x:v>49035</x:v>
      </x:c>
      <x:c r="D468" s="55" t="n">
        <x:v>0</x:v>
      </x:c>
      <x:c r="E468" s="55" t="n">
        <x:v>0.03</x:v>
      </x:c>
      <x:c r="F468" s="60" t="n">
        <x:v>0</x:v>
      </x:c>
      <x:c r="G468" s="60" t="n">
        <x:v>0.03</x:v>
      </x:c>
      <x:c r="H468" s="23" t="n">
        <x:f>IF(D468=F468,0,1)+IF(E468=G468,0,1)</x:f>
        <x:v>0</x:v>
      </x:c>
      <x:c r="I468" s="23" t="str">
        <x:v>Timing T20 / fictional rates</x:v>
      </x:c>
    </x:row>
    <x:row r="469" ht="21" customHeight="1">
      <x:c r="A469" s="23" t="str">
        <x:v>level_flat</x:v>
      </x:c>
      <x:c r="B469" s="23" t="n">
        <x:v>30</x:v>
      </x:c>
      <x:c r="C469" s="37" t="n">
        <x:v>49126</x:v>
      </x:c>
      <x:c r="D469" s="55" t="n">
        <x:v>0</x:v>
      </x:c>
      <x:c r="E469" s="55" t="n">
        <x:v>0.03</x:v>
      </x:c>
      <x:c r="F469" s="60" t="n">
        <x:v>0</x:v>
      </x:c>
      <x:c r="G469" s="60" t="n">
        <x:v>0.03</x:v>
      </x:c>
      <x:c r="H469" s="23" t="n">
        <x:f>IF(D469=F469,0,1)+IF(E469=G469,0,1)</x:f>
        <x:v>0</x:v>
      </x:c>
      <x:c r="I469" s="23" t="str">
        <x:v>Timing T20 / fictional rates</x:v>
      </x:c>
    </x:row>
    <x:row r="470" ht="21" customHeight="1">
      <x:c r="A470" s="23" t="str">
        <x:v>level_flat</x:v>
      </x:c>
      <x:c r="B470" s="23" t="n">
        <x:v>31</x:v>
      </x:c>
      <x:c r="C470" s="37" t="n">
        <x:v>49218</x:v>
      </x:c>
      <x:c r="D470" s="55" t="n">
        <x:v>0</x:v>
      </x:c>
      <x:c r="E470" s="55" t="n">
        <x:v>0.03</x:v>
      </x:c>
      <x:c r="F470" s="60" t="n">
        <x:v>0</x:v>
      </x:c>
      <x:c r="G470" s="60" t="n">
        <x:v>0.03</x:v>
      </x:c>
      <x:c r="H470" s="23" t="n">
        <x:f>IF(D470=F470,0,1)+IF(E470=G470,0,1)</x:f>
        <x:v>0</x:v>
      </x:c>
      <x:c r="I470" s="23" t="str">
        <x:v>Timing T20 / fictional rates</x:v>
      </x:c>
    </x:row>
    <x:row r="471" ht="21" customHeight="1">
      <x:c r="A471" s="23" t="str">
        <x:v>level_flat</x:v>
      </x:c>
      <x:c r="B471" s="23" t="n">
        <x:v>32</x:v>
      </x:c>
      <x:c r="C471" s="37" t="n">
        <x:v>49310</x:v>
      </x:c>
      <x:c r="D471" s="55" t="n">
        <x:v>0</x:v>
      </x:c>
      <x:c r="E471" s="55" t="n">
        <x:v>0.03</x:v>
      </x:c>
      <x:c r="F471" s="60" t="n">
        <x:v>0</x:v>
      </x:c>
      <x:c r="G471" s="60" t="n">
        <x:v>0.03</x:v>
      </x:c>
      <x:c r="H471" s="23" t="n">
        <x:f>IF(D471=F471,0,1)+IF(E471=G471,0,1)</x:f>
        <x:v>0</x:v>
      </x:c>
      <x:c r="I471" s="23" t="str">
        <x:v>Timing T20 / fictional rates</x:v>
      </x:c>
    </x:row>
    <x:row r="472" ht="21" customHeight="1">
      <x:c r="A472" s="23" t="str">
        <x:v>level_flat</x:v>
      </x:c>
      <x:c r="B472" s="23" t="n">
        <x:v>33</x:v>
      </x:c>
      <x:c r="C472" s="37" t="n">
        <x:v>49400</x:v>
      </x:c>
      <x:c r="D472" s="55" t="n">
        <x:v>0</x:v>
      </x:c>
      <x:c r="E472" s="55" t="n">
        <x:v>0.03</x:v>
      </x:c>
      <x:c r="F472" s="60" t="n">
        <x:v>0</x:v>
      </x:c>
      <x:c r="G472" s="60" t="n">
        <x:v>0.03</x:v>
      </x:c>
      <x:c r="H472" s="23" t="n">
        <x:f>IF(D472=F472,0,1)+IF(E472=G472,0,1)</x:f>
        <x:v>0</x:v>
      </x:c>
      <x:c r="I472" s="23" t="str">
        <x:v>Timing T20 / fictional rates</x:v>
      </x:c>
    </x:row>
    <x:row r="473" ht="21" customHeight="1">
      <x:c r="A473" s="23" t="str">
        <x:v>level_flat</x:v>
      </x:c>
      <x:c r="B473" s="23" t="n">
        <x:v>34</x:v>
      </x:c>
      <x:c r="C473" s="37" t="n">
        <x:v>49491</x:v>
      </x:c>
      <x:c r="D473" s="55" t="n">
        <x:v>0</x:v>
      </x:c>
      <x:c r="E473" s="55" t="n">
        <x:v>0.03</x:v>
      </x:c>
      <x:c r="F473" s="60" t="n">
        <x:v>0</x:v>
      </x:c>
      <x:c r="G473" s="60" t="n">
        <x:v>0.03</x:v>
      </x:c>
      <x:c r="H473" s="23" t="n">
        <x:f>IF(D473=F473,0,1)+IF(E473=G473,0,1)</x:f>
        <x:v>0</x:v>
      </x:c>
      <x:c r="I473" s="23" t="str">
        <x:v>Timing T20 / fictional rates</x:v>
      </x:c>
    </x:row>
    <x:row r="474" ht="21" customHeight="1">
      <x:c r="A474" s="23" t="str">
        <x:v>level_flat</x:v>
      </x:c>
      <x:c r="B474" s="23" t="n">
        <x:v>35</x:v>
      </x:c>
      <x:c r="C474" s="37" t="n">
        <x:v>49583</x:v>
      </x:c>
      <x:c r="D474" s="55" t="n">
        <x:v>0</x:v>
      </x:c>
      <x:c r="E474" s="55" t="n">
        <x:v>0.03</x:v>
      </x:c>
      <x:c r="F474" s="60" t="n">
        <x:v>0</x:v>
      </x:c>
      <x:c r="G474" s="60" t="n">
        <x:v>0.03</x:v>
      </x:c>
      <x:c r="H474" s="23" t="n">
        <x:f>IF(D474=F474,0,1)+IF(E474=G474,0,1)</x:f>
        <x:v>0</x:v>
      </x:c>
      <x:c r="I474" s="23" t="str">
        <x:v>Timing T20 / fictional rates</x:v>
      </x:c>
    </x:row>
    <x:row r="475" ht="21" customHeight="1">
      <x:c r="A475" s="23" t="str">
        <x:v>level_flat</x:v>
      </x:c>
      <x:c r="B475" s="23" t="n">
        <x:v>36</x:v>
      </x:c>
      <x:c r="C475" s="37" t="n">
        <x:v>49675</x:v>
      </x:c>
      <x:c r="D475" s="55" t="n">
        <x:v>0</x:v>
      </x:c>
      <x:c r="E475" s="55" t="n">
        <x:v>0.03</x:v>
      </x:c>
      <x:c r="F475" s="60" t="n">
        <x:v>0</x:v>
      </x:c>
      <x:c r="G475" s="60" t="n">
        <x:v>0.03</x:v>
      </x:c>
      <x:c r="H475" s="23" t="n">
        <x:f>IF(D475=F475,0,1)+IF(E475=G475,0,1)</x:f>
        <x:v>0</x:v>
      </x:c>
      <x:c r="I475" s="23" t="str">
        <x:v>Timing T20 / fictional rates</x:v>
      </x:c>
    </x:row>
    <x:row r="476" ht="21" customHeight="1">
      <x:c r="A476" s="23" t="str">
        <x:v>level_flat</x:v>
      </x:c>
      <x:c r="B476" s="23" t="n">
        <x:v>37</x:v>
      </x:c>
      <x:c r="C476" s="37" t="n">
        <x:v>49766</x:v>
      </x:c>
      <x:c r="D476" s="55" t="n">
        <x:v>0</x:v>
      </x:c>
      <x:c r="E476" s="55" t="n">
        <x:v>0.03</x:v>
      </x:c>
      <x:c r="F476" s="60" t="n">
        <x:v>0</x:v>
      </x:c>
      <x:c r="G476" s="60" t="n">
        <x:v>0.03</x:v>
      </x:c>
      <x:c r="H476" s="23" t="n">
        <x:f>IF(D476=F476,0,1)+IF(E476=G476,0,1)</x:f>
        <x:v>0</x:v>
      </x:c>
      <x:c r="I476" s="23" t="str">
        <x:v>Timing T20 / fictional rates</x:v>
      </x:c>
    </x:row>
    <x:row r="477" ht="21" customHeight="1">
      <x:c r="A477" s="23" t="str">
        <x:v>level_flat</x:v>
      </x:c>
      <x:c r="B477" s="23" t="n">
        <x:v>38</x:v>
      </x:c>
      <x:c r="C477" s="37" t="n">
        <x:v>49857</x:v>
      </x:c>
      <x:c r="D477" s="55" t="n">
        <x:v>0</x:v>
      </x:c>
      <x:c r="E477" s="55" t="n">
        <x:v>0.03</x:v>
      </x:c>
      <x:c r="F477" s="60" t="n">
        <x:v>0</x:v>
      </x:c>
      <x:c r="G477" s="60" t="n">
        <x:v>0.03</x:v>
      </x:c>
      <x:c r="H477" s="23" t="n">
        <x:f>IF(D477=F477,0,1)+IF(E477=G477,0,1)</x:f>
        <x:v>0</x:v>
      </x:c>
      <x:c r="I477" s="23" t="str">
        <x:v>Timing T20 / fictional rates</x:v>
      </x:c>
    </x:row>
    <x:row r="478" ht="21" customHeight="1">
      <x:c r="A478" s="23" t="str">
        <x:v>level_flat</x:v>
      </x:c>
      <x:c r="B478" s="23" t="n">
        <x:v>39</x:v>
      </x:c>
      <x:c r="C478" s="37" t="n">
        <x:v>49949</x:v>
      </x:c>
      <x:c r="D478" s="55" t="n">
        <x:v>0</x:v>
      </x:c>
      <x:c r="E478" s="55" t="n">
        <x:v>0.03</x:v>
      </x:c>
      <x:c r="F478" s="60" t="n">
        <x:v>0</x:v>
      </x:c>
      <x:c r="G478" s="60" t="n">
        <x:v>0.03</x:v>
      </x:c>
      <x:c r="H478" s="23" t="n">
        <x:f>IF(D478=F478,0,1)+IF(E478=G478,0,1)</x:f>
        <x:v>0</x:v>
      </x:c>
      <x:c r="I478" s="23" t="str">
        <x:v>Timing T20 / fictional rates</x:v>
      </x:c>
    </x:row>
    <x:row r="479" ht="21" customHeight="1">
      <x:c r="A479" s="23" t="str">
        <x:v>level_flat</x:v>
      </x:c>
      <x:c r="B479" s="23" t="n">
        <x:v>40</x:v>
      </x:c>
      <x:c r="C479" s="37" t="n">
        <x:v>50041</x:v>
      </x:c>
      <x:c r="D479" s="55" t="n">
        <x:v>0</x:v>
      </x:c>
      <x:c r="E479" s="55" t="n">
        <x:v>0.03</x:v>
      </x:c>
      <x:c r="F479" s="60" t="n">
        <x:v>0</x:v>
      </x:c>
      <x:c r="G479" s="60" t="n">
        <x:v>0.03</x:v>
      </x:c>
      <x:c r="H479" s="23" t="n">
        <x:f>IF(D479=F479,0,1)+IF(E479=G479,0,1)</x:f>
        <x:v>0</x:v>
      </x:c>
      <x:c r="I479" s="23" t="str">
        <x:v>Timing T20 / fictional rates</x:v>
      </x:c>
    </x:row>
    <x:row r="480" ht="21" customHeight="1">
      <x:c r="A480" s="23" t="str">
        <x:v>level_flat</x:v>
      </x:c>
      <x:c r="B480" s="23" t="n">
        <x:v>41</x:v>
      </x:c>
      <x:c r="C480" s="37" t="n">
        <x:v>50131</x:v>
      </x:c>
      <x:c r="D480" s="55" t="n">
        <x:v>0</x:v>
      </x:c>
      <x:c r="E480" s="55" t="n">
        <x:v>0.03</x:v>
      </x:c>
      <x:c r="F480" s="60" t="n">
        <x:v>0</x:v>
      </x:c>
      <x:c r="G480" s="60" t="n">
        <x:v>0.03</x:v>
      </x:c>
      <x:c r="H480" s="23" t="n">
        <x:f>IF(D480=F480,0,1)+IF(E480=G480,0,1)</x:f>
        <x:v>0</x:v>
      </x:c>
      <x:c r="I480" s="23" t="str">
        <x:v>Timing T20 / fictional rates</x:v>
      </x:c>
    </x:row>
    <x:row r="481" ht="21" customHeight="1">
      <x:c r="A481" s="23" t="str">
        <x:v>level_flat</x:v>
      </x:c>
      <x:c r="B481" s="23" t="n">
        <x:v>42</x:v>
      </x:c>
      <x:c r="C481" s="37" t="n">
        <x:v>50222</x:v>
      </x:c>
      <x:c r="D481" s="55" t="n">
        <x:v>0</x:v>
      </x:c>
      <x:c r="E481" s="55" t="n">
        <x:v>0.03</x:v>
      </x:c>
      <x:c r="F481" s="60" t="n">
        <x:v>0</x:v>
      </x:c>
      <x:c r="G481" s="60" t="n">
        <x:v>0.03</x:v>
      </x:c>
      <x:c r="H481" s="23" t="n">
        <x:f>IF(D481=F481,0,1)+IF(E481=G481,0,1)</x:f>
        <x:v>0</x:v>
      </x:c>
      <x:c r="I481" s="23" t="str">
        <x:v>Timing T20 / fictional rates</x:v>
      </x:c>
    </x:row>
    <x:row r="482" ht="21" customHeight="1">
      <x:c r="A482" s="23" t="str">
        <x:v>level_flat</x:v>
      </x:c>
      <x:c r="B482" s="23" t="n">
        <x:v>43</x:v>
      </x:c>
      <x:c r="C482" s="37" t="n">
        <x:v>50314</x:v>
      </x:c>
      <x:c r="D482" s="55" t="n">
        <x:v>0</x:v>
      </x:c>
      <x:c r="E482" s="55" t="n">
        <x:v>0.03</x:v>
      </x:c>
      <x:c r="F482" s="60" t="n">
        <x:v>0</x:v>
      </x:c>
      <x:c r="G482" s="60" t="n">
        <x:v>0.03</x:v>
      </x:c>
      <x:c r="H482" s="23" t="n">
        <x:f>IF(D482=F482,0,1)+IF(E482=G482,0,1)</x:f>
        <x:v>0</x:v>
      </x:c>
      <x:c r="I482" s="23" t="str">
        <x:v>Timing T20 / fictional rates</x:v>
      </x:c>
    </x:row>
    <x:row r="483" ht="21" customHeight="1">
      <x:c r="A483" s="23" t="str">
        <x:v>level_flat</x:v>
      </x:c>
      <x:c r="B483" s="23" t="n">
        <x:v>44</x:v>
      </x:c>
      <x:c r="C483" s="37" t="n">
        <x:v>50406</x:v>
      </x:c>
      <x:c r="D483" s="55" t="n">
        <x:v>0</x:v>
      </x:c>
      <x:c r="E483" s="55" t="n">
        <x:v>0.03</x:v>
      </x:c>
      <x:c r="F483" s="60" t="n">
        <x:v>0</x:v>
      </x:c>
      <x:c r="G483" s="60" t="n">
        <x:v>0.03</x:v>
      </x:c>
      <x:c r="H483" s="23" t="n">
        <x:f>IF(D483=F483,0,1)+IF(E483=G483,0,1)</x:f>
        <x:v>0</x:v>
      </x:c>
      <x:c r="I483" s="23" t="str">
        <x:v>Timing T20 / fictional rates</x:v>
      </x:c>
    </x:row>
    <x:row r="484" ht="21" customHeight="1">
      <x:c r="A484" s="23" t="str">
        <x:v>level_flat</x:v>
      </x:c>
      <x:c r="B484" s="23" t="n">
        <x:v>45</x:v>
      </x:c>
      <x:c r="C484" s="37" t="n">
        <x:v>50496</x:v>
      </x:c>
      <x:c r="D484" s="55" t="n">
        <x:v>0</x:v>
      </x:c>
      <x:c r="E484" s="55" t="n">
        <x:v>0.03</x:v>
      </x:c>
      <x:c r="F484" s="60" t="n">
        <x:v>0</x:v>
      </x:c>
      <x:c r="G484" s="60" t="n">
        <x:v>0.03</x:v>
      </x:c>
      <x:c r="H484" s="23" t="n">
        <x:f>IF(D484=F484,0,1)+IF(E484=G484,0,1)</x:f>
        <x:v>0</x:v>
      </x:c>
      <x:c r="I484" s="23" t="str">
        <x:v>Timing T20 / fictional rates</x:v>
      </x:c>
    </x:row>
    <x:row r="485" ht="21" customHeight="1">
      <x:c r="A485" s="23" t="str">
        <x:v>level_flat</x:v>
      </x:c>
      <x:c r="B485" s="23" t="n">
        <x:v>46</x:v>
      </x:c>
      <x:c r="C485" s="37" t="n">
        <x:v>50587</x:v>
      </x:c>
      <x:c r="D485" s="55" t="n">
        <x:v>0</x:v>
      </x:c>
      <x:c r="E485" s="55" t="n">
        <x:v>0.03</x:v>
      </x:c>
      <x:c r="F485" s="60" t="n">
        <x:v>0</x:v>
      </x:c>
      <x:c r="G485" s="60" t="n">
        <x:v>0.03</x:v>
      </x:c>
      <x:c r="H485" s="23" t="n">
        <x:f>IF(D485=F485,0,1)+IF(E485=G485,0,1)</x:f>
        <x:v>0</x:v>
      </x:c>
      <x:c r="I485" s="23" t="str">
        <x:v>Timing T20 / fictional rates</x:v>
      </x:c>
    </x:row>
    <x:row r="486" ht="21" customHeight="1">
      <x:c r="A486" s="23" t="str">
        <x:v>level_flat</x:v>
      </x:c>
      <x:c r="B486" s="23" t="n">
        <x:v>47</x:v>
      </x:c>
      <x:c r="C486" s="37" t="n">
        <x:v>50679</x:v>
      </x:c>
      <x:c r="D486" s="55" t="n">
        <x:v>0</x:v>
      </x:c>
      <x:c r="E486" s="55" t="n">
        <x:v>0.03</x:v>
      </x:c>
      <x:c r="F486" s="60" t="n">
        <x:v>0</x:v>
      </x:c>
      <x:c r="G486" s="60" t="n">
        <x:v>0.03</x:v>
      </x:c>
      <x:c r="H486" s="23" t="n">
        <x:f>IF(D486=F486,0,1)+IF(E486=G486,0,1)</x:f>
        <x:v>0</x:v>
      </x:c>
      <x:c r="I486" s="23" t="str">
        <x:v>Timing T20 / fictional rates</x:v>
      </x:c>
    </x:row>
    <x:row r="487" ht="21" customHeight="1">
      <x:c r="A487" s="23" t="str">
        <x:v>level_flat</x:v>
      </x:c>
      <x:c r="B487" s="23" t="n">
        <x:v>48</x:v>
      </x:c>
      <x:c r="C487" s="37" t="n">
        <x:v>50771</x:v>
      </x:c>
      <x:c r="D487" s="55" t="n">
        <x:v>0</x:v>
      </x:c>
      <x:c r="E487" s="55" t="n">
        <x:v>0.03</x:v>
      </x:c>
      <x:c r="F487" s="60" t="n">
        <x:v>0</x:v>
      </x:c>
      <x:c r="G487" s="60" t="n">
        <x:v>0.03</x:v>
      </x:c>
      <x:c r="H487" s="23" t="n">
        <x:f>IF(D487=F487,0,1)+IF(E487=G487,0,1)</x:f>
        <x:v>0</x:v>
      </x:c>
      <x:c r="I487" s="23" t="str">
        <x:v>Timing T20 / fictional rates</x:v>
      </x:c>
    </x:row>
    <x:row r="488" ht="21" customHeight="1">
      <x:c r="A488" s="23" t="str">
        <x:v>level_low</x:v>
      </x:c>
      <x:c r="B488" s="23" t="n">
        <x:v>1</x:v>
      </x:c>
      <x:c r="C488" s="37" t="n">
        <x:v>46478</x:v>
      </x:c>
      <x:c r="D488" s="55" t="n">
        <x:v>0.05</x:v>
      </x:c>
      <x:c r="E488" s="55" t="n">
        <x:v>0.005</x:v>
      </x:c>
      <x:c r="F488" s="60" t="n">
        <x:v>0.05</x:v>
      </x:c>
      <x:c r="G488" s="60" t="n">
        <x:v>0.005</x:v>
      </x:c>
      <x:c r="H488" s="23" t="n">
        <x:f>IF(D488=F488,0,1)+IF(E488=G488,0,1)</x:f>
        <x:v>0</x:v>
      </x:c>
      <x:c r="I488" s="23" t="str">
        <x:v>Timing T20 / fictional rates</x:v>
      </x:c>
    </x:row>
    <x:row r="489" ht="21" customHeight="1">
      <x:c r="A489" s="23" t="str">
        <x:v>level_low</x:v>
      </x:c>
      <x:c r="B489" s="23" t="n">
        <x:v>2</x:v>
      </x:c>
      <x:c r="C489" s="37" t="n">
        <x:v>46569</x:v>
      </x:c>
      <x:c r="D489" s="55" t="n">
        <x:v>0.05</x:v>
      </x:c>
      <x:c r="E489" s="55" t="n">
        <x:v>0.005</x:v>
      </x:c>
      <x:c r="F489" s="60" t="n">
        <x:v>0.05</x:v>
      </x:c>
      <x:c r="G489" s="60" t="n">
        <x:v>0.005</x:v>
      </x:c>
      <x:c r="H489" s="23" t="n">
        <x:f>IF(D489=F489,0,1)+IF(E489=G489,0,1)</x:f>
        <x:v>0</x:v>
      </x:c>
      <x:c r="I489" s="23" t="str">
        <x:v>Timing T20 / fictional rates</x:v>
      </x:c>
    </x:row>
    <x:row r="490" ht="21" customHeight="1">
      <x:c r="A490" s="23" t="str">
        <x:v>level_low</x:v>
      </x:c>
      <x:c r="B490" s="23" t="n">
        <x:v>3</x:v>
      </x:c>
      <x:c r="C490" s="37" t="n">
        <x:v>46661</x:v>
      </x:c>
      <x:c r="D490" s="55" t="n">
        <x:v>0.05</x:v>
      </x:c>
      <x:c r="E490" s="55" t="n">
        <x:v>0.005</x:v>
      </x:c>
      <x:c r="F490" s="60" t="n">
        <x:v>0.05</x:v>
      </x:c>
      <x:c r="G490" s="60" t="n">
        <x:v>0.005</x:v>
      </x:c>
      <x:c r="H490" s="23" t="n">
        <x:f>IF(D490=F490,0,1)+IF(E490=G490,0,1)</x:f>
        <x:v>0</x:v>
      </x:c>
      <x:c r="I490" s="23" t="str">
        <x:v>Timing T20 / fictional rates</x:v>
      </x:c>
    </x:row>
    <x:row r="491" ht="21" customHeight="1">
      <x:c r="A491" s="23" t="str">
        <x:v>level_low</x:v>
      </x:c>
      <x:c r="B491" s="23" t="n">
        <x:v>4</x:v>
      </x:c>
      <x:c r="C491" s="37" t="n">
        <x:v>46753</x:v>
      </x:c>
      <x:c r="D491" s="55" t="n">
        <x:v>0.05</x:v>
      </x:c>
      <x:c r="E491" s="55" t="n">
        <x:v>0.005</x:v>
      </x:c>
      <x:c r="F491" s="60" t="n">
        <x:v>0.05</x:v>
      </x:c>
      <x:c r="G491" s="60" t="n">
        <x:v>0.005</x:v>
      </x:c>
      <x:c r="H491" s="23" t="n">
        <x:f>IF(D491=F491,0,1)+IF(E491=G491,0,1)</x:f>
        <x:v>0</x:v>
      </x:c>
      <x:c r="I491" s="23" t="str">
        <x:v>Timing T20 / fictional rates</x:v>
      </x:c>
    </x:row>
    <x:row r="492" ht="21" customHeight="1">
      <x:c r="A492" s="23" t="str">
        <x:v>level_low</x:v>
      </x:c>
      <x:c r="B492" s="23" t="n">
        <x:v>5</x:v>
      </x:c>
      <x:c r="C492" s="37" t="n">
        <x:v>46844</x:v>
      </x:c>
      <x:c r="D492" s="55" t="n">
        <x:v>0.05</x:v>
      </x:c>
      <x:c r="E492" s="55" t="n">
        <x:v>0.005</x:v>
      </x:c>
      <x:c r="F492" s="60" t="n">
        <x:v>0.05</x:v>
      </x:c>
      <x:c r="G492" s="60" t="n">
        <x:v>0.005</x:v>
      </x:c>
      <x:c r="H492" s="23" t="n">
        <x:f>IF(D492=F492,0,1)+IF(E492=G492,0,1)</x:f>
        <x:v>0</x:v>
      </x:c>
      <x:c r="I492" s="23" t="str">
        <x:v>Timing T20 / fictional rates</x:v>
      </x:c>
    </x:row>
    <x:row r="493" ht="21" customHeight="1">
      <x:c r="A493" s="23" t="str">
        <x:v>level_low</x:v>
      </x:c>
      <x:c r="B493" s="23" t="n">
        <x:v>6</x:v>
      </x:c>
      <x:c r="C493" s="37" t="n">
        <x:v>46935</x:v>
      </x:c>
      <x:c r="D493" s="55" t="n">
        <x:v>0.05</x:v>
      </x:c>
      <x:c r="E493" s="55" t="n">
        <x:v>0.005</x:v>
      </x:c>
      <x:c r="F493" s="60" t="n">
        <x:v>0.05</x:v>
      </x:c>
      <x:c r="G493" s="60" t="n">
        <x:v>0.005</x:v>
      </x:c>
      <x:c r="H493" s="23" t="n">
        <x:f>IF(D493=F493,0,1)+IF(E493=G493,0,1)</x:f>
        <x:v>0</x:v>
      </x:c>
      <x:c r="I493" s="23" t="str">
        <x:v>Timing T20 / fictional rates</x:v>
      </x:c>
    </x:row>
    <x:row r="494" ht="21" customHeight="1">
      <x:c r="A494" s="23" t="str">
        <x:v>level_low</x:v>
      </x:c>
      <x:c r="B494" s="23" t="n">
        <x:v>7</x:v>
      </x:c>
      <x:c r="C494" s="37" t="n">
        <x:v>47027</x:v>
      </x:c>
      <x:c r="D494" s="55" t="n">
        <x:v>0.05</x:v>
      </x:c>
      <x:c r="E494" s="55" t="n">
        <x:v>0.005</x:v>
      </x:c>
      <x:c r="F494" s="60" t="n">
        <x:v>0.05</x:v>
      </x:c>
      <x:c r="G494" s="60" t="n">
        <x:v>0.005</x:v>
      </x:c>
      <x:c r="H494" s="23" t="n">
        <x:f>IF(D494=F494,0,1)+IF(E494=G494,0,1)</x:f>
        <x:v>0</x:v>
      </x:c>
      <x:c r="I494" s="23" t="str">
        <x:v>Timing T20 / fictional rates</x:v>
      </x:c>
    </x:row>
    <x:row r="495" ht="21" customHeight="1">
      <x:c r="A495" s="23" t="str">
        <x:v>level_low</x:v>
      </x:c>
      <x:c r="B495" s="23" t="n">
        <x:v>8</x:v>
      </x:c>
      <x:c r="C495" s="37" t="n">
        <x:v>47119</x:v>
      </x:c>
      <x:c r="D495" s="55" t="n">
        <x:v>0.05</x:v>
      </x:c>
      <x:c r="E495" s="55" t="n">
        <x:v>0.005</x:v>
      </x:c>
      <x:c r="F495" s="60" t="n">
        <x:v>0.05</x:v>
      </x:c>
      <x:c r="G495" s="60" t="n">
        <x:v>0.005</x:v>
      </x:c>
      <x:c r="H495" s="23" t="n">
        <x:f>IF(D495=F495,0,1)+IF(E495=G495,0,1)</x:f>
        <x:v>0</x:v>
      </x:c>
      <x:c r="I495" s="23" t="str">
        <x:v>Timing T20 / fictional rates</x:v>
      </x:c>
    </x:row>
    <x:row r="496" ht="21" customHeight="1">
      <x:c r="A496" s="23" t="str">
        <x:v>level_low</x:v>
      </x:c>
      <x:c r="B496" s="23" t="n">
        <x:v>9</x:v>
      </x:c>
      <x:c r="C496" s="37" t="n">
        <x:v>47209</x:v>
      </x:c>
      <x:c r="D496" s="55" t="n">
        <x:v>0.05</x:v>
      </x:c>
      <x:c r="E496" s="55" t="n">
        <x:v>0.005</x:v>
      </x:c>
      <x:c r="F496" s="60" t="n">
        <x:v>0.05</x:v>
      </x:c>
      <x:c r="G496" s="60" t="n">
        <x:v>0.005</x:v>
      </x:c>
      <x:c r="H496" s="23" t="n">
        <x:f>IF(D496=F496,0,1)+IF(E496=G496,0,1)</x:f>
        <x:v>0</x:v>
      </x:c>
      <x:c r="I496" s="23" t="str">
        <x:v>Timing T20 / fictional rates</x:v>
      </x:c>
    </x:row>
    <x:row r="497" ht="21" customHeight="1">
      <x:c r="A497" s="23" t="str">
        <x:v>level_low</x:v>
      </x:c>
      <x:c r="B497" s="23" t="n">
        <x:v>10</x:v>
      </x:c>
      <x:c r="C497" s="37" t="n">
        <x:v>47300</x:v>
      </x:c>
      <x:c r="D497" s="55" t="n">
        <x:v>0.05</x:v>
      </x:c>
      <x:c r="E497" s="55" t="n">
        <x:v>0.005</x:v>
      </x:c>
      <x:c r="F497" s="60" t="n">
        <x:v>0.05</x:v>
      </x:c>
      <x:c r="G497" s="60" t="n">
        <x:v>0.005</x:v>
      </x:c>
      <x:c r="H497" s="23" t="n">
        <x:f>IF(D497=F497,0,1)+IF(E497=G497,0,1)</x:f>
        <x:v>0</x:v>
      </x:c>
      <x:c r="I497" s="23" t="str">
        <x:v>Timing T20 / fictional rates</x:v>
      </x:c>
    </x:row>
    <x:row r="498" ht="21" customHeight="1">
      <x:c r="A498" s="23" t="str">
        <x:v>level_low</x:v>
      </x:c>
      <x:c r="B498" s="23" t="n">
        <x:v>11</x:v>
      </x:c>
      <x:c r="C498" s="37" t="n">
        <x:v>47392</x:v>
      </x:c>
      <x:c r="D498" s="55" t="n">
        <x:v>0.05</x:v>
      </x:c>
      <x:c r="E498" s="55" t="n">
        <x:v>0.005</x:v>
      </x:c>
      <x:c r="F498" s="60" t="n">
        <x:v>0.05</x:v>
      </x:c>
      <x:c r="G498" s="60" t="n">
        <x:v>0.005</x:v>
      </x:c>
      <x:c r="H498" s="23" t="n">
        <x:f>IF(D498=F498,0,1)+IF(E498=G498,0,1)</x:f>
        <x:v>0</x:v>
      </x:c>
      <x:c r="I498" s="23" t="str">
        <x:v>Timing T20 / fictional rates</x:v>
      </x:c>
    </x:row>
    <x:row r="499" ht="21" customHeight="1">
      <x:c r="A499" s="23" t="str">
        <x:v>level_low</x:v>
      </x:c>
      <x:c r="B499" s="23" t="n">
        <x:v>12</x:v>
      </x:c>
      <x:c r="C499" s="37" t="n">
        <x:v>47484</x:v>
      </x:c>
      <x:c r="D499" s="55" t="n">
        <x:v>0.05</x:v>
      </x:c>
      <x:c r="E499" s="55" t="n">
        <x:v>0.005</x:v>
      </x:c>
      <x:c r="F499" s="60" t="n">
        <x:v>0.05</x:v>
      </x:c>
      <x:c r="G499" s="60" t="n">
        <x:v>0.005</x:v>
      </x:c>
      <x:c r="H499" s="23" t="n">
        <x:f>IF(D499=F499,0,1)+IF(E499=G499,0,1)</x:f>
        <x:v>0</x:v>
      </x:c>
      <x:c r="I499" s="23" t="str">
        <x:v>Timing T20 / fictional rates</x:v>
      </x:c>
    </x:row>
    <x:row r="500" ht="21" customHeight="1">
      <x:c r="A500" s="23" t="str">
        <x:v>level_low</x:v>
      </x:c>
      <x:c r="B500" s="23" t="n">
        <x:v>13</x:v>
      </x:c>
      <x:c r="C500" s="37" t="n">
        <x:v>47574</x:v>
      </x:c>
      <x:c r="D500" s="55" t="n">
        <x:v>0.05</x:v>
      </x:c>
      <x:c r="E500" s="55" t="n">
        <x:v>0.005</x:v>
      </x:c>
      <x:c r="F500" s="60" t="n">
        <x:v>0.05</x:v>
      </x:c>
      <x:c r="G500" s="60" t="n">
        <x:v>0.005</x:v>
      </x:c>
      <x:c r="H500" s="23" t="n">
        <x:f>IF(D500=F500,0,1)+IF(E500=G500,0,1)</x:f>
        <x:v>0</x:v>
      </x:c>
      <x:c r="I500" s="23" t="str">
        <x:v>Timing T20 / fictional rates</x:v>
      </x:c>
    </x:row>
    <x:row r="501" ht="21" customHeight="1">
      <x:c r="A501" s="23" t="str">
        <x:v>level_low</x:v>
      </x:c>
      <x:c r="B501" s="23" t="n">
        <x:v>14</x:v>
      </x:c>
      <x:c r="C501" s="37" t="n">
        <x:v>47665</x:v>
      </x:c>
      <x:c r="D501" s="55" t="n">
        <x:v>0.05</x:v>
      </x:c>
      <x:c r="E501" s="55" t="n">
        <x:v>0.005</x:v>
      </x:c>
      <x:c r="F501" s="60" t="n">
        <x:v>0.05</x:v>
      </x:c>
      <x:c r="G501" s="60" t="n">
        <x:v>0.005</x:v>
      </x:c>
      <x:c r="H501" s="23" t="n">
        <x:f>IF(D501=F501,0,1)+IF(E501=G501,0,1)</x:f>
        <x:v>0</x:v>
      </x:c>
      <x:c r="I501" s="23" t="str">
        <x:v>Timing T20 / fictional rates</x:v>
      </x:c>
    </x:row>
    <x:row r="502" ht="21" customHeight="1">
      <x:c r="A502" s="23" t="str">
        <x:v>level_low</x:v>
      </x:c>
      <x:c r="B502" s="23" t="n">
        <x:v>15</x:v>
      </x:c>
      <x:c r="C502" s="37" t="n">
        <x:v>47757</x:v>
      </x:c>
      <x:c r="D502" s="55" t="n">
        <x:v>0.05</x:v>
      </x:c>
      <x:c r="E502" s="55" t="n">
        <x:v>0.005</x:v>
      </x:c>
      <x:c r="F502" s="60" t="n">
        <x:v>0.05</x:v>
      </x:c>
      <x:c r="G502" s="60" t="n">
        <x:v>0.005</x:v>
      </x:c>
      <x:c r="H502" s="23" t="n">
        <x:f>IF(D502=F502,0,1)+IF(E502=G502,0,1)</x:f>
        <x:v>0</x:v>
      </x:c>
      <x:c r="I502" s="23" t="str">
        <x:v>Timing T20 / fictional rates</x:v>
      </x:c>
    </x:row>
    <x:row r="503" ht="21" customHeight="1">
      <x:c r="A503" s="23" t="str">
        <x:v>level_low</x:v>
      </x:c>
      <x:c r="B503" s="23" t="n">
        <x:v>16</x:v>
      </x:c>
      <x:c r="C503" s="37" t="n">
        <x:v>47849</x:v>
      </x:c>
      <x:c r="D503" s="55" t="n">
        <x:v>0.05</x:v>
      </x:c>
      <x:c r="E503" s="55" t="n">
        <x:v>0.005</x:v>
      </x:c>
      <x:c r="F503" s="60" t="n">
        <x:v>0.05</x:v>
      </x:c>
      <x:c r="G503" s="60" t="n">
        <x:v>0.005</x:v>
      </x:c>
      <x:c r="H503" s="23" t="n">
        <x:f>IF(D503=F503,0,1)+IF(E503=G503,0,1)</x:f>
        <x:v>0</x:v>
      </x:c>
      <x:c r="I503" s="23" t="str">
        <x:v>Timing T20 / fictional rates</x:v>
      </x:c>
    </x:row>
    <x:row r="504" ht="21" customHeight="1">
      <x:c r="A504" s="23" t="str">
        <x:v>level_low</x:v>
      </x:c>
      <x:c r="B504" s="23" t="n">
        <x:v>17</x:v>
      </x:c>
      <x:c r="C504" s="37" t="n">
        <x:v>47939</x:v>
      </x:c>
      <x:c r="D504" s="55" t="n">
        <x:v>0.05</x:v>
      </x:c>
      <x:c r="E504" s="55" t="n">
        <x:v>0.005</x:v>
      </x:c>
      <x:c r="F504" s="60" t="n">
        <x:v>0.05</x:v>
      </x:c>
      <x:c r="G504" s="60" t="n">
        <x:v>0.005</x:v>
      </x:c>
      <x:c r="H504" s="23" t="n">
        <x:f>IF(D504=F504,0,1)+IF(E504=G504,0,1)</x:f>
        <x:v>0</x:v>
      </x:c>
      <x:c r="I504" s="23" t="str">
        <x:v>Timing T20 / fictional rates</x:v>
      </x:c>
    </x:row>
    <x:row r="505" ht="21" customHeight="1">
      <x:c r="A505" s="23" t="str">
        <x:v>level_low</x:v>
      </x:c>
      <x:c r="B505" s="23" t="n">
        <x:v>18</x:v>
      </x:c>
      <x:c r="C505" s="37" t="n">
        <x:v>48030</x:v>
      </x:c>
      <x:c r="D505" s="55" t="n">
        <x:v>0.05</x:v>
      </x:c>
      <x:c r="E505" s="55" t="n">
        <x:v>0.005</x:v>
      </x:c>
      <x:c r="F505" s="60" t="n">
        <x:v>0.05</x:v>
      </x:c>
      <x:c r="G505" s="60" t="n">
        <x:v>0.005</x:v>
      </x:c>
      <x:c r="H505" s="23" t="n">
        <x:f>IF(D505=F505,0,1)+IF(E505=G505,0,1)</x:f>
        <x:v>0</x:v>
      </x:c>
      <x:c r="I505" s="23" t="str">
        <x:v>Timing T20 / fictional rates</x:v>
      </x:c>
    </x:row>
    <x:row r="506" ht="21" customHeight="1">
      <x:c r="A506" s="23" t="str">
        <x:v>level_low</x:v>
      </x:c>
      <x:c r="B506" s="23" t="n">
        <x:v>19</x:v>
      </x:c>
      <x:c r="C506" s="37" t="n">
        <x:v>48122</x:v>
      </x:c>
      <x:c r="D506" s="55" t="n">
        <x:v>0.05</x:v>
      </x:c>
      <x:c r="E506" s="55" t="n">
        <x:v>0.005</x:v>
      </x:c>
      <x:c r="F506" s="60" t="n">
        <x:v>0.05</x:v>
      </x:c>
      <x:c r="G506" s="60" t="n">
        <x:v>0.005</x:v>
      </x:c>
      <x:c r="H506" s="23" t="n">
        <x:f>IF(D506=F506,0,1)+IF(E506=G506,0,1)</x:f>
        <x:v>0</x:v>
      </x:c>
      <x:c r="I506" s="23" t="str">
        <x:v>Timing T20 / fictional rates</x:v>
      </x:c>
    </x:row>
    <x:row r="507" ht="21" customHeight="1">
      <x:c r="A507" s="23" t="str">
        <x:v>level_low</x:v>
      </x:c>
      <x:c r="B507" s="23" t="n">
        <x:v>20</x:v>
      </x:c>
      <x:c r="C507" s="37" t="n">
        <x:v>48214</x:v>
      </x:c>
      <x:c r="D507" s="55" t="n">
        <x:v>0.05</x:v>
      </x:c>
      <x:c r="E507" s="55" t="n">
        <x:v>0.005</x:v>
      </x:c>
      <x:c r="F507" s="60" t="n">
        <x:v>0.05</x:v>
      </x:c>
      <x:c r="G507" s="60" t="n">
        <x:v>0.005</x:v>
      </x:c>
      <x:c r="H507" s="23" t="n">
        <x:f>IF(D507=F507,0,1)+IF(E507=G507,0,1)</x:f>
        <x:v>0</x:v>
      </x:c>
      <x:c r="I507" s="23" t="str">
        <x:v>Timing T20 / fictional rates</x:v>
      </x:c>
    </x:row>
    <x:row r="508" ht="21" customHeight="1">
      <x:c r="A508" s="23" t="str">
        <x:v>level_low</x:v>
      </x:c>
      <x:c r="B508" s="23" t="n">
        <x:v>21</x:v>
      </x:c>
      <x:c r="C508" s="37" t="n">
        <x:v>48305</x:v>
      </x:c>
      <x:c r="D508" s="55" t="n">
        <x:v>0</x:v>
      </x:c>
      <x:c r="E508" s="55" t="n">
        <x:v>0.005</x:v>
      </x:c>
      <x:c r="F508" s="60" t="n">
        <x:v>0</x:v>
      </x:c>
      <x:c r="G508" s="60" t="n">
        <x:v>0.005</x:v>
      </x:c>
      <x:c r="H508" s="23" t="n">
        <x:f>IF(D508=F508,0,1)+IF(E508=G508,0,1)</x:f>
        <x:v>0</x:v>
      </x:c>
      <x:c r="I508" s="23" t="str">
        <x:v>Timing T20 / fictional rates</x:v>
      </x:c>
    </x:row>
    <x:row r="509" ht="21" customHeight="1">
      <x:c r="A509" s="23" t="str">
        <x:v>level_low</x:v>
      </x:c>
      <x:c r="B509" s="23" t="n">
        <x:v>22</x:v>
      </x:c>
      <x:c r="C509" s="37" t="n">
        <x:v>48396</x:v>
      </x:c>
      <x:c r="D509" s="55" t="n">
        <x:v>0</x:v>
      </x:c>
      <x:c r="E509" s="55" t="n">
        <x:v>0.005</x:v>
      </x:c>
      <x:c r="F509" s="60" t="n">
        <x:v>0</x:v>
      </x:c>
      <x:c r="G509" s="60" t="n">
        <x:v>0.005</x:v>
      </x:c>
      <x:c r="H509" s="23" t="n">
        <x:f>IF(D509=F509,0,1)+IF(E509=G509,0,1)</x:f>
        <x:v>0</x:v>
      </x:c>
      <x:c r="I509" s="23" t="str">
        <x:v>Timing T20 / fictional rates</x:v>
      </x:c>
    </x:row>
    <x:row r="510" ht="21" customHeight="1">
      <x:c r="A510" s="23" t="str">
        <x:v>level_low</x:v>
      </x:c>
      <x:c r="B510" s="23" t="n">
        <x:v>23</x:v>
      </x:c>
      <x:c r="C510" s="37" t="n">
        <x:v>48488</x:v>
      </x:c>
      <x:c r="D510" s="55" t="n">
        <x:v>0</x:v>
      </x:c>
      <x:c r="E510" s="55" t="n">
        <x:v>0.005</x:v>
      </x:c>
      <x:c r="F510" s="60" t="n">
        <x:v>0</x:v>
      </x:c>
      <x:c r="G510" s="60" t="n">
        <x:v>0.005</x:v>
      </x:c>
      <x:c r="H510" s="23" t="n">
        <x:f>IF(D510=F510,0,1)+IF(E510=G510,0,1)</x:f>
        <x:v>0</x:v>
      </x:c>
      <x:c r="I510" s="23" t="str">
        <x:v>Timing T20 / fictional rates</x:v>
      </x:c>
    </x:row>
    <x:row r="511" ht="21" customHeight="1">
      <x:c r="A511" s="23" t="str">
        <x:v>level_low</x:v>
      </x:c>
      <x:c r="B511" s="23" t="n">
        <x:v>24</x:v>
      </x:c>
      <x:c r="C511" s="37" t="n">
        <x:v>48580</x:v>
      </x:c>
      <x:c r="D511" s="55" t="n">
        <x:v>0</x:v>
      </x:c>
      <x:c r="E511" s="55" t="n">
        <x:v>0.005</x:v>
      </x:c>
      <x:c r="F511" s="60" t="n">
        <x:v>0</x:v>
      </x:c>
      <x:c r="G511" s="60" t="n">
        <x:v>0.005</x:v>
      </x:c>
      <x:c r="H511" s="23" t="n">
        <x:f>IF(D511=F511,0,1)+IF(E511=G511,0,1)</x:f>
        <x:v>0</x:v>
      </x:c>
      <x:c r="I511" s="23" t="str">
        <x:v>Timing T20 / fictional rates</x:v>
      </x:c>
    </x:row>
    <x:row r="512" ht="21" customHeight="1">
      <x:c r="A512" s="23" t="str">
        <x:v>level_low</x:v>
      </x:c>
      <x:c r="B512" s="23" t="n">
        <x:v>25</x:v>
      </x:c>
      <x:c r="C512" s="37" t="n">
        <x:v>48670</x:v>
      </x:c>
      <x:c r="D512" s="55" t="n">
        <x:v>0</x:v>
      </x:c>
      <x:c r="E512" s="55" t="n">
        <x:v>0.005</x:v>
      </x:c>
      <x:c r="F512" s="60" t="n">
        <x:v>0</x:v>
      </x:c>
      <x:c r="G512" s="60" t="n">
        <x:v>0.005</x:v>
      </x:c>
      <x:c r="H512" s="23" t="n">
        <x:f>IF(D512=F512,0,1)+IF(E512=G512,0,1)</x:f>
        <x:v>0</x:v>
      </x:c>
      <x:c r="I512" s="23" t="str">
        <x:v>Timing T20 / fictional rates</x:v>
      </x:c>
    </x:row>
    <x:row r="513" ht="21" customHeight="1">
      <x:c r="A513" s="23" t="str">
        <x:v>level_low</x:v>
      </x:c>
      <x:c r="B513" s="23" t="n">
        <x:v>26</x:v>
      </x:c>
      <x:c r="C513" s="37" t="n">
        <x:v>48761</x:v>
      </x:c>
      <x:c r="D513" s="55" t="n">
        <x:v>0</x:v>
      </x:c>
      <x:c r="E513" s="55" t="n">
        <x:v>0.005</x:v>
      </x:c>
      <x:c r="F513" s="60" t="n">
        <x:v>0</x:v>
      </x:c>
      <x:c r="G513" s="60" t="n">
        <x:v>0.005</x:v>
      </x:c>
      <x:c r="H513" s="23" t="n">
        <x:f>IF(D513=F513,0,1)+IF(E513=G513,0,1)</x:f>
        <x:v>0</x:v>
      </x:c>
      <x:c r="I513" s="23" t="str">
        <x:v>Timing T20 / fictional rates</x:v>
      </x:c>
    </x:row>
    <x:row r="514" ht="21" customHeight="1">
      <x:c r="A514" s="23" t="str">
        <x:v>level_low</x:v>
      </x:c>
      <x:c r="B514" s="23" t="n">
        <x:v>27</x:v>
      </x:c>
      <x:c r="C514" s="37" t="n">
        <x:v>48853</x:v>
      </x:c>
      <x:c r="D514" s="55" t="n">
        <x:v>0</x:v>
      </x:c>
      <x:c r="E514" s="55" t="n">
        <x:v>0.005</x:v>
      </x:c>
      <x:c r="F514" s="60" t="n">
        <x:v>0</x:v>
      </x:c>
      <x:c r="G514" s="60" t="n">
        <x:v>0.005</x:v>
      </x:c>
      <x:c r="H514" s="23" t="n">
        <x:f>IF(D514=F514,0,1)+IF(E514=G514,0,1)</x:f>
        <x:v>0</x:v>
      </x:c>
      <x:c r="I514" s="23" t="str">
        <x:v>Timing T20 / fictional rates</x:v>
      </x:c>
    </x:row>
    <x:row r="515" ht="21" customHeight="1">
      <x:c r="A515" s="23" t="str">
        <x:v>level_low</x:v>
      </x:c>
      <x:c r="B515" s="23" t="n">
        <x:v>28</x:v>
      </x:c>
      <x:c r="C515" s="37" t="n">
        <x:v>48945</x:v>
      </x:c>
      <x:c r="D515" s="55" t="n">
        <x:v>0</x:v>
      </x:c>
      <x:c r="E515" s="55" t="n">
        <x:v>0.005</x:v>
      </x:c>
      <x:c r="F515" s="60" t="n">
        <x:v>0</x:v>
      </x:c>
      <x:c r="G515" s="60" t="n">
        <x:v>0.005</x:v>
      </x:c>
      <x:c r="H515" s="23" t="n">
        <x:f>IF(D515=F515,0,1)+IF(E515=G515,0,1)</x:f>
        <x:v>0</x:v>
      </x:c>
      <x:c r="I515" s="23" t="str">
        <x:v>Timing T20 / fictional rates</x:v>
      </x:c>
    </x:row>
    <x:row r="516" ht="21" customHeight="1">
      <x:c r="A516" s="23" t="str">
        <x:v>level_low</x:v>
      </x:c>
      <x:c r="B516" s="23" t="n">
        <x:v>29</x:v>
      </x:c>
      <x:c r="C516" s="37" t="n">
        <x:v>49035</x:v>
      </x:c>
      <x:c r="D516" s="55" t="n">
        <x:v>0</x:v>
      </x:c>
      <x:c r="E516" s="55" t="n">
        <x:v>0.005</x:v>
      </x:c>
      <x:c r="F516" s="60" t="n">
        <x:v>0</x:v>
      </x:c>
      <x:c r="G516" s="60" t="n">
        <x:v>0.005</x:v>
      </x:c>
      <x:c r="H516" s="23" t="n">
        <x:f>IF(D516=F516,0,1)+IF(E516=G516,0,1)</x:f>
        <x:v>0</x:v>
      </x:c>
      <x:c r="I516" s="23" t="str">
        <x:v>Timing T20 / fictional rates</x:v>
      </x:c>
    </x:row>
    <x:row r="517" ht="21" customHeight="1">
      <x:c r="A517" s="23" t="str">
        <x:v>level_low</x:v>
      </x:c>
      <x:c r="B517" s="23" t="n">
        <x:v>30</x:v>
      </x:c>
      <x:c r="C517" s="37" t="n">
        <x:v>49126</x:v>
      </x:c>
      <x:c r="D517" s="55" t="n">
        <x:v>0</x:v>
      </x:c>
      <x:c r="E517" s="55" t="n">
        <x:v>0.005</x:v>
      </x:c>
      <x:c r="F517" s="60" t="n">
        <x:v>0</x:v>
      </x:c>
      <x:c r="G517" s="60" t="n">
        <x:v>0.005</x:v>
      </x:c>
      <x:c r="H517" s="23" t="n">
        <x:f>IF(D517=F517,0,1)+IF(E517=G517,0,1)</x:f>
        <x:v>0</x:v>
      </x:c>
      <x:c r="I517" s="23" t="str">
        <x:v>Timing T20 / fictional rates</x:v>
      </x:c>
    </x:row>
    <x:row r="518" ht="21" customHeight="1">
      <x:c r="A518" s="23" t="str">
        <x:v>level_low</x:v>
      </x:c>
      <x:c r="B518" s="23" t="n">
        <x:v>31</x:v>
      </x:c>
      <x:c r="C518" s="37" t="n">
        <x:v>49218</x:v>
      </x:c>
      <x:c r="D518" s="55" t="n">
        <x:v>0</x:v>
      </x:c>
      <x:c r="E518" s="55" t="n">
        <x:v>0.005</x:v>
      </x:c>
      <x:c r="F518" s="60" t="n">
        <x:v>0</x:v>
      </x:c>
      <x:c r="G518" s="60" t="n">
        <x:v>0.005</x:v>
      </x:c>
      <x:c r="H518" s="23" t="n">
        <x:f>IF(D518=F518,0,1)+IF(E518=G518,0,1)</x:f>
        <x:v>0</x:v>
      </x:c>
      <x:c r="I518" s="23" t="str">
        <x:v>Timing T20 / fictional rates</x:v>
      </x:c>
    </x:row>
    <x:row r="519" ht="21" customHeight="1">
      <x:c r="A519" s="23" t="str">
        <x:v>level_low</x:v>
      </x:c>
      <x:c r="B519" s="23" t="n">
        <x:v>32</x:v>
      </x:c>
      <x:c r="C519" s="37" t="n">
        <x:v>49310</x:v>
      </x:c>
      <x:c r="D519" s="55" t="n">
        <x:v>0</x:v>
      </x:c>
      <x:c r="E519" s="55" t="n">
        <x:v>0.005</x:v>
      </x:c>
      <x:c r="F519" s="60" t="n">
        <x:v>0</x:v>
      </x:c>
      <x:c r="G519" s="60" t="n">
        <x:v>0.005</x:v>
      </x:c>
      <x:c r="H519" s="23" t="n">
        <x:f>IF(D519=F519,0,1)+IF(E519=G519,0,1)</x:f>
        <x:v>0</x:v>
      </x:c>
      <x:c r="I519" s="23" t="str">
        <x:v>Timing T20 / fictional rates</x:v>
      </x:c>
    </x:row>
    <x:row r="520" ht="21" customHeight="1">
      <x:c r="A520" s="23" t="str">
        <x:v>level_low</x:v>
      </x:c>
      <x:c r="B520" s="23" t="n">
        <x:v>33</x:v>
      </x:c>
      <x:c r="C520" s="37" t="n">
        <x:v>49400</x:v>
      </x:c>
      <x:c r="D520" s="55" t="n">
        <x:v>0</x:v>
      </x:c>
      <x:c r="E520" s="55" t="n">
        <x:v>0.005</x:v>
      </x:c>
      <x:c r="F520" s="60" t="n">
        <x:v>0</x:v>
      </x:c>
      <x:c r="G520" s="60" t="n">
        <x:v>0.005</x:v>
      </x:c>
      <x:c r="H520" s="23" t="n">
        <x:f>IF(D520=F520,0,1)+IF(E520=G520,0,1)</x:f>
        <x:v>0</x:v>
      </x:c>
      <x:c r="I520" s="23" t="str">
        <x:v>Timing T20 / fictional rates</x:v>
      </x:c>
    </x:row>
    <x:row r="521" ht="21" customHeight="1">
      <x:c r="A521" s="23" t="str">
        <x:v>level_low</x:v>
      </x:c>
      <x:c r="B521" s="23" t="n">
        <x:v>34</x:v>
      </x:c>
      <x:c r="C521" s="37" t="n">
        <x:v>49491</x:v>
      </x:c>
      <x:c r="D521" s="55" t="n">
        <x:v>0</x:v>
      </x:c>
      <x:c r="E521" s="55" t="n">
        <x:v>0.005</x:v>
      </x:c>
      <x:c r="F521" s="60" t="n">
        <x:v>0</x:v>
      </x:c>
      <x:c r="G521" s="60" t="n">
        <x:v>0.005</x:v>
      </x:c>
      <x:c r="H521" s="23" t="n">
        <x:f>IF(D521=F521,0,1)+IF(E521=G521,0,1)</x:f>
        <x:v>0</x:v>
      </x:c>
      <x:c r="I521" s="23" t="str">
        <x:v>Timing T20 / fictional rates</x:v>
      </x:c>
    </x:row>
    <x:row r="522" ht="21" customHeight="1">
      <x:c r="A522" s="23" t="str">
        <x:v>level_low</x:v>
      </x:c>
      <x:c r="B522" s="23" t="n">
        <x:v>35</x:v>
      </x:c>
      <x:c r="C522" s="37" t="n">
        <x:v>49583</x:v>
      </x:c>
      <x:c r="D522" s="55" t="n">
        <x:v>0</x:v>
      </x:c>
      <x:c r="E522" s="55" t="n">
        <x:v>0.005</x:v>
      </x:c>
      <x:c r="F522" s="60" t="n">
        <x:v>0</x:v>
      </x:c>
      <x:c r="G522" s="60" t="n">
        <x:v>0.005</x:v>
      </x:c>
      <x:c r="H522" s="23" t="n">
        <x:f>IF(D522=F522,0,1)+IF(E522=G522,0,1)</x:f>
        <x:v>0</x:v>
      </x:c>
      <x:c r="I522" s="23" t="str">
        <x:v>Timing T20 / fictional rates</x:v>
      </x:c>
    </x:row>
    <x:row r="523" ht="21" customHeight="1">
      <x:c r="A523" s="23" t="str">
        <x:v>level_low</x:v>
      </x:c>
      <x:c r="B523" s="23" t="n">
        <x:v>36</x:v>
      </x:c>
      <x:c r="C523" s="37" t="n">
        <x:v>49675</x:v>
      </x:c>
      <x:c r="D523" s="55" t="n">
        <x:v>0</x:v>
      </x:c>
      <x:c r="E523" s="55" t="n">
        <x:v>0.005</x:v>
      </x:c>
      <x:c r="F523" s="60" t="n">
        <x:v>0</x:v>
      </x:c>
      <x:c r="G523" s="60" t="n">
        <x:v>0.005</x:v>
      </x:c>
      <x:c r="H523" s="23" t="n">
        <x:f>IF(D523=F523,0,1)+IF(E523=G523,0,1)</x:f>
        <x:v>0</x:v>
      </x:c>
      <x:c r="I523" s="23" t="str">
        <x:v>Timing T20 / fictional rates</x:v>
      </x:c>
    </x:row>
    <x:row r="524" ht="21" customHeight="1">
      <x:c r="A524" s="23" t="str">
        <x:v>level_low</x:v>
      </x:c>
      <x:c r="B524" s="23" t="n">
        <x:v>37</x:v>
      </x:c>
      <x:c r="C524" s="37" t="n">
        <x:v>49766</x:v>
      </x:c>
      <x:c r="D524" s="55" t="n">
        <x:v>0</x:v>
      </x:c>
      <x:c r="E524" s="55" t="n">
        <x:v>0.005</x:v>
      </x:c>
      <x:c r="F524" s="60" t="n">
        <x:v>0</x:v>
      </x:c>
      <x:c r="G524" s="60" t="n">
        <x:v>0.005</x:v>
      </x:c>
      <x:c r="H524" s="23" t="n">
        <x:f>IF(D524=F524,0,1)+IF(E524=G524,0,1)</x:f>
        <x:v>0</x:v>
      </x:c>
      <x:c r="I524" s="23" t="str">
        <x:v>Timing T20 / fictional rates</x:v>
      </x:c>
    </x:row>
    <x:row r="525" ht="21" customHeight="1">
      <x:c r="A525" s="23" t="str">
        <x:v>level_low</x:v>
      </x:c>
      <x:c r="B525" s="23" t="n">
        <x:v>38</x:v>
      </x:c>
      <x:c r="C525" s="37" t="n">
        <x:v>49857</x:v>
      </x:c>
      <x:c r="D525" s="55" t="n">
        <x:v>0</x:v>
      </x:c>
      <x:c r="E525" s="55" t="n">
        <x:v>0.005</x:v>
      </x:c>
      <x:c r="F525" s="60" t="n">
        <x:v>0</x:v>
      </x:c>
      <x:c r="G525" s="60" t="n">
        <x:v>0.005</x:v>
      </x:c>
      <x:c r="H525" s="23" t="n">
        <x:f>IF(D525=F525,0,1)+IF(E525=G525,0,1)</x:f>
        <x:v>0</x:v>
      </x:c>
      <x:c r="I525" s="23" t="str">
        <x:v>Timing T20 / fictional rates</x:v>
      </x:c>
    </x:row>
    <x:row r="526" ht="21" customHeight="1">
      <x:c r="A526" s="23" t="str">
        <x:v>level_low</x:v>
      </x:c>
      <x:c r="B526" s="23" t="n">
        <x:v>39</x:v>
      </x:c>
      <x:c r="C526" s="37" t="n">
        <x:v>49949</x:v>
      </x:c>
      <x:c r="D526" s="55" t="n">
        <x:v>0</x:v>
      </x:c>
      <x:c r="E526" s="55" t="n">
        <x:v>0.005</x:v>
      </x:c>
      <x:c r="F526" s="60" t="n">
        <x:v>0</x:v>
      </x:c>
      <x:c r="G526" s="60" t="n">
        <x:v>0.005</x:v>
      </x:c>
      <x:c r="H526" s="23" t="n">
        <x:f>IF(D526=F526,0,1)+IF(E526=G526,0,1)</x:f>
        <x:v>0</x:v>
      </x:c>
      <x:c r="I526" s="23" t="str">
        <x:v>Timing T20 / fictional rates</x:v>
      </x:c>
    </x:row>
    <x:row r="527" ht="21" customHeight="1">
      <x:c r="A527" s="23" t="str">
        <x:v>level_low</x:v>
      </x:c>
      <x:c r="B527" s="23" t="n">
        <x:v>40</x:v>
      </x:c>
      <x:c r="C527" s="37" t="n">
        <x:v>50041</x:v>
      </x:c>
      <x:c r="D527" s="55" t="n">
        <x:v>0</x:v>
      </x:c>
      <x:c r="E527" s="55" t="n">
        <x:v>0.005</x:v>
      </x:c>
      <x:c r="F527" s="60" t="n">
        <x:v>0</x:v>
      </x:c>
      <x:c r="G527" s="60" t="n">
        <x:v>0.005</x:v>
      </x:c>
      <x:c r="H527" s="23" t="n">
        <x:f>IF(D527=F527,0,1)+IF(E527=G527,0,1)</x:f>
        <x:v>0</x:v>
      </x:c>
      <x:c r="I527" s="23" t="str">
        <x:v>Timing T20 / fictional rates</x:v>
      </x:c>
    </x:row>
    <x:row r="528" ht="21" customHeight="1">
      <x:c r="A528" s="23" t="str">
        <x:v>level_low</x:v>
      </x:c>
      <x:c r="B528" s="23" t="n">
        <x:v>41</x:v>
      </x:c>
      <x:c r="C528" s="37" t="n">
        <x:v>50131</x:v>
      </x:c>
      <x:c r="D528" s="55" t="n">
        <x:v>0</x:v>
      </x:c>
      <x:c r="E528" s="55" t="n">
        <x:v>0.005</x:v>
      </x:c>
      <x:c r="F528" s="60" t="n">
        <x:v>0</x:v>
      </x:c>
      <x:c r="G528" s="60" t="n">
        <x:v>0.005</x:v>
      </x:c>
      <x:c r="H528" s="23" t="n">
        <x:f>IF(D528=F528,0,1)+IF(E528=G528,0,1)</x:f>
        <x:v>0</x:v>
      </x:c>
      <x:c r="I528" s="23" t="str">
        <x:v>Timing T20 / fictional rates</x:v>
      </x:c>
    </x:row>
    <x:row r="529" ht="21" customHeight="1">
      <x:c r="A529" s="23" t="str">
        <x:v>level_low</x:v>
      </x:c>
      <x:c r="B529" s="23" t="n">
        <x:v>42</x:v>
      </x:c>
      <x:c r="C529" s="37" t="n">
        <x:v>50222</x:v>
      </x:c>
      <x:c r="D529" s="55" t="n">
        <x:v>0</x:v>
      </x:c>
      <x:c r="E529" s="55" t="n">
        <x:v>0.005</x:v>
      </x:c>
      <x:c r="F529" s="60" t="n">
        <x:v>0</x:v>
      </x:c>
      <x:c r="G529" s="60" t="n">
        <x:v>0.005</x:v>
      </x:c>
      <x:c r="H529" s="23" t="n">
        <x:f>IF(D529=F529,0,1)+IF(E529=G529,0,1)</x:f>
        <x:v>0</x:v>
      </x:c>
      <x:c r="I529" s="23" t="str">
        <x:v>Timing T20 / fictional rates</x:v>
      </x:c>
    </x:row>
    <x:row r="530" ht="21" customHeight="1">
      <x:c r="A530" s="23" t="str">
        <x:v>level_low</x:v>
      </x:c>
      <x:c r="B530" s="23" t="n">
        <x:v>43</x:v>
      </x:c>
      <x:c r="C530" s="37" t="n">
        <x:v>50314</x:v>
      </x:c>
      <x:c r="D530" s="55" t="n">
        <x:v>0</x:v>
      </x:c>
      <x:c r="E530" s="55" t="n">
        <x:v>0.005</x:v>
      </x:c>
      <x:c r="F530" s="60" t="n">
        <x:v>0</x:v>
      </x:c>
      <x:c r="G530" s="60" t="n">
        <x:v>0.005</x:v>
      </x:c>
      <x:c r="H530" s="23" t="n">
        <x:f>IF(D530=F530,0,1)+IF(E530=G530,0,1)</x:f>
        <x:v>0</x:v>
      </x:c>
      <x:c r="I530" s="23" t="str">
        <x:v>Timing T20 / fictional rates</x:v>
      </x:c>
    </x:row>
    <x:row r="531" ht="21" customHeight="1">
      <x:c r="A531" s="23" t="str">
        <x:v>level_low</x:v>
      </x:c>
      <x:c r="B531" s="23" t="n">
        <x:v>44</x:v>
      </x:c>
      <x:c r="C531" s="37" t="n">
        <x:v>50406</x:v>
      </x:c>
      <x:c r="D531" s="55" t="n">
        <x:v>0</x:v>
      </x:c>
      <x:c r="E531" s="55" t="n">
        <x:v>0.005</x:v>
      </x:c>
      <x:c r="F531" s="60" t="n">
        <x:v>0</x:v>
      </x:c>
      <x:c r="G531" s="60" t="n">
        <x:v>0.005</x:v>
      </x:c>
      <x:c r="H531" s="23" t="n">
        <x:f>IF(D531=F531,0,1)+IF(E531=G531,0,1)</x:f>
        <x:v>0</x:v>
      </x:c>
      <x:c r="I531" s="23" t="str">
        <x:v>Timing T20 / fictional rates</x:v>
      </x:c>
    </x:row>
    <x:row r="532" ht="21" customHeight="1">
      <x:c r="A532" s="23" t="str">
        <x:v>level_low</x:v>
      </x:c>
      <x:c r="B532" s="23" t="n">
        <x:v>45</x:v>
      </x:c>
      <x:c r="C532" s="37" t="n">
        <x:v>50496</x:v>
      </x:c>
      <x:c r="D532" s="55" t="n">
        <x:v>0</x:v>
      </x:c>
      <x:c r="E532" s="55" t="n">
        <x:v>0.005</x:v>
      </x:c>
      <x:c r="F532" s="60" t="n">
        <x:v>0</x:v>
      </x:c>
      <x:c r="G532" s="60" t="n">
        <x:v>0.005</x:v>
      </x:c>
      <x:c r="H532" s="23" t="n">
        <x:f>IF(D532=F532,0,1)+IF(E532=G532,0,1)</x:f>
        <x:v>0</x:v>
      </x:c>
      <x:c r="I532" s="23" t="str">
        <x:v>Timing T20 / fictional rates</x:v>
      </x:c>
    </x:row>
    <x:row r="533" ht="21" customHeight="1">
      <x:c r="A533" s="23" t="str">
        <x:v>level_low</x:v>
      </x:c>
      <x:c r="B533" s="23" t="n">
        <x:v>46</x:v>
      </x:c>
      <x:c r="C533" s="37" t="n">
        <x:v>50587</x:v>
      </x:c>
      <x:c r="D533" s="55" t="n">
        <x:v>0</x:v>
      </x:c>
      <x:c r="E533" s="55" t="n">
        <x:v>0.005</x:v>
      </x:c>
      <x:c r="F533" s="60" t="n">
        <x:v>0</x:v>
      </x:c>
      <x:c r="G533" s="60" t="n">
        <x:v>0.005</x:v>
      </x:c>
      <x:c r="H533" s="23" t="n">
        <x:f>IF(D533=F533,0,1)+IF(E533=G533,0,1)</x:f>
        <x:v>0</x:v>
      </x:c>
      <x:c r="I533" s="23" t="str">
        <x:v>Timing T20 / fictional rates</x:v>
      </x:c>
    </x:row>
    <x:row r="534" ht="21" customHeight="1">
      <x:c r="A534" s="23" t="str">
        <x:v>level_low</x:v>
      </x:c>
      <x:c r="B534" s="23" t="n">
        <x:v>47</x:v>
      </x:c>
      <x:c r="C534" s="37" t="n">
        <x:v>50679</x:v>
      </x:c>
      <x:c r="D534" s="55" t="n">
        <x:v>0</x:v>
      </x:c>
      <x:c r="E534" s="55" t="n">
        <x:v>0.005</x:v>
      </x:c>
      <x:c r="F534" s="60" t="n">
        <x:v>0</x:v>
      </x:c>
      <x:c r="G534" s="60" t="n">
        <x:v>0.005</x:v>
      </x:c>
      <x:c r="H534" s="23" t="n">
        <x:f>IF(D534=F534,0,1)+IF(E534=G534,0,1)</x:f>
        <x:v>0</x:v>
      </x:c>
      <x:c r="I534" s="23" t="str">
        <x:v>Timing T20 / fictional rates</x:v>
      </x:c>
    </x:row>
    <x:row r="535" ht="21" customHeight="1">
      <x:c r="A535" s="23" t="str">
        <x:v>level_low</x:v>
      </x:c>
      <x:c r="B535" s="23" t="n">
        <x:v>48</x:v>
      </x:c>
      <x:c r="C535" s="37" t="n">
        <x:v>50771</x:v>
      </x:c>
      <x:c r="D535" s="55" t="n">
        <x:v>0</x:v>
      </x:c>
      <x:c r="E535" s="55" t="n">
        <x:v>0.005</x:v>
      </x:c>
      <x:c r="F535" s="60" t="n">
        <x:v>0</x:v>
      </x:c>
      <x:c r="G535" s="60" t="n">
        <x:v>0.005</x:v>
      </x:c>
      <x:c r="H535" s="23" t="n">
        <x:f>IF(D535=F535,0,1)+IF(E535=G535,0,1)</x:f>
        <x:v>0</x:v>
      </x:c>
      <x:c r="I535" s="23" t="str">
        <x:v>Timing T20 / fictional rates</x:v>
      </x:c>
    </x:row>
    <x:row r="536" ht="21" customHeight="1">
      <x:c r="A536" s="23" t="str">
        <x:v>level_high</x:v>
      </x:c>
      <x:c r="B536" s="23" t="n">
        <x:v>1</x:v>
      </x:c>
      <x:c r="C536" s="37" t="n">
        <x:v>46478</x:v>
      </x:c>
      <x:c r="D536" s="55" t="n">
        <x:v>0.05</x:v>
      </x:c>
      <x:c r="E536" s="55" t="n">
        <x:v>0.06</x:v>
      </x:c>
      <x:c r="F536" s="60" t="n">
        <x:v>0.05</x:v>
      </x:c>
      <x:c r="G536" s="60" t="n">
        <x:v>0.06</x:v>
      </x:c>
      <x:c r="H536" s="23" t="n">
        <x:f>IF(D536=F536,0,1)+IF(E536=G536,0,1)</x:f>
        <x:v>0</x:v>
      </x:c>
      <x:c r="I536" s="23" t="str">
        <x:v>Timing T20 / fictional rates</x:v>
      </x:c>
    </x:row>
    <x:row r="537" ht="21" customHeight="1">
      <x:c r="A537" s="23" t="str">
        <x:v>level_high</x:v>
      </x:c>
      <x:c r="B537" s="23" t="n">
        <x:v>2</x:v>
      </x:c>
      <x:c r="C537" s="37" t="n">
        <x:v>46569</x:v>
      </x:c>
      <x:c r="D537" s="55" t="n">
        <x:v>0.05</x:v>
      </x:c>
      <x:c r="E537" s="55" t="n">
        <x:v>0.06</x:v>
      </x:c>
      <x:c r="F537" s="60" t="n">
        <x:v>0.05</x:v>
      </x:c>
      <x:c r="G537" s="60" t="n">
        <x:v>0.06</x:v>
      </x:c>
      <x:c r="H537" s="23" t="n">
        <x:f>IF(D537=F537,0,1)+IF(E537=G537,0,1)</x:f>
        <x:v>0</x:v>
      </x:c>
      <x:c r="I537" s="23" t="str">
        <x:v>Timing T20 / fictional rates</x:v>
      </x:c>
    </x:row>
    <x:row r="538" ht="21" customHeight="1">
      <x:c r="A538" s="23" t="str">
        <x:v>level_high</x:v>
      </x:c>
      <x:c r="B538" s="23" t="n">
        <x:v>3</x:v>
      </x:c>
      <x:c r="C538" s="37" t="n">
        <x:v>46661</x:v>
      </x:c>
      <x:c r="D538" s="55" t="n">
        <x:v>0.05</x:v>
      </x:c>
      <x:c r="E538" s="55" t="n">
        <x:v>0.06</x:v>
      </x:c>
      <x:c r="F538" s="60" t="n">
        <x:v>0.05</x:v>
      </x:c>
      <x:c r="G538" s="60" t="n">
        <x:v>0.06</x:v>
      </x:c>
      <x:c r="H538" s="23" t="n">
        <x:f>IF(D538=F538,0,1)+IF(E538=G538,0,1)</x:f>
        <x:v>0</x:v>
      </x:c>
      <x:c r="I538" s="23" t="str">
        <x:v>Timing T20 / fictional rates</x:v>
      </x:c>
    </x:row>
    <x:row r="539" ht="21" customHeight="1">
      <x:c r="A539" s="23" t="str">
        <x:v>level_high</x:v>
      </x:c>
      <x:c r="B539" s="23" t="n">
        <x:v>4</x:v>
      </x:c>
      <x:c r="C539" s="37" t="n">
        <x:v>46753</x:v>
      </x:c>
      <x:c r="D539" s="55" t="n">
        <x:v>0.05</x:v>
      </x:c>
      <x:c r="E539" s="55" t="n">
        <x:v>0.06</x:v>
      </x:c>
      <x:c r="F539" s="60" t="n">
        <x:v>0.05</x:v>
      </x:c>
      <x:c r="G539" s="60" t="n">
        <x:v>0.06</x:v>
      </x:c>
      <x:c r="H539" s="23" t="n">
        <x:f>IF(D539=F539,0,1)+IF(E539=G539,0,1)</x:f>
        <x:v>0</x:v>
      </x:c>
      <x:c r="I539" s="23" t="str">
        <x:v>Timing T20 / fictional rates</x:v>
      </x:c>
    </x:row>
    <x:row r="540" ht="21" customHeight="1">
      <x:c r="A540" s="23" t="str">
        <x:v>level_high</x:v>
      </x:c>
      <x:c r="B540" s="23" t="n">
        <x:v>5</x:v>
      </x:c>
      <x:c r="C540" s="37" t="n">
        <x:v>46844</x:v>
      </x:c>
      <x:c r="D540" s="55" t="n">
        <x:v>0.05</x:v>
      </x:c>
      <x:c r="E540" s="55" t="n">
        <x:v>0.06</x:v>
      </x:c>
      <x:c r="F540" s="60" t="n">
        <x:v>0.05</x:v>
      </x:c>
      <x:c r="G540" s="60" t="n">
        <x:v>0.06</x:v>
      </x:c>
      <x:c r="H540" s="23" t="n">
        <x:f>IF(D540=F540,0,1)+IF(E540=G540,0,1)</x:f>
        <x:v>0</x:v>
      </x:c>
      <x:c r="I540" s="23" t="str">
        <x:v>Timing T20 / fictional rates</x:v>
      </x:c>
    </x:row>
    <x:row r="541" ht="21" customHeight="1">
      <x:c r="A541" s="23" t="str">
        <x:v>level_high</x:v>
      </x:c>
      <x:c r="B541" s="23" t="n">
        <x:v>6</x:v>
      </x:c>
      <x:c r="C541" s="37" t="n">
        <x:v>46935</x:v>
      </x:c>
      <x:c r="D541" s="55" t="n">
        <x:v>0.05</x:v>
      </x:c>
      <x:c r="E541" s="55" t="n">
        <x:v>0.06</x:v>
      </x:c>
      <x:c r="F541" s="60" t="n">
        <x:v>0.05</x:v>
      </x:c>
      <x:c r="G541" s="60" t="n">
        <x:v>0.06</x:v>
      </x:c>
      <x:c r="H541" s="23" t="n">
        <x:f>IF(D541=F541,0,1)+IF(E541=G541,0,1)</x:f>
        <x:v>0</x:v>
      </x:c>
      <x:c r="I541" s="23" t="str">
        <x:v>Timing T20 / fictional rates</x:v>
      </x:c>
    </x:row>
    <x:row r="542" ht="21" customHeight="1">
      <x:c r="A542" s="23" t="str">
        <x:v>level_high</x:v>
      </x:c>
      <x:c r="B542" s="23" t="n">
        <x:v>7</x:v>
      </x:c>
      <x:c r="C542" s="37" t="n">
        <x:v>47027</x:v>
      </x:c>
      <x:c r="D542" s="55" t="n">
        <x:v>0.05</x:v>
      </x:c>
      <x:c r="E542" s="55" t="n">
        <x:v>0.06</x:v>
      </x:c>
      <x:c r="F542" s="60" t="n">
        <x:v>0.05</x:v>
      </x:c>
      <x:c r="G542" s="60" t="n">
        <x:v>0.06</x:v>
      </x:c>
      <x:c r="H542" s="23" t="n">
        <x:f>IF(D542=F542,0,1)+IF(E542=G542,0,1)</x:f>
        <x:v>0</x:v>
      </x:c>
      <x:c r="I542" s="23" t="str">
        <x:v>Timing T20 / fictional rates</x:v>
      </x:c>
    </x:row>
    <x:row r="543" ht="21" customHeight="1">
      <x:c r="A543" s="23" t="str">
        <x:v>level_high</x:v>
      </x:c>
      <x:c r="B543" s="23" t="n">
        <x:v>8</x:v>
      </x:c>
      <x:c r="C543" s="37" t="n">
        <x:v>47119</x:v>
      </x:c>
      <x:c r="D543" s="55" t="n">
        <x:v>0.05</x:v>
      </x:c>
      <x:c r="E543" s="55" t="n">
        <x:v>0.06</x:v>
      </x:c>
      <x:c r="F543" s="60" t="n">
        <x:v>0.05</x:v>
      </x:c>
      <x:c r="G543" s="60" t="n">
        <x:v>0.06</x:v>
      </x:c>
      <x:c r="H543" s="23" t="n">
        <x:f>IF(D543=F543,0,1)+IF(E543=G543,0,1)</x:f>
        <x:v>0</x:v>
      </x:c>
      <x:c r="I543" s="23" t="str">
        <x:v>Timing T20 / fictional rates</x:v>
      </x:c>
    </x:row>
    <x:row r="544" ht="21" customHeight="1">
      <x:c r="A544" s="23" t="str">
        <x:v>level_high</x:v>
      </x:c>
      <x:c r="B544" s="23" t="n">
        <x:v>9</x:v>
      </x:c>
      <x:c r="C544" s="37" t="n">
        <x:v>47209</x:v>
      </x:c>
      <x:c r="D544" s="55" t="n">
        <x:v>0.05</x:v>
      </x:c>
      <x:c r="E544" s="55" t="n">
        <x:v>0.06</x:v>
      </x:c>
      <x:c r="F544" s="60" t="n">
        <x:v>0.05</x:v>
      </x:c>
      <x:c r="G544" s="60" t="n">
        <x:v>0.06</x:v>
      </x:c>
      <x:c r="H544" s="23" t="n">
        <x:f>IF(D544=F544,0,1)+IF(E544=G544,0,1)</x:f>
        <x:v>0</x:v>
      </x:c>
      <x:c r="I544" s="23" t="str">
        <x:v>Timing T20 / fictional rates</x:v>
      </x:c>
    </x:row>
    <x:row r="545" ht="21" customHeight="1">
      <x:c r="A545" s="23" t="str">
        <x:v>level_high</x:v>
      </x:c>
      <x:c r="B545" s="23" t="n">
        <x:v>10</x:v>
      </x:c>
      <x:c r="C545" s="37" t="n">
        <x:v>47300</x:v>
      </x:c>
      <x:c r="D545" s="55" t="n">
        <x:v>0.05</x:v>
      </x:c>
      <x:c r="E545" s="55" t="n">
        <x:v>0.06</x:v>
      </x:c>
      <x:c r="F545" s="60" t="n">
        <x:v>0.05</x:v>
      </x:c>
      <x:c r="G545" s="60" t="n">
        <x:v>0.06</x:v>
      </x:c>
      <x:c r="H545" s="23" t="n">
        <x:f>IF(D545=F545,0,1)+IF(E545=G545,0,1)</x:f>
        <x:v>0</x:v>
      </x:c>
      <x:c r="I545" s="23" t="str">
        <x:v>Timing T20 / fictional rates</x:v>
      </x:c>
    </x:row>
    <x:row r="546" ht="21" customHeight="1">
      <x:c r="A546" s="23" t="str">
        <x:v>level_high</x:v>
      </x:c>
      <x:c r="B546" s="23" t="n">
        <x:v>11</x:v>
      </x:c>
      <x:c r="C546" s="37" t="n">
        <x:v>47392</x:v>
      </x:c>
      <x:c r="D546" s="55" t="n">
        <x:v>0.05</x:v>
      </x:c>
      <x:c r="E546" s="55" t="n">
        <x:v>0.06</x:v>
      </x:c>
      <x:c r="F546" s="60" t="n">
        <x:v>0.05</x:v>
      </x:c>
      <x:c r="G546" s="60" t="n">
        <x:v>0.06</x:v>
      </x:c>
      <x:c r="H546" s="23" t="n">
        <x:f>IF(D546=F546,0,1)+IF(E546=G546,0,1)</x:f>
        <x:v>0</x:v>
      </x:c>
      <x:c r="I546" s="23" t="str">
        <x:v>Timing T20 / fictional rates</x:v>
      </x:c>
    </x:row>
    <x:row r="547" ht="21" customHeight="1">
      <x:c r="A547" s="23" t="str">
        <x:v>level_high</x:v>
      </x:c>
      <x:c r="B547" s="23" t="n">
        <x:v>12</x:v>
      </x:c>
      <x:c r="C547" s="37" t="n">
        <x:v>47484</x:v>
      </x:c>
      <x:c r="D547" s="55" t="n">
        <x:v>0.05</x:v>
      </x:c>
      <x:c r="E547" s="55" t="n">
        <x:v>0.06</x:v>
      </x:c>
      <x:c r="F547" s="60" t="n">
        <x:v>0.05</x:v>
      </x:c>
      <x:c r="G547" s="60" t="n">
        <x:v>0.06</x:v>
      </x:c>
      <x:c r="H547" s="23" t="n">
        <x:f>IF(D547=F547,0,1)+IF(E547=G547,0,1)</x:f>
        <x:v>0</x:v>
      </x:c>
      <x:c r="I547" s="23" t="str">
        <x:v>Timing T20 / fictional rates</x:v>
      </x:c>
    </x:row>
    <x:row r="548" ht="21" customHeight="1">
      <x:c r="A548" s="23" t="str">
        <x:v>level_high</x:v>
      </x:c>
      <x:c r="B548" s="23" t="n">
        <x:v>13</x:v>
      </x:c>
      <x:c r="C548" s="37" t="n">
        <x:v>47574</x:v>
      </x:c>
      <x:c r="D548" s="55" t="n">
        <x:v>0.05</x:v>
      </x:c>
      <x:c r="E548" s="55" t="n">
        <x:v>0.06</x:v>
      </x:c>
      <x:c r="F548" s="60" t="n">
        <x:v>0.05</x:v>
      </x:c>
      <x:c r="G548" s="60" t="n">
        <x:v>0.06</x:v>
      </x:c>
      <x:c r="H548" s="23" t="n">
        <x:f>IF(D548=F548,0,1)+IF(E548=G548,0,1)</x:f>
        <x:v>0</x:v>
      </x:c>
      <x:c r="I548" s="23" t="str">
        <x:v>Timing T20 / fictional rates</x:v>
      </x:c>
    </x:row>
    <x:row r="549" ht="21" customHeight="1">
      <x:c r="A549" s="23" t="str">
        <x:v>level_high</x:v>
      </x:c>
      <x:c r="B549" s="23" t="n">
        <x:v>14</x:v>
      </x:c>
      <x:c r="C549" s="37" t="n">
        <x:v>47665</x:v>
      </x:c>
      <x:c r="D549" s="55" t="n">
        <x:v>0.05</x:v>
      </x:c>
      <x:c r="E549" s="55" t="n">
        <x:v>0.06</x:v>
      </x:c>
      <x:c r="F549" s="60" t="n">
        <x:v>0.05</x:v>
      </x:c>
      <x:c r="G549" s="60" t="n">
        <x:v>0.06</x:v>
      </x:c>
      <x:c r="H549" s="23" t="n">
        <x:f>IF(D549=F549,0,1)+IF(E549=G549,0,1)</x:f>
        <x:v>0</x:v>
      </x:c>
      <x:c r="I549" s="23" t="str">
        <x:v>Timing T20 / fictional rates</x:v>
      </x:c>
    </x:row>
    <x:row r="550" ht="21" customHeight="1">
      <x:c r="A550" s="23" t="str">
        <x:v>level_high</x:v>
      </x:c>
      <x:c r="B550" s="23" t="n">
        <x:v>15</x:v>
      </x:c>
      <x:c r="C550" s="37" t="n">
        <x:v>47757</x:v>
      </x:c>
      <x:c r="D550" s="55" t="n">
        <x:v>0.05</x:v>
      </x:c>
      <x:c r="E550" s="55" t="n">
        <x:v>0.06</x:v>
      </x:c>
      <x:c r="F550" s="60" t="n">
        <x:v>0.05</x:v>
      </x:c>
      <x:c r="G550" s="60" t="n">
        <x:v>0.06</x:v>
      </x:c>
      <x:c r="H550" s="23" t="n">
        <x:f>IF(D550=F550,0,1)+IF(E550=G550,0,1)</x:f>
        <x:v>0</x:v>
      </x:c>
      <x:c r="I550" s="23" t="str">
        <x:v>Timing T20 / fictional rates</x:v>
      </x:c>
    </x:row>
    <x:row r="551" ht="21" customHeight="1">
      <x:c r="A551" s="23" t="str">
        <x:v>level_high</x:v>
      </x:c>
      <x:c r="B551" s="23" t="n">
        <x:v>16</x:v>
      </x:c>
      <x:c r="C551" s="37" t="n">
        <x:v>47849</x:v>
      </x:c>
      <x:c r="D551" s="55" t="n">
        <x:v>0.05</x:v>
      </x:c>
      <x:c r="E551" s="55" t="n">
        <x:v>0.06</x:v>
      </x:c>
      <x:c r="F551" s="60" t="n">
        <x:v>0.05</x:v>
      </x:c>
      <x:c r="G551" s="60" t="n">
        <x:v>0.06</x:v>
      </x:c>
      <x:c r="H551" s="23" t="n">
        <x:f>IF(D551=F551,0,1)+IF(E551=G551,0,1)</x:f>
        <x:v>0</x:v>
      </x:c>
      <x:c r="I551" s="23" t="str">
        <x:v>Timing T20 / fictional rates</x:v>
      </x:c>
    </x:row>
    <x:row r="552" ht="21" customHeight="1">
      <x:c r="A552" s="23" t="str">
        <x:v>level_high</x:v>
      </x:c>
      <x:c r="B552" s="23" t="n">
        <x:v>17</x:v>
      </x:c>
      <x:c r="C552" s="37" t="n">
        <x:v>47939</x:v>
      </x:c>
      <x:c r="D552" s="55" t="n">
        <x:v>0.05</x:v>
      </x:c>
      <x:c r="E552" s="55" t="n">
        <x:v>0.06</x:v>
      </x:c>
      <x:c r="F552" s="60" t="n">
        <x:v>0.05</x:v>
      </x:c>
      <x:c r="G552" s="60" t="n">
        <x:v>0.06</x:v>
      </x:c>
      <x:c r="H552" s="23" t="n">
        <x:f>IF(D552=F552,0,1)+IF(E552=G552,0,1)</x:f>
        <x:v>0</x:v>
      </x:c>
      <x:c r="I552" s="23" t="str">
        <x:v>Timing T20 / fictional rates</x:v>
      </x:c>
    </x:row>
    <x:row r="553" ht="21" customHeight="1">
      <x:c r="A553" s="23" t="str">
        <x:v>level_high</x:v>
      </x:c>
      <x:c r="B553" s="23" t="n">
        <x:v>18</x:v>
      </x:c>
      <x:c r="C553" s="37" t="n">
        <x:v>48030</x:v>
      </x:c>
      <x:c r="D553" s="55" t="n">
        <x:v>0.05</x:v>
      </x:c>
      <x:c r="E553" s="55" t="n">
        <x:v>0.06</x:v>
      </x:c>
      <x:c r="F553" s="60" t="n">
        <x:v>0.05</x:v>
      </x:c>
      <x:c r="G553" s="60" t="n">
        <x:v>0.06</x:v>
      </x:c>
      <x:c r="H553" s="23" t="n">
        <x:f>IF(D553=F553,0,1)+IF(E553=G553,0,1)</x:f>
        <x:v>0</x:v>
      </x:c>
      <x:c r="I553" s="23" t="str">
        <x:v>Timing T20 / fictional rates</x:v>
      </x:c>
    </x:row>
    <x:row r="554" ht="21" customHeight="1">
      <x:c r="A554" s="23" t="str">
        <x:v>level_high</x:v>
      </x:c>
      <x:c r="B554" s="23" t="n">
        <x:v>19</x:v>
      </x:c>
      <x:c r="C554" s="37" t="n">
        <x:v>48122</x:v>
      </x:c>
      <x:c r="D554" s="55" t="n">
        <x:v>0.05</x:v>
      </x:c>
      <x:c r="E554" s="55" t="n">
        <x:v>0.06</x:v>
      </x:c>
      <x:c r="F554" s="60" t="n">
        <x:v>0.05</x:v>
      </x:c>
      <x:c r="G554" s="60" t="n">
        <x:v>0.06</x:v>
      </x:c>
      <x:c r="H554" s="23" t="n">
        <x:f>IF(D554=F554,0,1)+IF(E554=G554,0,1)</x:f>
        <x:v>0</x:v>
      </x:c>
      <x:c r="I554" s="23" t="str">
        <x:v>Timing T20 / fictional rates</x:v>
      </x:c>
    </x:row>
    <x:row r="555" ht="21" customHeight="1">
      <x:c r="A555" s="23" t="str">
        <x:v>level_high</x:v>
      </x:c>
      <x:c r="B555" s="23" t="n">
        <x:v>20</x:v>
      </x:c>
      <x:c r="C555" s="37" t="n">
        <x:v>48214</x:v>
      </x:c>
      <x:c r="D555" s="55" t="n">
        <x:v>0.05</x:v>
      </x:c>
      <x:c r="E555" s="55" t="n">
        <x:v>0.06</x:v>
      </x:c>
      <x:c r="F555" s="60" t="n">
        <x:v>0.05</x:v>
      </x:c>
      <x:c r="G555" s="60" t="n">
        <x:v>0.06</x:v>
      </x:c>
      <x:c r="H555" s="23" t="n">
        <x:f>IF(D555=F555,0,1)+IF(E555=G555,0,1)</x:f>
        <x:v>0</x:v>
      </x:c>
      <x:c r="I555" s="23" t="str">
        <x:v>Timing T20 / fictional rates</x:v>
      </x:c>
    </x:row>
    <x:row r="556" ht="21" customHeight="1">
      <x:c r="A556" s="23" t="str">
        <x:v>level_high</x:v>
      </x:c>
      <x:c r="B556" s="23" t="n">
        <x:v>21</x:v>
      </x:c>
      <x:c r="C556" s="37" t="n">
        <x:v>48305</x:v>
      </x:c>
      <x:c r="D556" s="55" t="n">
        <x:v>0</x:v>
      </x:c>
      <x:c r="E556" s="55" t="n">
        <x:v>0.06</x:v>
      </x:c>
      <x:c r="F556" s="60" t="n">
        <x:v>0</x:v>
      </x:c>
      <x:c r="G556" s="60" t="n">
        <x:v>0.06</x:v>
      </x:c>
      <x:c r="H556" s="23" t="n">
        <x:f>IF(D556=F556,0,1)+IF(E556=G556,0,1)</x:f>
        <x:v>0</x:v>
      </x:c>
      <x:c r="I556" s="23" t="str">
        <x:v>Timing T20 / fictional rates</x:v>
      </x:c>
    </x:row>
    <x:row r="557" ht="21" customHeight="1">
      <x:c r="A557" s="23" t="str">
        <x:v>level_high</x:v>
      </x:c>
      <x:c r="B557" s="23" t="n">
        <x:v>22</x:v>
      </x:c>
      <x:c r="C557" s="37" t="n">
        <x:v>48396</x:v>
      </x:c>
      <x:c r="D557" s="55" t="n">
        <x:v>0</x:v>
      </x:c>
      <x:c r="E557" s="55" t="n">
        <x:v>0.06</x:v>
      </x:c>
      <x:c r="F557" s="60" t="n">
        <x:v>0</x:v>
      </x:c>
      <x:c r="G557" s="60" t="n">
        <x:v>0.06</x:v>
      </x:c>
      <x:c r="H557" s="23" t="n">
        <x:f>IF(D557=F557,0,1)+IF(E557=G557,0,1)</x:f>
        <x:v>0</x:v>
      </x:c>
      <x:c r="I557" s="23" t="str">
        <x:v>Timing T20 / fictional rates</x:v>
      </x:c>
    </x:row>
    <x:row r="558" ht="21" customHeight="1">
      <x:c r="A558" s="23" t="str">
        <x:v>level_high</x:v>
      </x:c>
      <x:c r="B558" s="23" t="n">
        <x:v>23</x:v>
      </x:c>
      <x:c r="C558" s="37" t="n">
        <x:v>48488</x:v>
      </x:c>
      <x:c r="D558" s="55" t="n">
        <x:v>0</x:v>
      </x:c>
      <x:c r="E558" s="55" t="n">
        <x:v>0.06</x:v>
      </x:c>
      <x:c r="F558" s="60" t="n">
        <x:v>0</x:v>
      </x:c>
      <x:c r="G558" s="60" t="n">
        <x:v>0.06</x:v>
      </x:c>
      <x:c r="H558" s="23" t="n">
        <x:f>IF(D558=F558,0,1)+IF(E558=G558,0,1)</x:f>
        <x:v>0</x:v>
      </x:c>
      <x:c r="I558" s="23" t="str">
        <x:v>Timing T20 / fictional rates</x:v>
      </x:c>
    </x:row>
    <x:row r="559" ht="21" customHeight="1">
      <x:c r="A559" s="23" t="str">
        <x:v>level_high</x:v>
      </x:c>
      <x:c r="B559" s="23" t="n">
        <x:v>24</x:v>
      </x:c>
      <x:c r="C559" s="37" t="n">
        <x:v>48580</x:v>
      </x:c>
      <x:c r="D559" s="55" t="n">
        <x:v>0</x:v>
      </x:c>
      <x:c r="E559" s="55" t="n">
        <x:v>0.06</x:v>
      </x:c>
      <x:c r="F559" s="60" t="n">
        <x:v>0</x:v>
      </x:c>
      <x:c r="G559" s="60" t="n">
        <x:v>0.06</x:v>
      </x:c>
      <x:c r="H559" s="23" t="n">
        <x:f>IF(D559=F559,0,1)+IF(E559=G559,0,1)</x:f>
        <x:v>0</x:v>
      </x:c>
      <x:c r="I559" s="23" t="str">
        <x:v>Timing T20 / fictional rates</x:v>
      </x:c>
    </x:row>
    <x:row r="560" ht="21" customHeight="1">
      <x:c r="A560" s="23" t="str">
        <x:v>level_high</x:v>
      </x:c>
      <x:c r="B560" s="23" t="n">
        <x:v>25</x:v>
      </x:c>
      <x:c r="C560" s="37" t="n">
        <x:v>48670</x:v>
      </x:c>
      <x:c r="D560" s="55" t="n">
        <x:v>0</x:v>
      </x:c>
      <x:c r="E560" s="55" t="n">
        <x:v>0.06</x:v>
      </x:c>
      <x:c r="F560" s="60" t="n">
        <x:v>0</x:v>
      </x:c>
      <x:c r="G560" s="60" t="n">
        <x:v>0.06</x:v>
      </x:c>
      <x:c r="H560" s="23" t="n">
        <x:f>IF(D560=F560,0,1)+IF(E560=G560,0,1)</x:f>
        <x:v>0</x:v>
      </x:c>
      <x:c r="I560" s="23" t="str">
        <x:v>Timing T20 / fictional rates</x:v>
      </x:c>
    </x:row>
    <x:row r="561" ht="21" customHeight="1">
      <x:c r="A561" s="23" t="str">
        <x:v>level_high</x:v>
      </x:c>
      <x:c r="B561" s="23" t="n">
        <x:v>26</x:v>
      </x:c>
      <x:c r="C561" s="37" t="n">
        <x:v>48761</x:v>
      </x:c>
      <x:c r="D561" s="55" t="n">
        <x:v>0</x:v>
      </x:c>
      <x:c r="E561" s="55" t="n">
        <x:v>0.06</x:v>
      </x:c>
      <x:c r="F561" s="60" t="n">
        <x:v>0</x:v>
      </x:c>
      <x:c r="G561" s="60" t="n">
        <x:v>0.06</x:v>
      </x:c>
      <x:c r="H561" s="23" t="n">
        <x:f>IF(D561=F561,0,1)+IF(E561=G561,0,1)</x:f>
        <x:v>0</x:v>
      </x:c>
      <x:c r="I561" s="23" t="str">
        <x:v>Timing T20 / fictional rates</x:v>
      </x:c>
    </x:row>
    <x:row r="562" ht="21" customHeight="1">
      <x:c r="A562" s="23" t="str">
        <x:v>level_high</x:v>
      </x:c>
      <x:c r="B562" s="23" t="n">
        <x:v>27</x:v>
      </x:c>
      <x:c r="C562" s="37" t="n">
        <x:v>48853</x:v>
      </x:c>
      <x:c r="D562" s="55" t="n">
        <x:v>0</x:v>
      </x:c>
      <x:c r="E562" s="55" t="n">
        <x:v>0.06</x:v>
      </x:c>
      <x:c r="F562" s="60" t="n">
        <x:v>0</x:v>
      </x:c>
      <x:c r="G562" s="60" t="n">
        <x:v>0.06</x:v>
      </x:c>
      <x:c r="H562" s="23" t="n">
        <x:f>IF(D562=F562,0,1)+IF(E562=G562,0,1)</x:f>
        <x:v>0</x:v>
      </x:c>
      <x:c r="I562" s="23" t="str">
        <x:v>Timing T20 / fictional rates</x:v>
      </x:c>
    </x:row>
    <x:row r="563" ht="21" customHeight="1">
      <x:c r="A563" s="23" t="str">
        <x:v>level_high</x:v>
      </x:c>
      <x:c r="B563" s="23" t="n">
        <x:v>28</x:v>
      </x:c>
      <x:c r="C563" s="37" t="n">
        <x:v>48945</x:v>
      </x:c>
      <x:c r="D563" s="55" t="n">
        <x:v>0</x:v>
      </x:c>
      <x:c r="E563" s="55" t="n">
        <x:v>0.06</x:v>
      </x:c>
      <x:c r="F563" s="60" t="n">
        <x:v>0</x:v>
      </x:c>
      <x:c r="G563" s="60" t="n">
        <x:v>0.06</x:v>
      </x:c>
      <x:c r="H563" s="23" t="n">
        <x:f>IF(D563=F563,0,1)+IF(E563=G563,0,1)</x:f>
        <x:v>0</x:v>
      </x:c>
      <x:c r="I563" s="23" t="str">
        <x:v>Timing T20 / fictional rates</x:v>
      </x:c>
    </x:row>
    <x:row r="564" ht="21" customHeight="1">
      <x:c r="A564" s="23" t="str">
        <x:v>level_high</x:v>
      </x:c>
      <x:c r="B564" s="23" t="n">
        <x:v>29</x:v>
      </x:c>
      <x:c r="C564" s="37" t="n">
        <x:v>49035</x:v>
      </x:c>
      <x:c r="D564" s="55" t="n">
        <x:v>0</x:v>
      </x:c>
      <x:c r="E564" s="55" t="n">
        <x:v>0.06</x:v>
      </x:c>
      <x:c r="F564" s="60" t="n">
        <x:v>0</x:v>
      </x:c>
      <x:c r="G564" s="60" t="n">
        <x:v>0.06</x:v>
      </x:c>
      <x:c r="H564" s="23" t="n">
        <x:f>IF(D564=F564,0,1)+IF(E564=G564,0,1)</x:f>
        <x:v>0</x:v>
      </x:c>
      <x:c r="I564" s="23" t="str">
        <x:v>Timing T20 / fictional rates</x:v>
      </x:c>
    </x:row>
    <x:row r="565" ht="21" customHeight="1">
      <x:c r="A565" s="23" t="str">
        <x:v>level_high</x:v>
      </x:c>
      <x:c r="B565" s="23" t="n">
        <x:v>30</x:v>
      </x:c>
      <x:c r="C565" s="37" t="n">
        <x:v>49126</x:v>
      </x:c>
      <x:c r="D565" s="55" t="n">
        <x:v>0</x:v>
      </x:c>
      <x:c r="E565" s="55" t="n">
        <x:v>0.06</x:v>
      </x:c>
      <x:c r="F565" s="60" t="n">
        <x:v>0</x:v>
      </x:c>
      <x:c r="G565" s="60" t="n">
        <x:v>0.06</x:v>
      </x:c>
      <x:c r="H565" s="23" t="n">
        <x:f>IF(D565=F565,0,1)+IF(E565=G565,0,1)</x:f>
        <x:v>0</x:v>
      </x:c>
      <x:c r="I565" s="23" t="str">
        <x:v>Timing T20 / fictional rates</x:v>
      </x:c>
    </x:row>
    <x:row r="566" ht="21" customHeight="1">
      <x:c r="A566" s="23" t="str">
        <x:v>level_high</x:v>
      </x:c>
      <x:c r="B566" s="23" t="n">
        <x:v>31</x:v>
      </x:c>
      <x:c r="C566" s="37" t="n">
        <x:v>49218</x:v>
      </x:c>
      <x:c r="D566" s="55" t="n">
        <x:v>0</x:v>
      </x:c>
      <x:c r="E566" s="55" t="n">
        <x:v>0.06</x:v>
      </x:c>
      <x:c r="F566" s="60" t="n">
        <x:v>0</x:v>
      </x:c>
      <x:c r="G566" s="60" t="n">
        <x:v>0.06</x:v>
      </x:c>
      <x:c r="H566" s="23" t="n">
        <x:f>IF(D566=F566,0,1)+IF(E566=G566,0,1)</x:f>
        <x:v>0</x:v>
      </x:c>
      <x:c r="I566" s="23" t="str">
        <x:v>Timing T20 / fictional rates</x:v>
      </x:c>
    </x:row>
    <x:row r="567" ht="21" customHeight="1">
      <x:c r="A567" s="23" t="str">
        <x:v>level_high</x:v>
      </x:c>
      <x:c r="B567" s="23" t="n">
        <x:v>32</x:v>
      </x:c>
      <x:c r="C567" s="37" t="n">
        <x:v>49310</x:v>
      </x:c>
      <x:c r="D567" s="55" t="n">
        <x:v>0</x:v>
      </x:c>
      <x:c r="E567" s="55" t="n">
        <x:v>0.06</x:v>
      </x:c>
      <x:c r="F567" s="60" t="n">
        <x:v>0</x:v>
      </x:c>
      <x:c r="G567" s="60" t="n">
        <x:v>0.06</x:v>
      </x:c>
      <x:c r="H567" s="23" t="n">
        <x:f>IF(D567=F567,0,1)+IF(E567=G567,0,1)</x:f>
        <x:v>0</x:v>
      </x:c>
      <x:c r="I567" s="23" t="str">
        <x:v>Timing T20 / fictional rates</x:v>
      </x:c>
    </x:row>
    <x:row r="568" ht="21" customHeight="1">
      <x:c r="A568" s="23" t="str">
        <x:v>level_high</x:v>
      </x:c>
      <x:c r="B568" s="23" t="n">
        <x:v>33</x:v>
      </x:c>
      <x:c r="C568" s="37" t="n">
        <x:v>49400</x:v>
      </x:c>
      <x:c r="D568" s="55" t="n">
        <x:v>0</x:v>
      </x:c>
      <x:c r="E568" s="55" t="n">
        <x:v>0.06</x:v>
      </x:c>
      <x:c r="F568" s="60" t="n">
        <x:v>0</x:v>
      </x:c>
      <x:c r="G568" s="60" t="n">
        <x:v>0.06</x:v>
      </x:c>
      <x:c r="H568" s="23" t="n">
        <x:f>IF(D568=F568,0,1)+IF(E568=G568,0,1)</x:f>
        <x:v>0</x:v>
      </x:c>
      <x:c r="I568" s="23" t="str">
        <x:v>Timing T20 / fictional rates</x:v>
      </x:c>
    </x:row>
    <x:row r="569" ht="21" customHeight="1">
      <x:c r="A569" s="23" t="str">
        <x:v>level_high</x:v>
      </x:c>
      <x:c r="B569" s="23" t="n">
        <x:v>34</x:v>
      </x:c>
      <x:c r="C569" s="37" t="n">
        <x:v>49491</x:v>
      </x:c>
      <x:c r="D569" s="55" t="n">
        <x:v>0</x:v>
      </x:c>
      <x:c r="E569" s="55" t="n">
        <x:v>0.06</x:v>
      </x:c>
      <x:c r="F569" s="60" t="n">
        <x:v>0</x:v>
      </x:c>
      <x:c r="G569" s="60" t="n">
        <x:v>0.06</x:v>
      </x:c>
      <x:c r="H569" s="23" t="n">
        <x:f>IF(D569=F569,0,1)+IF(E569=G569,0,1)</x:f>
        <x:v>0</x:v>
      </x:c>
      <x:c r="I569" s="23" t="str">
        <x:v>Timing T20 / fictional rates</x:v>
      </x:c>
    </x:row>
    <x:row r="570" ht="21" customHeight="1">
      <x:c r="A570" s="23" t="str">
        <x:v>level_high</x:v>
      </x:c>
      <x:c r="B570" s="23" t="n">
        <x:v>35</x:v>
      </x:c>
      <x:c r="C570" s="37" t="n">
        <x:v>49583</x:v>
      </x:c>
      <x:c r="D570" s="55" t="n">
        <x:v>0</x:v>
      </x:c>
      <x:c r="E570" s="55" t="n">
        <x:v>0.06</x:v>
      </x:c>
      <x:c r="F570" s="60" t="n">
        <x:v>0</x:v>
      </x:c>
      <x:c r="G570" s="60" t="n">
        <x:v>0.06</x:v>
      </x:c>
      <x:c r="H570" s="23" t="n">
        <x:f>IF(D570=F570,0,1)+IF(E570=G570,0,1)</x:f>
        <x:v>0</x:v>
      </x:c>
      <x:c r="I570" s="23" t="str">
        <x:v>Timing T20 / fictional rates</x:v>
      </x:c>
    </x:row>
    <x:row r="571" ht="21" customHeight="1">
      <x:c r="A571" s="23" t="str">
        <x:v>level_high</x:v>
      </x:c>
      <x:c r="B571" s="23" t="n">
        <x:v>36</x:v>
      </x:c>
      <x:c r="C571" s="37" t="n">
        <x:v>49675</x:v>
      </x:c>
      <x:c r="D571" s="55" t="n">
        <x:v>0</x:v>
      </x:c>
      <x:c r="E571" s="55" t="n">
        <x:v>0.06</x:v>
      </x:c>
      <x:c r="F571" s="60" t="n">
        <x:v>0</x:v>
      </x:c>
      <x:c r="G571" s="60" t="n">
        <x:v>0.06</x:v>
      </x:c>
      <x:c r="H571" s="23" t="n">
        <x:f>IF(D571=F571,0,1)+IF(E571=G571,0,1)</x:f>
        <x:v>0</x:v>
      </x:c>
      <x:c r="I571" s="23" t="str">
        <x:v>Timing T20 / fictional rates</x:v>
      </x:c>
    </x:row>
    <x:row r="572" ht="21" customHeight="1">
      <x:c r="A572" s="23" t="str">
        <x:v>level_high</x:v>
      </x:c>
      <x:c r="B572" s="23" t="n">
        <x:v>37</x:v>
      </x:c>
      <x:c r="C572" s="37" t="n">
        <x:v>49766</x:v>
      </x:c>
      <x:c r="D572" s="55" t="n">
        <x:v>0</x:v>
      </x:c>
      <x:c r="E572" s="55" t="n">
        <x:v>0.06</x:v>
      </x:c>
      <x:c r="F572" s="60" t="n">
        <x:v>0</x:v>
      </x:c>
      <x:c r="G572" s="60" t="n">
        <x:v>0.06</x:v>
      </x:c>
      <x:c r="H572" s="23" t="n">
        <x:f>IF(D572=F572,0,1)+IF(E572=G572,0,1)</x:f>
        <x:v>0</x:v>
      </x:c>
      <x:c r="I572" s="23" t="str">
        <x:v>Timing T20 / fictional rates</x:v>
      </x:c>
    </x:row>
    <x:row r="573" ht="21" customHeight="1">
      <x:c r="A573" s="23" t="str">
        <x:v>level_high</x:v>
      </x:c>
      <x:c r="B573" s="23" t="n">
        <x:v>38</x:v>
      </x:c>
      <x:c r="C573" s="37" t="n">
        <x:v>49857</x:v>
      </x:c>
      <x:c r="D573" s="55" t="n">
        <x:v>0</x:v>
      </x:c>
      <x:c r="E573" s="55" t="n">
        <x:v>0.06</x:v>
      </x:c>
      <x:c r="F573" s="60" t="n">
        <x:v>0</x:v>
      </x:c>
      <x:c r="G573" s="60" t="n">
        <x:v>0.06</x:v>
      </x:c>
      <x:c r="H573" s="23" t="n">
        <x:f>IF(D573=F573,0,1)+IF(E573=G573,0,1)</x:f>
        <x:v>0</x:v>
      </x:c>
      <x:c r="I573" s="23" t="str">
        <x:v>Timing T20 / fictional rates</x:v>
      </x:c>
    </x:row>
    <x:row r="574" ht="21" customHeight="1">
      <x:c r="A574" s="23" t="str">
        <x:v>level_high</x:v>
      </x:c>
      <x:c r="B574" s="23" t="n">
        <x:v>39</x:v>
      </x:c>
      <x:c r="C574" s="37" t="n">
        <x:v>49949</x:v>
      </x:c>
      <x:c r="D574" s="55" t="n">
        <x:v>0</x:v>
      </x:c>
      <x:c r="E574" s="55" t="n">
        <x:v>0.06</x:v>
      </x:c>
      <x:c r="F574" s="60" t="n">
        <x:v>0</x:v>
      </x:c>
      <x:c r="G574" s="60" t="n">
        <x:v>0.06</x:v>
      </x:c>
      <x:c r="H574" s="23" t="n">
        <x:f>IF(D574=F574,0,1)+IF(E574=G574,0,1)</x:f>
        <x:v>0</x:v>
      </x:c>
      <x:c r="I574" s="23" t="str">
        <x:v>Timing T20 / fictional rates</x:v>
      </x:c>
    </x:row>
    <x:row r="575" ht="21" customHeight="1">
      <x:c r="A575" s="23" t="str">
        <x:v>level_high</x:v>
      </x:c>
      <x:c r="B575" s="23" t="n">
        <x:v>40</x:v>
      </x:c>
      <x:c r="C575" s="37" t="n">
        <x:v>50041</x:v>
      </x:c>
      <x:c r="D575" s="55" t="n">
        <x:v>0</x:v>
      </x:c>
      <x:c r="E575" s="55" t="n">
        <x:v>0.06</x:v>
      </x:c>
      <x:c r="F575" s="60" t="n">
        <x:v>0</x:v>
      </x:c>
      <x:c r="G575" s="60" t="n">
        <x:v>0.06</x:v>
      </x:c>
      <x:c r="H575" s="23" t="n">
        <x:f>IF(D575=F575,0,1)+IF(E575=G575,0,1)</x:f>
        <x:v>0</x:v>
      </x:c>
      <x:c r="I575" s="23" t="str">
        <x:v>Timing T20 / fictional rates</x:v>
      </x:c>
    </x:row>
    <x:row r="576" ht="21" customHeight="1">
      <x:c r="A576" s="23" t="str">
        <x:v>level_high</x:v>
      </x:c>
      <x:c r="B576" s="23" t="n">
        <x:v>41</x:v>
      </x:c>
      <x:c r="C576" s="37" t="n">
        <x:v>50131</x:v>
      </x:c>
      <x:c r="D576" s="55" t="n">
        <x:v>0</x:v>
      </x:c>
      <x:c r="E576" s="55" t="n">
        <x:v>0.06</x:v>
      </x:c>
      <x:c r="F576" s="60" t="n">
        <x:v>0</x:v>
      </x:c>
      <x:c r="G576" s="60" t="n">
        <x:v>0.06</x:v>
      </x:c>
      <x:c r="H576" s="23" t="n">
        <x:f>IF(D576=F576,0,1)+IF(E576=G576,0,1)</x:f>
        <x:v>0</x:v>
      </x:c>
      <x:c r="I576" s="23" t="str">
        <x:v>Timing T20 / fictional rates</x:v>
      </x:c>
    </x:row>
    <x:row r="577" ht="21" customHeight="1">
      <x:c r="A577" s="23" t="str">
        <x:v>level_high</x:v>
      </x:c>
      <x:c r="B577" s="23" t="n">
        <x:v>42</x:v>
      </x:c>
      <x:c r="C577" s="37" t="n">
        <x:v>50222</x:v>
      </x:c>
      <x:c r="D577" s="55" t="n">
        <x:v>0</x:v>
      </x:c>
      <x:c r="E577" s="55" t="n">
        <x:v>0.06</x:v>
      </x:c>
      <x:c r="F577" s="60" t="n">
        <x:v>0</x:v>
      </x:c>
      <x:c r="G577" s="60" t="n">
        <x:v>0.06</x:v>
      </x:c>
      <x:c r="H577" s="23" t="n">
        <x:f>IF(D577=F577,0,1)+IF(E577=G577,0,1)</x:f>
        <x:v>0</x:v>
      </x:c>
      <x:c r="I577" s="23" t="str">
        <x:v>Timing T20 / fictional rates</x:v>
      </x:c>
    </x:row>
    <x:row r="578" ht="21" customHeight="1">
      <x:c r="A578" s="23" t="str">
        <x:v>level_high</x:v>
      </x:c>
      <x:c r="B578" s="23" t="n">
        <x:v>43</x:v>
      </x:c>
      <x:c r="C578" s="37" t="n">
        <x:v>50314</x:v>
      </x:c>
      <x:c r="D578" s="55" t="n">
        <x:v>0</x:v>
      </x:c>
      <x:c r="E578" s="55" t="n">
        <x:v>0.06</x:v>
      </x:c>
      <x:c r="F578" s="60" t="n">
        <x:v>0</x:v>
      </x:c>
      <x:c r="G578" s="60" t="n">
        <x:v>0.06</x:v>
      </x:c>
      <x:c r="H578" s="23" t="n">
        <x:f>IF(D578=F578,0,1)+IF(E578=G578,0,1)</x:f>
        <x:v>0</x:v>
      </x:c>
      <x:c r="I578" s="23" t="str">
        <x:v>Timing T20 / fictional rates</x:v>
      </x:c>
    </x:row>
    <x:row r="579" ht="21" customHeight="1">
      <x:c r="A579" s="23" t="str">
        <x:v>level_high</x:v>
      </x:c>
      <x:c r="B579" s="23" t="n">
        <x:v>44</x:v>
      </x:c>
      <x:c r="C579" s="37" t="n">
        <x:v>50406</x:v>
      </x:c>
      <x:c r="D579" s="55" t="n">
        <x:v>0</x:v>
      </x:c>
      <x:c r="E579" s="55" t="n">
        <x:v>0.06</x:v>
      </x:c>
      <x:c r="F579" s="60" t="n">
        <x:v>0</x:v>
      </x:c>
      <x:c r="G579" s="60" t="n">
        <x:v>0.06</x:v>
      </x:c>
      <x:c r="H579" s="23" t="n">
        <x:f>IF(D579=F579,0,1)+IF(E579=G579,0,1)</x:f>
        <x:v>0</x:v>
      </x:c>
      <x:c r="I579" s="23" t="str">
        <x:v>Timing T20 / fictional rates</x:v>
      </x:c>
    </x:row>
    <x:row r="580" ht="21" customHeight="1">
      <x:c r="A580" s="23" t="str">
        <x:v>level_high</x:v>
      </x:c>
      <x:c r="B580" s="23" t="n">
        <x:v>45</x:v>
      </x:c>
      <x:c r="C580" s="37" t="n">
        <x:v>50496</x:v>
      </x:c>
      <x:c r="D580" s="55" t="n">
        <x:v>0</x:v>
      </x:c>
      <x:c r="E580" s="55" t="n">
        <x:v>0.06</x:v>
      </x:c>
      <x:c r="F580" s="60" t="n">
        <x:v>0</x:v>
      </x:c>
      <x:c r="G580" s="60" t="n">
        <x:v>0.06</x:v>
      </x:c>
      <x:c r="H580" s="23" t="n">
        <x:f>IF(D580=F580,0,1)+IF(E580=G580,0,1)</x:f>
        <x:v>0</x:v>
      </x:c>
      <x:c r="I580" s="23" t="str">
        <x:v>Timing T20 / fictional rates</x:v>
      </x:c>
    </x:row>
    <x:row r="581" ht="21" customHeight="1">
      <x:c r="A581" s="23" t="str">
        <x:v>level_high</x:v>
      </x:c>
      <x:c r="B581" s="23" t="n">
        <x:v>46</x:v>
      </x:c>
      <x:c r="C581" s="37" t="n">
        <x:v>50587</x:v>
      </x:c>
      <x:c r="D581" s="55" t="n">
        <x:v>0</x:v>
      </x:c>
      <x:c r="E581" s="55" t="n">
        <x:v>0.06</x:v>
      </x:c>
      <x:c r="F581" s="60" t="n">
        <x:v>0</x:v>
      </x:c>
      <x:c r="G581" s="60" t="n">
        <x:v>0.06</x:v>
      </x:c>
      <x:c r="H581" s="23" t="n">
        <x:f>IF(D581=F581,0,1)+IF(E581=G581,0,1)</x:f>
        <x:v>0</x:v>
      </x:c>
      <x:c r="I581" s="23" t="str">
        <x:v>Timing T20 / fictional rates</x:v>
      </x:c>
    </x:row>
    <x:row r="582" ht="21" customHeight="1">
      <x:c r="A582" s="23" t="str">
        <x:v>level_high</x:v>
      </x:c>
      <x:c r="B582" s="23" t="n">
        <x:v>47</x:v>
      </x:c>
      <x:c r="C582" s="37" t="n">
        <x:v>50679</x:v>
      </x:c>
      <x:c r="D582" s="55" t="n">
        <x:v>0</x:v>
      </x:c>
      <x:c r="E582" s="55" t="n">
        <x:v>0.06</x:v>
      </x:c>
      <x:c r="F582" s="60" t="n">
        <x:v>0</x:v>
      </x:c>
      <x:c r="G582" s="60" t="n">
        <x:v>0.06</x:v>
      </x:c>
      <x:c r="H582" s="23" t="n">
        <x:f>IF(D582=F582,0,1)+IF(E582=G582,0,1)</x:f>
        <x:v>0</x:v>
      </x:c>
      <x:c r="I582" s="23" t="str">
        <x:v>Timing T20 / fictional rates</x:v>
      </x:c>
    </x:row>
    <x:row r="583" ht="21" customHeight="1">
      <x:c r="A583" s="23" t="str">
        <x:v>level_high</x:v>
      </x:c>
      <x:c r="B583" s="23" t="n">
        <x:v>48</x:v>
      </x:c>
      <x:c r="C583" s="37" t="n">
        <x:v>50771</x:v>
      </x:c>
      <x:c r="D583" s="55" t="n">
        <x:v>0</x:v>
      </x:c>
      <x:c r="E583" s="55" t="n">
        <x:v>0.06</x:v>
      </x:c>
      <x:c r="F583" s="60" t="n">
        <x:v>0</x:v>
      </x:c>
      <x:c r="G583" s="60" t="n">
        <x:v>0.06</x:v>
      </x:c>
      <x:c r="H583" s="23" t="n">
        <x:f>IF(D583=F583,0,1)+IF(E583=G583,0,1)</x:f>
        <x:v>0</x:v>
      </x:c>
      <x:c r="I583" s="23" t="str">
        <x:v>Timing T20 / fictional rates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D88238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4" hidden="0" customWidth="1"/>
    <x:col min="4" max="4" width="12" hidden="0" customWidth="1"/>
    <x:col min="5" max="5" width="17" hidden="0" customWidth="1"/>
  </x:cols>
  <x:sheetData>
    <x:row r="1">
      <x:c r="A1" s="23"/>
      <x:c r="B1" s="23"/>
      <x:c r="C1" s="115" t="str">
        <x:v>Development cash flow</x:v>
      </x:c>
      <x:c r="D1" s="23"/>
      <x:c r="E1" s="23"/>
    </x:row>
    <x:row r="2">
      <x:c r="A2" s="23"/>
      <x:c r="B2" s="23"/>
      <x:c r="C2" s="24" t="str">
        <x:v>Development Cash Flow</x:v>
      </x:c>
      <x:c r="D2" s="25"/>
      <x:c r="E2" s="25"/>
    </x:row>
    <x:row r="3" ht="22" customHeight="1">
      <x:c r="A3" s="23"/>
      <x:c r="B3" s="23"/>
      <x:c r="C3" s="26" t="str">
        <x:v>Python simulation; front_flat, 30% target defaults, 64% senior. ACT/365.</x:v>
      </x:c>
      <x:c r="D3" s="23"/>
      <x:c r="E3" s="23"/>
    </x:row>
    <x:row r="4">
      <x:c r="A4" s="23"/>
      <x:c r="B4" s="23"/>
      <x:c r="C4" s="23"/>
      <x:c r="D4" s="23"/>
      <x:c r="E4" s="23"/>
    </x:row>
    <x:row r="5">
      <x:c r="A5" s="23"/>
      <x:c r="B5" s="23"/>
      <x:c r="C5" s="32" t="str">
        <x:f>IF(Refresh_Required,"REFRESH REQUIRED — Python results reflect the last run","Python results match the imported inputs")</x:f>
        <x:v>REFRESH REQUIRED — Python results reflect the last run</x:v>
      </x:c>
      <x:c r="D5" s="23"/>
      <x:c r="E5" s="23"/>
    </x:row>
    <x:row r="6">
      <x:c r="A6" s="23"/>
      <x:c r="B6" s="23"/>
      <x:c r="C6" s="23"/>
      <x:c r="D6" s="23"/>
      <x:c r="E6" s="23"/>
    </x:row>
    <x:row r="7" ht="38" customHeight="1">
      <x:c r="A7" s="23"/>
      <x:c r="B7" s="23"/>
      <x:c r="C7" s="7" t="str">
        <x:v>Cash flow line</x:v>
      </x:c>
      <x:c r="D7" s="7" t="str">
        <x:v>Unit</x:v>
      </x:c>
      <x:c r="E7" s="79" t="str">
        <x:v>Not run</x:v>
      </x:c>
    </x:row>
    <x:row r="8" ht="21" customHeight="1">
      <x:c r="A8" s="23"/>
      <x:c r="B8" s="23"/>
      <x:c r="C8" s="23" t="str">
        <x:v>performing begin</x:v>
      </x:c>
      <x:c r="D8" s="23" t="str">
        <x:v>USD</x:v>
      </x:c>
      <x:c r="E8" s="83"/>
    </x:row>
    <x:row r="9" ht="21" customHeight="1">
      <x:c r="A9" s="152"/>
      <x:c r="B9" s="152"/>
      <x:c r="C9" s="23" t="str">
        <x:v>requested defaults</x:v>
      </x:c>
      <x:c r="D9" s="23" t="str">
        <x:v>USD</x:v>
      </x:c>
      <x:c r="E9" s="83"/>
    </x:row>
    <x:row r="10" ht="21" customHeight="1">
      <x:c r="A10" s="152"/>
      <x:c r="B10" s="152"/>
      <x:c r="C10" s="23" t="str">
        <x:v>defaults</x:v>
      </x:c>
      <x:c r="D10" s="23" t="str">
        <x:v>USD</x:v>
      </x:c>
      <x:c r="E10" s="83"/>
    </x:row>
    <x:row r="11" ht="21" customHeight="1">
      <x:c r="A11" s="152"/>
      <x:c r="B11" s="152"/>
      <x:c r="C11" s="23" t="str">
        <x:v>prepayments</x:v>
      </x:c>
      <x:c r="D11" s="23" t="str">
        <x:v>USD</x:v>
      </x:c>
      <x:c r="E11" s="83"/>
    </x:row>
    <x:row r="12" ht="21" customHeight="1">
      <x:c r="A12" s="152"/>
      <x:c r="B12" s="152"/>
      <x:c r="C12" s="23" t="str">
        <x:v>maturities</x:v>
      </x:c>
      <x:c r="D12" s="23" t="str">
        <x:v>USD</x:v>
      </x:c>
      <x:c r="E12" s="83"/>
    </x:row>
    <x:row r="13" ht="21" customHeight="1">
      <x:c r="A13" s="152"/>
      <x:c r="B13" s="152"/>
      <x:c r="C13" s="23" t="str">
        <x:v>liquidated par</x:v>
      </x:c>
      <x:c r="D13" s="23" t="str">
        <x:v>USD</x:v>
      </x:c>
      <x:c r="E13" s="83"/>
    </x:row>
    <x:row r="14" ht="21" customHeight="1">
      <x:c r="A14" s="152"/>
      <x:c r="B14" s="152"/>
      <x:c r="C14" s="23" t="str">
        <x:v>purchased par</x:v>
      </x:c>
      <x:c r="D14" s="23" t="str">
        <x:v>USD</x:v>
      </x:c>
      <x:c r="E14" s="83"/>
    </x:row>
    <x:row r="15" ht="21" customHeight="1">
      <x:c r="A15" s="152"/>
      <x:c r="B15" s="152"/>
      <x:c r="C15" s="23" t="str">
        <x:v>performing end</x:v>
      </x:c>
      <x:c r="D15" s="23" t="str">
        <x:v>USD</x:v>
      </x:c>
      <x:c r="E15" s="83"/>
    </x:row>
    <x:row r="16" ht="21" customHeight="1">
      <x:c r="A16" s="152"/>
      <x:c r="B16" s="152"/>
      <x:c r="C16" s="23" t="str">
        <x:v>asset interest accrued</x:v>
      </x:c>
      <x:c r="D16" s="23" t="str">
        <x:v>USD</x:v>
      </x:c>
      <x:c r="E16" s="83"/>
    </x:row>
    <x:row r="17" ht="21" customHeight="1">
      <x:c r="A17" s="152"/>
      <x:c r="B17" s="152"/>
      <x:c r="C17" s="23" t="str">
        <x:v>asset interest forfeited</x:v>
      </x:c>
      <x:c r="D17" s="23" t="str">
        <x:v>USD</x:v>
      </x:c>
      <x:c r="E17" s="83"/>
    </x:row>
    <x:row r="18" ht="21" customHeight="1">
      <x:c r="A18" s="152"/>
      <x:c r="B18" s="152"/>
      <x:c r="C18" s="23" t="str">
        <x:v>asset interest receivable</x:v>
      </x:c>
      <x:c r="D18" s="23" t="str">
        <x:v>USD</x:v>
      </x:c>
      <x:c r="E18" s="83"/>
    </x:row>
    <x:row r="19" ht="21" customHeight="1">
      <x:c r="A19" s="152"/>
      <x:c r="B19" s="152"/>
      <x:c r="C19" s="23" t="str">
        <x:v>asset interest</x:v>
      </x:c>
      <x:c r="D19" s="23" t="str">
        <x:v>USD</x:v>
      </x:c>
      <x:c r="E19" s="83"/>
    </x:row>
    <x:row r="20" ht="21" customHeight="1">
      <x:c r="A20" s="152"/>
      <x:c r="B20" s="152"/>
      <x:c r="C20" s="23" t="str">
        <x:v>recoveries created</x:v>
      </x:c>
      <x:c r="D20" s="23" t="str">
        <x:v>USD</x:v>
      </x:c>
      <x:c r="E20" s="83"/>
    </x:row>
    <x:row r="21" ht="21" customHeight="1">
      <x:c r="A21" s="152"/>
      <x:c r="B21" s="152"/>
      <x:c r="C21" s="23" t="str">
        <x:v>recovery cash</x:v>
      </x:c>
      <x:c r="D21" s="23" t="str">
        <x:v>USD</x:v>
      </x:c>
      <x:c r="E21" s="83"/>
    </x:row>
    <x:row r="22" ht="21" customHeight="1">
      <x:c r="A22" s="152"/>
      <x:c r="B22" s="152"/>
      <x:c r="C22" s="23" t="str">
        <x:v>recovery receivable</x:v>
      </x:c>
      <x:c r="D22" s="23" t="str">
        <x:v>USD</x:v>
      </x:c>
      <x:c r="E22" s="83"/>
    </x:row>
    <x:row r="23" ht="21" customHeight="1">
      <x:c r="A23" s="152"/>
      <x:c r="B23" s="152"/>
      <x:c r="C23" s="23" t="str">
        <x:v>liquidation cash</x:v>
      </x:c>
      <x:c r="D23" s="23" t="str">
        <x:v>USD</x:v>
      </x:c>
      <x:c r="E23" s="83"/>
    </x:row>
    <x:row r="24" ht="21" customHeight="1">
      <x:c r="A24" s="152"/>
      <x:c r="B24" s="152"/>
      <x:c r="C24" s="23" t="str">
        <x:v>principal cash begin</x:v>
      </x:c>
      <x:c r="D24" s="23" t="str">
        <x:v>USD</x:v>
      </x:c>
      <x:c r="E24" s="83"/>
    </x:row>
    <x:row r="25" ht="21" customHeight="1">
      <x:c r="A25" s="152"/>
      <x:c r="B25" s="152"/>
      <x:c r="C25" s="23" t="str">
        <x:v>interest cash begin</x:v>
      </x:c>
      <x:c r="D25" s="23" t="str">
        <x:v>USD</x:v>
      </x:c>
      <x:c r="E25" s="83"/>
    </x:row>
    <x:row r="26" ht="21" customHeight="1">
      <x:c r="A26" s="152"/>
      <x:c r="B26" s="152"/>
      <x:c r="C26" s="23" t="str">
        <x:v>senior begin</x:v>
      </x:c>
      <x:c r="D26" s="23" t="str">
        <x:v>USD</x:v>
      </x:c>
      <x:c r="E26" s="83"/>
    </x:row>
    <x:row r="27" ht="21" customHeight="1">
      <x:c r="A27" s="152"/>
      <x:c r="B27" s="152"/>
      <x:c r="C27" s="23" t="str">
        <x:v>junior begin</x:v>
      </x:c>
      <x:c r="D27" s="23" t="str">
        <x:v>USD</x:v>
      </x:c>
      <x:c r="E27" s="83"/>
    </x:row>
    <x:row r="28" ht="21" customHeight="1">
      <x:c r="A28" s="152"/>
      <x:c r="B28" s="152"/>
      <x:c r="C28" s="23" t="str">
        <x:v>senior interest due</x:v>
      </x:c>
      <x:c r="D28" s="23" t="str">
        <x:v>USD</x:v>
      </x:c>
      <x:c r="E28" s="83"/>
    </x:row>
    <x:row r="29" ht="21" customHeight="1">
      <x:c r="A29" s="152"/>
      <x:c r="B29" s="152"/>
      <x:c r="C29" s="23" t="str">
        <x:v>senior interest paid</x:v>
      </x:c>
      <x:c r="D29" s="23" t="str">
        <x:v>USD</x:v>
      </x:c>
      <x:c r="E29" s="83"/>
    </x:row>
    <x:row r="30" ht="21" customHeight="1">
      <x:c r="A30" s="152"/>
      <x:c r="B30" s="152"/>
      <x:c r="C30" s="23" t="str">
        <x:v>senior interest shortfall</x:v>
      </x:c>
      <x:c r="D30" s="23" t="str">
        <x:v>USD</x:v>
      </x:c>
      <x:c r="E30" s="83"/>
    </x:row>
    <x:row r="31" ht="21" customHeight="1">
      <x:c r="A31" s="152"/>
      <x:c r="B31" s="152"/>
      <x:c r="C31" s="23" t="str">
        <x:v>senior interest arrears</x:v>
      </x:c>
      <x:c r="D31" s="23" t="str">
        <x:v>USD</x:v>
      </x:c>
      <x:c r="E31" s="83"/>
    </x:row>
    <x:row r="32" ht="21" customHeight="1">
      <x:c r="A32" s="152"/>
      <x:c r="B32" s="152"/>
      <x:c r="C32" s="23" t="str">
        <x:v>junior interest due</x:v>
      </x:c>
      <x:c r="D32" s="23" t="str">
        <x:v>USD</x:v>
      </x:c>
      <x:c r="E32" s="83"/>
    </x:row>
    <x:row r="33" ht="21" customHeight="1">
      <x:c r="A33" s="152"/>
      <x:c r="B33" s="152"/>
      <x:c r="C33" s="23" t="str">
        <x:v>junior interest paid</x:v>
      </x:c>
      <x:c r="D33" s="23" t="str">
        <x:v>USD</x:v>
      </x:c>
      <x:c r="E33" s="83"/>
    </x:row>
    <x:row r="34" ht="21" customHeight="1">
      <x:c r="A34" s="152"/>
      <x:c r="B34" s="152"/>
      <x:c r="C34" s="23" t="str">
        <x:v>junior interest arrears</x:v>
      </x:c>
      <x:c r="D34" s="23" t="str">
        <x:v>USD</x:v>
      </x:c>
      <x:c r="E34" s="83"/>
    </x:row>
    <x:row r="35" ht="21" customHeight="1">
      <x:c r="A35" s="152"/>
      <x:c r="B35" s="152"/>
      <x:c r="C35" s="23" t="str">
        <x:v>senior fees due</x:v>
      </x:c>
      <x:c r="D35" s="23" t="str">
        <x:v>USD</x:v>
      </x:c>
      <x:c r="E35" s="83"/>
    </x:row>
    <x:row r="36" ht="21" customHeight="1">
      <x:c r="A36" s="152"/>
      <x:c r="B36" s="152"/>
      <x:c r="C36" s="23" t="str">
        <x:v>senior fees paid</x:v>
      </x:c>
      <x:c r="D36" s="23" t="str">
        <x:v>USD</x:v>
      </x:c>
      <x:c r="E36" s="83"/>
    </x:row>
    <x:row r="37" ht="21" customHeight="1">
      <x:c r="A37" s="152"/>
      <x:c r="B37" s="152"/>
      <x:c r="C37" s="23" t="str">
        <x:v>senior fee arrears</x:v>
      </x:c>
      <x:c r="D37" s="23" t="str">
        <x:v>USD</x:v>
      </x:c>
      <x:c r="E37" s="83"/>
    </x:row>
    <x:row r="38" ht="21" customHeight="1">
      <x:c r="A38" s="152"/>
      <x:c r="B38" s="152"/>
      <x:c r="C38" s="23" t="str">
        <x:v>sub fees due</x:v>
      </x:c>
      <x:c r="D38" s="23" t="str">
        <x:v>USD</x:v>
      </x:c>
      <x:c r="E38" s="83"/>
    </x:row>
    <x:row r="39" ht="21" customHeight="1">
      <x:c r="A39" s="152"/>
      <x:c r="B39" s="152"/>
      <x:c r="C39" s="23" t="str">
        <x:v>sub fees paid</x:v>
      </x:c>
      <x:c r="D39" s="23" t="str">
        <x:v>USD</x:v>
      </x:c>
      <x:c r="E39" s="83"/>
    </x:row>
    <x:row r="40" ht="21" customHeight="1">
      <x:c r="A40" s="152"/>
      <x:c r="B40" s="152"/>
      <x:c r="C40" s="23" t="str">
        <x:v>sub fee arrears</x:v>
      </x:c>
      <x:c r="D40" s="23" t="str">
        <x:v>USD</x:v>
      </x:c>
      <x:c r="E40" s="83"/>
    </x:row>
    <x:row r="41" ht="21" customHeight="1">
      <x:c r="A41" s="152"/>
      <x:c r="B41" s="152"/>
      <x:c r="C41" s="23" t="str">
        <x:v>oc numerator</x:v>
      </x:c>
      <x:c r="D41" s="23" t="str">
        <x:v>USD</x:v>
      </x:c>
      <x:c r="E41" s="83"/>
    </x:row>
    <x:row r="42" ht="21" customHeight="1">
      <x:c r="A42" s="152"/>
      <x:c r="B42" s="152"/>
      <x:c r="C42" s="23" t="str">
        <x:v>oc denominator</x:v>
      </x:c>
      <x:c r="D42" s="23" t="str">
        <x:v>USD</x:v>
      </x:c>
      <x:c r="E42" s="83"/>
    </x:row>
    <x:row r="43" ht="21" customHeight="1">
      <x:c r="A43" s="152"/>
      <x:c r="B43" s="152"/>
      <x:c r="C43" s="23" t="str">
        <x:v>oc ratio</x:v>
      </x:c>
      <x:c r="D43" s="23" t="str">
        <x:v>multiple</x:v>
      </x:c>
      <x:c r="E43" s="61"/>
    </x:row>
    <x:row r="44" ht="21" customHeight="1">
      <x:c r="A44" s="152"/>
      <x:c r="B44" s="152"/>
      <x:c r="C44" s="23" t="str">
        <x:v>ic numerator</x:v>
      </x:c>
      <x:c r="D44" s="23" t="str">
        <x:v>USD</x:v>
      </x:c>
      <x:c r="E44" s="83"/>
    </x:row>
    <x:row r="45" ht="21" customHeight="1">
      <x:c r="A45" s="152"/>
      <x:c r="B45" s="152"/>
      <x:c r="C45" s="23" t="str">
        <x:v>ic denominator</x:v>
      </x:c>
      <x:c r="D45" s="23" t="str">
        <x:v>USD</x:v>
      </x:c>
      <x:c r="E45" s="83"/>
    </x:row>
    <x:row r="46" ht="21" customHeight="1">
      <x:c r="A46" s="152"/>
      <x:c r="B46" s="152"/>
      <x:c r="C46" s="23" t="str">
        <x:v>ic ratio</x:v>
      </x:c>
      <x:c r="D46" s="23" t="str">
        <x:v>multiple</x:v>
      </x:c>
      <x:c r="E46" s="61"/>
    </x:row>
    <x:row r="47" ht="21" customHeight="1">
      <x:c r="A47" s="152"/>
      <x:c r="B47" s="152"/>
      <x:c r="C47" s="23" t="str">
        <x:v>oc triggered</x:v>
      </x:c>
      <x:c r="D47" s="23" t="str">
        <x:v>TRUE/FALSE</x:v>
      </x:c>
      <x:c r="E47" s="84"/>
    </x:row>
    <x:row r="48" ht="21" customHeight="1">
      <x:c r="A48" s="152"/>
      <x:c r="B48" s="152"/>
      <x:c r="C48" s="23" t="str">
        <x:v>ic triggered</x:v>
      </x:c>
      <x:c r="D48" s="23" t="str">
        <x:v>TRUE/FALSE</x:v>
      </x:c>
      <x:c r="E48" s="84"/>
    </x:row>
    <x:row r="49" ht="21" customHeight="1">
      <x:c r="A49" s="152"/>
      <x:c r="B49" s="152"/>
      <x:c r="C49" s="23" t="str">
        <x:v>interest diversion</x:v>
      </x:c>
      <x:c r="D49" s="23" t="str">
        <x:v>USD</x:v>
      </x:c>
      <x:c r="E49" s="83"/>
    </x:row>
    <x:row r="50" ht="21" customHeight="1">
      <x:c r="A50" s="152"/>
      <x:c r="B50" s="152"/>
      <x:c r="C50" s="23" t="str">
        <x:v>senior principal paid</x:v>
      </x:c>
      <x:c r="D50" s="23" t="str">
        <x:v>USD</x:v>
      </x:c>
      <x:c r="E50" s="83"/>
    </x:row>
    <x:row r="51" ht="21" customHeight="1">
      <x:c r="A51" s="152"/>
      <x:c r="B51" s="152"/>
      <x:c r="C51" s="23" t="str">
        <x:v>junior principal paid</x:v>
      </x:c>
      <x:c r="D51" s="23" t="str">
        <x:v>USD</x:v>
      </x:c>
      <x:c r="E51" s="83"/>
    </x:row>
    <x:row r="52" ht="21" customHeight="1">
      <x:c r="A52" s="152"/>
      <x:c r="B52" s="152"/>
      <x:c r="C52" s="23" t="str">
        <x:v>senior end</x:v>
      </x:c>
      <x:c r="D52" s="23" t="str">
        <x:v>USD</x:v>
      </x:c>
      <x:c r="E52" s="83"/>
    </x:row>
    <x:row r="53" ht="21" customHeight="1">
      <x:c r="A53" s="152"/>
      <x:c r="B53" s="152"/>
      <x:c r="C53" s="23" t="str">
        <x:v>junior end</x:v>
      </x:c>
      <x:c r="D53" s="23" t="str">
        <x:v>USD</x:v>
      </x:c>
      <x:c r="E53" s="83"/>
    </x:row>
    <x:row r="54" ht="21" customHeight="1">
      <x:c r="A54" s="152"/>
      <x:c r="B54" s="152"/>
      <x:c r="C54" s="23" t="str">
        <x:v>equity interest</x:v>
      </x:c>
      <x:c r="D54" s="23" t="str">
        <x:v>USD</x:v>
      </x:c>
      <x:c r="E54" s="83"/>
    </x:row>
    <x:row r="55" ht="21" customHeight="1">
      <x:c r="A55" s="152"/>
      <x:c r="B55" s="152"/>
      <x:c r="C55" s="23" t="str">
        <x:v>equity principal</x:v>
      </x:c>
      <x:c r="D55" s="23" t="str">
        <x:v>USD</x:v>
      </x:c>
      <x:c r="E55" s="83"/>
    </x:row>
    <x:row r="56" ht="21" customHeight="1">
      <x:c r="A56" s="152"/>
      <x:c r="B56" s="152"/>
      <x:c r="C56" s="23" t="str">
        <x:v>reinvestment cash</x:v>
      </x:c>
      <x:c r="D56" s="23" t="str">
        <x:v>USD</x:v>
      </x:c>
      <x:c r="E56" s="83"/>
    </x:row>
    <x:row r="57" ht="21" customHeight="1">
      <x:c r="A57" s="152"/>
      <x:c r="B57" s="152"/>
      <x:c r="C57" s="23" t="str">
        <x:v>cash end</x:v>
      </x:c>
      <x:c r="D57" s="23" t="str">
        <x:v>USD</x:v>
      </x:c>
      <x:c r="E57" s="83"/>
    </x:row>
    <x:row r="58" ht="21" customHeight="1">
      <x:c r="A58" s="152"/>
      <x:c r="B58" s="152"/>
      <x:c r="C58" s="23" t="str">
        <x:v>cash residual</x:v>
      </x:c>
      <x:c r="D58" s="23" t="str">
        <x:v>USD</x:v>
      </x:c>
      <x:c r="E58" s="83"/>
    </x:row>
    <x:row r="59" ht="21" customHeight="1">
      <x:c r="A59" s="152"/>
      <x:c r="B59" s="152"/>
      <x:c r="C59" s="23" t="str">
        <x:v>par residual</x:v>
      </x:c>
      <x:c r="D59" s="23" t="str">
        <x:v>USD</x:v>
      </x:c>
      <x:c r="E59" s="83"/>
    </x:row>
    <x:row r="60" ht="21" customHeight="1">
      <x:c r="A60" s="152"/>
      <x:c r="B60" s="152"/>
      <x:c r="C60" s="23" t="str">
        <x:v>priority violation</x:v>
      </x:c>
      <x:c r="D60" s="23" t="str">
        <x:v>USD</x:v>
      </x:c>
      <x:c r="E60" s="83"/>
    </x:row>
    <x:row r="61">
      <x:c r="A61" s="152"/>
      <x:c r="B61" s="152"/>
      <x:c r="C61" s="152"/>
      <x:c r="D61" s="152"/>
      <x:c r="E61" s="152"/>
    </x:row>
    <x:row r="62">
      <x:c r="A62" s="152"/>
      <x:c r="B62" s="152"/>
      <x:c r="C62" s="152"/>
      <x:c r="D62" s="152"/>
      <x:c r="E62" s="152"/>
    </x:row>
    <x:row r="63" ht="32" customHeight="1">
      <x:c r="A63" s="152"/>
      <x:c r="B63" s="152"/>
      <x:c r="C63" s="156" t="str">
        <x:v>Cash sources</x:v>
      </x:c>
      <x:c r="D63" s="152" t="str">
        <x:v>USD</x:v>
      </x:c>
      <x:c r="E63" s="102"/>
    </x:row>
    <x:row r="64" ht="32" customHeight="1">
      <x:c r="A64" s="152"/>
      <x:c r="B64" s="152"/>
      <x:c r="C64" s="156" t="str">
        <x:v>Cash uses</x:v>
      </x:c>
      <x:c r="D64" s="152" t="str">
        <x:v>USD</x:v>
      </x:c>
      <x:c r="E64" s="102"/>
    </x:row>
    <x:row r="65" ht="32" customHeight="1">
      <x:c r="A65" s="152"/>
      <x:c r="B65" s="152"/>
      <x:c r="C65" s="156" t="str">
        <x:v>Cash conservation (Excel)</x:v>
      </x:c>
      <x:c r="D65" s="152" t="str">
        <x:v>USD</x:v>
      </x:c>
      <x:c r="E65" s="102"/>
    </x:row>
    <x:row r="66" ht="32" customHeight="1">
      <x:c r="A66" s="152"/>
      <x:c r="B66" s="152"/>
      <x:c r="C66" s="156" t="str">
        <x:v>Collateral par roll-forward (Excel)</x:v>
      </x:c>
      <x:c r="D66" s="152" t="str">
        <x:v>USD</x:v>
      </x:c>
      <x:c r="E66" s="102"/>
    </x:row>
    <x:row r="67" ht="32" customHeight="1">
      <x:c r="A67" s="152"/>
      <x:c r="B67" s="152"/>
      <x:c r="C67" s="156" t="str">
        <x:v>Senior debt roll-forward (Excel)</x:v>
      </x:c>
      <x:c r="D67" s="152" t="str">
        <x:v>USD</x:v>
      </x:c>
      <x:c r="E67" s="102"/>
    </x:row>
    <x:row r="68" ht="32" customHeight="1">
      <x:c r="A68" s="152"/>
      <x:c r="B68" s="152"/>
      <x:c r="C68" s="156" t="str">
        <x:v>Junior debt roll-forward (Excel)</x:v>
      </x:c>
      <x:c r="D68" s="152" t="str">
        <x:v>USD</x:v>
      </x:c>
      <x:c r="E68" s="102"/>
    </x:row>
    <x:row r="69" ht="32" customHeight="1">
      <x:c r="A69" s="152"/>
      <x:c r="B69" s="152"/>
      <x:c r="C69" s="156" t="str">
        <x:v>Coverage trigger disagreement</x:v>
      </x:c>
      <x:c r="D69" s="152" t="str">
        <x:v>count</x:v>
      </x:c>
      <x:c r="E69" s="66"/>
    </x:row>
    <x:row r="70" ht="32" customHeight="1">
      <x:c r="A70" s="152"/>
      <x:c r="B70" s="152"/>
      <x:c r="C70" s="156" t="str">
        <x:v>Waterfall priority violation (Excel)</x:v>
      </x:c>
      <x:c r="D70" s="152" t="str">
        <x:v>USD</x:v>
      </x:c>
      <x:c r="E70" s="66"/>
    </x:row>
    <x:row r="71" ht="32" customHeight="1">
      <x:c r="A71" s="152"/>
      <x:c r="B71" s="152"/>
      <x:c r="C71" s="156" t="str">
        <x:v>Recovery receivable roll-forward</x:v>
      </x:c>
      <x:c r="D71" s="152" t="str">
        <x:v>USD</x:v>
      </x:c>
      <x:c r="E71" s="102"/>
    </x:row>
    <x:row r="72" ht="32" customHeight="1">
      <x:c r="A72" s="152"/>
      <x:c r="B72" s="152"/>
      <x:c r="C72" s="156" t="str">
        <x:v>Asset interest receivable roll-forward</x:v>
      </x:c>
      <x:c r="D72" s="152" t="str">
        <x:v>USD</x:v>
      </x:c>
      <x:c r="E72" s="102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D8823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13" hidden="0" customWidth="1"/>
    <x:col min="4" max="4" width="18" hidden="0" customWidth="1"/>
    <x:col min="5" max="5" width="18" hidden="0" customWidth="1"/>
    <x:col min="6" max="6" width="32" hidden="0" customWidth="1"/>
    <x:col min="7" max="7" width="24" hidden="0" customWidth="1"/>
    <x:col min="8" max="8" width="24" hidden="0" customWidth="1"/>
    <x:col min="9" max="9" width="27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6" max="16" width="22" hidden="0" customWidth="1"/>
    <x:col min="17" max="17" width="22" hidden="0" customWidth="1"/>
    <x:col min="18" max="18" width="43" hidden="0" customWidth="1"/>
    <x:col min="19" max="19" width="43" hidden="0" customWidth="1"/>
  </x:cols>
  <x:sheetData>
    <x:row r="1">
      <x:c r="A1" s="23"/>
      <x:c r="B1" s="23"/>
      <x:c r="C1" s="115" t="str">
        <x:v>Development sizing tests</x:v>
      </x:c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152"/>
      <x:c r="P1" s="152"/>
      <x:c r="Q1" s="152"/>
      <x:c r="R1" s="152"/>
      <x:c r="S1" s="152"/>
    </x:row>
    <x:row r="2">
      <x:c r="A2" s="23"/>
      <x:c r="B2" s="23"/>
      <x:c r="C2" s="24" t="str">
        <x:v>Senior Sizing Sensitivity</x:v>
      </x:c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152"/>
      <x:c r="P2" s="152"/>
      <x:c r="Q2" s="152"/>
      <x:c r="R2" s="152"/>
      <x:c r="S2" s="152"/>
    </x:row>
    <x:row r="3" ht="22" customHeight="1">
      <x:c r="A3" s="23"/>
      <x:c r="B3" s="23"/>
      <x:c r="C3" s="26" t="str">
        <x:v>Same portfolio and stress inputs at every size. Results are exploratory; AAA is not determined.</x:v>
      </x:c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152"/>
      <x:c r="P3" s="152"/>
      <x:c r="Q3" s="152"/>
      <x:c r="R3" s="152"/>
      <x:c r="S3" s="152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152"/>
      <x:c r="P4" s="152"/>
      <x:c r="Q4" s="152"/>
      <x:c r="R4" s="152"/>
      <x:c r="S4" s="152"/>
    </x:row>
    <x:row r="5">
      <x:c r="A5" s="23"/>
      <x:c r="B5" s="23"/>
      <x:c r="C5" s="32" t="str">
        <x:f>IF(Refresh_Required,"REFRESH REQUIRED — Python results reflect the last run","Python results match the imported inputs")</x:f>
        <x:v>REFRESH REQUIRED — Python results reflect the last run</x:v>
      </x:c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152"/>
      <x:c r="P5" s="152"/>
      <x:c r="Q5" s="152"/>
      <x:c r="R5" s="152"/>
      <x:c r="S5" s="152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152"/>
      <x:c r="P6" s="152"/>
      <x:c r="Q6" s="152"/>
      <x:c r="R6" s="152"/>
      <x:c r="S6" s="152"/>
    </x:row>
    <x:row r="7" ht="38" customHeight="1">
      <x:c r="A7" s="23"/>
      <x:c r="B7" s="23"/>
      <x:c r="C7" s="7" t="str">
        <x:v>Senior</x:v>
      </x:c>
      <x:c r="D7" s="7" t="str">
        <x:v>Junior</x:v>
      </x:c>
      <x:c r="E7" s="7" t="str">
        <x:v>Equity</x:v>
      </x:c>
      <x:c r="F7" s="7" t="str">
        <x:v>Binding stress (see brackets)</x:v>
      </x:c>
      <x:c r="G7" s="7" t="str">
        <x:v>Worst senior principal shortfall</x:v>
      </x:c>
      <x:c r="H7" s="7" t="str">
        <x:v>Worst missed timely interest</x:v>
      </x:c>
      <x:c r="I7" s="7" t="str">
        <x:v>All base-severity cases</x:v>
      </x:c>
      <x:c r="J7" s="7" t="str">
        <x:v>Tested default rate</x:v>
      </x:c>
      <x:c r="K7" s="7" t="str">
        <x:v>Scenario count</x:v>
      </x:c>
      <x:c r="L7" s="7" t="str">
        <x:v>Run all pass</x:v>
      </x:c>
      <x:c r="M7" s="7" t="str">
        <x:v>Run all valid</x:v>
      </x:c>
      <x:c r="N7" s="7" t="str">
        <x:v>Run refresh</x:v>
      </x:c>
      <x:c r="O7" s="152"/>
      <x:c r="P7" s="7" t="str">
        <x:v>Last tested pass</x:v>
      </x:c>
      <x:c r="Q7" s="7" t="str">
        <x:v>First tested failure</x:v>
      </x:c>
      <x:c r="R7" s="7" t="str">
        <x:v>Binding basis</x:v>
      </x:c>
      <x:c r="S7" s="7" t="str">
        <x:v>Boundary status</x:v>
      </x:c>
    </x:row>
    <x:row r="8" ht="45" customHeight="1">
      <x:c r="A8" s="23"/>
      <x:c r="B8" s="23"/>
      <x:c r="C8" s="43"/>
      <x:c r="D8" s="43"/>
      <x:c r="E8" s="43"/>
      <x:c r="F8" s="33"/>
      <x:c r="G8" s="85"/>
      <x:c r="H8" s="85"/>
      <x:c r="I8" s="33"/>
      <x:c r="J8" s="43"/>
      <x:c r="K8" s="23"/>
      <x:c r="L8" s="23"/>
      <x:c r="M8" s="23"/>
      <x:c r="N8" s="23"/>
      <x:c r="O8" s="152"/>
      <x:c r="P8" s="165"/>
      <x:c r="Q8" s="165"/>
      <x:c r="R8" s="156"/>
      <x:c r="S8" s="156"/>
    </x:row>
    <x:row r="9" ht="45" customHeight="1">
      <x:c r="A9" s="152"/>
      <x:c r="B9" s="152"/>
      <x:c r="C9" s="165"/>
      <x:c r="D9" s="165"/>
      <x:c r="E9" s="165"/>
      <x:c r="F9" s="156"/>
      <x:c r="G9" s="196"/>
      <x:c r="H9" s="196"/>
      <x:c r="I9" s="156"/>
      <x:c r="J9" s="165"/>
      <x:c r="K9" s="152"/>
      <x:c r="L9" s="152"/>
      <x:c r="M9" s="152"/>
      <x:c r="N9" s="152"/>
      <x:c r="O9" s="152"/>
      <x:c r="P9" s="165"/>
      <x:c r="Q9" s="165"/>
      <x:c r="R9" s="156"/>
      <x:c r="S9" s="156"/>
    </x:row>
    <x:row r="10" ht="45" customHeight="1">
      <x:c r="A10" s="152"/>
      <x:c r="B10" s="152"/>
      <x:c r="C10" s="165"/>
      <x:c r="D10" s="165"/>
      <x:c r="E10" s="165"/>
      <x:c r="F10" s="156"/>
      <x:c r="G10" s="196"/>
      <x:c r="H10" s="196"/>
      <x:c r="I10" s="156"/>
      <x:c r="J10" s="165"/>
      <x:c r="K10" s="152"/>
      <x:c r="L10" s="152"/>
      <x:c r="M10" s="152"/>
      <x:c r="N10" s="152"/>
      <x:c r="O10" s="152"/>
      <x:c r="P10" s="165"/>
      <x:c r="Q10" s="165"/>
      <x:c r="R10" s="156"/>
      <x:c r="S10" s="156"/>
    </x:row>
    <x:row r="11" ht="45" customHeight="1">
      <x:c r="A11" s="152"/>
      <x:c r="B11" s="152"/>
      <x:c r="C11" s="165"/>
      <x:c r="D11" s="165"/>
      <x:c r="E11" s="165"/>
      <x:c r="F11" s="156"/>
      <x:c r="G11" s="196"/>
      <x:c r="H11" s="196"/>
      <x:c r="I11" s="156"/>
      <x:c r="J11" s="165"/>
      <x:c r="K11" s="152"/>
      <x:c r="L11" s="152"/>
      <x:c r="M11" s="152"/>
      <x:c r="N11" s="152"/>
      <x:c r="O11" s="152"/>
      <x:c r="P11" s="165"/>
      <x:c r="Q11" s="165"/>
      <x:c r="R11" s="156"/>
      <x:c r="S11" s="156"/>
    </x:row>
    <x:row r="12" ht="45" customHeight="1">
      <x:c r="A12" s="152"/>
      <x:c r="B12" s="152"/>
      <x:c r="C12" s="165"/>
      <x:c r="D12" s="165"/>
      <x:c r="E12" s="165"/>
      <x:c r="F12" s="156"/>
      <x:c r="G12" s="196"/>
      <x:c r="H12" s="196"/>
      <x:c r="I12" s="156"/>
      <x:c r="J12" s="165"/>
      <x:c r="K12" s="152"/>
      <x:c r="L12" s="152"/>
      <x:c r="M12" s="152"/>
      <x:c r="N12" s="152"/>
      <x:c r="O12" s="152"/>
      <x:c r="P12" s="165"/>
      <x:c r="Q12" s="165"/>
      <x:c r="R12" s="156"/>
      <x:c r="S12" s="156"/>
    </x:row>
    <x:row r="13" ht="45" customHeight="1">
      <x:c r="A13" s="152"/>
      <x:c r="B13" s="152"/>
      <x:c r="C13" s="165"/>
      <x:c r="D13" s="165"/>
      <x:c r="E13" s="165"/>
      <x:c r="F13" s="156"/>
      <x:c r="G13" s="196"/>
      <x:c r="H13" s="196"/>
      <x:c r="I13" s="156"/>
      <x:c r="J13" s="165"/>
      <x:c r="K13" s="152"/>
      <x:c r="L13" s="152"/>
      <x:c r="M13" s="152"/>
      <x:c r="N13" s="152"/>
      <x:c r="O13" s="152"/>
      <x:c r="P13" s="165"/>
      <x:c r="Q13" s="165"/>
      <x:c r="R13" s="156"/>
      <x:c r="S13" s="156"/>
    </x:row>
    <x:row r="14" ht="45" customHeight="1">
      <x:c r="A14" s="152"/>
      <x:c r="B14" s="152"/>
      <x:c r="C14" s="165"/>
      <x:c r="D14" s="165"/>
      <x:c r="E14" s="165"/>
      <x:c r="F14" s="156"/>
      <x:c r="G14" s="196"/>
      <x:c r="H14" s="196"/>
      <x:c r="I14" s="156"/>
      <x:c r="J14" s="165"/>
      <x:c r="K14" s="152"/>
      <x:c r="L14" s="152"/>
      <x:c r="M14" s="152"/>
      <x:c r="N14" s="152"/>
      <x:c r="O14" s="152"/>
      <x:c r="P14" s="165"/>
      <x:c r="Q14" s="165"/>
      <x:c r="R14" s="156"/>
      <x:c r="S14" s="156"/>
    </x:row>
    <x:row r="15" ht="45" customHeight="1">
      <x:c r="A15" s="152"/>
      <x:c r="B15" s="152"/>
      <x:c r="C15" s="165"/>
      <x:c r="D15" s="165"/>
      <x:c r="E15" s="165"/>
      <x:c r="F15" s="156"/>
      <x:c r="G15" s="196"/>
      <x:c r="H15" s="196"/>
      <x:c r="I15" s="156"/>
      <x:c r="J15" s="165"/>
      <x:c r="K15" s="152"/>
      <x:c r="L15" s="152"/>
      <x:c r="M15" s="152"/>
      <x:c r="N15" s="152"/>
      <x:c r="O15" s="152"/>
      <x:c r="P15" s="165"/>
      <x:c r="Q15" s="165"/>
      <x:c r="R15" s="156"/>
      <x:c r="S15" s="156"/>
    </x:row>
    <x:row r="16" ht="45" customHeight="1">
      <x:c r="A16" s="152"/>
      <x:c r="B16" s="152"/>
      <x:c r="C16" s="165"/>
      <x:c r="D16" s="165"/>
      <x:c r="E16" s="165"/>
      <x:c r="F16" s="156"/>
      <x:c r="G16" s="196"/>
      <x:c r="H16" s="196"/>
      <x:c r="I16" s="156"/>
      <x:c r="J16" s="165"/>
      <x:c r="K16" s="152"/>
      <x:c r="L16" s="152"/>
      <x:c r="M16" s="152"/>
      <x:c r="N16" s="152"/>
      <x:c r="O16" s="152"/>
      <x:c r="P16" s="165"/>
      <x:c r="Q16" s="165"/>
      <x:c r="R16" s="156"/>
      <x:c r="S16" s="156"/>
    </x:row>
    <x:row r="17" ht="45" customHeight="1">
      <x:c r="A17" s="152"/>
      <x:c r="B17" s="152"/>
      <x:c r="C17" s="165"/>
      <x:c r="D17" s="165"/>
      <x:c r="E17" s="165"/>
      <x:c r="F17" s="156"/>
      <x:c r="G17" s="196"/>
      <x:c r="H17" s="196"/>
      <x:c r="I17" s="156"/>
      <x:c r="J17" s="165"/>
      <x:c r="K17" s="152"/>
      <x:c r="L17" s="152"/>
      <x:c r="M17" s="152"/>
      <x:c r="N17" s="152"/>
      <x:c r="O17" s="152"/>
      <x:c r="P17" s="165"/>
      <x:c r="Q17" s="165"/>
      <x:c r="R17" s="156"/>
      <x:c r="S17" s="156"/>
    </x:row>
    <x:row r="18" ht="45" customHeight="1">
      <x:c r="A18" s="152"/>
      <x:c r="B18" s="152"/>
      <x:c r="C18" s="165"/>
      <x:c r="D18" s="165"/>
      <x:c r="E18" s="165"/>
      <x:c r="F18" s="156"/>
      <x:c r="G18" s="196"/>
      <x:c r="H18" s="196"/>
      <x:c r="I18" s="156"/>
      <x:c r="J18" s="165"/>
      <x:c r="K18" s="152"/>
      <x:c r="L18" s="152"/>
      <x:c r="M18" s="152"/>
      <x:c r="N18" s="152"/>
      <x:c r="O18" s="152"/>
      <x:c r="P18" s="165"/>
      <x:c r="Q18" s="165"/>
      <x:c r="R18" s="156"/>
      <x:c r="S18" s="156"/>
    </x:row>
    <x:row r="19">
      <x:c r="A19" s="152"/>
      <x:c r="B19" s="152"/>
      <x:c r="C19" s="152"/>
      <x:c r="D19" s="152"/>
      <x:c r="E19" s="152"/>
      <x:c r="F19" s="152"/>
      <x:c r="G19" s="152"/>
      <x:c r="H19" s="152"/>
      <x:c r="I19" s="152"/>
      <x:c r="J19" s="152"/>
      <x:c r="K19" s="152"/>
      <x:c r="L19" s="152"/>
      <x:c r="M19" s="152"/>
      <x:c r="N19" s="152"/>
      <x:c r="O19" s="152"/>
      <x:c r="P19" s="152"/>
      <x:c r="Q19" s="152"/>
      <x:c r="R19" s="152"/>
      <x:c r="S19" s="152"/>
    </x:row>
    <x:row r="20">
      <x:c r="A20" s="152"/>
      <x:c r="B20" s="152"/>
      <x:c r="C20" s="152"/>
      <x:c r="D20" s="152"/>
      <x:c r="E20" s="152"/>
      <x:c r="F20" s="152"/>
      <x:c r="G20" s="152"/>
      <x:c r="H20" s="152"/>
      <x:c r="I20" s="152"/>
      <x:c r="J20" s="152"/>
      <x:c r="K20" s="152"/>
      <x:c r="L20" s="152"/>
      <x:c r="M20" s="152"/>
      <x:c r="N20" s="152"/>
      <x:c r="O20" s="152"/>
      <x:c r="P20" s="152"/>
      <x:c r="Q20" s="152"/>
      <x:c r="R20" s="152"/>
      <x:c r="S20" s="152"/>
    </x:row>
    <x:row r="21">
      <x:c r="A21" s="152"/>
      <x:c r="B21" s="152"/>
      <x:c r="C21" s="152"/>
      <x:c r="D21" s="152"/>
      <x:c r="E21" s="152"/>
      <x:c r="F21" s="152"/>
      <x:c r="G21" s="152"/>
      <x:c r="H21" s="152"/>
      <x:c r="I21" s="152"/>
      <x:c r="J21" s="152"/>
      <x:c r="K21" s="152"/>
      <x:c r="L21" s="152"/>
      <x:c r="M21" s="152"/>
      <x:c r="N21" s="152"/>
      <x:c r="O21" s="152"/>
      <x:c r="P21" s="152"/>
      <x:c r="Q21" s="152"/>
      <x:c r="R21" s="152"/>
      <x:c r="S21" s="152"/>
    </x:row>
    <x:row r="22">
      <x:c r="A22" s="152"/>
      <x:c r="B22" s="152"/>
      <x:c r="C22" s="152"/>
      <x:c r="D22" s="152"/>
      <x:c r="E22" s="152"/>
      <x:c r="F22" s="152"/>
      <x:c r="G22" s="152"/>
      <x:c r="H22" s="152"/>
      <x:c r="I22" s="152"/>
      <x:c r="J22" s="152"/>
      <x:c r="K22" s="152"/>
      <x:c r="L22" s="152"/>
      <x:c r="M22" s="152"/>
      <x:c r="N22" s="152"/>
      <x:c r="O22" s="152"/>
      <x:c r="P22" s="152"/>
      <x:c r="Q22" s="152"/>
      <x:c r="R22" s="152"/>
      <x:c r="S22" s="152"/>
    </x:row>
    <x:row r="23" ht="38" customHeight="1">
      <x:c r="A23" s="152"/>
      <x:c r="B23" s="152"/>
      <x:c r="C23" s="7" t="str">
        <x:v>Senior</x:v>
      </x:c>
      <x:c r="D23" s="7" t="str">
        <x:v>Scenario</x:v>
      </x:c>
      <x:c r="E23" s="7" t="str">
        <x:v>Last tested pass</x:v>
      </x:c>
      <x:c r="F23" s="7" t="str">
        <x:v>First tested failure</x:v>
      </x:c>
      <x:c r="G23" s="7" t="str">
        <x:v>Boundary status</x:v>
      </x:c>
      <x:c r="H23" s="7" t="str">
        <x:v>Unattainable targets</x:v>
      </x:c>
      <x:c r="I23" s="7" t="str">
        <x:v>Non-monotonic</x:v>
      </x:c>
      <x:c r="J23" s="152"/>
      <x:c r="K23" s="152"/>
      <x:c r="L23" s="152"/>
      <x:c r="M23" s="152"/>
      <x:c r="N23" s="152"/>
      <x:c r="O23" s="152"/>
      <x:c r="P23" s="152"/>
      <x:c r="Q23" s="152"/>
      <x:c r="R23" s="152"/>
      <x:c r="S23" s="152"/>
    </x:row>
    <x:row r="24" ht="42" customHeight="1">
      <x:c r="A24" s="152"/>
      <x:c r="B24" s="152"/>
      <x:c r="C24" s="165"/>
      <x:c r="D24" s="152"/>
      <x:c r="E24" s="165"/>
      <x:c r="F24" s="165"/>
      <x:c r="G24" s="156"/>
      <x:c r="H24" s="156"/>
      <x:c r="I24" s="156"/>
      <x:c r="J24" s="152"/>
      <x:c r="K24" s="152"/>
      <x:c r="L24" s="152"/>
      <x:c r="M24" s="152"/>
      <x:c r="N24" s="152"/>
      <x:c r="O24" s="152"/>
      <x:c r="P24" s="152"/>
      <x:c r="Q24" s="152"/>
      <x:c r="R24" s="152"/>
      <x:c r="S24" s="152"/>
    </x:row>
  </x:sheetData>
  <x:conditionalFormatting sqref="I8:I18">
    <x:cfRule type="containsText" dxfId="0" priority="1" operator="containsText" text="CHECK"/>
    <x:cfRule type="containsText" dxfId="1" priority="2" operator="containsText" text="REFRESH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D88238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23" hidden="0" customWidth="1"/>
    <x:col min="20" max="20" width="19" hidden="0" customWidth="1"/>
    <x:col min="21" max="21" width="19" hidden="0" customWidth="1"/>
    <x:col min="22" max="22" width="19" hidden="0" customWidth="1"/>
  </x:cols>
  <x:sheetData>
    <x:row r="1">
      <x:c r="A1" s="115" t="str">
        <x:v>Development simulations</x:v>
      </x:c>
      <x:c r="B1" s="152"/>
      <x:c r="C1" s="152"/>
      <x:c r="D1" s="152"/>
      <x:c r="E1" s="152"/>
      <x:c r="F1" s="152"/>
      <x:c r="G1" s="152"/>
      <x:c r="H1" s="152"/>
      <x:c r="I1" s="152"/>
      <x:c r="J1" s="152"/>
      <x:c r="K1" s="152"/>
      <x:c r="L1" s="152"/>
      <x:c r="M1" s="152"/>
      <x:c r="N1" s="152"/>
      <x:c r="O1" s="152"/>
      <x:c r="P1" s="152"/>
      <x:c r="Q1" s="152"/>
      <x:c r="R1" s="152"/>
      <x:c r="S1" s="152"/>
    </x:row>
    <x:row r="2">
      <x:c r="A2" s="64" t="str">
        <x:v>Python Stress Results</x:v>
      </x:c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  <x:c r="M2" s="152"/>
      <x:c r="N2" s="152"/>
      <x:c r="O2" s="152"/>
      <x:c r="P2" s="152"/>
      <x:c r="Q2" s="152"/>
      <x:c r="R2" s="152"/>
      <x:c r="S2" s="152"/>
    </x:row>
    <x:row r="3">
      <x:c r="A3" s="152" t="str">
        <x:v>Detailed grid. Cash-flow pass means timely senior interest and ultimate principal under this exploratory run only.</x:v>
      </x:c>
      <x:c r="B3" s="152"/>
      <x:c r="C3" s="152"/>
      <x:c r="D3" s="152"/>
      <x:c r="E3" s="152"/>
      <x:c r="F3" s="152"/>
      <x:c r="G3" s="152"/>
      <x:c r="H3" s="152"/>
      <x:c r="I3" s="152"/>
      <x:c r="J3" s="152"/>
      <x:c r="K3" s="152"/>
      <x:c r="L3" s="152"/>
      <x:c r="M3" s="152"/>
      <x:c r="N3" s="152"/>
      <x:c r="O3" s="152"/>
      <x:c r="P3" s="152"/>
      <x:c r="Q3" s="152"/>
      <x:c r="R3" s="152"/>
      <x:c r="S3" s="152"/>
    </x:row>
    <x:row r="4">
      <x:c r="A4" s="152"/>
      <x:c r="B4" s="152"/>
      <x:c r="C4" s="152"/>
      <x:c r="D4" s="152"/>
      <x:c r="E4" s="152"/>
      <x:c r="F4" s="152"/>
      <x:c r="G4" s="152"/>
      <x:c r="H4" s="152"/>
      <x:c r="I4" s="152"/>
      <x:c r="J4" s="152"/>
      <x:c r="K4" s="152"/>
      <x:c r="L4" s="152"/>
      <x:c r="M4" s="152"/>
      <x:c r="N4" s="152"/>
      <x:c r="O4" s="152"/>
      <x:c r="P4" s="152"/>
      <x:c r="Q4" s="152"/>
      <x:c r="R4" s="152"/>
      <x:c r="S4" s="152"/>
    </x:row>
    <x:row r="5">
      <x:c r="A5" s="32" t="str">
        <x:f>IF(Refresh_Required,"REFRESH REQUIRED — Python results reflect the last run","Python results match the imported inputs")</x:f>
        <x:v>REFRESH REQUIRED — Python results reflect the last run</x:v>
      </x:c>
      <x:c r="B5" s="152"/>
      <x:c r="C5" s="152"/>
      <x:c r="D5" s="152"/>
      <x:c r="E5" s="152"/>
      <x:c r="F5" s="152"/>
      <x:c r="G5" s="152"/>
      <x:c r="H5" s="152"/>
      <x:c r="I5" s="152"/>
      <x:c r="J5" s="152"/>
      <x:c r="K5" s="152"/>
      <x:c r="L5" s="152"/>
      <x:c r="M5" s="152"/>
      <x:c r="N5" s="152"/>
      <x:c r="O5" s="152"/>
      <x:c r="P5" s="152"/>
      <x:c r="Q5" s="152"/>
      <x:c r="R5" s="152"/>
      <x:c r="S5" s="152"/>
    </x:row>
    <x:row r="6">
      <x:c r="A6" s="152"/>
      <x:c r="B6" s="152"/>
      <x:c r="C6" s="152"/>
      <x:c r="D6" s="152"/>
      <x:c r="E6" s="152"/>
      <x:c r="F6" s="152"/>
      <x:c r="G6" s="152"/>
      <x:c r="H6" s="152"/>
      <x:c r="I6" s="152"/>
      <x:c r="J6" s="152"/>
      <x:c r="K6" s="152"/>
      <x:c r="L6" s="152"/>
      <x:c r="M6" s="152"/>
      <x:c r="N6" s="152"/>
      <x:c r="O6" s="152"/>
      <x:c r="P6" s="152"/>
      <x:c r="Q6" s="152"/>
      <x:c r="R6" s="152"/>
      <x:c r="S6" s="152"/>
    </x:row>
    <x:row r="7" ht="38" customHeight="1">
      <x:c r="A7" s="7" t="str">
        <x:v>senior_pct</x:v>
      </x:c>
      <x:c r="B7" s="7" t="str">
        <x:v>scenario_id</x:v>
      </x:c>
      <x:c r="C7" s="7" t="str">
        <x:v>target_default_rate</x:v>
      </x:c>
      <x:c r="D7" s="7" t="str">
        <x:v>realized_default_rate</x:v>
      </x:c>
      <x:c r="E7" s="7" t="str">
        <x:v>default_target_attained</x:v>
      </x:c>
      <x:c r="F7" s="7" t="str">
        <x:v>senior_pass</x:v>
      </x:c>
      <x:c r="G7" s="7" t="str">
        <x:v>senior_timely_interest_shortfall</x:v>
      </x:c>
      <x:c r="H7" s="7" t="str">
        <x:v>senior_principal_shortfall</x:v>
      </x:c>
      <x:c r="I7" s="7" t="str">
        <x:v>junior_interest_arrears</x:v>
      </x:c>
      <x:c r="J7" s="7" t="str">
        <x:v>junior_principal_shortfall</x:v>
      </x:c>
      <x:c r="K7" s="7" t="str">
        <x:v>equity_distributions</x:v>
      </x:c>
      <x:c r="L7" s="7" t="str">
        <x:v>oc_breach_periods</x:v>
      </x:c>
      <x:c r="M7" s="7" t="str">
        <x:v>ic_breach_periods</x:v>
      </x:c>
      <x:c r="N7" s="7" t="str">
        <x:v>max_cash_residual</x:v>
      </x:c>
      <x:c r="O7" s="7" t="str">
        <x:v>max_par_residual</x:v>
      </x:c>
      <x:c r="P7" s="7" t="str">
        <x:v>max_priority_violation</x:v>
      </x:c>
      <x:c r="Q7" s="7" t="str">
        <x:v>accounting_valid</x:v>
      </x:c>
      <x:c r="R7" s="7" t="str">
        <x:v>unallocated_defaults</x:v>
      </x:c>
      <x:c r="S7" s="7" t="str">
        <x:v>stress_signature</x:v>
      </x:c>
    </x:row>
    <x:row r="8" ht="21" customHeight="1">
      <x:c r="A8" s="60"/>
      <x:c r="B8" s="28"/>
      <x:c r="C8" s="60"/>
      <x:c r="D8" s="60"/>
      <x:c r="E8" s="28"/>
      <x:c r="F8" s="28"/>
      <x:c r="G8" s="83"/>
      <x:c r="H8" s="83"/>
      <x:c r="I8" s="83"/>
      <x:c r="J8" s="83"/>
      <x:c r="K8" s="83"/>
      <x:c r="L8" s="28"/>
      <x:c r="M8" s="28"/>
      <x:c r="N8" s="28"/>
      <x:c r="O8" s="28"/>
      <x:c r="P8" s="28"/>
      <x:c r="Q8" s="28"/>
      <x:c r="R8" s="28"/>
      <x:c r="S8" s="28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BE5555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2" hidden="0" customWidth="1"/>
    <x:col min="4" max="4" width="23" hidden="0" customWidth="1"/>
    <x:col min="5" max="5" width="23" hidden="0" customWidth="1"/>
    <x:col min="6" max="6" width="23" hidden="0" customWidth="1"/>
    <x:col min="7" max="7" width="33" hidden="0" customWidth="1"/>
    <x:col min="8" max="8" width="33" hidden="0" customWidth="1"/>
  </x:cols>
  <x:sheetData>
    <x:row r="1">
      <x:c r="A1" s="23"/>
      <x:c r="B1" s="23"/>
      <x:c r="C1" s="116" t="str">
        <x:v>Validation</x:v>
      </x:c>
      <x:c r="D1" s="23"/>
      <x:c r="E1" s="23"/>
      <x:c r="F1" s="23"/>
      <x:c r="G1" s="23"/>
      <x:c r="H1" s="23"/>
    </x:row>
    <x:row r="2">
      <x:c r="A2" s="23"/>
      <x:c r="B2" s="23"/>
      <x:c r="C2" s="24" t="str">
        <x:v>Validation And Reconciliation</x:v>
      </x:c>
      <x:c r="D2" s="25"/>
      <x:c r="E2" s="25"/>
      <x:c r="F2" s="25"/>
      <x:c r="G2" s="25"/>
      <x:c r="H2" s="25"/>
    </x:row>
    <x:row r="3" ht="22" customHeight="1">
      <x:c r="A3" s="23"/>
      <x:c r="B3" s="23"/>
      <x:c r="C3" s="26" t="str">
        <x:v>Excel checks are live. Python checks reflect the last validated run.</x:v>
      </x:c>
      <x:c r="D3" s="23"/>
      <x:c r="E3" s="23"/>
      <x:c r="F3" s="23"/>
      <x:c r="G3" s="23"/>
      <x:c r="H3" s="23"/>
    </x:row>
    <x:row r="4">
      <x:c r="A4" s="23"/>
      <x:c r="B4" s="23"/>
      <x:c r="C4" s="23"/>
      <x:c r="D4" s="23"/>
      <x:c r="E4" s="23"/>
      <x:c r="F4" s="23"/>
      <x:c r="G4" s="23"/>
      <x:c r="H4" s="23"/>
    </x:row>
    <x:row r="5">
      <x:c r="A5" s="23"/>
      <x:c r="B5" s="23"/>
      <x:c r="C5" s="23"/>
      <x:c r="D5" s="23"/>
      <x:c r="E5" s="23"/>
      <x:c r="F5" s="23"/>
      <x:c r="G5" s="23"/>
      <x:c r="H5" s="23"/>
    </x:row>
    <x:row r="6">
      <x:c r="A6" s="23"/>
      <x:c r="B6" s="23"/>
      <x:c r="C6" s="23"/>
      <x:c r="D6" s="23"/>
      <x:c r="E6" s="23"/>
      <x:c r="F6" s="23"/>
      <x:c r="G6" s="23"/>
      <x:c r="H6" s="23"/>
    </x:row>
    <x:row r="7" ht="38" customHeight="1">
      <x:c r="A7" s="23"/>
      <x:c r="B7" s="23"/>
      <x:c r="C7" s="7" t="str">
        <x:v>Check</x:v>
      </x:c>
      <x:c r="D7" s="7" t="str">
        <x:v>Actual / difference</x:v>
      </x:c>
      <x:c r="E7" s="7" t="str">
        <x:v>Tolerance / expected</x:v>
      </x:c>
      <x:c r="F7" s="7" t="str">
        <x:v>Result</x:v>
      </x:c>
      <x:c r="G7" s="7" t="str">
        <x:v>Owner</x:v>
      </x:c>
      <x:c r="H7" s="7" t="str">
        <x:v>Meaning</x:v>
      </x:c>
    </x:row>
    <x:row r="8" ht="32" customHeight="1">
      <x:c r="A8" s="23"/>
      <x:c r="B8" s="23"/>
      <x:c r="C8" s="23" t="str">
        <x:v>Portfolio source completeness</x:v>
      </x:c>
      <x:c r="D8" s="198" t="n">
        <x:f>1</x:f>
        <x:v>1</x:v>
      </x:c>
      <x:c r="E8" s="150" t="n">
        <x:v>0</x:v>
      </x:c>
      <x:c r="F8" s="23" t="str">
        <x:f>IF(ISNUMBER(D8),IF(ABS(D8)&lt;=E8,"OK","CHECK"),"NOT RUN")</x:f>
        <x:v>CHECK</x:v>
      </x:c>
      <x:c r="G8" s="23" t="str">
        <x:v>Input validation</x:v>
      </x:c>
      <x:c r="H8" s="33" t="str">
        <x:v>Python rejects missing or invalid inputs</x:v>
      </x:c>
    </x:row>
    <x:row r="9" ht="32" customHeight="1">
      <x:c r="A9" s="152"/>
      <x:c r="B9" s="152"/>
      <x:c r="C9" s="23" t="str">
        <x:v>Duplicate facility identifiers</x:v>
      </x:c>
      <x:c r="D9" s="198" t="n">
        <x:f>SUM('Portfolio Inputs'!X8:X8)</x:f>
        <x:v>0</x:v>
      </x:c>
      <x:c r="E9" s="150" t="n">
        <x:v>0</x:v>
      </x:c>
      <x:c r="F9" s="23" t="str">
        <x:f>IF(ISNUMBER(D9),IF(ABS(D9)&lt;=E9,"OK","CHECK"),"NOT RUN")</x:f>
        <x:v>OK</x:v>
      </x:c>
      <x:c r="G9" s="23" t="str">
        <x:v>Excel</x:v>
      </x:c>
      <x:c r="H9" s="33" t="str">
        <x:v>Repeated obligor IDs are expected</x:v>
      </x:c>
    </x:row>
    <x:row r="10" ht="32" customHeight="1">
      <x:c r="A10" s="152"/>
      <x:c r="B10" s="152"/>
      <x:c r="C10" s="23" t="str">
        <x:v>Portfolio par vs imported par</x:v>
      </x:c>
      <x:c r="D10" s="198" t="n">
        <x:f>Portfolio_Par-0</x:f>
        <x:v>0</x:v>
      </x:c>
      <x:c r="E10" s="150" t="n">
        <x:v>0.01</x:v>
      </x:c>
      <x:c r="F10" s="23" t="str">
        <x:f>IF(ISNUMBER(D10),IF(ABS(D10)&lt;=E10,"OK","CHECK"),"NOT RUN")</x:f>
        <x:v>OK</x:v>
      </x:c>
      <x:c r="G10" s="23" t="str">
        <x:v>Excel</x:v>
      </x:c>
      <x:c r="H10" s="33" t="str">
        <x:v>Reconcile imported balances</x:v>
      </x:c>
    </x:row>
    <x:row r="11" ht="32" customHeight="1">
      <x:c r="A11" s="152"/>
      <x:c r="B11" s="152"/>
      <x:c r="C11" s="23" t="str">
        <x:v>Obligor grouped par vs portfolio</x:v>
      </x:c>
      <x:c r="D11" s="198" t="n">
        <x:f>SUM('Obligor Calc'!F8:F8)-Portfolio_Par</x:f>
        <x:v>0</x:v>
      </x:c>
      <x:c r="E11" s="150" t="n">
        <x:v>0.01</x:v>
      </x:c>
      <x:c r="F11" s="23" t="str">
        <x:f>IF(ISNUMBER(D11),IF(ABS(D11)&lt;=E11,"OK","CHECK"),"NOT RUN")</x:f>
        <x:v>OK</x:v>
      </x:c>
      <x:c r="G11" s="23" t="str">
        <x:v>Excel</x:v>
      </x:c>
      <x:c r="H11" s="33" t="str">
        <x:v>Every facility included once</x:v>
      </x:c>
    </x:row>
    <x:row r="12" ht="32" customHeight="1">
      <x:c r="A12" s="152"/>
      <x:c r="B12" s="152"/>
      <x:c r="C12" s="23" t="str">
        <x:v>Obligor grouped count vs facilities</x:v>
      </x:c>
      <x:c r="D12" s="198" t="n">
        <x:f>SUM('Obligor Calc'!G8:G8)-'Portfolio Calc'!D9</x:f>
        <x:v>0</x:v>
      </x:c>
      <x:c r="E12" s="150" t="n">
        <x:v>0</x:v>
      </x:c>
      <x:c r="F12" s="23" t="str">
        <x:f>IF(ISNUMBER(D12),IF(ABS(D12)&lt;=E12,"OK","CHECK"),"NOT RUN")</x:f>
        <x:v>OK</x:v>
      </x:c>
      <x:c r="G12" s="23" t="str">
        <x:v>Excel</x:v>
      </x:c>
      <x:c r="H12" s="33" t="str">
        <x:v>No missing facility group</x:v>
      </x:c>
    </x:row>
    <x:row r="13" ht="32" customHeight="1">
      <x:c r="A13" s="152"/>
      <x:c r="B13" s="152"/>
      <x:c r="C13" s="23" t="str">
        <x:v>Capital stack difference</x:v>
      </x:c>
      <x:c r="D13" s="198" t="n">
        <x:f>'Capital Calc'!J8</x:f>
        <x:v>0</x:v>
      </x:c>
      <x:c r="E13" s="150" t="n">
        <x:v>0.01</x:v>
      </x:c>
      <x:c r="F13" s="23" t="str">
        <x:f>IF(ISNUMBER(D13),IF(ABS(D13)&lt;=E13,"OK","CHECK"),"NOT RUN")</x:f>
        <x:v>OK</x:v>
      </x:c>
      <x:c r="G13" s="23" t="str">
        <x:v>Excel</x:v>
      </x:c>
      <x:c r="H13" s="33" t="str">
        <x:v>Senior + junior + equity = par</x:v>
      </x:c>
    </x:row>
    <x:row r="14" ht="32" customHeight="1">
      <x:c r="A14" s="152"/>
      <x:c r="B14" s="152"/>
      <x:c r="C14" s="23" t="str">
        <x:v>Edited portfolio cells</x:v>
      </x:c>
      <x:c r="D14" s="198" t="n">
        <x:f>SUM('Portfolio Inputs'!W8:W8)</x:f>
        <x:v>0</x:v>
      </x:c>
      <x:c r="E14" s="150" t="n">
        <x:v>0</x:v>
      </x:c>
      <x:c r="F14" s="23" t="str">
        <x:f>IF(ISNUMBER(D14),IF(ABS(D14)&lt;=E14,"OK","CHECK"),"NOT RUN")</x:f>
        <x:v>OK</x:v>
      </x:c>
      <x:c r="G14" s="23" t="str">
        <x:v>Excel</x:v>
      </x:c>
      <x:c r="H14" s="33" t="str">
        <x:v>Any source change requires rerun</x:v>
      </x:c>
    </x:row>
    <x:row r="15" ht="32" customHeight="1">
      <x:c r="A15" s="152"/>
      <x:c r="B15" s="152"/>
      <x:c r="C15" s="23" t="str">
        <x:v>Edited scalar assumptions</x:v>
      </x:c>
      <x:c r="D15" s="198" t="n">
        <x:f>SUM('Assumptions'!G8:G62)</x:f>
        <x:v>0</x:v>
      </x:c>
      <x:c r="E15" s="150" t="n">
        <x:v>0</x:v>
      </x:c>
      <x:c r="F15" s="23" t="str">
        <x:f>IF(ISNUMBER(D15),IF(ABS(D15)&lt;=E15,"OK","CHECK"),"NOT RUN")</x:f>
        <x:v>OK</x:v>
      </x:c>
      <x:c r="G15" s="23" t="str">
        <x:v>Excel</x:v>
      </x:c>
      <x:c r="H15" s="33" t="str">
        <x:v>Compare all editable scalar inputs</x:v>
      </x:c>
    </x:row>
    <x:row r="16" ht="32" customHeight="1">
      <x:c r="A16" s="152"/>
      <x:c r="B16" s="152"/>
      <x:c r="C16" s="23" t="str">
        <x:v>Edited stress curve cells</x:v>
      </x:c>
      <x:c r="D16" s="198" t="n">
        <x:f>SUM('Stress Inputs'!H8:H583)</x:f>
        <x:v>0</x:v>
      </x:c>
      <x:c r="E16" s="150" t="n">
        <x:v>0</x:v>
      </x:c>
      <x:c r="F16" s="23" t="str">
        <x:f>IF(ISNUMBER(D16),IF(ABS(D16)&lt;=E16,"OK","CHECK"),"NOT RUN")</x:f>
        <x:v>OK</x:v>
      </x:c>
      <x:c r="G16" s="23" t="str">
        <x:v>Excel</x:v>
      </x:c>
      <x:c r="H16" s="33" t="str">
        <x:v>Compare default weights and rate paths</x:v>
      </x:c>
    </x:row>
    <x:row r="17" ht="32" customHeight="1">
      <x:c r="A17" s="152"/>
      <x:c r="B17" s="152"/>
      <x:c r="C17" s="23" t="str">
        <x:v>Added / deleted source rows</x:v>
      </x:c>
      <x:c r="D17" s="198" t="n">
        <x:f>COUNTA('Portfolio Inputs'!A:A)-4</x:f>
        <x:v>0</x:v>
      </x:c>
      <x:c r="E17" s="150" t="n">
        <x:v>0</x:v>
      </x:c>
      <x:c r="F17" s="23" t="str">
        <x:f>IF(ISNUMBER(D17),IF(ABS(D17)&lt;=E17,"OK","CHECK"),"NOT RUN")</x:f>
        <x:v>OK</x:v>
      </x:c>
      <x:c r="G17" s="23" t="str">
        <x:v>Excel</x:v>
      </x:c>
      <x:c r="H17" s="33" t="str">
        <x:v>Rebuild workbook to change portfolio row count</x:v>
      </x:c>
    </x:row>
    <x:row r="18" ht="32" customHeight="1">
      <x:c r="A18" s="152"/>
      <x:c r="B18" s="152"/>
      <x:c r="C18" s="23" t="str">
        <x:v>Portfolio field sanity</x:v>
      </x:c>
      <x:c r="D18" s="198" t="n">
        <x:f>SUM('Portfolio Inputs'!Y8:Y8)</x:f>
        <x:v>1</x:v>
      </x:c>
      <x:c r="E18" s="150" t="n">
        <x:v>0</x:v>
      </x:c>
      <x:c r="F18" s="23" t="str">
        <x:f>IF(ISNUMBER(D18),IF(ABS(D18)&lt;=E18,"OK","CHECK"),"NOT RUN")</x:f>
        <x:v>CHECK</x:v>
      </x:c>
      <x:c r="G18" s="23" t="str">
        <x:v>Excel</x:v>
      </x:c>
      <x:c r="H18" s="33" t="str">
        <x:v>Full validation runs in Python</x:v>
      </x:c>
    </x:row>
    <x:row r="19" ht="32" customHeight="1">
      <x:c r="A19" s="152"/>
      <x:c r="B19" s="152"/>
      <x:c r="C19" s="23" t="str">
        <x:v>Cash conservation (all grid runs)</x:v>
      </x:c>
      <x:c r="D19" s="198"/>
      <x:c r="E19" s="150" t="n">
        <x:v>0.01</x:v>
      </x:c>
      <x:c r="F19" s="23" t="str">
        <x:f>IF(ISNUMBER(D19),IF(ABS(D19)&lt;=E19,"OK","CHECK"),"NOT RUN")</x:f>
        <x:v>NOT RUN</x:v>
      </x:c>
      <x:c r="G19" s="23" t="str">
        <x:v>Python</x:v>
      </x:c>
      <x:c r="H19" s="33" t="str">
        <x:v>Maximum absolute residual</x:v>
      </x:c>
    </x:row>
    <x:row r="20" ht="32" customHeight="1">
      <x:c r="A20" s="152"/>
      <x:c r="B20" s="152"/>
      <x:c r="C20" s="23" t="str">
        <x:v>Waterfall priority (all grid runs)</x:v>
      </x:c>
      <x:c r="D20" s="198"/>
      <x:c r="E20" s="150" t="n">
        <x:v>0.01</x:v>
      </x:c>
      <x:c r="F20" s="23" t="str">
        <x:f>IF(ISNUMBER(D20),IF(ABS(D20)&lt;=E20,"OK","CHECK"),"NOT RUN")</x:f>
        <x:v>NOT RUN</x:v>
      </x:c>
      <x:c r="G20" s="23" t="str">
        <x:v>Python</x:v>
      </x:c>
      <x:c r="H20" s="33" t="str">
        <x:v>Subordinate payments while senior due</x:v>
      </x:c>
    </x:row>
    <x:row r="21" ht="32" customHeight="1">
      <x:c r="A21" s="152"/>
      <x:c r="B21" s="152"/>
      <x:c r="C21" s="23" t="str">
        <x:v>Accounting failures (all grid runs)</x:v>
      </x:c>
      <x:c r="D21" s="198"/>
      <x:c r="E21" s="150" t="n">
        <x:v>0</x:v>
      </x:c>
      <x:c r="F21" s="23" t="str">
        <x:f>IF(ISNUMBER(D21),IF(ABS(D21)&lt;=E21,"OK","CHECK"),"NOT RUN")</x:f>
        <x:v>NOT RUN</x:v>
      </x:c>
      <x:c r="G21" s="23" t="str">
        <x:v>Python</x:v>
      </x:c>
      <x:c r="H21" s="33" t="str">
        <x:v>Distinct from stress shortfalls</x:v>
      </x:c>
    </x:row>
    <x:row r="22" ht="32" customHeight="1">
      <x:c r="A22" s="152"/>
      <x:c r="B22" s="152"/>
      <x:c r="C22" s="23" t="str">
        <x:v>Unattained default targets (grid)</x:v>
      </x:c>
      <x:c r="D22" s="198"/>
      <x:c r="E22" s="150"/>
      <x:c r="F22" s="23" t="str">
        <x:f>IF(ISNUMBER(D22),"DISCLOSURE","NOT RUN")</x:f>
        <x:v>NOT RUN</x:v>
      </x:c>
      <x:c r="G22" s="23" t="str">
        <x:v>Python</x:v>
      </x:c>
      <x:c r="H22" s="33" t="str">
        <x:v>Disclosure: cannot treat these as a pass</x:v>
      </x:c>
    </x:row>
    <x:row r="23" ht="32" customHeight="1">
      <x:c r="A23" s="152"/>
      <x:c r="B23" s="152"/>
      <x:c r="C23" s="23" t="str">
        <x:v>Five-year pattern WAM scope</x:v>
      </x:c>
      <x:c r="D23" s="198"/>
      <x:c r="E23" s="150" t="n">
        <x:v>0</x:v>
      </x:c>
      <x:c r="F23" s="23" t="str">
        <x:f>IF(ISNUMBER(D23),IF(ABS(D23)&lt;=E23,"OK","CHECK"),"NOT RUN")</x:f>
        <x:v>NOT RUN</x:v>
      </x:c>
      <x:c r="G23" s="23" t="str">
        <x:v>Python</x:v>
      </x:c>
      <x:c r="H23" s="33" t="str">
        <x:v>4–7 years typical; otherwise review timing</x:v>
      </x:c>
    </x:row>
    <x:row r="24" ht="32" customHeight="1">
      <x:c r="A24" s="152"/>
      <x:c r="B24" s="152"/>
      <x:c r="C24" s="23" t="str">
        <x:v>Cash conservation (Excel)</x:v>
      </x:c>
      <x:c r="D24" s="198"/>
      <x:c r="E24" s="150" t="n">
        <x:v>0.01</x:v>
      </x:c>
      <x:c r="F24" s="23" t="str">
        <x:f>IF(ISNUMBER(D24),IF(ABS(D24)&lt;=E24,"OK","CHECK"),"NOT RUN")</x:f>
        <x:v>NOT RUN</x:v>
      </x:c>
      <x:c r="G24" s="23" t="str">
        <x:v>Excel</x:v>
      </x:c>
      <x:c r="H24" s="33" t="str">
        <x:v>Independent base cash-flow equation</x:v>
      </x:c>
    </x:row>
    <x:row r="25" ht="32" customHeight="1">
      <x:c r="A25" s="152"/>
      <x:c r="B25" s="152"/>
      <x:c r="C25" s="23" t="str">
        <x:v>Collateral par roll-forward (Excel)</x:v>
      </x:c>
      <x:c r="D25" s="198"/>
      <x:c r="E25" s="150" t="n">
        <x:v>0.01</x:v>
      </x:c>
      <x:c r="F25" s="23" t="str">
        <x:f>IF(ISNUMBER(D25),IF(ABS(D25)&lt;=E25,"OK","CHECK"),"NOT RUN")</x:f>
        <x:v>NOT RUN</x:v>
      </x:c>
      <x:c r="G25" s="23" t="str">
        <x:v>Excel</x:v>
      </x:c>
      <x:c r="H25" s="33" t="str">
        <x:v>Independent base cash-flow equation</x:v>
      </x:c>
    </x:row>
    <x:row r="26" ht="32" customHeight="1">
      <x:c r="A26" s="152"/>
      <x:c r="B26" s="152"/>
      <x:c r="C26" s="23" t="str">
        <x:v>Senior debt roll-forward (Excel)</x:v>
      </x:c>
      <x:c r="D26" s="198"/>
      <x:c r="E26" s="150" t="n">
        <x:v>0.01</x:v>
      </x:c>
      <x:c r="F26" s="23" t="str">
        <x:f>IF(ISNUMBER(D26),IF(ABS(D26)&lt;=E26,"OK","CHECK"),"NOT RUN")</x:f>
        <x:v>NOT RUN</x:v>
      </x:c>
      <x:c r="G26" s="23" t="str">
        <x:v>Excel</x:v>
      </x:c>
      <x:c r="H26" s="33" t="str">
        <x:v>Independent base cash-flow equation</x:v>
      </x:c>
    </x:row>
    <x:row r="27" ht="32" customHeight="1">
      <x:c r="A27" s="152"/>
      <x:c r="B27" s="152"/>
      <x:c r="C27" s="23" t="str">
        <x:v>Junior debt roll-forward (Excel)</x:v>
      </x:c>
      <x:c r="D27" s="198"/>
      <x:c r="E27" s="150" t="n">
        <x:v>0.01</x:v>
      </x:c>
      <x:c r="F27" s="23" t="str">
        <x:f>IF(ISNUMBER(D27),IF(ABS(D27)&lt;=E27,"OK","CHECK"),"NOT RUN")</x:f>
        <x:v>NOT RUN</x:v>
      </x:c>
      <x:c r="G27" s="23" t="str">
        <x:v>Excel</x:v>
      </x:c>
      <x:c r="H27" s="33" t="str">
        <x:v>Independent base cash-flow equation</x:v>
      </x:c>
    </x:row>
    <x:row r="28" ht="32" customHeight="1">
      <x:c r="A28" s="152"/>
      <x:c r="B28" s="152"/>
      <x:c r="C28" s="23" t="str">
        <x:v>Coverage trigger disagreement</x:v>
      </x:c>
      <x:c r="D28" s="198"/>
      <x:c r="E28" s="150" t="n">
        <x:v>0</x:v>
      </x:c>
      <x:c r="F28" s="23" t="str">
        <x:f>IF(ISNUMBER(D28),IF(ABS(D28)&lt;=E28,"OK","CHECK"),"NOT RUN")</x:f>
        <x:v>NOT RUN</x:v>
      </x:c>
      <x:c r="G28" s="23" t="str">
        <x:v>Excel</x:v>
      </x:c>
      <x:c r="H28" s="33" t="str">
        <x:v>Independent base cash-flow equation</x:v>
      </x:c>
    </x:row>
    <x:row r="29" ht="32" customHeight="1">
      <x:c r="A29" s="152"/>
      <x:c r="B29" s="152"/>
      <x:c r="C29" s="23" t="str">
        <x:v>Waterfall priority violation (Excel)</x:v>
      </x:c>
      <x:c r="D29" s="198"/>
      <x:c r="E29" s="150" t="n">
        <x:v>0.01</x:v>
      </x:c>
      <x:c r="F29" s="23" t="str">
        <x:f>IF(ISNUMBER(D29),IF(ABS(D29)&lt;=E29,"OK","CHECK"),"NOT RUN")</x:f>
        <x:v>NOT RUN</x:v>
      </x:c>
      <x:c r="G29" s="23" t="str">
        <x:v>Excel</x:v>
      </x:c>
      <x:c r="H29" s="33" t="str">
        <x:v>Independent base cash-flow equation</x:v>
      </x:c>
    </x:row>
    <x:row r="30" ht="32" customHeight="1">
      <x:c r="A30" s="152"/>
      <x:c r="B30" s="152"/>
      <x:c r="C30" s="23" t="str">
        <x:v>Recovery receivable roll-forward</x:v>
      </x:c>
      <x:c r="D30" s="198"/>
      <x:c r="E30" s="150" t="n">
        <x:v>0.01</x:v>
      </x:c>
      <x:c r="F30" s="23" t="str">
        <x:f>IF(ISNUMBER(D30),IF(ABS(D30)&lt;=E30,"OK","CHECK"),"NOT RUN")</x:f>
        <x:v>NOT RUN</x:v>
      </x:c>
      <x:c r="G30" s="23" t="str">
        <x:v>Excel</x:v>
      </x:c>
      <x:c r="H30" s="33" t="str">
        <x:v>Independent base cash-flow equation</x:v>
      </x:c>
    </x:row>
    <x:row r="31" ht="32" customHeight="1">
      <x:c r="A31" s="152"/>
      <x:c r="B31" s="152"/>
      <x:c r="C31" s="23" t="str">
        <x:v>Asset interest receivable roll-forward</x:v>
      </x:c>
      <x:c r="D31" s="198"/>
      <x:c r="E31" s="150" t="n">
        <x:v>0.01</x:v>
      </x:c>
      <x:c r="F31" s="23" t="str">
        <x:f>IF(ISNUMBER(D31),IF(ABS(D31)&lt;=E31,"OK","CHECK"),"NOT RUN")</x:f>
        <x:v>NOT RUN</x:v>
      </x:c>
      <x:c r="G31" s="23" t="str">
        <x:v>Excel</x:v>
      </x:c>
      <x:c r="H31" s="33" t="str">
        <x:v>Independent base cash-flow equation</x:v>
      </x:c>
    </x:row>
    <x:row r="32" ht="32" customHeight="1">
      <x:c r="A32" s="152"/>
      <x:c r="B32" s="152"/>
      <x:c r="C32" s="23" t="str">
        <x:v>Edited Fitch input cells</x:v>
      </x:c>
      <x:c r="D32" s="198" t="n">
        <x:f>'Fitch Calc'!D17</x:f>
        <x:v>0</x:v>
      </x:c>
      <x:c r="E32" s="150" t="n">
        <x:v>0</x:v>
      </x:c>
      <x:c r="F32" s="23" t="str">
        <x:f>IF(ISNUMBER(D32),IF(ABS(D32)&lt;=E32,"OK","CHECK"),"NOT RUN")</x:f>
        <x:v>OK</x:v>
      </x:c>
      <x:c r="G32" s="23" t="str">
        <x:v>Excel</x:v>
      </x:c>
      <x:c r="H32" s="33" t="str">
        <x:v>Change the source CSV and rerun</x:v>
      </x:c>
    </x:row>
    <x:row r="33" ht="32" customHeight="1">
      <x:c r="A33" s="152"/>
      <x:c r="B33" s="152"/>
      <x:c r="C33" s="23" t="str">
        <x:v>Edited Fitch source factors</x:v>
      </x:c>
      <x:c r="D33" s="198" t="n">
        <x:f>'Fitch Calc'!D18</x:f>
        <x:v>0</x:v>
      </x:c>
      <x:c r="E33" s="150" t="n">
        <x:v>0</x:v>
      </x:c>
      <x:c r="F33" s="23" t="str">
        <x:f>IF(ISNUMBER(D33),IF(ABS(D33)&lt;=E33,"OK","CHECK"),"NOT RUN")</x:f>
        <x:v>OK</x:v>
      </x:c>
      <x:c r="G33" s="23" t="str">
        <x:v>Excel</x:v>
      </x:c>
      <x:c r="H33" s="33" t="str">
        <x:v>Versioned source constants must match</x:v>
      </x:c>
    </x:row>
    <x:row r="34" ht="32" customHeight="1">
      <x:c r="A34" s="152"/>
      <x:c r="B34" s="152"/>
      <x:c r="C34" s="23" t="str">
        <x:v>Edited S&amp;P source factors</x:v>
      </x:c>
      <x:c r="D34" s="198" t="n">
        <x:f>SP_Parameter_Changes</x:f>
        <x:v>0</x:v>
      </x:c>
      <x:c r="E34" s="150" t="n">
        <x:v>0</x:v>
      </x:c>
      <x:c r="F34" s="23" t="str">
        <x:f>IF(ISNUMBER(D34),IF(ABS(D34)&lt;=E34,"OK","CHECK"),"NOT RUN")</x:f>
        <x:v>OK</x:v>
      </x:c>
      <x:c r="G34" s="23" t="str">
        <x:v>Excel</x:v>
      </x:c>
      <x:c r="H34" s="33" t="str">
        <x:v>Versioned source constants must match</x:v>
      </x:c>
    </x:row>
    <x:row r="35" ht="32" customHeight="1">
      <x:c r="A35" s="152"/>
      <x:c r="B35" s="152"/>
      <x:c r="C35" s="23" t="str">
        <x:v>S&amp;P WARF vs Python</x:v>
      </x:c>
      <x:c r="D35" s="198"/>
      <x:c r="E35" s="150" t="n">
        <x:v>0.000001</x:v>
      </x:c>
      <x:c r="F35" s="23" t="str">
        <x:f>IF(ISNUMBER(D35),IF(ABS(D35)&lt;=E35,"OK","CHECK"),"NOT RUN")</x:f>
        <x:v>NOT RUN</x:v>
      </x:c>
      <x:c r="G35" s="23" t="str">
        <x:v>Excel / Python</x:v>
      </x:c>
      <x:c r="H35" s="33" t="str">
        <x:v>Independent weighted calculation</x:v>
      </x:c>
    </x:row>
    <x:row r="36" ht="32" customHeight="1">
      <x:c r="A36" s="152"/>
      <x:c r="B36" s="152"/>
      <x:c r="C36" s="23" t="str">
        <x:v>S&amp;P dispersion vs Python</x:v>
      </x:c>
      <x:c r="D36" s="198"/>
      <x:c r="E36" s="150" t="n">
        <x:v>0.000001</x:v>
      </x:c>
      <x:c r="F36" s="23" t="str">
        <x:f>IF(ISNUMBER(D36),IF(ABS(D36)&lt;=E36,"OK","CHECK"),"NOT RUN")</x:f>
        <x:v>NOT RUN</x:v>
      </x:c>
      <x:c r="G36" s="23" t="str">
        <x:v>Excel / Python</x:v>
      </x:c>
      <x:c r="H36" s="33" t="str">
        <x:v>Weighted absolute deviation</x:v>
      </x:c>
    </x:row>
    <x:row r="37" ht="32" customHeight="1">
      <x:c r="A37" s="152"/>
      <x:c r="B37" s="152"/>
      <x:c r="C37" s="23" t="str">
        <x:v>Fitch WARF vs Python</x:v>
      </x:c>
      <x:c r="D37" s="198"/>
      <x:c r="E37" s="150" t="n">
        <x:v>0.000001</x:v>
      </x:c>
      <x:c r="F37" s="23" t="str">
        <x:f>IF(ISNUMBER(D37),IF(ABS(D37)&lt;=E37,"OK","CHECK"),"NOT RUN")</x:f>
        <x:v>NOT RUN</x:v>
      </x:c>
      <x:c r="G37" s="23" t="str">
        <x:v>Excel / Python</x:v>
      </x:c>
      <x:c r="H37" s="33" t="str">
        <x:v>Only compared when complete</x:v>
      </x:c>
    </x:row>
    <x:row r="38" ht="32" customHeight="1">
      <x:c r="A38" s="152"/>
      <x:c r="B38" s="152"/>
      <x:c r="C38" s="23" t="str">
        <x:v>Fitch WARR vs Python</x:v>
      </x:c>
      <x:c r="D38" s="198"/>
      <x:c r="E38" s="150" t="n">
        <x:v>0.000001</x:v>
      </x:c>
      <x:c r="F38" s="23" t="str">
        <x:f>IF(ISNUMBER(D38),IF(ABS(D38)&lt;=E38,"OK","CHECK"),"NOT RUN")</x:f>
        <x:v>NOT RUN</x:v>
      </x:c>
      <x:c r="G38" s="23" t="str">
        <x:v>Excel / Python</x:v>
      </x:c>
      <x:c r="H38" s="33" t="str">
        <x:v>Only compared when complete</x:v>
      </x:c>
    </x:row>
    <x:row r="39" ht="32" customHeight="1">
      <x:c r="A39" s="152"/>
      <x:c r="B39" s="152"/>
      <x:c r="C39" s="23"/>
      <x:c r="D39" s="101"/>
      <x:c r="E39" s="150"/>
      <x:c r="F39" s="23"/>
      <x:c r="G39" s="23"/>
      <x:c r="H39" s="33"/>
    </x:row>
    <x:row r="40" ht="32" customHeight="1">
      <x:c r="A40" s="152"/>
      <x:c r="B40" s="152"/>
      <x:c r="C40" s="23"/>
      <x:c r="D40" s="101"/>
      <x:c r="E40" s="150"/>
      <x:c r="F40" s="23"/>
      <x:c r="G40" s="23"/>
      <x:c r="H40" s="33"/>
    </x:row>
    <x:row r="41" ht="32" customHeight="1">
      <x:c r="A41" s="152"/>
      <x:c r="B41" s="152"/>
      <x:c r="C41" s="23" t="str">
        <x:v>Refresh required</x:v>
      </x:c>
      <x:c r="D41" s="101" t="b">
        <x:f>IFERROR(OR(D8&lt;&gt;0,D14&lt;&gt;0,D15&lt;&gt;0,D16&lt;&gt;0,D17&lt;&gt;0,'Fitch Calc'!D17&lt;&gt;0,'Fitch Calc'!D18&lt;&gt;0,SP_Parameter_Changes&lt;&gt;0),TRUE)</x:f>
        <x:v>1</x:v>
      </x:c>
      <x:c r="E41" s="150"/>
      <x:c r="F41" s="23"/>
      <x:c r="G41" s="23"/>
      <x:c r="H41" s="33"/>
    </x:row>
    <x:row r="42" ht="32" customHeight="1">
      <x:c r="A42" s="152"/>
      <x:c r="B42" s="152"/>
      <x:c r="C42" s="23" t="str">
        <x:v>Live formula errors</x:v>
      </x:c>
      <x:c r="D42" s="101" t="n">
        <x:f>SUMPRODUCT(--ISERROR('Portfolio Calc'!D8:D23))+SUMPRODUCT(--ISERROR('Capital Calc'!D8:J19))+SUMPRODUCT(--ISERROR('Portfolio Inputs'!S8:AB8))+SUMPRODUCT(--ISERROR('Cash Flow Calc'!E63:E72))+SUMPRODUCT(--ISERROR('Fitch Inputs'!I8:O8))+SUMPRODUCT(--ISERROR('Fitch Calc'!D8:D18))+SUMPRODUCT(--ISERROR('Agency Comparison'!D8:G29))</x:f>
        <x:v>0</x:v>
      </x:c>
      <x:c r="E42" s="150"/>
      <x:c r="F42" s="23" t="str">
        <x:f>IF(D42=0,"OK","CHECK")</x:f>
        <x:v>OK</x:v>
      </x:c>
      <x:c r="G42" s="23"/>
      <x:c r="H42" s="33"/>
    </x:row>
  </x:sheetData>
  <x:conditionalFormatting sqref="F8:F42">
    <x:cfRule type="containsText" dxfId="2" priority="1" operator="containsText" text="CHECK"/>
    <x:cfRule type="containsText" dxfId="3" priority="2" operator="containsText" text="REFRESH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20395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9" hidden="0" customWidth="1"/>
    <x:col min="4" max="4" width="44" hidden="0" customWidth="1"/>
    <x:col min="5" max="5" width="67" hidden="0" customWidth="1"/>
    <x:col min="6" max="6" width="62" hidden="0" customWidth="1"/>
    <x:col min="7" max="7" width="72" hidden="0" customWidth="1"/>
  </x:cols>
  <x:sheetData>
    <x:row r="1">
      <x:c r="A1" s="23"/>
      <x:c r="B1" s="23"/>
      <x:c r="C1" s="109" t="str">
        <x:v>Guide / outstanding work</x:v>
      </x:c>
      <x:c r="D1" s="23"/>
      <x:c r="E1" s="23"/>
      <x:c r="F1" s="23"/>
      <x:c r="G1" s="23"/>
    </x:row>
    <x:row r="2">
      <x:c r="A2" s="23"/>
      <x:c r="B2" s="23"/>
      <x:c r="C2" s="24" t="str">
        <x:v>What Is Still Needed</x:v>
      </x:c>
      <x:c r="D2" s="25"/>
      <x:c r="E2" s="25"/>
      <x:c r="F2" s="25"/>
      <x:c r="G2" s="25"/>
    </x:row>
    <x:row r="3" ht="22" customHeight="1">
      <x:c r="A3" s="23"/>
      <x:c r="B3" s="23"/>
      <x:c r="C3" s="26" t="str">
        <x:v>Resolve data gaps and implementation work separately. Full instructions are in docs/OUTSTANDING_AND_NEXT_STEPS.md.</x:v>
      </x:c>
      <x:c r="D3" s="23"/>
      <x:c r="E3" s="23"/>
      <x:c r="F3" s="23"/>
      <x:c r="G3" s="23"/>
    </x:row>
    <x:row r="4">
      <x:c r="A4" s="23"/>
      <x:c r="B4" s="23"/>
      <x:c r="C4" s="23"/>
      <x:c r="D4" s="23"/>
      <x:c r="E4" s="23"/>
      <x:c r="F4" s="23"/>
      <x:c r="G4" s="23"/>
    </x:row>
    <x:row r="5">
      <x:c r="A5" s="23"/>
      <x:c r="B5" s="23"/>
      <x:c r="C5" s="23"/>
      <x:c r="D5" s="23"/>
      <x:c r="E5" s="23"/>
      <x:c r="F5" s="23"/>
      <x:c r="G5" s="23"/>
    </x:row>
    <x:row r="6">
      <x:c r="A6" s="23"/>
      <x:c r="B6" s="23"/>
      <x:c r="C6" s="23"/>
      <x:c r="D6" s="23"/>
      <x:c r="E6" s="23"/>
      <x:c r="F6" s="23"/>
      <x:c r="G6" s="23"/>
    </x:row>
    <x:row r="7" ht="38" customHeight="1">
      <x:c r="A7" s="23"/>
      <x:c r="B7" s="23"/>
      <x:c r="C7" s="7" t="str">
        <x:v>Item / owner</x:v>
      </x:c>
      <x:c r="D7" s="7" t="str">
        <x:v>Current treatment</x:v>
      </x:c>
      <x:c r="E7" s="7" t="str">
        <x:v>What to provide or implement</x:v>
      </x:c>
      <x:c r="F7" s="7" t="str">
        <x:v>Assumptions allowed now</x:v>
      </x:c>
      <x:c r="G7" s="7" t="str">
        <x:v>Where it comes from</x:v>
      </x:c>
    </x:row>
    <x:row r="8" ht="86" customHeight="1">
      <x:c r="A8" s="23"/>
      <x:c r="B8" s="23"/>
      <x:c r="C8" s="33" t="str">
        <x:v>S&amp;P WARF / implemented</x:v>
      </x:c>
      <x:c r="D8" s="33" t="str">
        <x:v>Sourced factors and live formulas</x:v>
      </x:c>
      <x:c r="E8" s="33" t="str">
        <x:v>Review rating assignment / eligibility for the actual deal. No missing factor table remains for the supported scope.</x:v>
      </x:c>
      <x:c r="F8" s="33" t="str">
        <x:v>The fictional ratings are retained and labelled. No ordinal or Fitch factor substitution.</x:v>
      </x:c>
      <x:c r="G8" s="33" t="str">
        <x:v>SP Credit Parameters; Blue Owl original November 2025 filing; S&amp;P AUF Table 13</x:v>
      </x:c>
    </x:row>
    <x:row r="9" ht="86" customHeight="1">
      <x:c r="A9" s="152"/>
      <x:c r="B9" s="152"/>
      <x:c r="C9" s="156" t="str">
        <x:v>S&amp;P AAA SDR / credit model</x:v>
      </x:c>
      <x:c r="D9" s="156" t="str">
        <x:v>Unavailable unless externally supplied</x:v>
      </x:c>
      <x:c r="E9" s="156" t="str">
        <x:v>Check FT access to CDO Evaluator via Ratings360. Import portfolio-specific output with source/version, date, criteria and input hashes; alternatively build and benchmark a criteria-informed engine.</x:v>
      </x:c>
      <x:c r="F9" s="156" t="str">
        <x:v>Keep formal SDR blank. Use labelled development default sensitivities for exploration.</x:v>
      </x:c>
      <x:c r="G9" s="156" t="str">
        <x:v>S&amp;P CDO Suite of Models; core criteria default, correlation and quantile tables</x:v>
      </x:c>
    </x:row>
    <x:row r="10" ht="86" customHeight="1">
      <x:c r="A10" s="152"/>
      <x:c r="B10" s="152"/>
      <x:c r="C10" s="156" t="str">
        <x:v>S&amp;P Monitor / implementation</x:v>
      </x:c>
      <x:c r="D10" s="156" t="str">
        <x:v>Not implemented</x:v>
      </x:c>
      <x:c r="E10" s="156" t="str">
        <x:v>Confirm eligibility, exact asset codes, regions, maturity definitions and transaction-specific BDR coefficients.</x:v>
      </x:c>
      <x:c r="F10" s="156" t="str">
        <x:v>Do not borrow another deal's coefficients or treat an unverified regression as agency SDR.</x:v>
      </x:c>
      <x:c r="G10" s="156" t="str">
        <x:v>S&amp;P CDO Monitor technical articles and applicable transaction documents</x:v>
      </x:c>
    </x:row>
    <x:row r="11" ht="86" customHeight="1">
      <x:c r="A11" s="152"/>
      <x:c r="B11" s="152"/>
      <x:c r="C11" s="156" t="str">
        <x:v>Fitch ratings / input owner</x:v>
      </x:c>
      <x:c r="D11" s="156" t="str">
        <x:v>Separate sidecar; example is development_proxy</x:v>
      </x:c>
      <x:c r="E11" s="156" t="str">
        <x:v>Supply public Fitch IDRs or reviewed Appendix 5 equivalencies with source evidence for every obligor.</x:v>
      </x:c>
      <x:c r="F11" s="156" t="str">
        <x:v>Same-symbol fictional proxies are explicit, optional example inputs only.</x:v>
      </x:c>
      <x:c r="G11" s="156" t="str">
        <x:v>Fitch Inputs; Appendix 5; templates/fitch_inputs_dictionary.csv</x:v>
      </x:c>
    </x:row>
    <x:row r="12" ht="86" customHeight="1">
      <x:c r="A12" s="152"/>
      <x:c r="B12" s="152"/>
      <x:c r="C12" s="156" t="str">
        <x:v>Fitch recovery / input owner</x:v>
      </x:c>
      <x:c r="D12" s="156" t="str">
        <x:v>Whole WARR gated on complete coverage</x:v>
      </x:c>
      <x:c r="E12" s="156" t="str">
        <x:v>Resolve seven example facilities without a reviewed recovery classification. Check issue recovery opinions before fallback rules.</x:v>
      </x:c>
      <x:c r="F12" s="156" t="str">
        <x:v>Example first-lien fallbacks are sourced but expressly assumed. No zero for missing recovery.</x:v>
      </x:c>
      <x:c r="G12" s="156" t="str">
        <x:v>Fitch Appendix 4 and Appendix 6; docs/fitch_inputs.md</x:v>
      </x:c>
    </x:row>
    <x:row r="13" ht="86" customHeight="1">
      <x:c r="A13" s="152"/>
      <x:c r="B13" s="152"/>
      <x:c r="C13" s="156" t="str">
        <x:v>Industry taxonomy / input owner</x:v>
      </x:c>
      <x:c r="D13" s="156" t="str">
        <x:v>S&amp;P supplied labels; Fitch blank</x:v>
      </x:c>
      <x:c r="E13" s="156" t="str">
        <x:v>Map agency-specific classifications and retain review evidence. Supplied text similarity is insufficient.</x:v>
      </x:c>
      <x:c r="F13" s="156" t="str">
        <x:v>No automatic cross-agency industry mapping.</x:v>
      </x:c>
      <x:c r="G13" s="156" t="str">
        <x:v>S&amp;P asset codes; Fitch PCM industry classification</x:v>
      </x:c>
    </x:row>
    <x:row r="14" ht="86" customHeight="1">
      <x:c r="A14" s="152"/>
      <x:c r="B14" s="152"/>
      <x:c r="C14" s="156" t="str">
        <x:v>Fitch RDR/RLR / credit model</x:v>
      </x:c>
      <x:c r="D14" s="156" t="str">
        <x:v>Not calculated</x:v>
      </x:c>
      <x:c r="E14" s="156" t="str">
        <x:v>Obtain / run the applicable Fitch Portfolio Credit Model and retain complete inputs, assumptions and version.</x:v>
      </x:c>
      <x:c r="F14" s="156" t="str">
        <x:v>No assumed AAA percentile or hurdle imported from S&amp;P.</x:v>
      </x:c>
      <x:c r="G14" s="156" t="str">
        <x:v>Fitch PCM; criteria default/loss distributions and Appendix 6</x:v>
      </x:c>
    </x:row>
    <x:row r="15" ht="86" customHeight="1">
      <x:c r="A15" s="152"/>
      <x:c r="B15" s="152"/>
      <x:c r="C15" s="156" t="str">
        <x:v>Actual deal terms / deal owner</x:v>
      </x:c>
      <x:c r="D15" s="156" t="str">
        <x:v>Fictional editable development terms</x:v>
      </x:c>
      <x:c r="E15" s="156" t="str">
        <x:v>Provide term sheet / waterfall, payment dates, coupons, fees, OC/IC definitions, collateral haircuts, reinvestment conditions and legal final maturity.</x:v>
      </x:c>
      <x:c r="F15" s="156" t="str">
        <x:v>64/26/10 is user-specified; all other development terms stay labelled until replaced.</x:v>
      </x:c>
      <x:c r="G15" s="156" t="str">
        <x:v>Assumptions provenance; deal documents</x:v>
      </x:c>
    </x:row>
    <x:row r="16" ht="86" customHeight="1">
      <x:c r="A16" s="152"/>
      <x:c r="B16" s="152"/>
      <x:c r="C16" s="156" t="str">
        <x:v>Cash-flow engine / engineering</x:v>
      </x:c>
      <x:c r="D16" s="156" t="str">
        <x:v>Independent simplified waterfall</x:v>
      </x:c>
      <x:c r="E16" s="156" t="str">
        <x:v>Implement agency-specific collateral amortisation, default / recovery timing, full rate and prepayment scenarios, event tests and required payment promises.</x:v>
      </x:c>
      <x:c r="F16" s="156" t="str">
        <x:v>Development scenarios can test behaviour; they are not agency BDRs.</x:v>
      </x:c>
      <x:c r="G16" s="156" t="str">
        <x:v>S&amp;P framework; Fitch criteria pages 18–23; docs/cashflow_design.md</x:v>
      </x:c>
    </x:row>
    <x:row r="17" ht="86" customHeight="1">
      <x:c r="A17" s="152"/>
      <x:c r="B17" s="152"/>
      <x:c r="C17" s="156" t="str">
        <x:v>Schedules and asset detail / data</x:v>
      </x:c>
      <x:c r="D17" s="156" t="str">
        <x:v>18 supplied fields</x:v>
      </x:c>
      <x:c r="E17" s="156" t="str">
        <x:v>Add next coupon/reset date, day-count, amortisation, accrued interest and reviewed recovery hierarchy as scope requires.</x:v>
      </x:c>
      <x:c r="F17" s="156" t="str">
        <x:v>Bullet maturity and synthetic coupon anchor are disclosed development conventions.</x:v>
      </x:c>
      <x:c r="G17" s="156" t="str">
        <x:v>Servicer / trustee / loan records</x:v>
      </x:c>
    </x:row>
    <x:row r="18" ht="86" customHeight="1">
      <x:c r="A18" s="152"/>
      <x:c r="B18" s="152"/>
      <x:c r="C18" s="156" t="str">
        <x:v>Benchmarking / validation</x:v>
      </x:c>
      <x:c r="D18" s="156" t="str">
        <x:v>Fictional implementation tests</x:v>
      </x:c>
      <x:c r="E18" s="156" t="str">
        <x:v>Compare representative results against trusted agency / approved internal outputs, then validate full Excel recalculation in the FT runtime.</x:v>
      </x:c>
      <x:c r="F18" s="156" t="str">
        <x:v>Passing software tests is not rating-model calibration.</x:v>
      </x:c>
      <x:c r="G18" s="156" t="str">
        <x:v>docs/validation_report.md; FT approved local environment</x:v>
      </x:c>
    </x:row>
    <x:row r="19" ht="86" customHeight="1">
      <x:c r="A19" s="152"/>
      <x:c r="B19" s="152"/>
      <x:c r="C19" s="156" t="str">
        <x:v>New LLM / maintainer</x:v>
      </x:c>
      <x:c r="D19" s="156" t="str">
        <x:v>Documented handover</x:v>
      </x:c>
      <x:c r="E19" s="156" t="str">
        <x:v>Start with LLM_HANDOVER.md, then README, dictionaries, methodology and tests; preserve output/status boundaries.</x:v>
      </x:c>
      <x:c r="F19" s="156" t="str">
        <x:v>No real data uploads. No promotion of proxies to agency conclusions.</x:v>
      </x:c>
      <x:c r="G19" s="156" t="str">
        <x:v>docs/LLM_HANDOVER.md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20395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9" hidden="0" customWidth="1"/>
    <x:col min="4" max="4" width="49" hidden="0" customWidth="1"/>
    <x:col min="5" max="5" width="58" hidden="0" customWidth="1"/>
    <x:col min="6" max="6" width="53" hidden="0" customWidth="1"/>
    <x:col min="7" max="7" width="80" hidden="0" customWidth="1"/>
  </x:cols>
  <x:sheetData>
    <x:row r="1">
      <x:c r="A1" s="23"/>
      <x:c r="B1" s="23"/>
      <x:c r="C1" s="109" t="str">
        <x:v>Guide / source register</x:v>
      </x:c>
      <x:c r="D1" s="23"/>
      <x:c r="E1" s="23"/>
      <x:c r="F1" s="23"/>
      <x:c r="G1" s="23"/>
    </x:row>
    <x:row r="2">
      <x:c r="A2" s="23"/>
      <x:c r="B2" s="23"/>
      <x:c r="C2" s="24" t="str">
        <x:v>Methodology And Sources</x:v>
      </x:c>
      <x:c r="D2" s="25"/>
      <x:c r="E2" s="25"/>
      <x:c r="F2" s="25"/>
      <x:c r="G2" s="25"/>
    </x:row>
    <x:row r="3" ht="22" customHeight="1">
      <x:c r="A3" s="23"/>
      <x:c r="B3" s="23"/>
      <x:c r="C3" s="26" t="str">
        <x:v>Requirements are distinguished from supplied inputs, supported calculations and model gaps.</x:v>
      </x:c>
      <x:c r="D3" s="23"/>
      <x:c r="E3" s="23"/>
      <x:c r="F3" s="23"/>
      <x:c r="G3" s="23"/>
    </x:row>
    <x:row r="4">
      <x:c r="A4" s="23"/>
      <x:c r="B4" s="23"/>
      <x:c r="C4" s="23"/>
      <x:c r="D4" s="23"/>
      <x:c r="E4" s="23"/>
      <x:c r="F4" s="23"/>
      <x:c r="G4" s="23"/>
    </x:row>
    <x:row r="5">
      <x:c r="A5" s="23"/>
      <x:c r="B5" s="23"/>
      <x:c r="C5" s="23"/>
      <x:c r="D5" s="23"/>
      <x:c r="E5" s="23"/>
      <x:c r="F5" s="23"/>
      <x:c r="G5" s="23"/>
    </x:row>
    <x:row r="6">
      <x:c r="A6" s="23"/>
      <x:c r="B6" s="23"/>
      <x:c r="C6" s="23"/>
      <x:c r="D6" s="23"/>
      <x:c r="E6" s="23"/>
      <x:c r="F6" s="23"/>
      <x:c r="G6" s="23"/>
    </x:row>
    <x:row r="7" ht="38" customHeight="1">
      <x:c r="A7" s="23"/>
      <x:c r="B7" s="23"/>
      <x:c r="C7" s="7" t="str">
        <x:v>Component</x:v>
      </x:c>
      <x:c r="D7" s="7" t="str">
        <x:v>Implemented / result</x:v>
      </x:c>
      <x:c r="E7" s="7" t="str">
        <x:v>Inputs / dependency</x:v>
      </x:c>
      <x:c r="F7" s="7" t="str">
        <x:v>Gap or limitation</x:v>
      </x:c>
      <x:c r="G7" s="7" t="str">
        <x:v>Source</x:v>
      </x:c>
    </x:row>
    <x:row r="8" ht="73" customHeight="1">
      <x:c r="A8" s="23"/>
      <x:c r="B8" s="23"/>
      <x:c r="C8" s="33" t="str">
        <x:v>Core criteria version</x:v>
      </x:c>
      <x:c r="D8" s="33" t="str">
        <x:v>2019-06-21 / republished 2026-04-10</x:v>
      </x:c>
      <x:c r="E8" s="33" t="str">
        <x:v>User supplied 66-page PDF; current public S&amp;P page</x:v>
      </x:c>
      <x:c r="F8" s="33" t="str">
        <x:v>S&amp;P component basis. Fitch uses its own 1 June 2026 criteria and separate tabs</x:v>
      </x:c>
      <x:c r="G8" s="33" t="str">
        <x:v>https://www.spglobal.com/ratings/en/regulatory/article/-/view/sourceId/11020014</x:v>
      </x:c>
    </x:row>
    <x:row r="9" ht="73" customHeight="1">
      <x:c r="A9" s="152"/>
      <x:c r="B9" s="152"/>
      <x:c r="C9" s="33" t="str">
        <x:v>Portfolio credit analysis</x:v>
      </x:c>
      <x:c r="D9" s="33" t="str">
        <x:v>Composition, obligor concentration, weighted terms/spreads/recoveries</x:v>
      </x:c>
      <x:c r="E9" s="33" t="str">
        <x:v>Supplied issuer rating inputs, par, maturity, industry</x:v>
      </x:c>
      <x:c r="F9" s="33" t="str">
        <x:v>Published SPWARF factors implemented. CDO Evaluator distribution and full CDO Monitor remain outstanding</x:v>
      </x:c>
      <x:c r="G9" s="33" t="str">
        <x:v>https://www.spglobal.com/ratings/en/regulatory/article/-/view/sourceId/11020014 (paragraphs 68–101)</x:v>
      </x:c>
    </x:row>
    <x:row r="10" ht="73" customHeight="1">
      <x:c r="A10" s="152"/>
      <x:c r="B10" s="152"/>
      <x:c r="C10" s="33" t="str">
        <x:v>Scenario default rates</x:v>
      </x:c>
      <x:c r="D10" s="33" t="str">
        <x:v>Unavailable unless an external SDR is explicitly supplied</x:v>
      </x:c>
      <x:c r="E10" s="33" t="str">
        <x:v>CDO Evaluator input/output, approved credit mapping and documented portfolio hash</x:v>
      </x:c>
      <x:c r="F10" s="33" t="str">
        <x:v>No substitute percentile or concentration heuristic represented as S&amp;P SDR</x:v>
      </x:c>
      <x:c r="G10" s="33" t="str">
        <x:v>https://www.spglobal.com/ratings/en/regulatory/article/-/view/sourceId/11020014 (paragraphs 24–58)</x:v>
      </x:c>
    </x:row>
    <x:row r="11" ht="73" customHeight="1">
      <x:c r="A11" s="152"/>
      <x:c r="B11" s="152"/>
      <x:c r="C11" s="33" t="str">
        <x:v>Cash-flow default capacity</x:v>
      </x:c>
      <x:c r="D11" s="33" t="str">
        <x:v>Exploratory fixed-severity grid with first-failure brackets</x:v>
      </x:c>
      <x:c r="E11" s="33" t="str">
        <x:v>Facility cash flows, stated fictional deal terms and scenario paths</x:v>
      </x:c>
      <x:c r="F11" s="33" t="str">
        <x:v>Pro rata fractional defaults; not S&amp;P Cash Flow Evaluator output or agency BDR</x:v>
      </x:c>
      <x:c r="G11" s="33" t="str">
        <x:v>https://www.spglobal.com/ratings/en/regulatory/article/-/view/sourceId/11020014 (paragraphs 124–150)</x:v>
      </x:c>
    </x:row>
    <x:row r="12" ht="73" customHeight="1">
      <x:c r="A12" s="152"/>
      <x:c r="B12" s="152"/>
      <x:c r="C12" s="33" t="str">
        <x:v>Default timing</x:v>
      </x:c>
      <x:c r="D12" s="33" t="str">
        <x:v>Four five-year Table 20 patterns; quarterly allocation</x:v>
      </x:c>
      <x:c r="E12" s="33" t="str">
        <x:v>Annual weights / 4; original par default notional</x:v>
      </x:c>
      <x:c r="F12" s="33" t="str">
        <x:v>Review applicability for WAM outside 4–7 years and reinvesting portfolios</x:v>
      </x:c>
      <x:c r="G12" s="33" t="str">
        <x:v>https://www.spglobal.com/ratings/en/regulatory/article/-/view/sourceId/11020014 (Table 20, paragraphs 130–133)</x:v>
      </x:c>
    </x:row>
    <x:row r="13" ht="73" customHeight="1">
      <x:c r="A13" s="152"/>
      <x:c r="B13" s="152"/>
      <x:c r="C13" s="33" t="str">
        <x:v>Rates and prepayments</x:v>
      </x:c>
      <x:c r="D13" s="33" t="str">
        <x:v>Explicit editable quarterly rates and annual prepayment fractions</x:v>
      </x:c>
      <x:c r="E13" s="33" t="str">
        <x:v>Fictional low 0.5%, flat 3%, high 6% reference paths</x:v>
      </x:c>
      <x:c r="F13" s="33" t="str">
        <x:v>Calibrated five-path CIR stresses / forward curve absent; no benchmark basis model</x:v>
      </x:c>
      <x:c r="G13" s="33" t="str">
        <x:v>https://www.spglobal.com/ratings/en/regulatory/ratings-criteria</x:v>
      </x:c>
    </x:row>
    <x:row r="14" ht="73" customHeight="1">
      <x:c r="A14" s="152"/>
      <x:c r="B14" s="152"/>
      <x:c r="C14" s="33" t="str">
        <x:v>Largest obligor test</x:v>
      </x:c>
      <x:c r="D14" s="33" t="str">
        <x:v>Maximum loss across rating bands and prescribed counts</x:v>
      </x:c>
      <x:c r="E14" s="33" t="str">
        <x:v>Common-default obligor groups; 5% flat corporate recovery</x:v>
      </x:c>
      <x:c r="F14" s="33" t="str">
        <x:v>Performing corporate scope only; below CCC- and sovereigns excluded</x:v>
      </x:c>
      <x:c r="G14" s="33" t="str">
        <x:v>https://www.spglobal.com/ratings/en/regulatory/article/-/view/sourceId/11020014 (Table 4, paragraphs 156–161)</x:v>
      </x:c>
    </x:row>
    <x:row r="15" ht="73" customHeight="1">
      <x:c r="A15" s="152"/>
      <x:c r="B15" s="152"/>
      <x:c r="C15" s="33" t="str">
        <x:v>Largest industry tests</x:v>
      </x:c>
      <x:c r="D15" s="33" t="str">
        <x:v>Primary 17% recovery; alternative rating-band counts / 5% recovery</x:v>
      </x:c>
      <x:c r="E15" s="33" t="str">
        <x:v>Industry labels require reviewed official classification</x:v>
      </x:c>
      <x:c r="F15" s="33" t="str">
        <x:v>Primary OR alternative route. Loss amounts do not establish tranche sufficiency</x:v>
      </x:c>
      <x:c r="G15" s="33" t="str">
        <x:v>https://www.spglobal.com/ratings/en/regulatory/article/-/view/sourceId/11020014 (paragraphs 162–164)</x:v>
      </x:c>
    </x:row>
    <x:row r="16" ht="73" customHeight="1">
      <x:c r="A16" s="152"/>
      <x:c r="B16" s="152"/>
      <x:c r="C16" s="33" t="str">
        <x:v>Recovery assumptions</x:v>
      </x:c>
      <x:c r="D16" s="33" t="str">
        <x:v>Facility recovery_aaa used as supplied fictional stress inputs</x:v>
      </x:c>
      <x:c r="E16" s="33" t="str">
        <x:v>No silent replacement or automatic Table 15 selection</x:v>
      </x:c>
      <x:c r="F16" s="33" t="str">
        <x:v>Recovery-rating hierarchy, cov-lite status, debt cushion and jurisdiction mapping require review</x:v>
      </x:c>
      <x:c r="G16" s="33" t="str">
        <x:v>https://www.spglobal.com/ratings/en/regulatory/article/-/view/sourceId/11020014 (paragraphs 109–123)</x:v>
      </x:c>
    </x:row>
    <x:row r="17" ht="73" customHeight="1">
      <x:c r="A17" s="152"/>
      <x:c r="B17" s="152"/>
      <x:c r="C17" s="33" t="str">
        <x:v>Coverage tests</x:v>
      </x:c>
      <x:c r="D17" s="33" t="str">
        <x:v>Editable senior OC/IC, cash diversion and reinvestment stop</x:v>
      </x:c>
      <x:c r="E17" s="33" t="str">
        <x:v>Explicit simple performing-par numerator, optional recovery credit</x:v>
      </x:c>
      <x:c r="F17" s="33" t="str">
        <x:v>No CCC haircut, discounted-obligation adjustments, junior tests, or indenture-specific definitions</x:v>
      </x:c>
      <x:c r="G17" s="33" t="str">
        <x:v>Fictional development assumptions; see docs/cashflow_design.md</x:v>
      </x:c>
    </x:row>
    <x:row r="18" ht="73" customHeight="1">
      <x:c r="A18" s="152"/>
      <x:c r="B18" s="152"/>
      <x:c r="C18" s="33" t="str">
        <x:v>Coupons and maturity</x:v>
      </x:c>
      <x:c r="D18" s="33" t="str">
        <x:v>Quarterly/semiannual assets; quarterly notes; ACT/365</x:v>
      </x:c>
      <x:c r="E18" s="33" t="str">
        <x:v>Synthetic as-of coupon anchor; contractual bullet maturities</x:v>
      </x:c>
      <x:c r="F18" s="33" t="str">
        <x:v>No next-coupon dates, accrued purchase interest, day-count election or amortisation input</x:v>
      </x:c>
      <x:c r="G18" s="33" t="str">
        <x:v>Supplied schema + explicit fictional timing convention</x:v>
      </x:c>
    </x:row>
    <x:row r="19" ht="73" customHeight="1">
      <x:c r="A19" s="152"/>
      <x:c r="B19" s="152"/>
      <x:c r="C19" s="33" t="str">
        <x:v>Full rating scope</x:v>
      </x:c>
      <x:c r="D19" s="33" t="str">
        <x:v>AAA NOT DETERMINED</x:v>
      </x:c>
      <x:c r="E19" s="33" t="str">
        <x:v>Credit analysis + payment structure + counterparty/legal/operational review</x:v>
      </x:c>
      <x:c r="F19" s="33" t="str">
        <x:v>Qualitative/legal/manager/counterparty criteria not implemented</x:v>
      </x:c>
      <x:c r="G19" s="33" t="str">
        <x:v>https://www.spglobal.com/ratings/en/regulatory/article/-/view/sourceId/11020014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81909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9" hidden="0" customWidth="1"/>
    <x:col min="4" max="4" width="16" hidden="0" customWidth="1"/>
    <x:col min="5" max="5" width="16" hidden="0" customWidth="1"/>
    <x:col min="6" max="6" width="31" hidden="0" customWidth="1"/>
    <x:col min="7" max="7" width="2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</x:cols>
  <x:sheetData>
    <x:row r="1">
      <x:c r="A1" s="111" t="str">
        <x:v>Shared run baseline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>
      <x:c r="A2" s="2" t="str">
        <x:v>Imported Portfolio Snapshot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</x:row>
    <x:row r="3">
      <x:c r="A3" s="1" t="str">
        <x:v>Comparison baseline. Do not edit. Rebuild from CSV to change row count.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</x:row>
    <x:row r="7" ht="38" customHeight="1">
      <x:c r="A7" s="7" t="str">
        <x:v>instrument_id</x:v>
      </x:c>
      <x:c r="B7" s="7" t="str">
        <x:v>obligor_id</x:v>
      </x:c>
      <x:c r="C7" s="7" t="str">
        <x:v>obligor_name</x:v>
      </x:c>
      <x:c r="D7" s="7" t="str">
        <x:v>par</x:v>
      </x:c>
      <x:c r="E7" s="7" t="str">
        <x:v>sp_rating</x:v>
      </x:c>
      <x:c r="F7" s="7" t="str">
        <x:v>sp_industry</x:v>
      </x:c>
      <x:c r="G7" s="7" t="str">
        <x:v>country</x:v>
      </x:c>
      <x:c r="H7" s="7" t="str">
        <x:v>seniority</x:v>
      </x:c>
      <x:c r="I7" s="7" t="str">
        <x:v>rate_type</x:v>
      </x:c>
      <x:c r="J7" s="7" t="str">
        <x:v>spread_bps</x:v>
      </x:c>
      <x:c r="K7" s="7" t="str">
        <x:v>fixed_coupon_rate</x:v>
      </x:c>
      <x:c r="L7" s="7" t="str">
        <x:v>floor_bps</x:v>
      </x:c>
      <x:c r="M7" s="7" t="str">
        <x:v>maturity_date</x:v>
      </x:c>
      <x:c r="N7" s="7" t="str">
        <x:v>recovery_aaa</x:v>
      </x:c>
      <x:c r="O7" s="7" t="str">
        <x:v>price</x:v>
      </x:c>
      <x:c r="P7" s="7" t="str">
        <x:v>payment_frequency</x:v>
      </x:c>
      <x:c r="Q7" s="7" t="str">
        <x:v>currency</x:v>
      </x:c>
      <x:c r="R7" s="7" t="str">
        <x:v>benchmark</x:v>
      </x:c>
      <x:c r="S7" s="1"/>
      <x:c r="T7" s="1"/>
      <x:c r="U7" s="1"/>
      <x:c r="V7" s="1"/>
      <x:c r="W7" s="1"/>
      <x:c r="X7" s="1"/>
      <x:c r="Y7" s="1"/>
    </x:row>
    <x:row r="8">
      <x:c r="A8" s="8"/>
      <x:c r="B8" s="8"/>
      <x:c r="C8" s="8"/>
      <x:c r="D8" s="9"/>
      <x:c r="E8" s="8"/>
      <x:c r="F8" s="8"/>
      <x:c r="G8" s="8"/>
      <x:c r="H8" s="8"/>
      <x:c r="I8" s="8"/>
      <x:c r="J8" s="8"/>
      <x:c r="K8" s="10"/>
      <x:c r="L8" s="8"/>
      <x:c r="M8" s="11"/>
      <x:c r="N8" s="10"/>
      <x:c r="O8" s="12"/>
      <x:c r="P8" s="13"/>
      <x:c r="Q8" s="8"/>
      <x:c r="R8" s="8"/>
      <x:c r="S8" s="1"/>
      <x:c r="T8" s="1"/>
      <x:c r="U8" s="1"/>
      <x:c r="V8" s="1"/>
      <x:c r="W8" s="1"/>
      <x:c r="X8" s="1"/>
      <x:c r="Y8" s="1"/>
    </x:row>
  </x:sheetData>
  <x:pageMargins left="0.7" right="0.7" top="0.75" bottom="0.75" header="0.3" footer="0.3"/>
</x:worksheet>
</file>