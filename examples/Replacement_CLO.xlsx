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aa4887216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4c520c58549439d"/>
    <x:sheet xmlns:r="http://schemas.openxmlformats.org/officeDocument/2006/relationships" name="Agency Comparison" sheetId="2" r:id="R661b40c9328b4ad8"/>
    <x:sheet xmlns:r="http://schemas.openxmlformats.org/officeDocument/2006/relationships" name="Outputs" sheetId="3" r:id="R72661c61eb044fca"/>
    <x:sheet xmlns:r="http://schemas.openxmlformats.org/officeDocument/2006/relationships" name="Portfolio Inputs" sheetId="4" r:id="Rd367d393446d49ca"/>
    <x:sheet xmlns:r="http://schemas.openxmlformats.org/officeDocument/2006/relationships" name="Assumptions" sheetId="5" r:id="R8bea24d9471d4342"/>
    <x:sheet xmlns:r="http://schemas.openxmlformats.org/officeDocument/2006/relationships" name="Portfolio Calc" sheetId="6" r:id="R59cdef87cb4a4eb2"/>
    <x:sheet xmlns:r="http://schemas.openxmlformats.org/officeDocument/2006/relationships" name="Obligor Calc" sheetId="7" r:id="Rd97ac8bfd9894c16"/>
    <x:sheet xmlns:r="http://schemas.openxmlformats.org/officeDocument/2006/relationships" name="Capital Calc" sheetId="8" r:id="Rfeed5b858d9f4773"/>
    <x:sheet xmlns:r="http://schemas.openxmlformats.org/officeDocument/2006/relationships" name="SP Credit Parameters" sheetId="9" r:id="Rc8935921cc8c49a3"/>
    <x:sheet xmlns:r="http://schemas.openxmlformats.org/officeDocument/2006/relationships" name="Concentration Calc" sheetId="10" r:id="R306bbf2aeaeb4be9"/>
    <x:sheet xmlns:r="http://schemas.openxmlformats.org/officeDocument/2006/relationships" name="Fitch Inputs" sheetId="11" r:id="R5c943af0b6834a90"/>
    <x:sheet xmlns:r="http://schemas.openxmlformats.org/officeDocument/2006/relationships" name="Fitch Parameters" sheetId="12" r:id="R02199357cb1a4c66"/>
    <x:sheet xmlns:r="http://schemas.openxmlformats.org/officeDocument/2006/relationships" name="Fitch Calc" sheetId="13" r:id="R604ac5c1351e41df"/>
    <x:sheet xmlns:r="http://schemas.openxmlformats.org/officeDocument/2006/relationships" name="Stress Inputs" sheetId="14" r:id="Re81d3cbc1db841ad"/>
    <x:sheet xmlns:r="http://schemas.openxmlformats.org/officeDocument/2006/relationships" name="Cash Flow Calc" sheetId="15" r:id="Rb0a428b486cb4db6"/>
    <x:sheet xmlns:r="http://schemas.openxmlformats.org/officeDocument/2006/relationships" name="Sensitivity" sheetId="16" r:id="R0ecdaee3f0294757"/>
    <x:sheet xmlns:r="http://schemas.openxmlformats.org/officeDocument/2006/relationships" name="Stress Results" sheetId="17" r:id="R5ff7f8aee8084073"/>
    <x:sheet xmlns:r="http://schemas.openxmlformats.org/officeDocument/2006/relationships" name="Checks" sheetId="18" r:id="R78dc487d680f49ea"/>
    <x:sheet xmlns:r="http://schemas.openxmlformats.org/officeDocument/2006/relationships" name="Gaps and Sources" sheetId="19" r:id="R95c554c35df6483e"/>
    <x:sheet xmlns:r="http://schemas.openxmlformats.org/officeDocument/2006/relationships" name="Methodology" sheetId="20" r:id="Rf705bd70de2c4168"/>
    <x:sheet xmlns:r="http://schemas.openxmlformats.org/officeDocument/2006/relationships" name="Run Snapshot" sheetId="21" r:id="Rf053e95a788e43ba"/>
  </x:sheets>
  <x:definedNames>
    <x:definedName name="Portfolio_Par">'Portfolio Calc'!$D$8</x:definedName>
    <x:definedName name="SPWARF">'Portfolio Calc'!$D$21</x:definedName>
    <x:definedName name="SP_DRD">'Portfolio Calc'!$D$23</x:definedName>
    <x:definedName name="SP_WARF_Factors">'SP Credit Parameters'!$C$8:$D$26</x:definedName>
    <x:definedName name="as_of_date">'Assumptions'!$D$8</x:definedName>
    <x:definedName name="legal_final_date">'Assumptions'!$D$9</x:definedName>
    <x:definedName name="currency">'Assumptions'!$D$10</x:definedName>
    <x:definedName name="benchmark">'Assumptions'!$D$11</x:definedName>
    <x:definedName name="base_senior_pct">'Assumptions'!$D$12</x:definedName>
    <x:definedName name="equity_pct">'Assumptions'!$D$13</x:definedName>
    <x:definedName name="senior_coupon_bps">'Assumptions'!$D$14</x:definedName>
    <x:definedName name="junior_coupon_bps">'Assumptions'!$D$15</x:definedName>
    <x:definedName name="senior_floor_pct">'Assumptions'!$D$16</x:definedName>
    <x:definedName name="junior_floor_pct">'Assumptions'!$D$17</x:definedName>
    <x:definedName name="senior_fee_bps">'Assumptions'!$D$18</x:definedName>
    <x:definedName name="fixed_fee_per_period">'Assumptions'!$D$19</x:definedName>
    <x:definedName name="subordinated_fee_bps">'Assumptions'!$D$20</x:definedName>
    <x:definedName name="oc_trigger">'Assumptions'!$D$21</x:definedName>
    <x:definedName name="ic_trigger">'Assumptions'!$D$22</x:definedName>
    <x:definedName name="recovery_lag_quarters">'Assumptions'!$D$23</x:definedName>
    <x:definedName name="annual_prepayment_rate">'Assumptions'!$D$24</x:definedName>
    <x:definedName name="reinvestment_end_date">'Assumptions'!$D$25</x:definedName>
    <x:definedName name="reinvestment_price">'Assumptions'!$D$26</x:definedName>
    <x:definedName name="reinvestment_spread_bps">'Assumptions'!$D$27</x:definedName>
    <x:definedName name="reinvestment_recovery">'Assumptions'!$D$28</x:definedName>
    <x:definedName name="reinvestment_maturity_years">'Assumptions'!$D$29</x:definedName>
    <x:definedName name="reinvestment_floor_bps">'Assumptions'!$D$30</x:definedName>
    <x:definedName name="principal_support_interest">'Assumptions'!$D$31</x:definedName>
    <x:definedName name="final_liquidation_price">'Assumptions'!$D$32</x:definedName>
    <x:definedName name="oc_recovery_credit">'Assumptions'!$D$33</x:definedName>
    <x:definedName name="reinvestment_stop_on_trigger">'Assumptions'!$D$34</x:definedName>
    <x:definedName name="base_default_rate">'Assumptions'!$D$35</x:definedName>
    <x:definedName name="base_scenario_id">'Assumptions'!$D$36</x:definedName>
    <x:definedName name="agency_sdr_aaa">'Assumptions'!$D$37</x:definedName>
    <x:definedName name="agency_sdr_source">'Assumptions'!$D$38</x:definedName>
    <x:definedName name="scenario_front_flat_recovery_multiplier">'Assumptions'!$D$39</x:definedName>
    <x:definedName name="scenario_front_flat_annual_prepayment_rate">'Assumptions'!$D$40</x:definedName>
    <x:definedName name="scenario_front_low_recovery_multiplier">'Assumptions'!$D$41</x:definedName>
    <x:definedName name="scenario_front_low_annual_prepayment_rate">'Assumptions'!$D$42</x:definedName>
    <x:definedName name="scenario_front_high_recovery_multiplier">'Assumptions'!$D$43</x:definedName>
    <x:definedName name="scenario_front_high_annual_prepayment_rate">'Assumptions'!$D$44</x:definedName>
    <x:definedName name="scenario_middle_flat_recovery_multiplier">'Assumptions'!$D$45</x:definedName>
    <x:definedName name="scenario_middle_flat_annual_prepayment_rate">'Assumptions'!$D$46</x:definedName>
    <x:definedName name="scenario_middle_low_recovery_multiplier">'Assumptions'!$D$47</x:definedName>
    <x:definedName name="scenario_middle_low_annual_prepayment_rate">'Assumptions'!$D$48</x:definedName>
    <x:definedName name="scenario_middle_high_recovery_multiplier">'Assumptions'!$D$49</x:definedName>
    <x:definedName name="scenario_middle_high_annual_prepayment_rate">'Assumptions'!$D$50</x:definedName>
    <x:definedName name="scenario_back_flat_recovery_multiplier">'Assumptions'!$D$51</x:definedName>
    <x:definedName name="scenario_back_flat_annual_prepayment_rate">'Assumptions'!$D$52</x:definedName>
    <x:definedName name="scenario_back_low_recovery_multiplier">'Assumptions'!$D$53</x:definedName>
    <x:definedName name="scenario_back_low_annual_prepayment_rate">'Assumptions'!$D$54</x:definedName>
    <x:definedName name="scenario_back_high_recovery_multiplier">'Assumptions'!$D$55</x:definedName>
    <x:definedName name="scenario_back_high_annual_prepayment_rate">'Assumptions'!$D$56</x:definedName>
    <x:definedName name="scenario_level_flat_recovery_multiplier">'Assumptions'!$D$57</x:definedName>
    <x:definedName name="scenario_level_flat_annual_prepayment_rate">'Assumptions'!$D$58</x:definedName>
    <x:definedName name="scenario_level_low_recovery_multiplier">'Assumptions'!$D$59</x:definedName>
    <x:definedName name="scenario_level_low_annual_prepayment_rate">'Assumptions'!$D$60</x:definedName>
    <x:definedName name="scenario_level_high_recovery_multiplier">'Assumptions'!$D$61</x:definedName>
    <x:definedName name="scenario_level_high_annual_prepayment_rate">'Assumptions'!$D$62</x:definedName>
    <x:definedName name="Senior_Balance">'Capital Calc'!$G$8</x:definedName>
    <x:definedName name="Junior_Balance">'Capital Calc'!$H$8</x:definedName>
    <x:definedName name="Equity_Contribution">'Capital Calc'!$I$8</x:definedName>
    <x:definedName name="Fitch_WARF_Factors">'Fitch Parameters'!$C$8:$D$28</x:definedName>
    <x:definedName name="Fitch_WARF">'Fitch Calc'!$D$10</x:definedName>
    <x:definedName name="Fitch_WARR">'Fitch Calc'!$D$12</x:definedName>
    <x:definedName name="SP_Parameter_Changes">'SP Credit Parameters'!$D$29</x:definedName>
    <x:definedName name="Refresh_Required">'Checks'!$D$41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#,##0;(#,##0);&quot;-&quot;"/>
    <x:numFmt numFmtId="201" formatCode="0.0%;(0.0%);&quot;-&quot;"/>
    <x:numFmt numFmtId="202" formatCode="yyyy-mm-dd"/>
    <x:numFmt numFmtId="203" formatCode="0.00"/>
    <x:numFmt numFmtId="204" formatCode="0"/>
    <x:numFmt numFmtId="205" formatCode="0.00&quot;x&quot;"/>
    <x:numFmt numFmtId="206" formatCode="0.0"/>
    <x:numFmt numFmtId="207" formatCode="0.0000"/>
    <x:numFmt numFmtId="208" formatCode="0.00000"/>
    <x:numFmt numFmtId="209" formatCode="mmm-yy"/>
    <x:numFmt numFmtId="210" formatCode="General"/>
    <x:numFmt numFmtId="211" formatCode="0.000"/>
    <x:numFmt numFmtId="212" formatCode="#,##0.0000"/>
    <x:numFmt numFmtId="213" formatCode="0.0%"/>
    <x:numFmt numFmtId="214" formatCode="#,##0.00"/>
  </x:numFmts>
  <x:fonts count="26">
    <x:font>
      <x:sz val="11"/>
      <x:name val="Carlito"/>
    </x:font>
    <x:font>
      <x:sz val="10"/>
      <x:color rgb="FF243247"/>
      <x:name val="Arial"/>
    </x:font>
    <x:font>
      <x:b/>
      <x:sz val="17"/>
      <x:color rgb="FF243247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243247"/>
      <x:name val="Arial"/>
    </x:font>
    <x:font>
      <x:i/>
      <x:sz val="10"/>
      <x:color rgb="FF243247"/>
      <x:name val="Arial"/>
    </x:font>
    <x:font>
      <x:b/>
      <x:sz val="11"/>
      <x:color rgb="FF243247"/>
      <x:name val="Arial"/>
    </x:font>
    <x:font>
      <x:b/>
      <x:sz val="11"/>
      <x:name val="Carlito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7"/>
      <x:name val="Arial"/>
    </x:font>
    <x:font>
      <x:sz val="11"/>
      <x:color rgb="FF008000"/>
      <x:name val="Arial"/>
    </x:font>
    <x:font>
      <x:b/>
      <x:sz val="10"/>
      <x:color rgb="FF203955"/>
      <x:name val="Arial"/>
    </x:font>
    <x:font>
      <x:b/>
      <x:sz val="10"/>
      <x:color rgb="FF167D8D"/>
      <x:name val="Arial"/>
    </x:font>
    <x:font>
      <x:b/>
      <x:sz val="10"/>
      <x:color rgb="FF81909E"/>
      <x:name val="Arial"/>
    </x:font>
    <x:font>
      <x:b/>
      <x:sz val="10"/>
      <x:color rgb="FFD6A43A"/>
      <x:name val="Arial"/>
    </x:font>
    <x:font>
      <x:b/>
      <x:sz val="10"/>
      <x:color rgb="FF3075B9"/>
      <x:name val="Arial"/>
    </x:font>
    <x:font>
      <x:b/>
      <x:sz val="10"/>
      <x:color rgb="FF8859A3"/>
      <x:name val="Arial"/>
    </x:font>
    <x:font>
      <x:b/>
      <x:sz val="10"/>
      <x:color rgb="FFD88238"/>
      <x:name val="Arial"/>
    </x:font>
    <x:font>
      <x:b/>
      <x:sz val="10"/>
      <x:color rgb="FFBE5555"/>
      <x:name val="Arial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955"/>
      </x:patternFill>
    </x:fill>
    <x:fill>
      <x:patternFill patternType="solid">
        <x:fgColor rgb="FFEEF2F7"/>
      </x:patternFill>
    </x:fill>
    <x:fill>
      <x:patternFill patternType="solid">
        <x:fgColor rgb="FFFFF4C9"/>
      </x:patternFill>
    </x:fill>
  </x:fills>
  <x:borders count="3">
    <x:border/>
    <x:border>
      <x:bottom style="thin">
        <x:color rgb="FFD7DFE7"/>
      </x:bottom>
    </x:border>
    <x:border>
      <x:right style="thin">
        <x:color rgb="FFD7DFE7"/>
      </x:right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1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0" xfId="0" applyNumberFormat="1" applyFont="1" applyFill="1" applyBorder="1"/>
    <x:xf numFmtId="203" fontId="8" fillId="3" borderId="0" xfId="0" applyNumberFormat="1" applyFont="1" applyFill="1" applyBorder="1"/>
    <x:xf numFmtId="203" fontId="0" fillId="3" borderId="0" xfId="0" applyNumberFormat="1" applyFont="1" applyFill="1" applyBorder="1"/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2" fontId="8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4" borderId="0" xfId="0" applyNumberFormat="1" applyFont="1" applyFill="1" applyBorder="1"/>
    <x:xf numFmtId="0" fontId="8" fillId="4" borderId="0" xfId="0" applyNumberFormat="1" applyFont="1" applyFill="1" applyBorder="1"/>
    <x:xf numFmtId="201" fontId="8" fillId="4" borderId="0" xfId="0" applyNumberFormat="1" applyFont="1" applyFill="1" applyBorder="1"/>
    <x:xf numFmtId="205" fontId="8" fillId="4" borderId="0" xfId="0" applyNumberFormat="1" applyFont="1" applyFill="1" applyBorder="1"/>
    <x:xf numFmtId="0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4" borderId="0" xfId="0" applyNumberFormat="1" applyFont="1" applyFill="1" applyBorder="1"/>
    <x:xf numFmtId="0" fontId="13" fillId="4" borderId="0" xfId="0" applyNumberFormat="1" applyFont="1" applyFill="1" applyBorder="1"/>
    <x:xf numFmtId="201" fontId="13" fillId="4" borderId="0" xfId="0" applyNumberFormat="1" applyFont="1" applyFill="1" applyBorder="1"/>
    <x:xf numFmtId="205" fontId="13" fillId="4" borderId="0" xfId="0" applyNumberFormat="1" applyFont="1" applyFill="1" applyBorder="1"/>
    <x:xf numFmtId="0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3" borderId="0" xfId="0" applyNumberFormat="1" applyFont="1" applyFill="1" applyBorder="1"/>
    <x:xf numFmtId="201" fontId="8" fillId="3" borderId="0" xfId="0" applyNumberFormat="1" applyFont="1" applyFill="1" applyBorder="1"/>
    <x:xf numFmtId="205" fontId="8" fillId="3" borderId="0" xfId="0" applyNumberFormat="1" applyFont="1" applyFill="1" applyBorder="1"/>
    <x:xf numFmtId="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204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7" fillId="0" borderId="0" xfId="0" applyNumberFormat="1" applyFont="1" applyFill="1" applyBorder="1"/>
    <x:xf numFmtId="206" fontId="6" fillId="0" borderId="0" xfId="0" applyNumberFormat="1" applyFont="1" applyFill="1" applyBorder="1"/>
    <x:xf numFmtId="201" fontId="6" fillId="0" borderId="0" xfId="0" applyNumberFormat="1" applyFont="1" applyFill="1" applyBorder="1"/>
    <x:xf numFmtId="207" fontId="6" fillId="0" borderId="0" xfId="0" applyNumberFormat="1" applyFont="1" applyFill="1" applyBorder="1"/>
    <x:xf numFmtId="206" fontId="7" fillId="0" borderId="0" xfId="0" applyNumberFormat="1" applyFont="1" applyFill="1" applyBorder="1"/>
    <x:xf numFmtId="203" fontId="6" fillId="0" borderId="0" xfId="0" applyNumberFormat="1" applyFont="1" applyFill="1" applyBorder="1" applyAlignment="1">
      <x:alignment wrapText="1"/>
    </x:xf>
    <x:xf numFmtId="201" fontId="15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201" fontId="12" fillId="0" borderId="0" xfId="0" applyNumberFormat="1" applyFont="1" applyFill="1" applyBorder="1"/>
    <x:xf numFmtId="200" fontId="0" fillId="0" borderId="0" xfId="0" applyNumberFormat="1" applyFont="1" applyFill="1" applyBorder="1"/>
    <x:xf numFmtId="200" fontId="12" fillId="0" borderId="0" xfId="0" applyNumberFormat="1" applyFont="1" applyFill="1" applyBorder="1"/>
    <x:xf numFmtId="200" fontId="7" fillId="0" borderId="0" xfId="0" applyNumberFormat="1" applyFont="1" applyFill="1" applyBorder="1"/>
    <x:xf numFmtId="209" fontId="3" fillId="2" borderId="0" xfId="0" applyNumberFormat="1" applyFont="1" applyFill="1" applyBorder="1" applyAlignment="1">
      <x:alignment vertical="center" wrapText="1"/>
    </x:xf>
    <x:xf numFmtId="21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" fillId="3" borderId="0" xfId="0" applyNumberFormat="1" applyFont="1" applyFill="1" applyBorder="1"/>
    <x:xf numFmtId="21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/>
    <x:xf numFmtId="211" fontId="8" fillId="3" borderId="0" xfId="0" applyNumberFormat="1" applyFont="1" applyFill="1" applyBorder="1"/>
    <x:xf numFmtId="211" fontId="0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200" fontId="15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12" fontId="8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top"/>
    </x:xf>
    <x:xf numFmtId="200" fontId="6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11" fontId="6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13" fontId="6" fillId="0" borderId="0" xfId="0" applyNumberFormat="1" applyFont="1" applyFill="1" applyBorder="1" applyAlignment="1">
      <x:alignment wrapText="1"/>
    </x:xf>
    <x:xf numFmtId="214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214" fontId="6" fillId="0" borderId="0" xfId="0" applyNumberFormat="1" applyFont="1" applyFill="1" applyBorder="1" applyAlignment="1">
      <x:alignment horizontal="center" wrapText="1"/>
    </x:xf>
    <x:xf numFmtId="211" fontId="6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6" fillId="0" borderId="0" xfId="0" applyNumberFormat="1" applyFont="1" applyFill="1" applyBorder="1" applyAlignment="1">
      <x:alignment horizontal="center" wrapText="1"/>
    </x:xf>
    <x:xf numFmtId="213" fontId="6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horizontal="center" wrapText="1"/>
    </x:xf>
    <x:xf numFmtId="214" fontId="6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201" fontId="6" fillId="0" borderId="2" xfId="0" applyNumberFormat="1" applyFont="1" applyFill="1" applyBorder="1" applyAlignment="1">
      <x:alignment horizontal="center" wrapText="1"/>
    </x:xf>
    <x:xf numFmtId="213" fontId="6" fillId="0" borderId="2" xfId="0" applyNumberFormat="1" applyFont="1" applyFill="1" applyBorder="1" applyAlignment="1">
      <x:alignment horizontal="center" wrapText="1"/>
    </x:xf>
    <x:xf numFmtId="211" fontId="6" fillId="0" borderId="2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 applyAlignment="1">
      <x:alignment horizontal="center" wrapText="1"/>
    </x:xf>
    <x:xf numFmtId="212" fontId="8" fillId="0" borderId="2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4" fillId="0" borderId="2" xfId="0" applyNumberFormat="1" applyFont="1" applyFill="1" applyBorder="1" applyAlignment="1">
      <x:alignment wrapText="1"/>
    </x:xf>
    <x:xf numFmtId="214" fontId="15" fillId="0" borderId="2" xfId="0" applyNumberFormat="1" applyFont="1" applyFill="1" applyBorder="1" applyAlignment="1">
      <x:alignment horizontal="center" wrapText="1"/>
    </x:xf>
    <x:xf numFmtId="211" fontId="15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2" xfId="0" applyNumberFormat="1" applyFont="1" applyFill="1" applyBorder="1" applyAlignment="1">
      <x:alignment horizontal="center" wrapText="1"/>
    </x:xf>
    <x:xf numFmtId="201" fontId="15" fillId="0" borderId="2" xfId="0" applyNumberFormat="1" applyFont="1" applyFill="1" applyBorder="1" applyAlignment="1">
      <x:alignment horizontal="center" wrapText="1"/>
    </x:xf>
    <x:xf numFmtId="213" fontId="15" fillId="0" borderId="2" xfId="0" applyNumberFormat="1" applyFont="1" applyFill="1" applyBorder="1" applyAlignment="1">
      <x:alignment horizontal="center" wrapText="1"/>
    </x:xf>
    <x:xf numFmtId="201" fontId="24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 wrapText="1"/>
    </x:xf>
    <x:xf numFmtId="201" fontId="15" fillId="0" borderId="0" xfId="0" applyNumberFormat="1" applyFont="1" applyFill="1" applyBorder="1" applyAlignment="1">
      <x:alignment horizontal="center" wrapText="1"/>
    </x:xf>
    <x:xf numFmtId="201" fontId="24" fillId="0" borderId="0" xfId="0" applyNumberFormat="1" applyFont="1" applyFill="1" applyBorder="1"/>
    <x:xf numFmtId="201" fontId="24" fillId="3" borderId="0" xfId="0" applyNumberFormat="1" applyFont="1" applyFill="1" applyBorder="1"/>
    <x:xf numFmtId="0" fontId="24" fillId="3" borderId="0" xfId="0" applyNumberFormat="1" applyFont="1" applyFill="1" applyBorder="1"/>
    <x:xf numFmtId="200" fontId="24" fillId="3" borderId="0" xfId="0" applyNumberFormat="1" applyFont="1" applyFill="1" applyBorder="1"/>
    <x:xf numFmtId="204" fontId="15" fillId="0" borderId="0" xfId="0" applyNumberFormat="1" applyFont="1" applyFill="1" applyBorder="1"/>
    <x:xf numFmtId="0" fontId="24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0" borderId="0" xfId="0" applyNumberFormat="1" applyFont="1" applyFill="1" applyBorder="1"/>
    <x:xf numFmtId="203" fontId="15" fillId="0" borderId="0" xfId="0" applyNumberFormat="1" applyFont="1" applyFill="1" applyBorder="1"/>
    <x:xf numFmtId="201" fontId="15" fillId="0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/>
    <x:xf numFmtId="207" fontId="15" fillId="0" borderId="0" xfId="0" applyNumberFormat="1" applyFont="1" applyFill="1" applyBorder="1"/>
    <x:xf numFmtId="206" fontId="12" fillId="0" borderId="0" xfId="0" applyNumberFormat="1" applyFont="1" applyFill="1" applyBorder="1"/>
    <x:xf numFmtId="214" fontId="15" fillId="0" borderId="0" xfId="0" applyNumberFormat="1" applyFont="1" applyFill="1" applyBorder="1" applyAlignment="1">
      <x:alignment wrapText="1"/>
    </x:xf>
    <x:xf numFmtId="203" fontId="24" fillId="3" borderId="0" xfId="0" applyNumberFormat="1" applyFont="1" applyFill="1" applyBorder="1"/>
    <x:xf numFmtId="0" fontId="25" fillId="0" borderId="0" xfId="0" applyNumberFormat="1" applyFont="1" applyFill="1" applyBorder="1"/>
    <x:xf numFmtId="200" fontId="24" fillId="0" borderId="0" xfId="0" applyNumberFormat="1" applyFont="1" applyFill="1" applyBorder="1"/>
    <x:xf numFmtId="0" fontId="24" fillId="3" borderId="0" xfId="0" applyNumberFormat="1" applyFont="1" applyFill="1" applyBorder="1" applyAlignment="1">
      <x:alignment vertical="top"/>
    </x:xf>
    <x:xf numFmtId="200" fontId="15" fillId="3" borderId="0" xfId="0" applyNumberFormat="1" applyFont="1" applyFill="1" applyBorder="1" applyAlignment="1">
      <x:alignment vertical="top"/>
    </x:xf>
    <x:xf numFmtId="0" fontId="24" fillId="3" borderId="0" xfId="0" applyNumberFormat="1" applyFont="1" applyFill="1" applyBorder="1" applyAlignment="1">
      <x:alignment vertical="top" wrapText="1"/>
    </x:xf>
    <x:xf numFmtId="201" fontId="24" fillId="3" borderId="0" xfId="0" applyNumberFormat="1" applyFont="1" applyFill="1" applyBorder="1" applyAlignment="1">
      <x:alignment vertical="top" wrapText="1"/>
    </x:xf>
    <x:xf numFmtId="211" fontId="15" fillId="0" borderId="0" xfId="0" applyNumberFormat="1" applyFont="1" applyFill="1" applyBorder="1" applyAlignment="1">
      <x:alignment vertical="top"/>
    </x:xf>
    <x:xf numFmtId="200" fontId="12" fillId="0" borderId="0" xfId="0" applyNumberFormat="1" applyFont="1" applyFill="1" applyBorder="1" applyAlignment="1">
      <x:alignment vertical="top"/>
    </x:xf>
    <x:xf numFmtId="200" fontId="15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</x:xf>
    <x:xf numFmtId="0" fontId="24" fillId="0" borderId="0" xfId="0" applyNumberFormat="1" applyFont="1" applyFill="1" applyBorder="1" applyAlignment="1">
      <x:alignment vertical="top"/>
    </x:xf>
    <x:xf numFmtId="211" fontId="24" fillId="3" borderId="0" xfId="0" applyNumberFormat="1" applyFont="1" applyFill="1" applyBorder="1"/>
    <x:xf numFmtId="0" fontId="24" fillId="3" borderId="0" xfId="0" applyNumberFormat="1" applyFont="1" applyFill="1" applyBorder="1" applyAlignment="1">
      <x:alignment wrapText="1"/>
    </x:xf>
    <x:xf numFmtId="213" fontId="15" fillId="0" borderId="0" xfId="0" applyNumberFormat="1" applyFont="1" applyFill="1" applyBorder="1" applyAlignment="1">
      <x:alignment wrapText="1"/>
    </x:xf>
    <x:xf numFmtId="211" fontId="15" fillId="0" borderId="0" xfId="0" applyNumberFormat="1" applyFont="1" applyFill="1" applyBorder="1" applyAlignment="1">
      <x:alignment wrapText="1"/>
    </x:xf>
    <x:xf numFmtId="204" fontId="15" fillId="0" borderId="0" xfId="0" applyNumberFormat="1" applyFont="1" applyFill="1" applyBorder="1" applyAlignment="1">
      <x:alignment wrapText="1"/>
    </x:xf>
    <x:xf numFmtId="200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12" fillId="0" borderId="0" xfId="0" applyNumberFormat="1" applyFont="1" applyFill="1" applyBorder="1"/>
    <x:xf numFmtId="212" fontId="15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bdde06e2a495f" /><Relationship Type="http://schemas.openxmlformats.org/officeDocument/2006/relationships/theme" Target="/xl/theme/theme1.xml" Id="Rfee4447790f34e60" /><Relationship Type="http://schemas.microsoft.com/office/2022/11/relationships/FeaturePropertyBag" Target="/xl/featurePropertyBag/featurePropertyBag.xml" Id="Rc78651e96f8f4f36" /><Relationship Type="http://schemas.openxmlformats.org/officeDocument/2006/relationships/sharedStrings" Target="/xl/sharedStrings.xml" Id="R502b5279f1e94644" /><Relationship Type="http://schemas.openxmlformats.org/officeDocument/2006/relationships/worksheet" Target="/xl/worksheets/sheet1.xml" Id="R54c520c58549439d" /><Relationship Type="http://schemas.openxmlformats.org/officeDocument/2006/relationships/worksheet" Target="/xl/worksheets/sheet2.xml" Id="R661b40c9328b4ad8" /><Relationship Type="http://schemas.openxmlformats.org/officeDocument/2006/relationships/worksheet" Target="/xl/worksheets/sheet3.xml" Id="R72661c61eb044fca" /><Relationship Type="http://schemas.openxmlformats.org/officeDocument/2006/relationships/worksheet" Target="/xl/worksheets/sheet4.xml" Id="Rd367d393446d49ca" /><Relationship Type="http://schemas.openxmlformats.org/officeDocument/2006/relationships/worksheet" Target="/xl/worksheets/sheet5.xml" Id="R8bea24d9471d4342" /><Relationship Type="http://schemas.openxmlformats.org/officeDocument/2006/relationships/worksheet" Target="/xl/worksheets/sheet6.xml" Id="R59cdef87cb4a4eb2" /><Relationship Type="http://schemas.openxmlformats.org/officeDocument/2006/relationships/worksheet" Target="/xl/worksheets/sheet7.xml" Id="Rd97ac8bfd9894c16" /><Relationship Type="http://schemas.openxmlformats.org/officeDocument/2006/relationships/worksheet" Target="/xl/worksheets/sheet8.xml" Id="Rfeed5b858d9f4773" /><Relationship Type="http://schemas.openxmlformats.org/officeDocument/2006/relationships/worksheet" Target="/xl/worksheets/sheet9.xml" Id="Rc8935921cc8c49a3" /><Relationship Type="http://schemas.openxmlformats.org/officeDocument/2006/relationships/worksheet" Target="/xl/worksheets/sheet10.xml" Id="R306bbf2aeaeb4be9" /><Relationship Type="http://schemas.openxmlformats.org/officeDocument/2006/relationships/worksheet" Target="/xl/worksheets/sheet11.xml" Id="R5c943af0b6834a90" /><Relationship Type="http://schemas.openxmlformats.org/officeDocument/2006/relationships/worksheet" Target="/xl/worksheets/sheet12.xml" Id="R02199357cb1a4c66" /><Relationship Type="http://schemas.openxmlformats.org/officeDocument/2006/relationships/worksheet" Target="/xl/worksheets/sheet13.xml" Id="R604ac5c1351e41df" /><Relationship Type="http://schemas.openxmlformats.org/officeDocument/2006/relationships/worksheet" Target="/xl/worksheets/sheet14.xml" Id="Re81d3cbc1db841ad" /><Relationship Type="http://schemas.openxmlformats.org/officeDocument/2006/relationships/worksheet" Target="/xl/worksheets/sheet15.xml" Id="Rb0a428b486cb4db6" /><Relationship Type="http://schemas.openxmlformats.org/officeDocument/2006/relationships/worksheet" Target="/xl/worksheets/sheet16.xml" Id="R0ecdaee3f0294757" /><Relationship Type="http://schemas.openxmlformats.org/officeDocument/2006/relationships/worksheet" Target="/xl/worksheets/sheet17.xml" Id="R5ff7f8aee8084073" /><Relationship Type="http://schemas.openxmlformats.org/officeDocument/2006/relationships/worksheet" Target="/xl/worksheets/sheet18.xml" Id="R78dc487d680f49ea" /><Relationship Type="http://schemas.openxmlformats.org/officeDocument/2006/relationships/worksheet" Target="/xl/worksheets/sheet19.xml" Id="R95c554c35df6483e" /><Relationship Type="http://schemas.openxmlformats.org/officeDocument/2006/relationships/worksheet" Target="/xl/worksheets/sheet20.xml" Id="Rf705bd70de2c4168" /><Relationship Type="http://schemas.openxmlformats.org/officeDocument/2006/relationships/worksheet" Target="/xl/worksheets/sheet21.xml" Id="Rf053e95a788e43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071a5c260b43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Largest Industries (% of Par)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Share</c:v>
          </c:tx>
          <c:cat>
            <c:strRef>
              <c:f>'Portfolio Calc'!$G$8:$G$17</c:f>
              <c:strCache>
                <c:ptCount val="0"/>
              </c:strCache>
            </c:strRef>
          </c:cat>
          <c:val>
            <c:numRef>
              <c:f>'Portfolio Calc'!$I$8:$I$17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071a5c260b437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rtfolioData" displayName="PortfolioData" ref="A7:AB59" headerRowCount="1" totalsRowCount="0" totalsRowShown="0">
  <x:tableColumns count="28">
    <x:tableColumn id="1" name="instrument_id"/>
    <x:tableColumn id="2" name="obligor_id"/>
    <x:tableColumn id="3" name="obligor_name"/>
    <x:tableColumn id="4" name="par"/>
    <x:tableColumn id="5" name="sp_rating"/>
    <x:tableColumn id="6" name="sp_industry"/>
    <x:tableColumn id="7" name="country"/>
    <x:tableColumn id="8" name="seniority"/>
    <x:tableColumn id="9" name="rate_type"/>
    <x:tableColumn id="10" name="spread_bps"/>
    <x:tableColumn id="11" name="fixed_coupon_rate"/>
    <x:tableColumn id="12" name="floor_bps"/>
    <x:tableColumn id="13" name="maturity_date"/>
    <x:tableColumn id="14" name="recovery_aaa"/>
    <x:tableColumn id="15" name="price"/>
    <x:tableColumn id="16" name="payment_frequency"/>
    <x:tableColumn id="17" name="currency"/>
    <x:tableColumn id="18" name="benchmark"/>
    <x:tableColumn id="19" name="weight"/>
    <x:tableColumn id="20" name="term_years"/>
    <x:tableColumn id="21" name="floating_par_x_spread"/>
    <x:tableColumn id="22" name="par_x_recovery"/>
    <x:tableColumn id="23" name="input_changes"/>
    <x:tableColumn id="24" name="duplicate_id"/>
    <x:tableColumn id="25" name="field_errors"/>
    <x:tableColumn id="26" name="SP_rating_factor"/>
    <x:tableColumn id="27" name="par_x_SP_factor"/>
    <x:tableColumn id="28" name="par_x_SP_abs_dev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itchFacilityData" displayName="FitchFacilityData" ref="A7:O59" headerRowCount="1" totalsRowCount="0" totalsRowShown="0">
  <x:tableColumns count="15">
    <x:tableColumn id="1" name="Facility ID"/>
    <x:tableColumn id="2" name="Par (shared)"/>
    <x:tableColumn id="3" name="Fitch IDR input"/>
    <x:tableColumn id="4" name="Rating basis"/>
    <x:tableColumn id="5" name="Fitch industry"/>
    <x:tableColumn id="6" name="Fitch recovery"/>
    <x:tableColumn id="7" name="Recovery basis"/>
    <x:tableColumn id="8" name="Source reference"/>
    <x:tableColumn id="9" name="Fitch rating factor"/>
    <x:tableColumn id="10" name="Par × factor"/>
    <x:tableColumn id="11" name="Par × recovery"/>
    <x:tableColumn id="12" name="Missing rating par"/>
    <x:tableColumn id="13" name="Missing recovery par"/>
    <x:tableColumn id="14" name="Changed cells"/>
    <x:tableColumn id="15" name="Missing industry p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tressResults" displayName="StressResults" ref="A7:S2779" headerRowCount="1" totalsRowCount="0" totalsRowShown="0">
  <x:tableColumns count="19">
    <x:tableColumn id="1" name="senior_pct"/>
    <x:tableColumn id="2" name="scenario_id"/>
    <x:tableColumn id="3" name="target_default_rate"/>
    <x:tableColumn id="4" name="realized_default_rate"/>
    <x:tableColumn id="5" name="default_target_attained"/>
    <x:tableColumn id="6" name="senior_pass"/>
    <x:tableColumn id="7" name="senior_timely_interest_shortfall"/>
    <x:tableColumn id="8" name="senior_principal_shortfall"/>
    <x:tableColumn id="9" name="junior_interest_arrears"/>
    <x:tableColumn id="10" name="junior_principal_shortfall"/>
    <x:tableColumn id="11" name="equity_distributions"/>
    <x:tableColumn id="12" name="oc_breach_periods"/>
    <x:tableColumn id="13" name="ic_breach_periods"/>
    <x:tableColumn id="14" name="max_cash_residual"/>
    <x:tableColumn id="15" name="max_par_residual"/>
    <x:tableColumn id="16" name="max_priority_violation"/>
    <x:tableColumn id="17" name="accounting_valid"/>
    <x:tableColumn id="18" name="unallocated_defaults"/>
    <x:tableColumn id="19" name="stress_signa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9dccf42fc4a48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547cff2f0074a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d3018f8215004aa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.xml" Id="R8cd3c5c05c524799" /></Relationships>
</file>

<file path=xl/worksheets/sheet1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30" hidden="0" customWidth="1"/>
    <x:col min="5" max="5" width="100" hidden="0" customWidth="1"/>
  </x:cols>
  <x:sheetData>
    <x:row r="1">
      <x:c r="A1" s="23"/>
      <x:c r="B1" s="23"/>
      <x:c r="C1" s="110" t="str">
        <x:v>Guide</x:v>
      </x:c>
      <x:c r="D1" s="23"/>
      <x:c r="E1" s="23"/>
    </x:row>
    <x:row r="2">
      <x:c r="A2" s="23"/>
      <x:c r="B2" s="23"/>
      <x:c r="C2" s="24" t="str">
        <x:v>Start Here</x:v>
      </x:c>
      <x:c r="D2" s="25"/>
      <x:c r="E2" s="25"/>
    </x:row>
    <x:row r="3" ht="22" customHeight="1">
      <x:c r="A3" s="23"/>
      <x:c r="B3" s="23"/>
      <x:c r="C3" s="26" t="str">
        <x:v>Version 0.2.0 — one portfolio, distinct S&amp;P and Fitch calculations, explicit development assumptions.</x:v>
      </x:c>
      <x:c r="D3" s="23"/>
      <x:c r="E3" s="23"/>
    </x:row>
    <x:row r="4">
      <x:c r="A4" s="23"/>
      <x:c r="B4" s="23"/>
      <x:c r="C4" s="23"/>
      <x:c r="D4" s="23"/>
      <x:c r="E4" s="23"/>
    </x:row>
    <x:row r="5">
      <x:c r="A5" s="23"/>
      <x:c r="B5" s="23"/>
      <x:c r="C5" s="23"/>
      <x:c r="D5" s="23"/>
      <x:c r="E5" s="23"/>
    </x:row>
    <x:row r="6">
      <x:c r="A6" s="23"/>
      <x:c r="B6" s="23"/>
      <x:c r="C6" s="23"/>
      <x:c r="D6" s="23"/>
      <x:c r="E6" s="23"/>
    </x:row>
    <x:row r="7" ht="38" customHeight="1">
      <x:c r="A7" s="23"/>
      <x:c r="B7" s="23"/>
      <x:c r="C7" s="7" t="str">
        <x:v>Step / topic</x:v>
      </x:c>
      <x:c r="D7" s="7" t="str">
        <x:v>Open or update</x:v>
      </x:c>
      <x:c r="E7" s="7" t="str">
        <x:v>What to do</x:v>
      </x:c>
    </x:row>
    <x:row r="8" ht="58" customHeight="1">
      <x:c r="A8" s="23"/>
      <x:c r="B8" s="23"/>
      <x:c r="C8" s="33" t="str">
        <x:v>1. Start with results</x:v>
      </x:c>
      <x:c r="D8" s="33" t="str">
        <x:v>Agency Comparison</x:v>
      </x:c>
      <x:c r="E8" s="33" t="str">
        <x:v>See the S&amp;P and Fitch columns together. Read the basis beside each metric. Missing / not calculated means further work is required; it is never a pass.</x:v>
      </x:c>
    </x:row>
    <x:row r="9" ht="58" customHeight="1">
      <x:c r="A9" s="150"/>
      <x:c r="B9" s="150"/>
      <x:c r="C9" s="33" t="str">
        <x:v>2. Supply the portfolio</x:v>
      </x:c>
      <x:c r="D9" s="33" t="str">
        <x:v>templates/portfolio_template.csv</x:v>
      </x:c>
      <x:c r="E9" s="33" t="str">
        <x:v>One row per facility; keep common obligor IDs consistent. See docs/data_dictionary.md. Replace the CSV, not rows inside Excel. Row counts resize automatically on rerun.</x:v>
      </x:c>
    </x:row>
    <x:row r="10" ht="58" customHeight="1">
      <x:c r="A10" s="150"/>
      <x:c r="B10" s="150"/>
      <x:c r="C10" s="33" t="str">
        <x:v>3. Supply Fitch inputs</x:v>
      </x:c>
      <x:c r="D10" s="33" t="str">
        <x:v>templates/fitch_inputs_template.csv</x:v>
      </x:c>
      <x:c r="E10" s="33" t="str">
        <x:v>Optional separate CSV, matched by instrument_id. Supply reviewed Fitch rating, rating basis, industry, recovery and source. Omit it for an S&amp;P-only run; Fitch then displays missing inputs.</x:v>
      </x:c>
    </x:row>
    <x:row r="11" ht="58" customHeight="1">
      <x:c r="A11" s="150"/>
      <x:c r="B11" s="150"/>
      <x:c r="C11" s="33" t="str">
        <x:v>4. Review deal assumptions</x:v>
      </x:c>
      <x:c r="D11" s="33" t="str">
        <x:v>Assumptions; config/model.json</x:v>
      </x:c>
      <x:c r="E11" s="33" t="str">
        <x:v>Confirm dates, coupons, fees, 64% senior / 26% junior / 10% equity, triggers, recoveries and reinvestment. The supplied terms and fictional development choices are labelled by row.</x:v>
      </x:c>
    </x:row>
    <x:row r="12" ht="58" customHeight="1">
      <x:c r="A12" s="150"/>
      <x:c r="B12" s="150"/>
      <x:c r="C12" s="33" t="str">
        <x:v>5. Review stress assumptions</x:v>
      </x:c>
      <x:c r="D12" s="33" t="str">
        <x:v>Stress Inputs</x:v>
      </x:c>
      <x:c r="E12" s="33" t="str">
        <x:v>Default timing is S&amp;P Table 20 informed. Rates, recovery lag and other deal controls are development assumptions. These cash flows do not implement a Fitch stress set.</x:v>
      </x:c>
    </x:row>
    <x:row r="13" ht="58" customHeight="1">
      <x:c r="A13" s="150"/>
      <x:c r="B13" s="150"/>
      <x:c r="C13" s="33" t="str">
        <x:v>6. Run the example</x:v>
      </x:c>
      <x:c r="D13" s="33" t="str">
        <x:v>From the package folder</x:v>
      </x:c>
      <x:c r="E13" s="33" t="str">
        <x:v>python -m clo --portfolio examples/example.csv --fitch-inputs examples/fitch_example.csv --config config/model.json --output examples/Example_CLO.xlsx</x:v>
      </x:c>
    </x:row>
    <x:row r="14" ht="58" customHeight="1">
      <x:c r="A14" s="150"/>
      <x:c r="B14" s="150"/>
      <x:c r="C14" s="33" t="str">
        <x:v>7. Replace and rerun</x:v>
      </x:c>
      <x:c r="D14" s="33" t="str">
        <x:v>Use your new CSV paths</x:v>
      </x:c>
      <x:c r="E14" s="33" t="str">
        <x:v>Change --portfolio and optional --fitch-inputs, then choose a fresh --output filename. See QUICK_START.md for the replacement example and the Windows launcher.</x:v>
      </x:c>
    </x:row>
    <x:row r="15" ht="58" customHeight="1">
      <x:c r="A15" s="150"/>
      <x:c r="B15" s="150"/>
      <x:c r="C15" s="33" t="str">
        <x:v>8. Check the run</x:v>
      </x:c>
      <x:c r="D15" s="33" t="str">
        <x:v>Checks</x:v>
      </x:c>
      <x:c r="E15" s="33" t="str">
        <x:v>Resolve input, reconciliation and formula errors before interpreting results. Unattained default targets cannot count as passes. A blank template shows NOT RUN.</x:v>
      </x:c>
    </x:row>
    <x:row r="16" ht="58" customHeight="1">
      <x:c r="A16" s="150"/>
      <x:c r="B16" s="150"/>
      <x:c r="C16" s="33" t="str">
        <x:v>9. Read the details</x:v>
      </x:c>
      <x:c r="D16" s="33" t="str">
        <x:v>Outputs; Sensitivity; Cash Flow Calc</x:v>
      </x:c>
      <x:c r="E16" s="33" t="str">
        <x:v>These are development cash-flow results. Review shortfalls, default target attainment and tested default brackets. An absence of shortfalls does not establish an agency rating.</x:v>
      </x:c>
    </x:row>
    <x:row r="17" ht="58" customHeight="1">
      <x:c r="A17" s="150"/>
      <x:c r="B17" s="150"/>
      <x:c r="C17" s="33" t="str">
        <x:v>10. Save Excel assumptions</x:v>
      </x:c>
      <x:c r="D17" s="33" t="str">
        <x:v>Blue cells; then --assumptions-from</x:v>
      </x:c>
      <x:c r="E17" s="33" t="str">
        <x:v>Edit designated Assumptions / Stress Inputs cells, save, and rerun with --assumptions-from your_saved_workbook.xlsx. This flag does not import Portfolio Inputs, Fitch Inputs or parameter-table edits.</x:v>
      </x:c>
    </x:row>
    <x:row r="18" ht="58" customHeight="1">
      <x:c r="A18" s="150"/>
      <x:c r="B18" s="150"/>
      <x:c r="C18" s="33" t="str">
        <x:v>Live Excel calculations</x:v>
      </x:c>
      <x:c r="D18" s="33" t="str">
        <x:v>Portfolio / agency / capital tabs</x:v>
      </x:c>
      <x:c r="E18" s="33" t="str">
        <x:v>Composition, grouping, SPWARF, S&amp;P dispersion, Fitch WARF/WARR, coverage and reconciliation formulas recalculate. Results retain their stated input basis.</x:v>
      </x:c>
    </x:row>
    <x:row r="19" ht="58" customHeight="1">
      <x:c r="A19" s="150"/>
      <x:c r="B19" s="150"/>
      <x:c r="C19" s="33" t="str">
        <x:v>Rerun-dependent results</x:v>
      </x:c>
      <x:c r="D19" s="33" t="str">
        <x:v>Grey source / Python cells</x:v>
      </x:c>
      <x:c r="E19" s="33" t="str">
        <x:v>Cash-flow simulations, sensitivities and selected concentration exposures reflect the last run. Input changes visibly flag REFRESH REQUIRED. Use automatic Excel calculation.</x:v>
      </x:c>
    </x:row>
    <x:row r="20" ht="58" customHeight="1">
      <x:c r="A20" s="150"/>
      <x:c r="B20" s="150"/>
      <x:c r="C20" s="33" t="str">
        <x:v>Preserve source changes</x:v>
      </x:c>
      <x:c r="D20" s="33" t="str">
        <x:v>Portfolio and Fitch source CSVs</x:v>
      </x:c>
      <x:c r="E20" s="33" t="str">
        <x:v>Editing imported Excel fields is temporary. To keep a source change, update the authoritative CSV and rerun. Parameter tables are versioned source constants, not assumption controls.</x:v>
      </x:c>
    </x:row>
    <x:row r="21" ht="58" customHeight="1">
      <x:c r="A21" s="150"/>
      <x:c r="B21" s="150"/>
      <x:c r="C21" s="33" t="str">
        <x:v>Agency metrics differ</x:v>
      </x:c>
      <x:c r="D21" s="33" t="str">
        <x:v>S&amp;P blue / Fitch purple tabs</x:v>
      </x:c>
      <x:c r="E21" s="33" t="str">
        <x:v>S&amp;P WARF and Fitch WARF use different scales. Supplied recovery_aaa is not Fitch WARR. An S&amp;P SDR and Fitch RDR/RLR require separate credit-model analysis.</x:v>
      </x:c>
    </x:row>
    <x:row r="22" ht="58" customHeight="1">
      <x:c r="A22" s="150"/>
      <x:c r="B22" s="150"/>
      <x:c r="C22" s="33" t="str">
        <x:v>Missing model components</x:v>
      </x:c>
      <x:c r="D22" s="33" t="str">
        <x:v>Gaps and Sources</x:v>
      </x:c>
      <x:c r="E22" s="33" t="str">
        <x:v>No S&amp;P or Fitch agency rating is produced. S&amp;P SDR and Fitch PCM outputs are missing; Fitch cash-flow rules and full S&amp;P stresses remain engineering / calibration work.</x:v>
      </x:c>
    </x:row>
    <x:row r="23" ht="58" customHeight="1">
      <x:c r="A23" s="150"/>
      <x:c r="B23" s="150"/>
      <x:c r="C23" s="33" t="str">
        <x:v>Fictional example basis</x:v>
      </x:c>
      <x:c r="D23" s="33" t="str">
        <x:v>Input provenance</x:v>
      </x:c>
      <x:c r="E23" s="33" t="str">
        <x:v>The 282-row sample comes from the supplied fictional workbook. Fitch rating equality proxies and first-lien recovery fallbacks are explicit development assumptions, not Fitch opinions.</x:v>
      </x:c>
    </x:row>
    <x:row r="24" ht="58" customHeight="1">
      <x:c r="A24" s="150"/>
      <x:c r="B24" s="150"/>
      <x:c r="C24" s="33" t="str">
        <x:v>Tab colours</x:v>
      </x:c>
      <x:c r="D24" s="33" t="str">
        <x:v>Purpose, not approval status</x:v>
      </x:c>
      <x:c r="E24" s="33" t="str">
        <x:v>Teal: combined / development outputs. Grey: shared portfolio and structure. Gold: deal inputs. Blue: S&amp;P. Purple: Fitch. Orange: development stresses / cash flows. Red: checks. Navy: guides.</x:v>
      </x:c>
    </x:row>
    <x:row r="25" ht="58" customHeight="1">
      <x:c r="A25" s="150"/>
      <x:c r="B25" s="150"/>
      <x:c r="C25" s="33" t="str">
        <x:v>Cell colours</x:v>
      </x:c>
      <x:c r="D25" s="33" t="str">
        <x:v>Source / input / formula</x:v>
      </x:c>
      <x:c r="E25" s="33" t="str">
        <x:v>Grey fill = source or Python value. Amber fill + blue font = editable assumption. Black = same-sheet formula; green = cross-sheet formula. Read labels as well as colours.</x:v>
      </x:c>
    </x:row>
    <x:row r="26" ht="58" customHeight="1">
      <x:c r="A26" s="150"/>
      <x:c r="B26" s="150"/>
      <x:c r="C26" s="33" t="str">
        <x:v>Local environment</x:v>
      </x:c>
      <x:c r="D26" s="33" t="str">
        <x:v>README.md setup</x:v>
      </x:c>
      <x:c r="E26" s="33" t="str">
        <x:v>Processing is local. Python and the Excel renderer must be provisioned in the approved FT environment. No real portfolio should leave that environment.</x:v>
      </x:c>
    </x:row>
    <x:row r="27" ht="58" customHeight="1">
      <x:c r="A27" s="150"/>
      <x:c r="B27" s="150"/>
      <x:c r="C27" s="33" t="str">
        <x:v>For a new LLM / maintainer</x:v>
      </x:c>
      <x:c r="D27" s="33" t="str">
        <x:v>docs/LLM_HANDOVER.md</x:v>
      </x:c>
      <x:c r="E27" s="33" t="str">
        <x:v>Read the handover, methodology register, input dictionaries and tests. It identifies the authoritative files, calculation ownership, unresolved work and validation procedure.</x:v>
      </x:c>
    </x:row>
    <x:row r="28" ht="58" customHeight="1">
      <x:c r="A28" s="150"/>
      <x:c r="B28" s="150"/>
      <x:c r="C28" s="33" t="str">
        <x:v>Run ID</x:v>
      </x:c>
      <x:c r="D28" s="33" t="str">
        <x:v>fb584e4d70c74a8b</x:v>
      </x:c>
      <x:c r="E28" s="33" t="str">
        <x:v>Use this with the results JSON and validation report to identify the exact run.</x:v>
      </x:c>
    </x:row>
    <x:row r="29" ht="58" customHeight="1">
      <x:c r="A29" s="150"/>
      <x:c r="B29" s="150"/>
      <x:c r="C29" s="33" t="str">
        <x:v>Portfolio source</x:v>
      </x:c>
      <x:c r="D29" s="33" t="str">
        <x:v>replacement.csv</x:v>
      </x:c>
      <x:c r="E29" s="33" t="str">
        <x:v>af50071f7775266f60302056bfc8932e09515f6420f559249eb85f02c320f680</x:v>
      </x:c>
    </x:row>
    <x:row r="30" ht="58" customHeight="1">
      <x:c r="A30" s="150"/>
      <x:c r="B30" s="150"/>
      <x:c r="C30" s="33" t="str">
        <x:v>Fitch source</x:v>
      </x:c>
      <x:c r="D30" s="33" t="str">
        <x:v>fitch_replacement.csv</x:v>
      </x:c>
      <x:c r="E30" s="33" t="str">
        <x:v>0ff65920c3d3a5fbda5cc10b8b839bbe5c5535ab72e3b91ae92da86d63515e40</x:v>
      </x:c>
    </x:row>
    <x:row r="31" ht="58" customHeight="1">
      <x:c r="A31" s="150"/>
      <x:c r="B31" s="150"/>
      <x:c r="C31" s="33" t="str">
        <x:v>Configuration / generated</x:v>
      </x:c>
      <x:c r="D31" s="33" t="str">
        <x:v>2026-09-21 18:41:18 UTC</x:v>
      </x:c>
      <x:c r="E31" s="33" t="str">
        <x:v>de8042790ba58de94e6c8c6096fead6bfce11b86527e27b1811866e1cb361949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36" hidden="0" customWidth="1"/>
    <x:col min="5" max="5" width="36" hidden="0" customWidth="1"/>
    <x:col min="6" max="6" width="75" hidden="0" customWidth="1"/>
    <x:col min="7" max="7" width="29" hidden="0" customWidth="1"/>
  </x:cols>
  <x:sheetData>
    <x:row r="1">
      <x:c r="A1" s="23"/>
      <x:c r="B1" s="23"/>
      <x:c r="C1" s="111" t="str">
        <x:v>Combined output</x:v>
      </x:c>
      <x:c r="D1" s="23"/>
      <x:c r="E1" s="23"/>
      <x:c r="F1" s="23"/>
      <x:c r="G1" s="150"/>
      <x:c r="H1" s="150"/>
      <x:c r="I1" s="150"/>
      <x:c r="J1" s="150"/>
      <x:c r="K1" s="150"/>
      <x:c r="L1" s="150"/>
      <x:c r="M1" s="150"/>
    </x:row>
    <x:row r="2">
      <x:c r="A2" s="23"/>
      <x:c r="B2" s="23"/>
      <x:c r="C2" s="24" t="str">
        <x:v>S&amp;P And Fitch Comparison</x:v>
      </x:c>
      <x:c r="D2" s="25"/>
      <x:c r="E2" s="25"/>
      <x:c r="F2" s="25"/>
      <x:c r="G2" s="150"/>
      <x:c r="H2" s="150"/>
      <x:c r="I2" s="150"/>
      <x:c r="J2" s="150"/>
      <x:c r="K2" s="150"/>
      <x:c r="L2" s="150"/>
      <x:c r="M2" s="150"/>
    </x:row>
    <x:row r="3" ht="22" customHeight="1">
      <x:c r="A3" s="23"/>
      <x:c r="B3" s="23"/>
      <x:c r="C3" s="26" t="str">
        <x:v>Same portfolio and capital structure. Different credit metrics, stress conventions and outstanding requirements.</x:v>
      </x:c>
      <x:c r="D3" s="23"/>
      <x:c r="E3" s="23"/>
      <x:c r="F3" s="23"/>
      <x:c r="G3" s="150"/>
      <x:c r="H3" s="150"/>
      <x:c r="I3" s="150"/>
      <x:c r="J3" s="150"/>
      <x:c r="K3" s="150"/>
      <x:c r="L3" s="150"/>
      <x:c r="M3" s="150"/>
    </x:row>
    <x:row r="4">
      <x:c r="A4" s="23"/>
      <x:c r="B4" s="23"/>
      <x:c r="C4" s="23"/>
      <x:c r="D4" s="23"/>
      <x:c r="E4" s="23"/>
      <x:c r="F4" s="23"/>
      <x:c r="G4" s="150"/>
      <x:c r="H4" s="150"/>
      <x:c r="I4" s="150"/>
      <x:c r="J4" s="150"/>
      <x:c r="K4" s="150"/>
      <x:c r="L4" s="150"/>
      <x:c r="M4" s="150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150"/>
      <x:c r="H5" s="150"/>
      <x:c r="I5" s="150"/>
      <x:c r="J5" s="150"/>
      <x:c r="K5" s="150"/>
      <x:c r="L5" s="150"/>
      <x:c r="M5" s="150"/>
    </x:row>
    <x:row r="6">
      <x:c r="A6" s="23"/>
      <x:c r="B6" s="23"/>
      <x:c r="C6" s="23"/>
      <x:c r="D6" s="23"/>
      <x:c r="E6" s="23"/>
      <x:c r="F6" s="23"/>
      <x:c r="G6" s="150"/>
      <x:c r="H6" s="150"/>
      <x:c r="I6" s="150"/>
      <x:c r="J6" s="150"/>
      <x:c r="K6" s="150"/>
      <x:c r="L6" s="150"/>
      <x:c r="M6" s="150"/>
    </x:row>
    <x:row r="7" ht="38" customHeight="1">
      <x:c r="A7" s="23"/>
      <x:c r="B7" s="23"/>
      <x:c r="C7" s="7" t="str">
        <x:v>Metric / question</x:v>
      </x:c>
      <x:c r="D7" s="7" t="str">
        <x:v>S&amp;P</x:v>
      </x:c>
      <x:c r="E7" s="7" t="str">
        <x:v>Fitch</x:v>
      </x:c>
      <x:c r="F7" s="7" t="str">
        <x:v>How to read this</x:v>
      </x:c>
      <x:c r="G7" s="150"/>
      <x:c r="H7" s="150"/>
      <x:c r="I7" s="150"/>
      <x:c r="J7" s="150"/>
      <x:c r="K7" s="150"/>
      <x:c r="L7" s="150"/>
      <x:c r="M7" s="150"/>
    </x:row>
    <x:row r="8" ht="57" customHeight="1">
      <x:c r="A8" s="23"/>
      <x:c r="B8" s="23"/>
      <x:c r="C8" s="139" t="str">
        <x:v>Criteria basis</x:v>
      </x:c>
      <x:c r="D8" s="141" t="str">
        <x:v>2019-06-21; republished 2026-04-10</x:v>
      </x:c>
      <x:c r="E8" s="141" t="str">
        <x:v>2026-06-01</x:v>
      </x:c>
      <x:c r="F8" s="33" t="str">
        <x:v>See Methodology, SP Credit Parameters and Fitch Parameters for sources and implemented scope.</x:v>
      </x:c>
      <x:c r="G8" s="150"/>
      <x:c r="H8" s="150"/>
      <x:c r="I8" s="150"/>
      <x:c r="J8" s="150"/>
      <x:c r="K8" s="150"/>
      <x:c r="L8" s="150"/>
      <x:c r="M8" s="150"/>
    </x:row>
    <x:row r="9" ht="57" customHeight="1">
      <x:c r="A9" s="150"/>
      <x:c r="B9" s="150"/>
      <x:c r="C9" s="151" t="str">
        <x:v>Weighted-average rating factor</x:v>
      </x:c>
      <x:c r="D9" s="152" t="n">
        <x:f>IF(Refresh_Required,"REFRESH REQUIRED",SPWARF)</x:f>
        <x:v>2243.7433273536167</x:v>
      </x:c>
      <x:c r="E9" s="153" t="n">
        <x:f>IF(Refresh_Required,"REFRESH REQUIRED",Fitch_WARF)</x:f>
        <x:v>20.4019374282434</x:v>
      </x:c>
      <x:c r="F9" s="154" t="str">
        <x:v>Different scales: compare each against its own methodology. The Fitch example uses labelled development rating proxies.</x:v>
      </x:c>
      <x:c r="G9" s="150"/>
      <x:c r="H9" s="150"/>
      <x:c r="I9" s="150"/>
      <x:c r="J9" s="150"/>
      <x:c r="K9" s="150"/>
      <x:c r="L9" s="150"/>
      <x:c r="M9" s="150"/>
    </x:row>
    <x:row r="10" ht="57" customHeight="1">
      <x:c r="A10" s="150"/>
      <x:c r="B10" s="150"/>
      <x:c r="C10" s="151" t="str">
        <x:v>Credit input basis</x:v>
      </x:c>
      <x:c r="D10" s="155" t="str">
        <x:v>Supplied fictional S&amp;P ratings</x:v>
      </x:c>
      <x:c r="E10" s="155" t="str">
        <x:v>CALCULATED - development assumptions</x:v>
      </x:c>
      <x:c r="F10" s="154" t="str">
        <x:v>A public factor table does not verify the underlying rating or establish a target rating.</x:v>
      </x:c>
      <x:c r="G10" s="150"/>
      <x:c r="H10" s="150"/>
      <x:c r="I10" s="150"/>
      <x:c r="J10" s="150"/>
      <x:c r="K10" s="150"/>
      <x:c r="L10" s="150"/>
      <x:c r="M10" s="150"/>
    </x:row>
    <x:row r="11" ht="57" customHeight="1">
      <x:c r="A11" s="150"/>
      <x:c r="B11" s="150"/>
      <x:c r="C11" s="151" t="str">
        <x:v>Weighted recovery</x:v>
      </x:c>
      <x:c r="D11" s="156" t="n">
        <x:f>IF(Refresh_Required,"REFRESH REQUIRED",'Portfolio Calc'!D14)</x:f>
        <x:v>0.38710336538461537</x:v>
      </x:c>
      <x:c r="E11" s="156" t="str">
        <x:f>IF(Refresh_Required,"REFRESH REQUIRED",Fitch_WARR)</x:f>
        <x:v>Missing recovery inputs</x:v>
      </x:c>
      <x:c r="F11" s="154" t="str">
        <x:v>S&amp;P column is supplied fictional recovery_aaa. Fitch WARR requires separate issue recovery / BBsf basis. These are not like-for-like stressed recoveries.</x:v>
      </x:c>
      <x:c r="G11" s="150"/>
      <x:c r="H11" s="150"/>
      <x:c r="I11" s="150"/>
      <x:c r="J11" s="150"/>
      <x:c r="K11" s="150"/>
      <x:c r="L11" s="150"/>
      <x:c r="M11" s="150"/>
    </x:row>
    <x:row r="12" ht="57" customHeight="1">
      <x:c r="A12" s="150"/>
      <x:c r="B12" s="150"/>
      <x:c r="C12" s="151" t="str">
        <x:v>Recovery input coverage</x:v>
      </x:c>
      <x:c r="D12" s="157" t="n">
        <x:f>IF(Refresh_Required,"REFRESH REQUIRED",1)</x:f>
        <x:v>1</x:v>
      </x:c>
      <x:c r="E12" s="157" t="n">
        <x:f>IF(Refresh_Required,"REFRESH REQUIRED",'Fitch Calc'!D11)</x:f>
        <x:v>0.9668843283582089</x:v>
      </x:c>
      <x:c r="F12" s="154" t="str">
        <x:v>Coverage means supplied required inputs, not agency validation. Fitch WARR stays unavailable until every facility has the required recovery basis.</x:v>
      </x:c>
      <x:c r="G12" s="150"/>
      <x:c r="H12" s="150"/>
      <x:c r="I12" s="150"/>
      <x:c r="J12" s="150"/>
      <x:c r="K12" s="150"/>
      <x:c r="L12" s="150"/>
      <x:c r="M12" s="150"/>
    </x:row>
    <x:row r="13" ht="57" customHeight="1">
      <x:c r="A13" s="150"/>
      <x:c r="B13" s="150"/>
      <x:c r="C13" s="151" t="str">
        <x:v>AAA default hurdle</x:v>
      </x:c>
      <x:c r="D13" s="156" t="str">
        <x:f>IF(Refresh_Required,"REFRESH REQUIRED",IF(ISNUMBER(agency_sdr_aaa),agency_sdr_aaa,"SDR not supplied"))</x:f>
        <x:v>SDR not supplied</x:v>
      </x:c>
      <x:c r="E13" s="158" t="str">
        <x:v>RDR not calculated</x:v>
      </x:c>
      <x:c r="F13" s="154" t="str">
        <x:v>SDR / RDR are gross default hurdles. Obtain the applicable credit-model outputs or complete and benchmark an independent implementation.</x:v>
      </x:c>
      <x:c r="G13" s="150"/>
      <x:c r="H13" s="150"/>
      <x:c r="I13" s="150"/>
      <x:c r="J13" s="150"/>
      <x:c r="K13" s="150"/>
      <x:c r="L13" s="150"/>
      <x:c r="M13" s="150"/>
    </x:row>
    <x:row r="14" ht="57" customHeight="1">
      <x:c r="A14" s="150"/>
      <x:c r="B14" s="150"/>
      <x:c r="C14" s="151" t="str">
        <x:v>AAA portfolio loss hurdle</x:v>
      </x:c>
      <x:c r="D14" s="155" t="str">
        <x:v>Not a substitute for SDR</x:v>
      </x:c>
      <x:c r="E14" s="155" t="str">
        <x:v>RLR not calculated</x:v>
      </x:c>
      <x:c r="F14" s="154" t="str">
        <x:v>Fitch rating loss rate comes from PCM analysis. WARF multiplied by a loss assumption is not a replacement.</x:v>
      </x:c>
      <x:c r="G14" s="150"/>
      <x:c r="H14" s="150"/>
      <x:c r="I14" s="150"/>
      <x:c r="J14" s="150"/>
      <x:c r="K14" s="150"/>
      <x:c r="L14" s="150"/>
      <x:c r="M14" s="150"/>
    </x:row>
    <x:row r="15" ht="57" customHeight="1">
      <x:c r="A15" s="150"/>
      <x:c r="B15" s="150"/>
      <x:c r="C15" s="151" t="str">
        <x:v>Agency cash-flow BDR</x:v>
      </x:c>
      <x:c r="D15" s="155" t="str">
        <x:v>Not implemented / benchmarked</x:v>
      </x:c>
      <x:c r="E15" s="155" t="str">
        <x:v>Not implemented / benchmarked</x:v>
      </x:c>
      <x:c r="F15" s="154" t="str">
        <x:v>Current development cash flows below must not be labelled agency BDRs. Fitch needs additional collateral and stress mechanics.</x:v>
      </x:c>
      <x:c r="G15" s="150"/>
      <x:c r="H15" s="150"/>
      <x:c r="I15" s="150"/>
      <x:c r="J15" s="150"/>
      <x:c r="K15" s="150"/>
      <x:c r="L15" s="150"/>
      <x:c r="M15" s="150"/>
    </x:row>
    <x:row r="16" ht="57" customHeight="1">
      <x:c r="A16" s="150"/>
      <x:c r="B16" s="150"/>
      <x:c r="C16" s="151" t="str">
        <x:v>Supplemental / concentration</x:v>
      </x:c>
      <x:c r="D16" s="155" t="str">
        <x:v>Public S&amp;P loss arithmetic</x:v>
      </x:c>
      <x:c r="E16" s="155" t="str">
        <x:v>Not implemented</x:v>
      </x:c>
      <x:c r="F16" s="154" t="str">
        <x:v>S&amp;P event-loss amounts are on Concentration Calc; tranche sufficiency remains unassessed. Fitch industry taxonomy still needs review.</x:v>
      </x:c>
      <x:c r="G16" s="150"/>
      <x:c r="H16" s="150"/>
      <x:c r="I16" s="150"/>
      <x:c r="J16" s="150"/>
      <x:c r="K16" s="150"/>
      <x:c r="L16" s="150"/>
      <x:c r="M16" s="150"/>
    </x:row>
    <x:row r="17" ht="57" customHeight="1">
      <x:c r="A17" s="150"/>
      <x:c r="B17" s="150"/>
      <x:c r="C17" s="151" t="str">
        <x:v>AAA target conclusion</x:v>
      </x:c>
      <x:c r="D17" s="155" t="str">
        <x:v>NOT DETERMINED</x:v>
      </x:c>
      <x:c r="E17" s="155" t="str">
        <x:v>NOT DETERMINED</x:v>
      </x:c>
      <x:c r="F17" s="154" t="str">
        <x:v>No rating or agency sufficiency conclusion is produced by this workbook.</x:v>
      </x:c>
      <x:c r="G17" s="150"/>
      <x:c r="H17" s="150"/>
      <x:c r="I17" s="150"/>
      <x:c r="J17" s="150"/>
      <x:c r="K17" s="150"/>
      <x:c r="L17" s="150"/>
      <x:c r="M17" s="150"/>
    </x:row>
    <x:row r="18">
      <x:c r="A18" s="150"/>
      <x:c r="B18" s="150"/>
      <x:c r="C18" s="150"/>
      <x:c r="D18" s="159"/>
      <x:c r="E18" s="159"/>
      <x:c r="F18" s="150"/>
      <x:c r="G18" s="150"/>
      <x:c r="H18" s="150"/>
      <x:c r="I18" s="150"/>
      <x:c r="J18" s="150"/>
      <x:c r="K18" s="150"/>
      <x:c r="L18" s="150"/>
      <x:c r="M18" s="150"/>
    </x:row>
    <x:row r="19">
      <x:c r="A19" s="150"/>
      <x:c r="B19" s="150"/>
      <x:c r="C19" s="150"/>
      <x:c r="D19" s="159"/>
      <x:c r="E19" s="159"/>
      <x:c r="F19" s="150"/>
      <x:c r="G19" s="150"/>
      <x:c r="H19" s="150"/>
      <x:c r="I19" s="150"/>
      <x:c r="J19" s="150"/>
      <x:c r="K19" s="150"/>
      <x:c r="L19" s="150"/>
      <x:c r="M19" s="150"/>
    </x:row>
    <x:row r="20" ht="38" customHeight="1">
      <x:c r="A20" s="150"/>
      <x:c r="B20" s="150"/>
      <x:c r="C20" s="7" t="str">
        <x:v>Development cash flow</x:v>
      </x:c>
      <x:c r="D20" s="137" t="str">
        <x:v>Result</x:v>
      </x:c>
      <x:c r="E20" s="137" t="str">
        <x:v>Structure / severity</x:v>
      </x:c>
      <x:c r="F20" s="7" t="str">
        <x:v>Interpretation</x:v>
      </x:c>
      <x:c r="G20" s="150"/>
      <x:c r="H20" s="150"/>
      <x:c r="I20" s="150"/>
      <x:c r="J20" s="150"/>
      <x:c r="K20" s="150"/>
      <x:c r="L20" s="150"/>
      <x:c r="M20" s="150"/>
    </x:row>
    <x:row r="21" ht="45" customHeight="1">
      <x:c r="A21" s="150"/>
      <x:c r="B21" s="150"/>
      <x:c r="C21" s="154" t="str">
        <x:v>Base senior interest / principal</x:v>
      </x:c>
      <x:c r="D21" s="160" t="str">
        <x:f>IF(Refresh_Required,"REFRESH REQUIRED",Outputs!D24)</x:f>
        <x:v>Meets tested case</x:v>
      </x:c>
      <x:c r="E21" s="161" t="str">
        <x:v>64% senior; 30% defaults</x:v>
      </x:c>
      <x:c r="F21" s="154" t="str">
        <x:v>Exploratory independent waterfall, S&amp;P-informed timing and fictional rates / deal assumptions.</x:v>
      </x:c>
      <x:c r="G21" s="150"/>
      <x:c r="H21" s="150"/>
      <x:c r="I21" s="150"/>
      <x:c r="J21" s="150"/>
      <x:c r="K21" s="150"/>
      <x:c r="L21" s="150"/>
      <x:c r="M21" s="150"/>
    </x:row>
    <x:row r="22" ht="45" customHeight="1">
      <x:c r="A22" s="150"/>
      <x:c r="B22" s="150"/>
      <x:c r="C22" s="154" t="str">
        <x:v>Last tested all-scenario pass</x:v>
      </x:c>
      <x:c r="D22" s="162" t="n">
        <x:f>IF(Refresh_Required,"REFRESH REQUIRED",Outputs!D28)</x:f>
        <x:v>0.6</x:v>
      </x:c>
      <x:c r="E22" s="161" t="str">
        <x:v>Fixed grid, 5% default steps</x:v>
      </x:c>
      <x:c r="F22" s="154" t="str">
        <x:v>Not an exact BDR. Review target attainment and each scenario boundary in Sensitivity.</x:v>
      </x:c>
      <x:c r="G22" s="150"/>
      <x:c r="H22" s="150"/>
      <x:c r="I22" s="150"/>
      <x:c r="J22" s="150"/>
      <x:c r="K22" s="150"/>
      <x:c r="L22" s="150"/>
      <x:c r="M22" s="150"/>
    </x:row>
    <x:row r="23" ht="45" customHeight="1">
      <x:c r="A23" s="150"/>
      <x:c r="B23" s="150"/>
      <x:c r="C23" s="154" t="str">
        <x:v>First tested scenario failure</x:v>
      </x:c>
      <x:c r="D23" s="162" t="n">
        <x:f>IF(Refresh_Required,"REFRESH REQUIRED",Outputs!D29)</x:f>
        <x:v>0.65</x:v>
      </x:c>
      <x:c r="E23" s="161" t="str">
        <x:v>Same collateral at every size</x:v>
      </x:c>
      <x:c r="F23" s="154" t="str">
        <x:v>Senior sensitivity is 60%–70%, equity fixed at 10%, junior debt adjusts.</x:v>
      </x:c>
      <x:c r="G23" s="150"/>
      <x:c r="H23" s="150"/>
      <x:c r="I23" s="150"/>
      <x:c r="J23" s="150"/>
      <x:c r="K23" s="150"/>
      <x:c r="L23" s="150"/>
      <x:c r="M23" s="150"/>
    </x:row>
    <x:row r="24">
      <x:c r="A24" s="150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50"/>
      <x:c r="L24" s="150"/>
      <x:c r="M24" s="150"/>
    </x:row>
    <x:row r="25">
      <x:c r="A25" s="150"/>
      <x:c r="B25" s="150"/>
      <x:c r="C25" s="150"/>
      <x:c r="D25" s="150"/>
      <x:c r="E25" s="150"/>
      <x:c r="F25" s="150"/>
      <x:c r="G25" s="150"/>
      <x:c r="H25" s="150"/>
      <x:c r="I25" s="150"/>
      <x:c r="J25" s="150"/>
      <x:c r="K25" s="150"/>
      <x:c r="L25" s="150"/>
      <x:c r="M25" s="150"/>
    </x:row>
    <x:row r="26" ht="38" customHeight="1">
      <x:c r="A26" s="150"/>
      <x:c r="B26" s="150"/>
      <x:c r="C26" s="7" t="str">
        <x:v>Development gross defaults</x:v>
      </x:c>
      <x:c r="D26" s="7" t="str">
        <x:v>Scenarios attaining target</x:v>
      </x:c>
      <x:c r="E26" s="7" t="str">
        <x:v>Scenarios passing senior</x:v>
      </x:c>
      <x:c r="F26" s="7" t="str">
        <x:v>Worst missed interest</x:v>
      </x:c>
      <x:c r="G26" s="7" t="str">
        <x:v>Worst final principal shortfall</x:v>
      </x:c>
      <x:c r="H26" s="150"/>
      <x:c r="I26" s="7" t="str">
        <x:v>Python severity</x:v>
      </x:c>
      <x:c r="J26" s="7" t="str">
        <x:v>Attained count</x:v>
      </x:c>
      <x:c r="K26" s="7" t="str">
        <x:v>Pass count</x:v>
      </x:c>
      <x:c r="L26" s="7" t="str">
        <x:v>Missed interest</x:v>
      </x:c>
      <x:c r="M26" s="7" t="str">
        <x:v>Principal shortfall</x:v>
      </x:c>
    </x:row>
    <x:row r="27">
      <x:c r="A27" s="150"/>
      <x:c r="B27" s="150"/>
      <x:c r="C27" s="163" t="n">
        <x:v>0.6</x:v>
      </x:c>
      <x:c r="D27" s="65" t="n">
        <x:f>IF(Refresh_Required,"REFRESH REQUIRED",J27)</x:f>
        <x:v>12</x:v>
      </x:c>
      <x:c r="E27" s="65" t="n">
        <x:f>IF(Refresh_Required,"REFRESH REQUIRED",K27)</x:f>
        <x:v>12</x:v>
      </x:c>
      <x:c r="F27" s="66" t="n">
        <x:f>IF(Refresh_Required,"REFRESH REQUIRED",L27)</x:f>
        <x:v>0</x:v>
      </x:c>
      <x:c r="G27" s="66" t="n">
        <x:f>IF(Refresh_Required,"REFRESH REQUIRED",M27)</x:f>
        <x:v>0</x:v>
      </x:c>
      <x:c r="H27" s="150"/>
      <x:c r="I27" s="164" t="n">
        <x:v>0.6</x:v>
      </x:c>
      <x:c r="J27" s="165" t="n">
        <x:v>12</x:v>
      </x:c>
      <x:c r="K27" s="165" t="n">
        <x:v>12</x:v>
      </x:c>
      <x:c r="L27" s="166" t="n">
        <x:v>0</x:v>
      </x:c>
      <x:c r="M27" s="166" t="n">
        <x:v>0</x:v>
      </x:c>
    </x:row>
    <x:row r="28">
      <x:c r="A28" s="150"/>
      <x:c r="B28" s="150"/>
      <x:c r="C28" s="163" t="n">
        <x:v>0.65</x:v>
      </x:c>
      <x:c r="D28" s="65" t="n">
        <x:f>IF(Refresh_Required,"REFRESH REQUIRED",J28)</x:f>
        <x:v>12</x:v>
      </x:c>
      <x:c r="E28" s="65" t="n">
        <x:f>IF(Refresh_Required,"REFRESH REQUIRED",K28)</x:f>
        <x:v>0</x:v>
      </x:c>
      <x:c r="F28" s="66" t="n">
        <x:f>IF(Refresh_Required,"REFRESH REQUIRED",L28)</x:f>
        <x:v>650240.0432508106</x:v>
      </x:c>
      <x:c r="G28" s="66" t="n">
        <x:f>IF(Refresh_Required,"REFRESH REQUIRED",M28)</x:f>
        <x:v>2091058.012571442</x:v>
      </x:c>
      <x:c r="H28" s="150"/>
      <x:c r="I28" s="164" t="n">
        <x:v>0.65</x:v>
      </x:c>
      <x:c r="J28" s="165" t="n">
        <x:v>12</x:v>
      </x:c>
      <x:c r="K28" s="165" t="n">
        <x:v>0</x:v>
      </x:c>
      <x:c r="L28" s="166" t="n">
        <x:v>650240.0432508106</x:v>
      </x:c>
      <x:c r="M28" s="166" t="n">
        <x:v>2091058.012571442</x:v>
      </x:c>
    </x:row>
    <x:row r="29">
      <x:c r="A29" s="150"/>
      <x:c r="B29" s="150"/>
      <x:c r="C29" s="163" t="n">
        <x:v>0.7</x:v>
      </x:c>
      <x:c r="D29" s="65" t="n">
        <x:f>IF(Refresh_Required,"REFRESH REQUIRED",J29)</x:f>
        <x:v>12</x:v>
      </x:c>
      <x:c r="E29" s="65" t="n">
        <x:f>IF(Refresh_Required,"REFRESH REQUIRED",K29)</x:f>
        <x:v>0</x:v>
      </x:c>
      <x:c r="F29" s="66" t="n">
        <x:f>IF(Refresh_Required,"REFRESH REQUIRED",L29)</x:f>
        <x:v>1431928.4354402572</x:v>
      </x:c>
      <x:c r="G29" s="66" t="n">
        <x:f>IF(Refresh_Required,"REFRESH REQUIRED",M29)</x:f>
        <x:v>4326157.400448455</x:v>
      </x:c>
      <x:c r="H29" s="150"/>
      <x:c r="I29" s="164" t="n">
        <x:v>0.7</x:v>
      </x:c>
      <x:c r="J29" s="165" t="n">
        <x:v>12</x:v>
      </x:c>
      <x:c r="K29" s="165" t="n">
        <x:v>0</x:v>
      </x:c>
      <x:c r="L29" s="166" t="n">
        <x:v>1431928.4354402572</x:v>
      </x:c>
      <x:c r="M29" s="166" t="n">
        <x:v>4326157.400448455</x:v>
      </x:c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  <x:c r="K30" s="150"/>
      <x:c r="L30" s="150"/>
      <x:c r="M30" s="150"/>
    </x:row>
    <x:row r="31">
      <x:c r="A31" s="150"/>
      <x:c r="B31" s="150"/>
      <x:c r="C31" s="150" t="str">
        <x:v>60%, 65% and 70% are sensitivity points, with no assigned rating or probability.</x:v>
      </x:c>
      <x:c r="D31" s="150"/>
      <x:c r="E31" s="150"/>
      <x:c r="F31" s="150"/>
      <x:c r="G31" s="150"/>
      <x:c r="H31" s="150"/>
      <x:c r="I31" s="150"/>
      <x:c r="J31" s="150"/>
      <x:c r="K31" s="150"/>
      <x:c r="L31" s="150"/>
      <x:c r="M31" s="150"/>
    </x:row>
    <x:row r="32">
      <x:c r="A32" s="150"/>
      <x:c r="B32" s="150"/>
      <x:c r="C32" s="150" t="str">
        <x:v>The same existing stress matrix is tested at each point; no agency hurdle has been assumed.</x:v>
      </x:c>
      <x:c r="D32" s="150"/>
      <x:c r="E32" s="150"/>
      <x:c r="F32" s="150"/>
      <x:c r="G32" s="150"/>
      <x:c r="H32" s="150"/>
      <x:c r="I32" s="150"/>
      <x:c r="J32" s="150"/>
      <x:c r="K32" s="150"/>
      <x:c r="L32" s="150"/>
      <x:c r="M32" s="150"/>
    </x:row>
    <x:row r="33">
      <x:c r="A33" s="150"/>
      <x:c r="B33" s="150"/>
      <x:c r="C33" s="150" t="str">
        <x:v>Next: resolve missing inputs on Gaps and Sources, then review all Checks.</x:v>
      </x:c>
      <x:c r="D33" s="150"/>
      <x:c r="E33" s="150"/>
      <x:c r="F33" s="150"/>
      <x:c r="G33" s="150"/>
      <x:c r="H33" s="150"/>
      <x:c r="I33" s="150"/>
      <x:c r="J33" s="150"/>
      <x:c r="K33" s="150"/>
      <x:c r="L33" s="150"/>
      <x:c r="M33" s="1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7D8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3"/>
      <x:c r="B1" s="23"/>
      <x:c r="C1" s="111" t="str">
        <x:v>Development output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Portfolio And Development Results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Fictional development portfolio. S&amp;P public criteria components plus exploratory cash flows.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Portfolio summary</x:v>
      </x:c>
      <x:c r="D7" s="7" t="str">
        <x:v>Result</x:v>
      </x:c>
      <x:c r="E7" s="23"/>
      <x:c r="F7" s="23"/>
      <x:c r="G7" s="23"/>
      <x:c r="H7" s="23"/>
      <x:c r="I7" s="23"/>
      <x:c r="J7" s="23"/>
    </x:row>
    <x:row r="8">
      <x:c r="A8" s="23"/>
      <x:c r="B8" s="23"/>
      <x:c r="C8" s="23" t="str">
        <x:v>Portfolio par</x:v>
      </x:c>
      <x:c r="D8" s="66" t="n">
        <x:f>'Portfolio Calc'!D8</x:f>
        <x:v>55744000</x:v>
      </x:c>
      <x:c r="E8" s="23"/>
      <x:c r="F8" s="23"/>
      <x:c r="G8" s="23" t="str">
        <x:v>Python run values</x:v>
      </x:c>
      <x:c r="H8" s="23" t="str">
        <x:v>Value</x:v>
      </x:c>
      <x:c r="I8" s="23"/>
      <x:c r="J8" s="23"/>
    </x:row>
    <x:row r="9">
      <x:c r="A9" s="150"/>
      <x:c r="B9" s="150"/>
      <x:c r="C9" s="150" t="str">
        <x:v>Facilities</x:v>
      </x:c>
      <x:c r="D9" s="167" t="n">
        <x:f>'Portfolio Calc'!D9</x:f>
        <x:v>52</x:v>
      </x:c>
      <x:c r="E9" s="150"/>
      <x:c r="F9" s="150"/>
      <x:c r="G9" s="150" t="str">
        <x:v>Base senior pass</x:v>
      </x:c>
      <x:c r="H9" s="168" t="b">
        <x:v>1</x:v>
      </x:c>
      <x:c r="I9" s="150"/>
      <x:c r="J9" s="150"/>
    </x:row>
    <x:row r="10">
      <x:c r="A10" s="150"/>
      <x:c r="B10" s="150"/>
      <x:c r="C10" s="150" t="str">
        <x:v>Obligors</x:v>
      </x:c>
      <x:c r="D10" s="167" t="n">
        <x:f>'Portfolio Calc'!D10</x:f>
        <x:v>50</x:v>
      </x:c>
      <x:c r="E10" s="150"/>
      <x:c r="F10" s="150"/>
      <x:c r="G10" s="150" t="str">
        <x:v>Missed timely interest</x:v>
      </x:c>
      <x:c r="H10" s="166" t="n">
        <x:v>0</x:v>
      </x:c>
      <x:c r="I10" s="150"/>
      <x:c r="J10" s="150"/>
    </x:row>
    <x:row r="11">
      <x:c r="A11" s="150"/>
      <x:c r="B11" s="150"/>
      <x:c r="C11" s="150" t="str">
        <x:v>Weighted floating spread (bps)</x:v>
      </x:c>
      <x:c r="D11" s="169" t="n">
        <x:f>'Portfolio Calc'!D13</x:f>
        <x:v>290.20031208041513</x:v>
      </x:c>
      <x:c r="E11" s="150"/>
      <x:c r="F11" s="150"/>
      <x:c r="G11" s="150" t="str">
        <x:v>Final senior principal</x:v>
      </x:c>
      <x:c r="H11" s="166" t="n">
        <x:v>0</x:v>
      </x:c>
      <x:c r="I11" s="150"/>
      <x:c r="J11" s="150"/>
    </x:row>
    <x:row r="12">
      <x:c r="A12" s="150"/>
      <x:c r="B12" s="150"/>
      <x:c r="C12" s="150" t="str">
        <x:v>Supplied stressed recovery</x:v>
      </x:c>
      <x:c r="D12" s="75" t="n">
        <x:f>'Portfolio Calc'!D14</x:f>
        <x:v>0.38710336538461537</x:v>
      </x:c>
      <x:c r="E12" s="150"/>
      <x:c r="F12" s="150"/>
      <x:c r="G12" s="150" t="str">
        <x:v>Realized default rate</x:v>
      </x:c>
      <x:c r="H12" s="164" t="n">
        <x:v>0.3</x:v>
      </x:c>
      <x:c r="I12" s="150"/>
      <x:c r="J12" s="150"/>
    </x:row>
    <x:row r="13">
      <x:c r="A13" s="150"/>
      <x:c r="B13" s="150"/>
      <x:c r="C13" s="150" t="str">
        <x:v>Weighted term (years)</x:v>
      </x:c>
      <x:c r="D13" s="170" t="n">
        <x:f>'Portfolio Calc'!D15</x:f>
        <x:v>5.223321082158313</x:v>
      </x:c>
      <x:c r="E13" s="150"/>
      <x:c r="F13" s="150"/>
      <x:c r="G13" s="150" t="str">
        <x:v>Target attained</x:v>
      </x:c>
      <x:c r="H13" s="168" t="b">
        <x:v>1</x:v>
      </x:c>
      <x:c r="I13" s="150"/>
      <x:c r="J13" s="150"/>
    </x:row>
    <x:row r="14">
      <x:c r="A14" s="150"/>
      <x:c r="B14" s="150"/>
      <x:c r="C14" s="150" t="str">
        <x:v>Largest obligor share</x:v>
      </x:c>
      <x:c r="D14" s="75" t="n">
        <x:f>'Portfolio Calc'!D17</x:f>
        <x:v>0.021204075774971298</x:v>
      </x:c>
      <x:c r="E14" s="150"/>
      <x:c r="F14" s="150"/>
      <x:c r="G14" s="150" t="str">
        <x:v>Last tested pass</x:v>
      </x:c>
      <x:c r="H14" s="163" t="n">
        <x:v>0.6</x:v>
      </x:c>
      <x:c r="I14" s="150"/>
      <x:c r="J14" s="150"/>
    </x:row>
    <x:row r="15">
      <x:c r="A15" s="150"/>
      <x:c r="B15" s="150"/>
      <x:c r="C15" s="150" t="str">
        <x:v>Base senior balance</x:v>
      </x:c>
      <x:c r="D15" s="66" t="n">
        <x:f>Senior_Balance</x:f>
        <x:v>35676160</x:v>
      </x:c>
      <x:c r="E15" s="150"/>
      <x:c r="F15" s="150"/>
      <x:c r="G15" s="150" t="str">
        <x:v>First tested failure</x:v>
      </x:c>
      <x:c r="H15" s="163" t="n">
        <x:v>0.65</x:v>
      </x:c>
      <x:c r="I15" s="150"/>
      <x:c r="J15" s="150"/>
    </x:row>
    <x:row r="16">
      <x:c r="A16" s="150"/>
      <x:c r="B16" s="150"/>
      <x:c r="C16" s="150" t="str">
        <x:v>Base junior balance</x:v>
      </x:c>
      <x:c r="D16" s="66" t="n">
        <x:f>Junior_Balance</x:f>
        <x:v>14493440</x:v>
      </x:c>
      <x:c r="E16" s="150"/>
      <x:c r="F16" s="150"/>
      <x:c r="G16" s="150"/>
      <x:c r="H16" s="150"/>
      <x:c r="I16" s="150"/>
      <x:c r="J16" s="150"/>
    </x:row>
    <x:row r="17">
      <x:c r="A17" s="150"/>
      <x:c r="B17" s="150"/>
      <x:c r="C17" s="150" t="str">
        <x:v>Equity contribution</x:v>
      </x:c>
      <x:c r="D17" s="66" t="n">
        <x:f>Equity_Contribution</x:f>
        <x:v>5574400</x:v>
      </x:c>
      <x:c r="E17" s="150"/>
      <x:c r="F17" s="150"/>
      <x:c r="G17" s="150"/>
      <x:c r="H17" s="150"/>
      <x:c r="I17" s="150"/>
      <x:c r="J17" s="150"/>
    </x:row>
    <x:row r="18">
      <x:c r="A18" s="150"/>
      <x:c r="B18" s="150"/>
      <x:c r="C18" s="150"/>
      <x:c r="D18" s="150"/>
      <x:c r="E18" s="150"/>
      <x:c r="F18" s="150"/>
      <x:c r="G18" s="150"/>
      <x:c r="H18" s="150"/>
      <x:c r="I18" s="150"/>
      <x:c r="J18" s="150"/>
    </x:row>
    <x:row r="19">
      <x:c r="A19" s="150"/>
      <x:c r="B19" s="150"/>
      <x:c r="C19" s="150"/>
      <x:c r="D19" s="150"/>
      <x:c r="E19" s="150"/>
      <x:c r="F19" s="150"/>
      <x:c r="G19" s="150"/>
      <x:c r="H19" s="150"/>
      <x:c r="I19" s="150"/>
      <x:c r="J19" s="150"/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</x:row>
    <x:row r="21" ht="38" customHeight="1">
      <x:c r="A21" s="150"/>
      <x:c r="B21" s="150"/>
      <x:c r="C21" s="7" t="str">
        <x:v>Methodology / cash flow</x:v>
      </x:c>
      <x:c r="D21" s="7" t="str">
        <x:v>Result</x:v>
      </x:c>
      <x:c r="E21" s="150"/>
      <x:c r="F21" s="150"/>
      <x:c r="G21" s="150"/>
      <x:c r="H21" s="150"/>
      <x:c r="I21" s="150"/>
      <x:c r="J21" s="150"/>
    </x:row>
    <x:row r="22" ht="32" customHeight="1">
      <x:c r="A22" s="150"/>
      <x:c r="B22" s="150"/>
      <x:c r="C22" s="150" t="str">
        <x:v>S&amp;P AAA result</x:v>
      </x:c>
      <x:c r="D22" s="154" t="str">
        <x:v>NOT DETERMINED</x:v>
      </x:c>
      <x:c r="E22" s="150"/>
      <x:c r="F22" s="150"/>
      <x:c r="G22" s="150"/>
      <x:c r="H22" s="150"/>
      <x:c r="I22" s="150"/>
      <x:c r="J22" s="150"/>
    </x:row>
    <x:row r="23" ht="32" customHeight="1">
      <x:c r="A23" s="150"/>
      <x:c r="B23" s="150"/>
      <x:c r="C23" s="150" t="str">
        <x:v>Agency scenario default rate</x:v>
      </x:c>
      <x:c r="D23" s="171" t="str">
        <x:f>IF(Refresh_Required,"REFRESH REQUIRED",IF(ISNUMBER(agency_sdr_aaa),agency_sdr_aaa,"Unavailable"))</x:f>
        <x:v>Unavailable</x:v>
      </x:c>
      <x:c r="E23" s="150"/>
      <x:c r="F23" s="150"/>
      <x:c r="G23" s="150"/>
      <x:c r="H23" s="150"/>
      <x:c r="I23" s="150"/>
      <x:c r="J23" s="150"/>
    </x:row>
    <x:row r="24" ht="32" customHeight="1">
      <x:c r="A24" s="150"/>
      <x:c r="B24" s="150"/>
      <x:c r="C24" s="150" t="str">
        <x:v>Exploratory base cash flow</x:v>
      </x:c>
      <x:c r="D24" s="87" t="str">
        <x:f>IF(Refresh_Required,"REFRESH REQUIRED",IF(H13,IF(H9,"Meets tested case","Shortfall"),"Target not attained"))</x:f>
        <x:v>Meets tested case</x:v>
      </x:c>
      <x:c r="E24" s="150"/>
      <x:c r="F24" s="150"/>
      <x:c r="G24" s="150"/>
      <x:c r="H24" s="150"/>
      <x:c r="I24" s="150"/>
      <x:c r="J24" s="150"/>
    </x:row>
    <x:row r="25" ht="32" customHeight="1">
      <x:c r="A25" s="150"/>
      <x:c r="B25" s="150"/>
      <x:c r="C25" s="150" t="str">
        <x:v>Senior missed timely interest</x:v>
      </x:c>
      <x:c r="D25" s="101" t="n">
        <x:f>IF(Refresh_Required,"REFRESH REQUIRED",H10)</x:f>
        <x:v>0</x:v>
      </x:c>
      <x:c r="E25" s="150"/>
      <x:c r="F25" s="150"/>
      <x:c r="G25" s="150"/>
      <x:c r="H25" s="150"/>
      <x:c r="I25" s="150"/>
      <x:c r="J25" s="150"/>
    </x:row>
    <x:row r="26" ht="32" customHeight="1">
      <x:c r="A26" s="150"/>
      <x:c r="B26" s="150"/>
      <x:c r="C26" s="150" t="str">
        <x:v>Senior final principal shortfall</x:v>
      </x:c>
      <x:c r="D26" s="101" t="n">
        <x:f>IF(Refresh_Required,"REFRESH REQUIRED",H11)</x:f>
        <x:v>0</x:v>
      </x:c>
      <x:c r="E26" s="150"/>
      <x:c r="F26" s="150"/>
      <x:c r="G26" s="150"/>
      <x:c r="H26" s="150"/>
      <x:c r="I26" s="150"/>
      <x:c r="J26" s="150"/>
    </x:row>
    <x:row r="27" ht="32" customHeight="1">
      <x:c r="A27" s="150"/>
      <x:c r="B27" s="150"/>
      <x:c r="C27" s="150" t="str">
        <x:v>Supplemental test sufficiency</x:v>
      </x:c>
      <x:c r="D27" s="154" t="str">
        <x:v>NOT ASSESSED</x:v>
      </x:c>
      <x:c r="E27" s="150"/>
      <x:c r="F27" s="150"/>
      <x:c r="G27" s="150"/>
      <x:c r="H27" s="150"/>
      <x:c r="I27" s="150"/>
      <x:c r="J27" s="150"/>
    </x:row>
    <x:row r="28">
      <x:c r="A28" s="150"/>
      <x:c r="B28" s="150"/>
      <x:c r="C28" s="150" t="str">
        <x:v>Exploratory grid: last tested pass</x:v>
      </x:c>
      <x:c r="D28" s="75" t="n">
        <x:f>IF(Refresh_Required,"REFRESH REQUIRED",IF(ISNUMBER(H14),H14,"Unavailable"))</x:f>
        <x:v>0.6</x:v>
      </x:c>
      <x:c r="E28" s="150"/>
      <x:c r="F28" s="150"/>
      <x:c r="G28" s="150"/>
      <x:c r="H28" s="150"/>
      <x:c r="I28" s="150"/>
      <x:c r="J28" s="150"/>
    </x:row>
    <x:row r="29">
      <x:c r="A29" s="150"/>
      <x:c r="B29" s="150"/>
      <x:c r="C29" s="150" t="str">
        <x:v>Exploratory grid: first tested failure</x:v>
      </x:c>
      <x:c r="D29" s="75" t="n">
        <x:f>IF(Refresh_Required,"REFRESH REQUIRED",IF(ISNUMBER(H15),H15,"Unavailable"))</x:f>
        <x:v>0.65</x:v>
      </x:c>
      <x:c r="E29" s="150"/>
      <x:c r="F29" s="150"/>
      <x:c r="G29" s="150"/>
      <x:c r="H29" s="150"/>
      <x:c r="I29" s="150"/>
      <x:c r="J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</x:row>
    <x:row r="31">
      <x:c r="A31" s="150"/>
      <x:c r="B31" s="150"/>
      <x:c r="C31" s="150" t="str">
        <x:v>Review sequence</x:v>
      </x:c>
      <x:c r="D31" s="150"/>
      <x:c r="E31" s="150"/>
      <x:c r="F31" s="150"/>
      <x:c r="G31" s="150"/>
      <x:c r="H31" s="150"/>
      <x:c r="I31" s="150"/>
      <x:c r="J31" s="150"/>
    </x:row>
    <x:row r="32">
      <x:c r="A32" s="150"/>
      <x:c r="B32" s="150"/>
      <x:c r="C32" s="150" t="str">
        <x:v>1. Check inputs, mappings and assumption provenance.</x:v>
      </x:c>
      <x:c r="D32" s="150"/>
      <x:c r="E32" s="150"/>
      <x:c r="F32" s="150"/>
      <x:c r="G32" s="150"/>
      <x:c r="H32" s="150"/>
      <x:c r="I32" s="150"/>
      <x:c r="J32" s="150"/>
    </x:row>
    <x:row r="33">
      <x:c r="A33" s="150"/>
      <x:c r="B33" s="150"/>
      <x:c r="C33" s="150" t="str">
        <x:v>2. Review Portfolio Calc and common-obligor grouping.</x:v>
      </x:c>
      <x:c r="D33" s="150"/>
      <x:c r="E33" s="150"/>
      <x:c r="F33" s="150"/>
      <x:c r="G33" s="150"/>
      <x:c r="H33" s="150"/>
      <x:c r="I33" s="150"/>
      <x:c r="J33" s="150"/>
    </x:row>
    <x:row r="34">
      <x:c r="A34" s="150"/>
      <x:c r="B34" s="150"/>
      <x:c r="C34" s="150" t="str">
        <x:v>3. Review senior sensitivities, target attainment and cash flows.</x:v>
      </x:c>
      <x:c r="D34" s="150"/>
      <x:c r="E34" s="150"/>
      <x:c r="F34" s="150"/>
      <x:c r="G34" s="150"/>
      <x:c r="H34" s="150"/>
      <x:c r="I34" s="150"/>
      <x:c r="J34" s="150"/>
    </x:row>
    <x:row r="35">
      <x:c r="A35" s="150"/>
      <x:c r="B35" s="150"/>
      <x:c r="C35" s="150" t="str">
        <x:v>4. Review all Checks and Methodology limitations before using results.</x:v>
      </x:c>
      <x:c r="D35" s="150"/>
      <x:c r="E35" s="150"/>
      <x:c r="F35" s="150"/>
      <x:c r="G35" s="150"/>
      <x:c r="H35" s="150"/>
      <x:c r="I35" s="150"/>
      <x:c r="J35" s="150"/>
    </x:row>
    <x:row r="36">
      <x:c r="A36" s="150"/>
      <x:c r="B36" s="150"/>
      <x:c r="C36" s="150"/>
      <x:c r="D36" s="150"/>
      <x:c r="E36" s="150"/>
      <x:c r="F36" s="150"/>
      <x:c r="G36" s="150"/>
      <x:c r="H36" s="150"/>
      <x:c r="I36" s="150"/>
      <x:c r="J36" s="150"/>
    </x:row>
    <x:row r="37">
      <x:c r="A37" s="150"/>
      <x:c r="B37" s="150"/>
      <x:c r="C37" s="150" t="str">
        <x:v>See Agency Comparison for the separate S&amp;P and Fitch metrics and missing prerequisites.</x:v>
      </x:c>
      <x:c r="D37" s="150"/>
      <x:c r="E37" s="150"/>
      <x:c r="F37" s="150"/>
      <x:c r="G37" s="150"/>
      <x:c r="H37" s="150"/>
      <x:c r="I37" s="150"/>
      <x:c r="J37" s="15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3" hidden="0" customWidth="1"/>
    <x:col min="27" max="27" width="23" hidden="0" customWidth="1"/>
    <x:col min="28" max="28" width="23" hidden="0" customWidth="1"/>
  </x:cols>
  <x:sheetData>
    <x:row r="1">
      <x:c r="A1" s="112" t="str">
        <x:v>Shared source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50"/>
      <x:c r="AA1" s="150"/>
      <x:c r="AB1" s="150"/>
    </x:row>
    <x:row r="2">
      <x:c r="A2" s="2" t="str">
        <x:v>Portfolio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50"/>
      <x:c r="AA2" s="150"/>
      <x:c r="AB2" s="150"/>
    </x:row>
    <x:row r="3">
      <x:c r="A3" s="1" t="str">
        <x:v>Imported CSV fields. Edit the CSV for refresh; workbook edits flag Python results as stale.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50"/>
      <x:c r="AA3" s="150"/>
      <x:c r="AB3" s="150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50"/>
      <x:c r="AA4" s="150"/>
      <x:c r="AB4" s="150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50"/>
      <x:c r="AA5" s="150"/>
      <x:c r="AB5" s="150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50"/>
      <x:c r="AA6" s="150"/>
      <x:c r="AB6" s="150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7" t="str">
        <x:v>weight</x:v>
      </x:c>
      <x:c r="T7" s="7" t="str">
        <x:v>term_years</x:v>
      </x:c>
      <x:c r="U7" s="7" t="str">
        <x:v>floating_par_x_spread</x:v>
      </x:c>
      <x:c r="V7" s="7" t="str">
        <x:v>par_x_recovery</x:v>
      </x:c>
      <x:c r="W7" s="7" t="str">
        <x:v>input_changes</x:v>
      </x:c>
      <x:c r="X7" s="7" t="str">
        <x:v>duplicate_id</x:v>
      </x:c>
      <x:c r="Y7" s="7" t="str">
        <x:v>field_errors</x:v>
      </x:c>
      <x:c r="Z7" s="7" t="str">
        <x:v>SP_rating_factor</x:v>
      </x:c>
      <x:c r="AA7" s="7" t="str">
        <x:v>par_x_SP_factor</x:v>
      </x:c>
      <x:c r="AB7" s="7" t="str">
        <x:v>par_x_SP_abs_deviation</x:v>
      </x:c>
    </x:row>
    <x:row r="8">
      <x:c r="A8" s="8" t="str">
        <x:v>SYN-LN-00001</x:v>
      </x:c>
      <x:c r="B8" s="8" t="str">
        <x:v>SYN-OB-0001</x:v>
      </x:c>
      <x:c r="C8" s="8" t="str">
        <x:v>Alder Holdings 001</x:v>
      </x:c>
      <x:c r="D8" s="9" t="n">
        <x:v>1182000</x:v>
      </x:c>
      <x:c r="E8" s="8" t="str">
        <x:v>BB-</x:v>
      </x:c>
      <x:c r="F8" s="8" t="str">
        <x:v>Hotels, Restaurants &amp; Leisure</x:v>
      </x:c>
      <x:c r="G8" s="8" t="str">
        <x:v>United States</x:v>
      </x:c>
      <x:c r="H8" s="8" t="str">
        <x:v>1st Lien</x:v>
      </x:c>
      <x:c r="I8" s="8" t="str">
        <x:v>Floating</x:v>
      </x:c>
      <x:c r="J8" s="8" t="n">
        <x:v>220</x:v>
      </x:c>
      <x:c r="K8" s="10"/>
      <x:c r="L8" s="8" t="n">
        <x:v>0</x:v>
      </x:c>
      <x:c r="M8" s="11" t="n">
        <x:v>48882</x:v>
      </x:c>
      <x:c r="N8" s="10" t="n">
        <x:v>0.395</x:v>
      </x:c>
      <x:c r="O8" s="12" t="n">
        <x:v>101.5</x:v>
      </x:c>
      <x:c r="P8" s="13" t="n">
        <x:v>4</x:v>
      </x:c>
      <x:c r="Q8" s="8" t="str">
        <x:v>USD</x:v>
      </x:c>
      <x:c r="R8" s="8" t="str">
        <x:v>SOFR</x:v>
      </x:c>
      <x:c r="S8" s="18" t="n">
        <x:f>IF(Portfolio_Par&gt;0,D8/Portfolio_Par,"")</x:f>
        <x:v>0.021204075774971298</x:v>
      </x:c>
      <x:c r="T8" s="19" t="n">
        <x:f>IF(A8="","",(M8-as_of_date)/365.25)</x:f>
        <x:v>6.828199863107461</x:v>
      </x:c>
      <x:c r="U8" s="20" t="n">
        <x:f>IF(I8="Floating",D8*J8,0)</x:f>
        <x:v>260040000</x:v>
      </x:c>
      <x:c r="V8" s="20" t="n">
        <x:f>IF(A8="","",D8*N8)</x:f>
        <x:v>466890</x:v>
      </x:c>
      <x:c r="W8" s="14" t="n">
        <x:f>IF(A8='Run Snapshot'!A8,0,1)+IF(B8='Run Snapshot'!B8,0,1)+IF(C8='Run Snapshot'!C8,0,1)+IF(D8='Run Snapshot'!D8,0,1)+IF(E8='Run Snapshot'!E8,0,1)+IF(F8='Run Snapshot'!F8,0,1)+IF(G8='Run Snapshot'!G8,0,1)+IF(H8='Run Snapshot'!H8,0,1)+IF(I8='Run Snapshot'!I8,0,1)+IF(J8='Run Snapshot'!J8,0,1)+IF(K8='Run Snapshot'!K8,0,1)+IF(L8='Run Snapshot'!L8,0,1)+IF(M8='Run Snapshot'!M8,0,1)+IF(N8='Run Snapshot'!N8,0,1)+IF(O8='Run Snapshot'!O8,0,1)+IF(P8='Run Snapshot'!P8,0,1)+IF(Q8='Run Snapshot'!Q8,0,1)+IF(R8='Run Snapshot'!R8,0,1)</x:f>
        <x:v>0</x:v>
      </x:c>
      <x:c r="X8" s="15" t="n">
        <x:f>IF(A8="",0,COUNTIF($A$8:$A$59,A8)-1)</x:f>
        <x:v>0</x:v>
      </x:c>
      <x:c r="Y8" s="14" t="n">
        <x:f>IF(A8="",1,IF(OR(D8&lt;=0,N8&lt;0,N8&gt;1,M8&lt;=as_of_date),1,0))</x:f>
        <x:v>0</x:v>
      </x:c>
      <x:c r="Z8" s="170" t="n">
        <x:f>IF(A8="","",VLOOKUP(E8,SP_WARF_Factors,2,FALSE))</x:f>
        <x:v>1565.44</x:v>
      </x:c>
      <x:c r="AA8" s="172" t="n">
        <x:f>IF(A8="","",D8*Z8)</x:f>
        <x:v>1850350080</x:v>
      </x:c>
      <x:c r="AB8" s="170" t="n">
        <x:f>IF(A8="","",D8*ABS(Z8-SPWARF))</x:f>
        <x:v>801754532.9319749</x:v>
      </x:c>
    </x:row>
    <x:row r="9">
      <x:c r="A9" s="8" t="str">
        <x:v>SYN-LN-00002</x:v>
      </x:c>
      <x:c r="B9" s="8" t="str">
        <x:v>SYN-OB-0002</x:v>
      </x:c>
      <x:c r="C9" s="8" t="str">
        <x:v>Amber Inc. 002</x:v>
      </x:c>
      <x:c r="D9" s="9" t="n">
        <x:v>586000</x:v>
      </x:c>
      <x:c r="E9" s="8" t="str">
        <x:v>BBB</x:v>
      </x:c>
      <x:c r="F9" s="8" t="str">
        <x:v>IT Services</x:v>
      </x:c>
      <x:c r="G9" s="8" t="str">
        <x:v>United Kingdom</x:v>
      </x:c>
      <x:c r="H9" s="8" t="str">
        <x:v>Sr Unsec</x:v>
      </x:c>
      <x:c r="I9" s="8" t="str">
        <x:v>Floating</x:v>
      </x:c>
      <x:c r="J9" s="8" t="n">
        <x:v>220</x:v>
      </x:c>
      <x:c r="K9" s="10"/>
      <x:c r="L9" s="8" t="n">
        <x:v>0</x:v>
      </x:c>
      <x:c r="M9" s="11" t="n">
        <x:v>47894</x:v>
      </x:c>
      <x:c r="N9" s="10" t="n">
        <x:v>0.2</x:v>
      </x:c>
      <x:c r="O9" s="12" t="n">
        <x:v>96.5</x:v>
      </x:c>
      <x:c r="P9" s="13" t="n">
        <x:v>4</x:v>
      </x:c>
      <x:c r="Q9" s="8" t="str">
        <x:v>USD</x:v>
      </x:c>
      <x:c r="R9" s="8" t="str">
        <x:v>SOFR</x:v>
      </x:c>
      <x:c r="S9" s="18" t="n">
        <x:f>IF(Portfolio_Par&gt;0,D9/Portfolio_Par,"")</x:f>
        <x:v>0.010512342135476464</x:v>
      </x:c>
      <x:c r="T9" s="19" t="n">
        <x:f>IF(A9="","",(M9-as_of_date)/365.25)</x:f>
        <x:v>4.123203285420945</x:v>
      </x:c>
      <x:c r="U9" s="20" t="n">
        <x:f>IF(I9="Floating",D9*J9,0)</x:f>
        <x:v>128920000</x:v>
      </x:c>
      <x:c r="V9" s="20" t="n">
        <x:f>IF(A9="","",D9*N9)</x:f>
        <x:v>117200</x:v>
      </x:c>
      <x:c r="W9" s="14" t="n">
        <x:f>IF(A9='Run Snapshot'!A9,0,1)+IF(B9='Run Snapshot'!B9,0,1)+IF(C9='Run Snapshot'!C9,0,1)+IF(D9='Run Snapshot'!D9,0,1)+IF(E9='Run Snapshot'!E9,0,1)+IF(F9='Run Snapshot'!F9,0,1)+IF(G9='Run Snapshot'!G9,0,1)+IF(H9='Run Snapshot'!H9,0,1)+IF(I9='Run Snapshot'!I9,0,1)+IF(J9='Run Snapshot'!J9,0,1)+IF(K9='Run Snapshot'!K9,0,1)+IF(L9='Run Snapshot'!L9,0,1)+IF(M9='Run Snapshot'!M9,0,1)+IF(N9='Run Snapshot'!N9,0,1)+IF(O9='Run Snapshot'!O9,0,1)+IF(P9='Run Snapshot'!P9,0,1)+IF(Q9='Run Snapshot'!Q9,0,1)+IF(R9='Run Snapshot'!R9,0,1)</x:f>
        <x:v>0</x:v>
      </x:c>
      <x:c r="X9" s="15" t="n">
        <x:f>IF(A9="",0,COUNTIF($A$8:$A$59,A9)-1)</x:f>
        <x:v>0</x:v>
      </x:c>
      <x:c r="Y9" s="14" t="n">
        <x:f>IF(A9="",1,IF(OR(D9&lt;=0,N9&lt;0,N9&gt;1,M9&lt;=as_of_date),1,0))</x:f>
        <x:v>0</x:v>
      </x:c>
      <x:c r="Z9" s="170" t="n">
        <x:f>IF(A9="","",VLOOKUP(E9,SP_WARF_Factors,2,FALSE))</x:f>
        <x:v>361.17</x:v>
      </x:c>
      <x:c r="AA9" s="172" t="n">
        <x:f>IF(A9="","",D9*Z9)</x:f>
        <x:v>211645620</x:v>
      </x:c>
      <x:c r="AB9" s="170" t="n">
        <x:f>IF(A9="","",D9*ABS(Z9-SPWARF))</x:f>
        <x:v>1103187969.8292193</x:v>
      </x:c>
    </x:row>
    <x:row r="10">
      <x:c r="A10" s="8" t="str">
        <x:v>SYN-LN-00003</x:v>
      </x:c>
      <x:c r="B10" s="8" t="str">
        <x:v>SYN-OB-0003</x:v>
      </x:c>
      <x:c r="C10" s="8" t="str">
        <x:v>Arbor Corp. 003</x:v>
      </x:c>
      <x:c r="D10" s="9" t="n">
        <x:v>1182000</x:v>
      </x:c>
      <x:c r="E10" s="8" t="str">
        <x:v>B</x:v>
      </x:c>
      <x:c r="F10" s="8" t="str">
        <x:v>Industrial Conglomerates</x:v>
      </x:c>
      <x:c r="G10" s="8" t="str">
        <x:v>United States</x:v>
      </x:c>
      <x:c r="H10" s="8" t="str">
        <x:v>1st Lien</x:v>
      </x:c>
      <x:c r="I10" s="8" t="str">
        <x:v>Floating</x:v>
      </x:c>
      <x:c r="J10" s="8" t="n">
        <x:v>255</x:v>
      </x:c>
      <x:c r="K10" s="10"/>
      <x:c r="L10" s="8" t="n">
        <x:v>0</x:v>
      </x:c>
      <x:c r="M10" s="11" t="n">
        <x:v>48319</x:v>
      </x:c>
      <x:c r="N10" s="10" t="n">
        <x:v>0.405</x:v>
      </x:c>
      <x:c r="O10" s="12" t="n">
        <x:v>100.25</x:v>
      </x:c>
      <x:c r="P10" s="13" t="n">
        <x:v>4</x:v>
      </x:c>
      <x:c r="Q10" s="8" t="str">
        <x:v>USD</x:v>
      </x:c>
      <x:c r="R10" s="8" t="str">
        <x:v>SOFR</x:v>
      </x:c>
      <x:c r="S10" s="18" t="n">
        <x:f>IF(Portfolio_Par&gt;0,D10/Portfolio_Par,"")</x:f>
        <x:v>0.021204075774971298</x:v>
      </x:c>
      <x:c r="T10" s="19" t="n">
        <x:f>IF(A10="","",(M10-as_of_date)/365.25)</x:f>
        <x:v>5.286789869952088</x:v>
      </x:c>
      <x:c r="U10" s="20" t="n">
        <x:f>IF(I10="Floating",D10*J10,0)</x:f>
        <x:v>301410000</x:v>
      </x:c>
      <x:c r="V10" s="20" t="n">
        <x:f>IF(A10="","",D10*N10)</x:f>
        <x:v>478710.00000000006</x:v>
      </x:c>
      <x:c r="W10" s="14" t="n">
        <x:f>IF(A10='Run Snapshot'!A10,0,1)+IF(B10='Run Snapshot'!B10,0,1)+IF(C10='Run Snapshot'!C10,0,1)+IF(D10='Run Snapshot'!D10,0,1)+IF(E10='Run Snapshot'!E10,0,1)+IF(F10='Run Snapshot'!F10,0,1)+IF(G10='Run Snapshot'!G10,0,1)+IF(H10='Run Snapshot'!H10,0,1)+IF(I10='Run Snapshot'!I10,0,1)+IF(J10='Run Snapshot'!J10,0,1)+IF(K10='Run Snapshot'!K10,0,1)+IF(L10='Run Snapshot'!L10,0,1)+IF(M10='Run Snapshot'!M10,0,1)+IF(N10='Run Snapshot'!N10,0,1)+IF(O10='Run Snapshot'!O10,0,1)+IF(P10='Run Snapshot'!P10,0,1)+IF(Q10='Run Snapshot'!Q10,0,1)+IF(R10='Run Snapshot'!R10,0,1)</x:f>
        <x:v>0</x:v>
      </x:c>
      <x:c r="X10" s="15" t="n">
        <x:f>IF(A10="",0,COUNTIF($A$8:$A$59,A10)-1)</x:f>
        <x:v>0</x:v>
      </x:c>
      <x:c r="Y10" s="14" t="n">
        <x:f>IF(A10="",1,IF(OR(D10&lt;=0,N10&lt;0,N10&gt;1,M10&lt;=as_of_date),1,0))</x:f>
        <x:v>0</x:v>
      </x:c>
      <x:c r="Z10" s="170" t="n">
        <x:f>IF(A10="","",VLOOKUP(E10,SP_WARF_Factors,2,FALSE))</x:f>
        <x:v>2859.5</x:v>
      </x:c>
      <x:c r="AA10" s="172" t="n">
        <x:f>IF(A10="","",D10*Z10)</x:f>
        <x:v>3379929000</x:v>
      </x:c>
      <x:c r="AB10" s="170" t="n">
        <x:f>IF(A10="","",D10*ABS(Z10-SPWARF))</x:f>
        <x:v>727824387.0680251</x:v>
      </x:c>
    </x:row>
    <x:row r="11">
      <x:c r="A11" s="8" t="str">
        <x:v>SYN-LN-00004</x:v>
      </x:c>
      <x:c r="B11" s="8" t="str">
        <x:v>SYN-OB-0004</x:v>
      </x:c>
      <x:c r="C11" s="8" t="str">
        <x:v>Atlas Group 004</x:v>
      </x:c>
      <x:c r="D11" s="9" t="n">
        <x:v>1182000</x:v>
      </x:c>
      <x:c r="E11" s="8" t="str">
        <x:v>B-</x:v>
      </x:c>
      <x:c r="F11" s="8" t="str">
        <x:v>Financial services</x:v>
      </x:c>
      <x:c r="G11" s="8" t="str">
        <x:v>United States</x:v>
      </x:c>
      <x:c r="H11" s="8" t="str">
        <x:v>1st Lien</x:v>
      </x:c>
      <x:c r="I11" s="8" t="str">
        <x:v>Floating</x:v>
      </x:c>
      <x:c r="J11" s="8" t="n">
        <x:v>575</x:v>
      </x:c>
      <x:c r="K11" s="10"/>
      <x:c r="L11" s="8" t="n">
        <x:v>0</x:v>
      </x:c>
      <x:c r="M11" s="11" t="n">
        <x:v>47968</x:v>
      </x:c>
      <x:c r="N11" s="10" t="n">
        <x:v>0.305</x:v>
      </x:c>
      <x:c r="O11" s="12" t="n">
        <x:v>101.25</x:v>
      </x:c>
      <x:c r="P11" s="13" t="n">
        <x:v>4</x:v>
      </x:c>
      <x:c r="Q11" s="8" t="str">
        <x:v>USD</x:v>
      </x:c>
      <x:c r="R11" s="8" t="str">
        <x:v>SOFR</x:v>
      </x:c>
      <x:c r="S11" s="18" t="n">
        <x:f>IF(Portfolio_Par&gt;0,D11/Portfolio_Par,"")</x:f>
        <x:v>0.021204075774971298</x:v>
      </x:c>
      <x:c r="T11" s="19" t="n">
        <x:f>IF(A11="","",(M11-as_of_date)/365.25)</x:f>
        <x:v>4.32580424366872</x:v>
      </x:c>
      <x:c r="U11" s="20" t="n">
        <x:f>IF(I11="Floating",D11*J11,0)</x:f>
        <x:v>679650000</x:v>
      </x:c>
      <x:c r="V11" s="20" t="n">
        <x:f>IF(A11="","",D11*N11)</x:f>
        <x:v>360510</x:v>
      </x:c>
      <x:c r="W11" s="14" t="n">
        <x:f>IF(A11='Run Snapshot'!A11,0,1)+IF(B11='Run Snapshot'!B11,0,1)+IF(C11='Run Snapshot'!C11,0,1)+IF(D11='Run Snapshot'!D11,0,1)+IF(E11='Run Snapshot'!E11,0,1)+IF(F11='Run Snapshot'!F11,0,1)+IF(G11='Run Snapshot'!G11,0,1)+IF(H11='Run Snapshot'!H11,0,1)+IF(I11='Run Snapshot'!I11,0,1)+IF(J11='Run Snapshot'!J11,0,1)+IF(K11='Run Snapshot'!K11,0,1)+IF(L11='Run Snapshot'!L11,0,1)+IF(M11='Run Snapshot'!M11,0,1)+IF(N11='Run Snapshot'!N11,0,1)+IF(O11='Run Snapshot'!O11,0,1)+IF(P11='Run Snapshot'!P11,0,1)+IF(Q11='Run Snapshot'!Q11,0,1)+IF(R11='Run Snapshot'!R11,0,1)</x:f>
        <x:v>0</x:v>
      </x:c>
      <x:c r="X11" s="15" t="n">
        <x:f>IF(A11="",0,COUNTIF($A$8:$A$59,A11)-1)</x:f>
        <x:v>0</x:v>
      </x:c>
      <x:c r="Y11" s="14" t="n">
        <x:f>IF(A11="",1,IF(OR(D11&lt;=0,N11&lt;0,N11&gt;1,M11&lt;=as_of_date),1,0))</x:f>
        <x:v>0</x:v>
      </x:c>
      <x:c r="Z11" s="170" t="n">
        <x:f>IF(A11="","",VLOOKUP(E11,SP_WARF_Factors,2,FALSE))</x:f>
        <x:v>3610.11</x:v>
      </x:c>
      <x:c r="AA11" s="172" t="n">
        <x:f>IF(A11="","",D11*Z11)</x:f>
        <x:v>4267150020</x:v>
      </x:c>
      <x:c r="AB11" s="170" t="n">
        <x:f>IF(A11="","",D11*ABS(Z11-SPWARF))</x:f>
        <x:v>1615045407.0680254</x:v>
      </x:c>
    </x:row>
    <x:row r="12">
      <x:c r="A12" s="8" t="str">
        <x:v>SYN-LN-00005</x:v>
      </x:c>
      <x:c r="B12" s="8" t="str">
        <x:v>SYN-OB-0005</x:v>
      </x:c>
      <x:c r="C12" s="8" t="str">
        <x:v>Beacon LLC 005</x:v>
      </x:c>
      <x:c r="D12" s="9" t="n">
        <x:v>1182000</x:v>
      </x:c>
      <x:c r="E12" s="8" t="str">
        <x:v>B</x:v>
      </x:c>
      <x:c r="F12" s="8" t="str">
        <x:v>Healthcare Providers &amp; Services</x:v>
      </x:c>
      <x:c r="G12" s="8" t="str">
        <x:v>United States</x:v>
      </x:c>
      <x:c r="H12" s="8" t="str">
        <x:v>1st Lien</x:v>
      </x:c>
      <x:c r="I12" s="8" t="str">
        <x:v>Floating</x:v>
      </x:c>
      <x:c r="J12" s="8" t="n">
        <x:v>195</x:v>
      </x:c>
      <x:c r="K12" s="10"/>
      <x:c r="L12" s="8" t="n">
        <x:v>0</x:v>
      </x:c>
      <x:c r="M12" s="11" t="n">
        <x:v>47937</x:v>
      </x:c>
      <x:c r="N12" s="10" t="n">
        <x:v>0.36</x:v>
      </x:c>
      <x:c r="O12" s="12" t="n">
        <x:v>96.75</x:v>
      </x:c>
      <x:c r="P12" s="13" t="n">
        <x:v>4</x:v>
      </x:c>
      <x:c r="Q12" s="8" t="str">
        <x:v>USD</x:v>
      </x:c>
      <x:c r="R12" s="8" t="str">
        <x:v>SOFR</x:v>
      </x:c>
      <x:c r="S12" s="18" t="n">
        <x:f>IF(Portfolio_Par&gt;0,D12/Portfolio_Par,"")</x:f>
        <x:v>0.021204075774971298</x:v>
      </x:c>
      <x:c r="T12" s="19" t="n">
        <x:f>IF(A12="","",(M12-as_of_date)/365.25)</x:f>
        <x:v>4.240930869267625</x:v>
      </x:c>
      <x:c r="U12" s="20" t="n">
        <x:f>IF(I12="Floating",D12*J12,0)</x:f>
        <x:v>230490000</x:v>
      </x:c>
      <x:c r="V12" s="20" t="n">
        <x:f>IF(A12="","",D12*N12)</x:f>
        <x:v>425520</x:v>
      </x:c>
      <x:c r="W12" s="14" t="n">
        <x:f>IF(A12='Run Snapshot'!A12,0,1)+IF(B12='Run Snapshot'!B12,0,1)+IF(C12='Run Snapshot'!C12,0,1)+IF(D12='Run Snapshot'!D12,0,1)+IF(E12='Run Snapshot'!E12,0,1)+IF(F12='Run Snapshot'!F12,0,1)+IF(G12='Run Snapshot'!G12,0,1)+IF(H12='Run Snapshot'!H12,0,1)+IF(I12='Run Snapshot'!I12,0,1)+IF(J12='Run Snapshot'!J12,0,1)+IF(K12='Run Snapshot'!K12,0,1)+IF(L12='Run Snapshot'!L12,0,1)+IF(M12='Run Snapshot'!M12,0,1)+IF(N12='Run Snapshot'!N12,0,1)+IF(O12='Run Snapshot'!O12,0,1)+IF(P12='Run Snapshot'!P12,0,1)+IF(Q12='Run Snapshot'!Q12,0,1)+IF(R12='Run Snapshot'!R12,0,1)</x:f>
        <x:v>0</x:v>
      </x:c>
      <x:c r="X12" s="15" t="n">
        <x:f>IF(A12="",0,COUNTIF($A$8:$A$59,A12)-1)</x:f>
        <x:v>0</x:v>
      </x:c>
      <x:c r="Y12" s="14" t="n">
        <x:f>IF(A12="",1,IF(OR(D12&lt;=0,N12&lt;0,N12&gt;1,M12&lt;=as_of_date),1,0))</x:f>
        <x:v>0</x:v>
      </x:c>
      <x:c r="Z12" s="170" t="n">
        <x:f>IF(A12="","",VLOOKUP(E12,SP_WARF_Factors,2,FALSE))</x:f>
        <x:v>2859.5</x:v>
      </x:c>
      <x:c r="AA12" s="172" t="n">
        <x:f>IF(A12="","",D12*Z12)</x:f>
        <x:v>3379929000</x:v>
      </x:c>
      <x:c r="AB12" s="170" t="n">
        <x:f>IF(A12="","",D12*ABS(Z12-SPWARF))</x:f>
        <x:v>727824387.0680251</x:v>
      </x:c>
    </x:row>
    <x:row r="13">
      <x:c r="A13" s="8" t="str">
        <x:v>SYN-LN-00006</x:v>
      </x:c>
      <x:c r="B13" s="8" t="str">
        <x:v>SYN-OB-0006</x:v>
      </x:c>
      <x:c r="C13" s="8" t="str">
        <x:v>Bluewater Holdings 006</x:v>
      </x:c>
      <x:c r="D13" s="9" t="n">
        <x:v>1182000</x:v>
      </x:c>
      <x:c r="E13" s="8" t="str">
        <x:v>B</x:v>
      </x:c>
      <x:c r="F13" s="8" t="str">
        <x:v>Chemicals</x:v>
      </x:c>
      <x:c r="G13" s="8" t="str">
        <x:v>United States</x:v>
      </x:c>
      <x:c r="H13" s="8" t="str">
        <x:v>1st Lien</x:v>
      </x:c>
      <x:c r="I13" s="8" t="str">
        <x:v>Floating</x:v>
      </x:c>
      <x:c r="J13" s="8" t="n">
        <x:v>325</x:v>
      </x:c>
      <x:c r="K13" s="10"/>
      <x:c r="L13" s="8" t="n">
        <x:v>0</x:v>
      </x:c>
      <x:c r="M13" s="11" t="n">
        <x:v>48594</x:v>
      </x:c>
      <x:c r="N13" s="10" t="n">
        <x:v>0.43</x:v>
      </x:c>
      <x:c r="O13" s="12" t="n">
        <x:v>99</x:v>
      </x:c>
      <x:c r="P13" s="13" t="n">
        <x:v>4</x:v>
      </x:c>
      <x:c r="Q13" s="8" t="str">
        <x:v>USD</x:v>
      </x:c>
      <x:c r="R13" s="8" t="str">
        <x:v>SOFR</x:v>
      </x:c>
      <x:c r="S13" s="18" t="n">
        <x:f>IF(Portfolio_Par&gt;0,D13/Portfolio_Par,"")</x:f>
        <x:v>0.021204075774971298</x:v>
      </x:c>
      <x:c r="T13" s="19" t="n">
        <x:f>IF(A13="","",(M13-as_of_date)/365.25)</x:f>
        <x:v>6.039698836413415</x:v>
      </x:c>
      <x:c r="U13" s="20" t="n">
        <x:f>IF(I13="Floating",D13*J13,0)</x:f>
        <x:v>384150000</x:v>
      </x:c>
      <x:c r="V13" s="20" t="n">
        <x:f>IF(A13="","",D13*N13)</x:f>
        <x:v>508260</x:v>
      </x:c>
      <x:c r="W13" s="14" t="n">
        <x:f>IF(A13='Run Snapshot'!A13,0,1)+IF(B13='Run Snapshot'!B13,0,1)+IF(C13='Run Snapshot'!C13,0,1)+IF(D13='Run Snapshot'!D13,0,1)+IF(E13='Run Snapshot'!E13,0,1)+IF(F13='Run Snapshot'!F13,0,1)+IF(G13='Run Snapshot'!G13,0,1)+IF(H13='Run Snapshot'!H13,0,1)+IF(I13='Run Snapshot'!I13,0,1)+IF(J13='Run Snapshot'!J13,0,1)+IF(K13='Run Snapshot'!K13,0,1)+IF(L13='Run Snapshot'!L13,0,1)+IF(M13='Run Snapshot'!M13,0,1)+IF(N13='Run Snapshot'!N13,0,1)+IF(O13='Run Snapshot'!O13,0,1)+IF(P13='Run Snapshot'!P13,0,1)+IF(Q13='Run Snapshot'!Q13,0,1)+IF(R13='Run Snapshot'!R13,0,1)</x:f>
        <x:v>0</x:v>
      </x:c>
      <x:c r="X13" s="15" t="n">
        <x:f>IF(A13="",0,COUNTIF($A$8:$A$59,A13)-1)</x:f>
        <x:v>0</x:v>
      </x:c>
      <x:c r="Y13" s="14" t="n">
        <x:f>IF(A13="",1,IF(OR(D13&lt;=0,N13&lt;0,N13&gt;1,M13&lt;=as_of_date),1,0))</x:f>
        <x:v>0</x:v>
      </x:c>
      <x:c r="Z13" s="170" t="n">
        <x:f>IF(A13="","",VLOOKUP(E13,SP_WARF_Factors,2,FALSE))</x:f>
        <x:v>2859.5</x:v>
      </x:c>
      <x:c r="AA13" s="172" t="n">
        <x:f>IF(A13="","",D13*Z13)</x:f>
        <x:v>3379929000</x:v>
      </x:c>
      <x:c r="AB13" s="170" t="n">
        <x:f>IF(A13="","",D13*ABS(Z13-SPWARF))</x:f>
        <x:v>727824387.0680251</x:v>
      </x:c>
    </x:row>
    <x:row r="14">
      <x:c r="A14" s="8" t="str">
        <x:v>SYN-LN-00007</x:v>
      </x:c>
      <x:c r="B14" s="8" t="str">
        <x:v>SYN-OB-0007</x:v>
      </x:c>
      <x:c r="C14" s="8" t="str">
        <x:v>Bracken Inc. 007</x:v>
      </x:c>
      <x:c r="D14" s="9" t="n">
        <x:v>1182000</x:v>
      </x:c>
      <x:c r="E14" s="8" t="str">
        <x:v>B</x:v>
      </x:c>
      <x:c r="F14" s="8" t="str">
        <x:v>Building Products</x:v>
      </x:c>
      <x:c r="G14" s="8" t="str">
        <x:v>United States</x:v>
      </x:c>
      <x:c r="H14" s="8" t="str">
        <x:v>1st Lien</x:v>
      </x:c>
      <x:c r="I14" s="8" t="str">
        <x:v>Floating</x:v>
      </x:c>
      <x:c r="J14" s="8" t="n">
        <x:v>290</x:v>
      </x:c>
      <x:c r="K14" s="10"/>
      <x:c r="L14" s="8" t="n">
        <x:v>0</x:v>
      </x:c>
      <x:c r="M14" s="11" t="n">
        <x:v>47133</x:v>
      </x:c>
      <x:c r="N14" s="10" t="n">
        <x:v>0.45</x:v>
      </x:c>
      <x:c r="O14" s="12" t="n">
        <x:v>99.5</x:v>
      </x:c>
      <x:c r="P14" s="13" t="n">
        <x:v>4</x:v>
      </x:c>
      <x:c r="Q14" s="8" t="str">
        <x:v>USD</x:v>
      </x:c>
      <x:c r="R14" s="8" t="str">
        <x:v>SOFR</x:v>
      </x:c>
      <x:c r="S14" s="18" t="n">
        <x:f>IF(Portfolio_Par&gt;0,D14/Portfolio_Par,"")</x:f>
        <x:v>0.021204075774971298</x:v>
      </x:c>
      <x:c r="T14" s="19" t="n">
        <x:f>IF(A14="","",(M14-as_of_date)/365.25)</x:f>
        <x:v>2.0396988364134154</x:v>
      </x:c>
      <x:c r="U14" s="20" t="n">
        <x:f>IF(I14="Floating",D14*J14,0)</x:f>
        <x:v>342780000</x:v>
      </x:c>
      <x:c r="V14" s="20" t="n">
        <x:f>IF(A14="","",D14*N14)</x:f>
        <x:v>531900</x:v>
      </x:c>
      <x:c r="W14" s="14" t="n">
        <x:f>IF(A14='Run Snapshot'!A14,0,1)+IF(B14='Run Snapshot'!B14,0,1)+IF(C14='Run Snapshot'!C14,0,1)+IF(D14='Run Snapshot'!D14,0,1)+IF(E14='Run Snapshot'!E14,0,1)+IF(F14='Run Snapshot'!F14,0,1)+IF(G14='Run Snapshot'!G14,0,1)+IF(H14='Run Snapshot'!H14,0,1)+IF(I14='Run Snapshot'!I14,0,1)+IF(J14='Run Snapshot'!J14,0,1)+IF(K14='Run Snapshot'!K14,0,1)+IF(L14='Run Snapshot'!L14,0,1)+IF(M14='Run Snapshot'!M14,0,1)+IF(N14='Run Snapshot'!N14,0,1)+IF(O14='Run Snapshot'!O14,0,1)+IF(P14='Run Snapshot'!P14,0,1)+IF(Q14='Run Snapshot'!Q14,0,1)+IF(R14='Run Snapshot'!R14,0,1)</x:f>
        <x:v>0</x:v>
      </x:c>
      <x:c r="X14" s="15" t="n">
        <x:f>IF(A14="",0,COUNTIF($A$8:$A$59,A14)-1)</x:f>
        <x:v>0</x:v>
      </x:c>
      <x:c r="Y14" s="14" t="n">
        <x:f>IF(A14="",1,IF(OR(D14&lt;=0,N14&lt;0,N14&gt;1,M14&lt;=as_of_date),1,0))</x:f>
        <x:v>0</x:v>
      </x:c>
      <x:c r="Z14" s="170" t="n">
        <x:f>IF(A14="","",VLOOKUP(E14,SP_WARF_Factors,2,FALSE))</x:f>
        <x:v>2859.5</x:v>
      </x:c>
      <x:c r="AA14" s="172" t="n">
        <x:f>IF(A14="","",D14*Z14)</x:f>
        <x:v>3379929000</x:v>
      </x:c>
      <x:c r="AB14" s="170" t="n">
        <x:f>IF(A14="","",D14*ABS(Z14-SPWARF))</x:f>
        <x:v>727824387.0680251</x:v>
      </x:c>
    </x:row>
    <x:row r="15">
      <x:c r="A15" s="8" t="str">
        <x:v>SYN-LN-00008</x:v>
      </x:c>
      <x:c r="B15" s="8" t="str">
        <x:v>SYN-OB-0008</x:v>
      </x:c>
      <x:c r="C15" s="8" t="str">
        <x:v>Cedar Corp. 008</x:v>
      </x:c>
      <x:c r="D15" s="9" t="n">
        <x:v>1182000</x:v>
      </x:c>
      <x:c r="E15" s="8" t="str">
        <x:v>B+</x:v>
      </x:c>
      <x:c r="F15" s="8" t="str">
        <x:v>Industrial Conglomerates</x:v>
      </x:c>
      <x:c r="G15" s="8" t="str">
        <x:v>United States</x:v>
      </x:c>
      <x:c r="H15" s="8" t="str">
        <x:v>1st Lien</x:v>
      </x:c>
      <x:c r="I15" s="8" t="str">
        <x:v>Floating</x:v>
      </x:c>
      <x:c r="J15" s="8" t="n">
        <x:v>110</x:v>
      </x:c>
      <x:c r="K15" s="10"/>
      <x:c r="L15" s="8" t="n">
        <x:v>0</x:v>
      </x:c>
      <x:c r="M15" s="11" t="n">
        <x:v>48517</x:v>
      </x:c>
      <x:c r="N15" s="10" t="n">
        <x:v>0.49</x:v>
      </x:c>
      <x:c r="O15" s="12" t="n">
        <x:v>98.5</x:v>
      </x:c>
      <x:c r="P15" s="13" t="n">
        <x:v>4</x:v>
      </x:c>
      <x:c r="Q15" s="8" t="str">
        <x:v>USD</x:v>
      </x:c>
      <x:c r="R15" s="8" t="str">
        <x:v>SOFR</x:v>
      </x:c>
      <x:c r="S15" s="18" t="n">
        <x:f>IF(Portfolio_Par&gt;0,D15/Portfolio_Par,"")</x:f>
        <x:v>0.021204075774971298</x:v>
      </x:c>
      <x:c r="T15" s="19" t="n">
        <x:f>IF(A15="","",(M15-as_of_date)/365.25)</x:f>
        <x:v>5.8288843258042435</x:v>
      </x:c>
      <x:c r="U15" s="20" t="n">
        <x:f>IF(I15="Floating",D15*J15,0)</x:f>
        <x:v>130020000</x:v>
      </x:c>
      <x:c r="V15" s="20" t="n">
        <x:f>IF(A15="","",D15*N15)</x:f>
        <x:v>579180</x:v>
      </x:c>
      <x:c r="W15" s="14" t="n">
        <x:f>IF(A15='Run Snapshot'!A15,0,1)+IF(B15='Run Snapshot'!B15,0,1)+IF(C15='Run Snapshot'!C15,0,1)+IF(D15='Run Snapshot'!D15,0,1)+IF(E15='Run Snapshot'!E15,0,1)+IF(F15='Run Snapshot'!F15,0,1)+IF(G15='Run Snapshot'!G15,0,1)+IF(H15='Run Snapshot'!H15,0,1)+IF(I15='Run Snapshot'!I15,0,1)+IF(J15='Run Snapshot'!J15,0,1)+IF(K15='Run Snapshot'!K15,0,1)+IF(L15='Run Snapshot'!L15,0,1)+IF(M15='Run Snapshot'!M15,0,1)+IF(N15='Run Snapshot'!N15,0,1)+IF(O15='Run Snapshot'!O15,0,1)+IF(P15='Run Snapshot'!P15,0,1)+IF(Q15='Run Snapshot'!Q15,0,1)+IF(R15='Run Snapshot'!R15,0,1)</x:f>
        <x:v>0</x:v>
      </x:c>
      <x:c r="X15" s="15" t="n">
        <x:f>IF(A15="",0,COUNTIF($A$8:$A$59,A15)-1)</x:f>
        <x:v>0</x:v>
      </x:c>
      <x:c r="Y15" s="14" t="n">
        <x:f>IF(A15="",1,IF(OR(D15&lt;=0,N15&lt;0,N15&gt;1,M15&lt;=as_of_date),1,0))</x:f>
        <x:v>0</x:v>
      </x:c>
      <x:c r="Z15" s="170" t="n">
        <x:f>IF(A15="","",VLOOKUP(E15,SP_WARF_Factors,2,FALSE))</x:f>
        <x:v>1982</x:v>
      </x:c>
      <x:c r="AA15" s="172" t="n">
        <x:f>IF(A15="","",D15*Z15)</x:f>
        <x:v>2342724000</x:v>
      </x:c>
      <x:c r="AB15" s="170" t="n">
        <x:f>IF(A15="","",D15*ABS(Z15-SPWARF))</x:f>
        <x:v>309380612.9319749</x:v>
      </x:c>
    </x:row>
    <x:row r="16">
      <x:c r="A16" s="8" t="str">
        <x:v>SYN-LN-00009</x:v>
      </x:c>
      <x:c r="B16" s="8" t="str">
        <x:v>SYN-OB-0009</x:v>
      </x:c>
      <x:c r="C16" s="8" t="str">
        <x:v>Cobalt Group 009</x:v>
      </x:c>
      <x:c r="D16" s="9" t="n">
        <x:v>1182000</x:v>
      </x:c>
      <x:c r="E16" s="8" t="str">
        <x:v>BB-</x:v>
      </x:c>
      <x:c r="F16" s="8" t="str">
        <x:v>Diversified Telecommunication Services</x:v>
      </x:c>
      <x:c r="G16" s="8" t="str">
        <x:v>United States</x:v>
      </x:c>
      <x:c r="H16" s="8" t="str">
        <x:v>1st Lien</x:v>
      </x:c>
      <x:c r="I16" s="8" t="str">
        <x:v>Floating</x:v>
      </x:c>
      <x:c r="J16" s="8" t="n">
        <x:v>330</x:v>
      </x:c>
      <x:c r="K16" s="10"/>
      <x:c r="L16" s="8" t="n">
        <x:v>0</x:v>
      </x:c>
      <x:c r="M16" s="11" t="n">
        <x:v>48745</x:v>
      </x:c>
      <x:c r="N16" s="10" t="n">
        <x:v>0.2</x:v>
      </x:c>
      <x:c r="O16" s="12" t="n">
        <x:v>99.75</x:v>
      </x:c>
      <x:c r="P16" s="13" t="n">
        <x:v>4</x:v>
      </x:c>
      <x:c r="Q16" s="8" t="str">
        <x:v>USD</x:v>
      </x:c>
      <x:c r="R16" s="8" t="str">
        <x:v>SOFR</x:v>
      </x:c>
      <x:c r="S16" s="18" t="n">
        <x:f>IF(Portfolio_Par&gt;0,D16/Portfolio_Par,"")</x:f>
        <x:v>0.021204075774971298</x:v>
      </x:c>
      <x:c r="T16" s="19" t="n">
        <x:f>IF(A16="","",(M16-as_of_date)/365.25)</x:f>
        <x:v>6.453114305270363</x:v>
      </x:c>
      <x:c r="U16" s="20" t="n">
        <x:f>IF(I16="Floating",D16*J16,0)</x:f>
        <x:v>390060000</x:v>
      </x:c>
      <x:c r="V16" s="20" t="n">
        <x:f>IF(A16="","",D16*N16)</x:f>
        <x:v>236400</x:v>
      </x:c>
      <x:c r="W16" s="14" t="n">
        <x:f>IF(A16='Run Snapshot'!A16,0,1)+IF(B16='Run Snapshot'!B16,0,1)+IF(C16='Run Snapshot'!C16,0,1)+IF(D16='Run Snapshot'!D16,0,1)+IF(E16='Run Snapshot'!E16,0,1)+IF(F16='Run Snapshot'!F16,0,1)+IF(G16='Run Snapshot'!G16,0,1)+IF(H16='Run Snapshot'!H16,0,1)+IF(I16='Run Snapshot'!I16,0,1)+IF(J16='Run Snapshot'!J16,0,1)+IF(K16='Run Snapshot'!K16,0,1)+IF(L16='Run Snapshot'!L16,0,1)+IF(M16='Run Snapshot'!M16,0,1)+IF(N16='Run Snapshot'!N16,0,1)+IF(O16='Run Snapshot'!O16,0,1)+IF(P16='Run Snapshot'!P16,0,1)+IF(Q16='Run Snapshot'!Q16,0,1)+IF(R16='Run Snapshot'!R16,0,1)</x:f>
        <x:v>0</x:v>
      </x:c>
      <x:c r="X16" s="15" t="n">
        <x:f>IF(A16="",0,COUNTIF($A$8:$A$59,A16)-1)</x:f>
        <x:v>0</x:v>
      </x:c>
      <x:c r="Y16" s="14" t="n">
        <x:f>IF(A16="",1,IF(OR(D16&lt;=0,N16&lt;0,N16&gt;1,M16&lt;=as_of_date),1,0))</x:f>
        <x:v>0</x:v>
      </x:c>
      <x:c r="Z16" s="170" t="n">
        <x:f>IF(A16="","",VLOOKUP(E16,SP_WARF_Factors,2,FALSE))</x:f>
        <x:v>1565.44</x:v>
      </x:c>
      <x:c r="AA16" s="172" t="n">
        <x:f>IF(A16="","",D16*Z16)</x:f>
        <x:v>1850350080</x:v>
      </x:c>
      <x:c r="AB16" s="170" t="n">
        <x:f>IF(A16="","",D16*ABS(Z16-SPWARF))</x:f>
        <x:v>801754532.9319749</x:v>
      </x:c>
    </x:row>
    <x:row r="17">
      <x:c r="A17" s="8" t="str">
        <x:v>SYN-LN-00010</x:v>
      </x:c>
      <x:c r="B17" s="8" t="str">
        <x:v>SYN-OB-0010</x:v>
      </x:c>
      <x:c r="C17" s="8" t="str">
        <x:v>Copper LLC 010</x:v>
      </x:c>
      <x:c r="D17" s="9" t="n">
        <x:v>1182000</x:v>
      </x:c>
      <x:c r="E17" s="8" t="str">
        <x:v>BB</x:v>
      </x:c>
      <x:c r="F17" s="8" t="str">
        <x:v>Commercial Services &amp; Supplies</x:v>
      </x:c>
      <x:c r="G17" s="8" t="str">
        <x:v>United States</x:v>
      </x:c>
      <x:c r="H17" s="8" t="str">
        <x:v>1st Lien</x:v>
      </x:c>
      <x:c r="I17" s="8" t="str">
        <x:v>Floating</x:v>
      </x:c>
      <x:c r="J17" s="8" t="n">
        <x:v>205</x:v>
      </x:c>
      <x:c r="K17" s="10"/>
      <x:c r="L17" s="8" t="n">
        <x:v>0</x:v>
      </x:c>
      <x:c r="M17" s="11" t="n">
        <x:v>48151</x:v>
      </x:c>
      <x:c r="N17" s="10" t="n">
        <x:v>0.525</x:v>
      </x:c>
      <x:c r="O17" s="12" t="n">
        <x:v>100.375</x:v>
      </x:c>
      <x:c r="P17" s="13" t="n">
        <x:v>4</x:v>
      </x:c>
      <x:c r="Q17" s="8" t="str">
        <x:v>USD</x:v>
      </x:c>
      <x:c r="R17" s="8" t="str">
        <x:v>SOFR</x:v>
      </x:c>
      <x:c r="S17" s="18" t="n">
        <x:f>IF(Portfolio_Par&gt;0,D17/Portfolio_Par,"")</x:f>
        <x:v>0.021204075774971298</x:v>
      </x:c>
      <x:c r="T17" s="19" t="n">
        <x:f>IF(A17="","",(M17-as_of_date)/365.25)</x:f>
        <x:v>4.826830937713894</x:v>
      </x:c>
      <x:c r="U17" s="20" t="n">
        <x:f>IF(I17="Floating",D17*J17,0)</x:f>
        <x:v>242310000</x:v>
      </x:c>
      <x:c r="V17" s="20" t="n">
        <x:f>IF(A17="","",D17*N17)</x:f>
        <x:v>620550</x:v>
      </x:c>
      <x:c r="W17" s="14" t="n">
        <x:f>IF(A17='Run Snapshot'!A17,0,1)+IF(B17='Run Snapshot'!B17,0,1)+IF(C17='Run Snapshot'!C17,0,1)+IF(D17='Run Snapshot'!D17,0,1)+IF(E17='Run Snapshot'!E17,0,1)+IF(F17='Run Snapshot'!F17,0,1)+IF(G17='Run Snapshot'!G17,0,1)+IF(H17='Run Snapshot'!H17,0,1)+IF(I17='Run Snapshot'!I17,0,1)+IF(J17='Run Snapshot'!J17,0,1)+IF(K17='Run Snapshot'!K17,0,1)+IF(L17='Run Snapshot'!L17,0,1)+IF(M17='Run Snapshot'!M17,0,1)+IF(N17='Run Snapshot'!N17,0,1)+IF(O17='Run Snapshot'!O17,0,1)+IF(P17='Run Snapshot'!P17,0,1)+IF(Q17='Run Snapshot'!Q17,0,1)+IF(R17='Run Snapshot'!R17,0,1)</x:f>
        <x:v>0</x:v>
      </x:c>
      <x:c r="X17" s="15" t="n">
        <x:f>IF(A17="",0,COUNTIF($A$8:$A$59,A17)-1)</x:f>
        <x:v>0</x:v>
      </x:c>
      <x:c r="Y17" s="14" t="n">
        <x:f>IF(A17="",1,IF(OR(D17&lt;=0,N17&lt;0,N17&gt;1,M17&lt;=as_of_date),1,0))</x:f>
        <x:v>0</x:v>
      </x:c>
      <x:c r="Z17" s="170" t="n">
        <x:f>IF(A17="","",VLOOKUP(E17,SP_WARF_Factors,2,FALSE))</x:f>
        <x:v>1233.63</x:v>
      </x:c>
      <x:c r="AA17" s="172" t="n">
        <x:f>IF(A17="","",D17*Z17)</x:f>
        <x:v>1458150660.0000002</x:v>
      </x:c>
      <x:c r="AB17" s="170" t="n">
        <x:f>IF(A17="","",D17*ABS(Z17-SPWARF))</x:f>
        <x:v>1193953952.931975</x:v>
      </x:c>
    </x:row>
    <x:row r="18">
      <x:c r="A18" s="8" t="str">
        <x:v>SYN-LN-00011</x:v>
      </x:c>
      <x:c r="B18" s="8" t="str">
        <x:v>SYN-OB-0011</x:v>
      </x:c>
      <x:c r="C18" s="8" t="str">
        <x:v>Crest Holdings 011</x:v>
      </x:c>
      <x:c r="D18" s="9" t="n">
        <x:v>570000</x:v>
      </x:c>
      <x:c r="E18" s="8" t="str">
        <x:v>B+</x:v>
      </x:c>
      <x:c r="F18" s="8" t="str">
        <x:v>Commercial Services &amp; Supplies</x:v>
      </x:c>
      <x:c r="G18" s="8" t="str">
        <x:v>United States</x:v>
      </x:c>
      <x:c r="H18" s="8" t="str">
        <x:v>1st Lien</x:v>
      </x:c>
      <x:c r="I18" s="8" t="str">
        <x:v>Floating</x:v>
      </x:c>
      <x:c r="J18" s="8" t="n">
        <x:v>130</x:v>
      </x:c>
      <x:c r="K18" s="10"/>
      <x:c r="L18" s="8" t="n">
        <x:v>0</x:v>
      </x:c>
      <x:c r="M18" s="11" t="n">
        <x:v>48867</x:v>
      </x:c>
      <x:c r="N18" s="10" t="n">
        <x:v>0.395</x:v>
      </x:c>
      <x:c r="O18" s="12" t="n">
        <x:v>100.125</x:v>
      </x:c>
      <x:c r="P18" s="13" t="n">
        <x:v>4</x:v>
      </x:c>
      <x:c r="Q18" s="8" t="str">
        <x:v>USD</x:v>
      </x:c>
      <x:c r="R18" s="8" t="str">
        <x:v>SOFR</x:v>
      </x:c>
      <x:c r="S18" s="18" t="n">
        <x:f>IF(Portfolio_Par&gt;0,D18/Portfolio_Par,"")</x:f>
        <x:v>0.010225315729047073</x:v>
      </x:c>
      <x:c r="T18" s="19" t="n">
        <x:f>IF(A18="","",(M18-as_of_date)/365.25)</x:f>
        <x:v>6.787132101300479</x:v>
      </x:c>
      <x:c r="U18" s="20" t="n">
        <x:f>IF(I18="Floating",D18*J18,0)</x:f>
        <x:v>74100000</x:v>
      </x:c>
      <x:c r="V18" s="20" t="n">
        <x:f>IF(A18="","",D18*N18)</x:f>
        <x:v>225150</x:v>
      </x:c>
      <x:c r="W18" s="14" t="n">
        <x:f>IF(A18='Run Snapshot'!A18,0,1)+IF(B18='Run Snapshot'!B18,0,1)+IF(C18='Run Snapshot'!C18,0,1)+IF(D18='Run Snapshot'!D18,0,1)+IF(E18='Run Snapshot'!E18,0,1)+IF(F18='Run Snapshot'!F18,0,1)+IF(G18='Run Snapshot'!G18,0,1)+IF(H18='Run Snapshot'!H18,0,1)+IF(I18='Run Snapshot'!I18,0,1)+IF(J18='Run Snapshot'!J18,0,1)+IF(K18='Run Snapshot'!K18,0,1)+IF(L18='Run Snapshot'!L18,0,1)+IF(M18='Run Snapshot'!M18,0,1)+IF(N18='Run Snapshot'!N18,0,1)+IF(O18='Run Snapshot'!O18,0,1)+IF(P18='Run Snapshot'!P18,0,1)+IF(Q18='Run Snapshot'!Q18,0,1)+IF(R18='Run Snapshot'!R18,0,1)</x:f>
        <x:v>0</x:v>
      </x:c>
      <x:c r="X18" s="15" t="n">
        <x:f>IF(A18="",0,COUNTIF($A$8:$A$59,A18)-1)</x:f>
        <x:v>0</x:v>
      </x:c>
      <x:c r="Y18" s="14" t="n">
        <x:f>IF(A18="",1,IF(OR(D18&lt;=0,N18&lt;0,N18&gt;1,M18&lt;=as_of_date),1,0))</x:f>
        <x:v>0</x:v>
      </x:c>
      <x:c r="Z18" s="170" t="n">
        <x:f>IF(A18="","",VLOOKUP(E18,SP_WARF_Factors,2,FALSE))</x:f>
        <x:v>1982</x:v>
      </x:c>
      <x:c r="AA18" s="172" t="n">
        <x:f>IF(A18="","",D18*Z18)</x:f>
        <x:v>1129740000</x:v>
      </x:c>
      <x:c r="AB18" s="170" t="n">
        <x:f>IF(A18="","",D18*ABS(Z18-SPWARF))</x:f>
        <x:v>149193696.5915615</x:v>
      </x:c>
    </x:row>
    <x:row r="19">
      <x:c r="A19" s="8" t="str">
        <x:v>SYN-LN-00012</x:v>
      </x:c>
      <x:c r="B19" s="8" t="str">
        <x:v>SYN-OB-0011</x:v>
      </x:c>
      <x:c r="C19" s="8" t="str">
        <x:v>Crest Holdings 011</x:v>
      </x:c>
      <x:c r="D19" s="9" t="n">
        <x:v>612000</x:v>
      </x:c>
      <x:c r="E19" s="8" t="str">
        <x:v>B+</x:v>
      </x:c>
      <x:c r="F19" s="8" t="str">
        <x:v>Commercial Services &amp; Supplies</x:v>
      </x:c>
      <x:c r="G19" s="8" t="str">
        <x:v>United States</x:v>
      </x:c>
      <x:c r="H19" s="8" t="str">
        <x:v>1st Lien</x:v>
      </x:c>
      <x:c r="I19" s="8" t="str">
        <x:v>Floating</x:v>
      </x:c>
      <x:c r="J19" s="8" t="n">
        <x:v>140</x:v>
      </x:c>
      <x:c r="K19" s="10"/>
      <x:c r="L19" s="8" t="n">
        <x:v>0</x:v>
      </x:c>
      <x:c r="M19" s="11" t="n">
        <x:v>48928</x:v>
      </x:c>
      <x:c r="N19" s="10" t="n">
        <x:v>0.395</x:v>
      </x:c>
      <x:c r="O19" s="12" t="n">
        <x:v>100.25</x:v>
      </x:c>
      <x:c r="P19" s="13" t="n">
        <x:v>4</x:v>
      </x:c>
      <x:c r="Q19" s="8" t="str">
        <x:v>USD</x:v>
      </x:c>
      <x:c r="R19" s="8" t="str">
        <x:v>SOFR</x:v>
      </x:c>
      <x:c r="S19" s="18" t="n">
        <x:f>IF(Portfolio_Par&gt;0,D19/Portfolio_Par,"")</x:f>
        <x:v>0.010978760045924225</x:v>
      </x:c>
      <x:c r="T19" s="19" t="n">
        <x:f>IF(A19="","",(M19-as_of_date)/365.25)</x:f>
        <x:v>6.954140999315538</x:v>
      </x:c>
      <x:c r="U19" s="20" t="n">
        <x:f>IF(I19="Floating",D19*J19,0)</x:f>
        <x:v>85680000</x:v>
      </x:c>
      <x:c r="V19" s="20" t="n">
        <x:f>IF(A19="","",D19*N19)</x:f>
        <x:v>241740</x:v>
      </x:c>
      <x:c r="W19" s="14" t="n">
        <x:f>IF(A19='Run Snapshot'!A19,0,1)+IF(B19='Run Snapshot'!B19,0,1)+IF(C19='Run Snapshot'!C19,0,1)+IF(D19='Run Snapshot'!D19,0,1)+IF(E19='Run Snapshot'!E19,0,1)+IF(F19='Run Snapshot'!F19,0,1)+IF(G19='Run Snapshot'!G19,0,1)+IF(H19='Run Snapshot'!H19,0,1)+IF(I19='Run Snapshot'!I19,0,1)+IF(J19='Run Snapshot'!J19,0,1)+IF(K19='Run Snapshot'!K19,0,1)+IF(L19='Run Snapshot'!L19,0,1)+IF(M19='Run Snapshot'!M19,0,1)+IF(N19='Run Snapshot'!N19,0,1)+IF(O19='Run Snapshot'!O19,0,1)+IF(P19='Run Snapshot'!P19,0,1)+IF(Q19='Run Snapshot'!Q19,0,1)+IF(R19='Run Snapshot'!R19,0,1)</x:f>
        <x:v>0</x:v>
      </x:c>
      <x:c r="X19" s="15" t="n">
        <x:f>IF(A19="",0,COUNTIF($A$8:$A$59,A19)-1)</x:f>
        <x:v>0</x:v>
      </x:c>
      <x:c r="Y19" s="14" t="n">
        <x:f>IF(A19="",1,IF(OR(D19&lt;=0,N19&lt;0,N19&gt;1,M19&lt;=as_of_date),1,0))</x:f>
        <x:v>0</x:v>
      </x:c>
      <x:c r="Z19" s="170" t="n">
        <x:f>IF(A19="","",VLOOKUP(E19,SP_WARF_Factors,2,FALSE))</x:f>
        <x:v>1982</x:v>
      </x:c>
      <x:c r="AA19" s="172" t="n">
        <x:f>IF(A19="","",D19*Z19)</x:f>
        <x:v>1212984000</x:v>
      </x:c>
      <x:c r="AB19" s="170" t="n">
        <x:f>IF(A19="","",D19*ABS(Z19-SPWARF))</x:f>
        <x:v>160186916.34041342</x:v>
      </x:c>
    </x:row>
    <x:row r="20">
      <x:c r="A20" s="8" t="str">
        <x:v>SYN-LN-00013</x:v>
      </x:c>
      <x:c r="B20" s="8" t="str">
        <x:v>SYN-OB-0012</x:v>
      </x:c>
      <x:c r="C20" s="8" t="str">
        <x:v>Duneland Inc. 012</x:v>
      </x:c>
      <x:c r="D20" s="9" t="n">
        <x:v>650000</x:v>
      </x:c>
      <x:c r="E20" s="8" t="str">
        <x:v>B+</x:v>
      </x:c>
      <x:c r="F20" s="8" t="str">
        <x:v>Industrial Conglomerates</x:v>
      </x:c>
      <x:c r="G20" s="8" t="str">
        <x:v>United States</x:v>
      </x:c>
      <x:c r="H20" s="8" t="str">
        <x:v>1st Lien</x:v>
      </x:c>
      <x:c r="I20" s="8" t="str">
        <x:v>Floating</x:v>
      </x:c>
      <x:c r="J20" s="8" t="n">
        <x:v>280</x:v>
      </x:c>
      <x:c r="K20" s="10"/>
      <x:c r="L20" s="8" t="n">
        <x:v>50</x:v>
      </x:c>
      <x:c r="M20" s="11" t="n">
        <x:v>48014</x:v>
      </x:c>
      <x:c r="N20" s="10" t="n">
        <x:v>0.285</x:v>
      </x:c>
      <x:c r="O20" s="12" t="n">
        <x:v>99.625</x:v>
      </x:c>
      <x:c r="P20" s="13" t="n">
        <x:v>4</x:v>
      </x:c>
      <x:c r="Q20" s="8" t="str">
        <x:v>USD</x:v>
      </x:c>
      <x:c r="R20" s="8" t="str">
        <x:v>SOFR</x:v>
      </x:c>
      <x:c r="S20" s="18" t="n">
        <x:f>IF(Portfolio_Par&gt;0,D20/Portfolio_Par,"")</x:f>
        <x:v>0.01166044776119403</x:v>
      </x:c>
      <x:c r="T20" s="19" t="n">
        <x:f>IF(A20="","",(M20-as_of_date)/365.25)</x:f>
        <x:v>4.4517453798767965</x:v>
      </x:c>
      <x:c r="U20" s="20" t="n">
        <x:f>IF(I20="Floating",D20*J20,0)</x:f>
        <x:v>182000000</x:v>
      </x:c>
      <x:c r="V20" s="20" t="n">
        <x:f>IF(A20="","",D20*N20)</x:f>
        <x:v>185249.99999999997</x:v>
      </x:c>
      <x:c r="W20" s="14" t="n">
        <x:f>IF(A20='Run Snapshot'!A20,0,1)+IF(B20='Run Snapshot'!B20,0,1)+IF(C20='Run Snapshot'!C20,0,1)+IF(D20='Run Snapshot'!D20,0,1)+IF(E20='Run Snapshot'!E20,0,1)+IF(F20='Run Snapshot'!F20,0,1)+IF(G20='Run Snapshot'!G20,0,1)+IF(H20='Run Snapshot'!H20,0,1)+IF(I20='Run Snapshot'!I20,0,1)+IF(J20='Run Snapshot'!J20,0,1)+IF(K20='Run Snapshot'!K20,0,1)+IF(L20='Run Snapshot'!L20,0,1)+IF(M20='Run Snapshot'!M20,0,1)+IF(N20='Run Snapshot'!N20,0,1)+IF(O20='Run Snapshot'!O20,0,1)+IF(P20='Run Snapshot'!P20,0,1)+IF(Q20='Run Snapshot'!Q20,0,1)+IF(R20='Run Snapshot'!R20,0,1)</x:f>
        <x:v>0</x:v>
      </x:c>
      <x:c r="X20" s="15" t="n">
        <x:f>IF(A20="",0,COUNTIF($A$8:$A$59,A20)-1)</x:f>
        <x:v>0</x:v>
      </x:c>
      <x:c r="Y20" s="14" t="n">
        <x:f>IF(A20="",1,IF(OR(D20&lt;=0,N20&lt;0,N20&gt;1,M20&lt;=as_of_date),1,0))</x:f>
        <x:v>0</x:v>
      </x:c>
      <x:c r="Z20" s="170" t="n">
        <x:f>IF(A20="","",VLOOKUP(E20,SP_WARF_Factors,2,FALSE))</x:f>
        <x:v>1982</x:v>
      </x:c>
      <x:c r="AA20" s="172" t="n">
        <x:f>IF(A20="","",D20*Z20)</x:f>
        <x:v>1288300000</x:v>
      </x:c>
      <x:c r="AB20" s="170" t="n">
        <x:f>IF(A20="","",D20*ABS(Z20-SPWARF))</x:f>
        <x:v>170133162.77985084</x:v>
      </x:c>
    </x:row>
    <x:row r="21">
      <x:c r="A21" s="8" t="str">
        <x:v>SYN-LN-00014</x:v>
      </x:c>
      <x:c r="B21" s="8" t="str">
        <x:v>SYN-OB-0012</x:v>
      </x:c>
      <x:c r="C21" s="8" t="str">
        <x:v>Duneland Inc. 012</x:v>
      </x:c>
      <x:c r="D21" s="9" t="n">
        <x:v>532000</x:v>
      </x:c>
      <x:c r="E21" s="8" t="str">
        <x:v>B+</x:v>
      </x:c>
      <x:c r="F21" s="8" t="str">
        <x:v>Industrial Conglomerates</x:v>
      </x:c>
      <x:c r="G21" s="8" t="str">
        <x:v>United States</x:v>
      </x:c>
      <x:c r="H21" s="8" t="str">
        <x:v>1st Lien</x:v>
      </x:c>
      <x:c r="I21" s="8" t="str">
        <x:v>Floating</x:v>
      </x:c>
      <x:c r="J21" s="8" t="n">
        <x:v>290</x:v>
      </x:c>
      <x:c r="K21" s="10"/>
      <x:c r="L21" s="8" t="n">
        <x:v>0</x:v>
      </x:c>
      <x:c r="M21" s="11" t="n">
        <x:v>48088</x:v>
      </x:c>
      <x:c r="N21" s="10" t="n">
        <x:v>0.285</x:v>
      </x:c>
      <x:c r="O21" s="12" t="n">
        <x:v>99.75</x:v>
      </x:c>
      <x:c r="P21" s="13" t="n">
        <x:v>4</x:v>
      </x:c>
      <x:c r="Q21" s="8" t="str">
        <x:v>USD</x:v>
      </x:c>
      <x:c r="R21" s="8" t="str">
        <x:v>SOFR</x:v>
      </x:c>
      <x:c r="S21" s="18" t="n">
        <x:f>IF(Portfolio_Par&gt;0,D21/Portfolio_Par,"")</x:f>
        <x:v>0.009543628013777268</x:v>
      </x:c>
      <x:c r="T21" s="19" t="n">
        <x:f>IF(A21="","",(M21-as_of_date)/365.25)</x:f>
        <x:v>4.654346338124572</x:v>
      </x:c>
      <x:c r="U21" s="20" t="n">
        <x:f>IF(I21="Floating",D21*J21,0)</x:f>
        <x:v>154280000</x:v>
      </x:c>
      <x:c r="V21" s="20" t="n">
        <x:f>IF(A21="","",D21*N21)</x:f>
        <x:v>151620</x:v>
      </x:c>
      <x:c r="W21" s="14" t="n">
        <x:f>IF(A21='Run Snapshot'!A21,0,1)+IF(B21='Run Snapshot'!B21,0,1)+IF(C21='Run Snapshot'!C21,0,1)+IF(D21='Run Snapshot'!D21,0,1)+IF(E21='Run Snapshot'!E21,0,1)+IF(F21='Run Snapshot'!F21,0,1)+IF(G21='Run Snapshot'!G21,0,1)+IF(H21='Run Snapshot'!H21,0,1)+IF(I21='Run Snapshot'!I21,0,1)+IF(J21='Run Snapshot'!J21,0,1)+IF(K21='Run Snapshot'!K21,0,1)+IF(L21='Run Snapshot'!L21,0,1)+IF(M21='Run Snapshot'!M21,0,1)+IF(N21='Run Snapshot'!N21,0,1)+IF(O21='Run Snapshot'!O21,0,1)+IF(P21='Run Snapshot'!P21,0,1)+IF(Q21='Run Snapshot'!Q21,0,1)+IF(R21='Run Snapshot'!R21,0,1)</x:f>
        <x:v>0</x:v>
      </x:c>
      <x:c r="X21" s="15" t="n">
        <x:f>IF(A21="",0,COUNTIF($A$8:$A$59,A21)-1)</x:f>
        <x:v>0</x:v>
      </x:c>
      <x:c r="Y21" s="14" t="n">
        <x:f>IF(A21="",1,IF(OR(D21&lt;=0,N21&lt;0,N21&gt;1,M21&lt;=as_of_date),1,0))</x:f>
        <x:v>0</x:v>
      </x:c>
      <x:c r="Z21" s="170" t="n">
        <x:f>IF(A21="","",VLOOKUP(E21,SP_WARF_Factors,2,FALSE))</x:f>
        <x:v>1982</x:v>
      </x:c>
      <x:c r="AA21" s="172" t="n">
        <x:f>IF(A21="","",D21*Z21)</x:f>
        <x:v>1054424000</x:v>
      </x:c>
      <x:c r="AB21" s="170" t="n">
        <x:f>IF(A21="","",D21*ABS(Z21-SPWARF))</x:f>
        <x:v>139247450.15212408</x:v>
      </x:c>
    </x:row>
    <x:row r="22">
      <x:c r="A22" s="8" t="str">
        <x:v>SYN-LN-00015</x:v>
      </x:c>
      <x:c r="B22" s="8" t="str">
        <x:v>SYN-OB-0013</x:v>
      </x:c>
      <x:c r="C22" s="8" t="str">
        <x:v>Elmstone Corp. 013</x:v>
      </x:c>
      <x:c r="D22" s="9" t="n">
        <x:v>1182000</x:v>
      </x:c>
      <x:c r="E22" s="8" t="str">
        <x:v>BB</x:v>
      </x:c>
      <x:c r="F22" s="8" t="str">
        <x:v>Construction Materials</x:v>
      </x:c>
      <x:c r="G22" s="8" t="str">
        <x:v>United States</x:v>
      </x:c>
      <x:c r="H22" s="8" t="str">
        <x:v>1st Lien</x:v>
      </x:c>
      <x:c r="I22" s="8" t="str">
        <x:v>Floating</x:v>
      </x:c>
      <x:c r="J22" s="8" t="n">
        <x:v>195</x:v>
      </x:c>
      <x:c r="K22" s="10"/>
      <x:c r="L22" s="8" t="n">
        <x:v>0</x:v>
      </x:c>
      <x:c r="M22" s="11" t="n">
        <x:v>48027</x:v>
      </x:c>
      <x:c r="N22" s="10" t="n">
        <x:v>0.315</x:v>
      </x:c>
      <x:c r="O22" s="12" t="n">
        <x:v>99.25</x:v>
      </x:c>
      <x:c r="P22" s="13" t="n">
        <x:v>4</x:v>
      </x:c>
      <x:c r="Q22" s="8" t="str">
        <x:v>USD</x:v>
      </x:c>
      <x:c r="R22" s="8" t="str">
        <x:v>SOFR</x:v>
      </x:c>
      <x:c r="S22" s="18" t="n">
        <x:f>IF(Portfolio_Par&gt;0,D22/Portfolio_Par,"")</x:f>
        <x:v>0.021204075774971298</x:v>
      </x:c>
      <x:c r="T22" s="19" t="n">
        <x:f>IF(A22="","",(M22-as_of_date)/365.25)</x:f>
        <x:v>4.487337440109514</x:v>
      </x:c>
      <x:c r="U22" s="20" t="n">
        <x:f>IF(I22="Floating",D22*J22,0)</x:f>
        <x:v>230490000</x:v>
      </x:c>
      <x:c r="V22" s="20" t="n">
        <x:f>IF(A22="","",D22*N22)</x:f>
        <x:v>372330</x:v>
      </x:c>
      <x:c r="W22" s="14" t="n">
        <x:f>IF(A22='Run Snapshot'!A22,0,1)+IF(B22='Run Snapshot'!B22,0,1)+IF(C22='Run Snapshot'!C22,0,1)+IF(D22='Run Snapshot'!D22,0,1)+IF(E22='Run Snapshot'!E22,0,1)+IF(F22='Run Snapshot'!F22,0,1)+IF(G22='Run Snapshot'!G22,0,1)+IF(H22='Run Snapshot'!H22,0,1)+IF(I22='Run Snapshot'!I22,0,1)+IF(J22='Run Snapshot'!J22,0,1)+IF(K22='Run Snapshot'!K22,0,1)+IF(L22='Run Snapshot'!L22,0,1)+IF(M22='Run Snapshot'!M22,0,1)+IF(N22='Run Snapshot'!N22,0,1)+IF(O22='Run Snapshot'!O22,0,1)+IF(P22='Run Snapshot'!P22,0,1)+IF(Q22='Run Snapshot'!Q22,0,1)+IF(R22='Run Snapshot'!R22,0,1)</x:f>
        <x:v>0</x:v>
      </x:c>
      <x:c r="X22" s="15" t="n">
        <x:f>IF(A22="",0,COUNTIF($A$8:$A$59,A22)-1)</x:f>
        <x:v>0</x:v>
      </x:c>
      <x:c r="Y22" s="14" t="n">
        <x:f>IF(A22="",1,IF(OR(D22&lt;=0,N22&lt;0,N22&gt;1,M22&lt;=as_of_date),1,0))</x:f>
        <x:v>0</x:v>
      </x:c>
      <x:c r="Z22" s="170" t="n">
        <x:f>IF(A22="","",VLOOKUP(E22,SP_WARF_Factors,2,FALSE))</x:f>
        <x:v>1233.63</x:v>
      </x:c>
      <x:c r="AA22" s="172" t="n">
        <x:f>IF(A22="","",D22*Z22)</x:f>
        <x:v>1458150660.0000002</x:v>
      </x:c>
      <x:c r="AB22" s="170" t="n">
        <x:f>IF(A22="","",D22*ABS(Z22-SPWARF))</x:f>
        <x:v>1193953952.931975</x:v>
      </x:c>
    </x:row>
    <x:row r="23">
      <x:c r="A23" s="8" t="str">
        <x:v>SYN-LN-00016</x:v>
      </x:c>
      <x:c r="B23" s="8" t="str">
        <x:v>SYN-OB-0014</x:v>
      </x:c>
      <x:c r="C23" s="8" t="str">
        <x:v>Evergreen Group 014</x:v>
      </x:c>
      <x:c r="D23" s="9" t="n">
        <x:v>1182000</x:v>
      </x:c>
      <x:c r="E23" s="8" t="str">
        <x:v>BB-</x:v>
      </x:c>
      <x:c r="F23" s="8" t="str">
        <x:v>Hotels, Restaurants &amp; Leisure</x:v>
      </x:c>
      <x:c r="G23" s="8" t="str">
        <x:v>United States</x:v>
      </x:c>
      <x:c r="H23" s="8" t="str">
        <x:v>1st Lien</x:v>
      </x:c>
      <x:c r="I23" s="8" t="str">
        <x:v>Floating</x:v>
      </x:c>
      <x:c r="J23" s="8" t="n">
        <x:v>215</x:v>
      </x:c>
      <x:c r="K23" s="10"/>
      <x:c r="L23" s="8" t="n">
        <x:v>0</x:v>
      </x:c>
      <x:c r="M23" s="11" t="n">
        <x:v>48288</x:v>
      </x:c>
      <x:c r="N23" s="10" t="n">
        <x:v>0.725</x:v>
      </x:c>
      <x:c r="O23" s="12" t="n">
        <x:v>98.125</x:v>
      </x:c>
      <x:c r="P23" s="13" t="n">
        <x:v>4</x:v>
      </x:c>
      <x:c r="Q23" s="8" t="str">
        <x:v>USD</x:v>
      </x:c>
      <x:c r="R23" s="8" t="str">
        <x:v>SOFR</x:v>
      </x:c>
      <x:c r="S23" s="18" t="n">
        <x:f>IF(Portfolio_Par&gt;0,D23/Portfolio_Par,"")</x:f>
        <x:v>0.021204075774971298</x:v>
      </x:c>
      <x:c r="T23" s="19" t="n">
        <x:f>IF(A23="","",(M23-as_of_date)/365.25)</x:f>
        <x:v>5.201916495550993</x:v>
      </x:c>
      <x:c r="U23" s="20" t="n">
        <x:f>IF(I23="Floating",D23*J23,0)</x:f>
        <x:v>254130000</x:v>
      </x:c>
      <x:c r="V23" s="20" t="n">
        <x:f>IF(A23="","",D23*N23)</x:f>
        <x:v>856950</x:v>
      </x:c>
      <x:c r="W23" s="14" t="n">
        <x:f>IF(A23='Run Snapshot'!A23,0,1)+IF(B23='Run Snapshot'!B23,0,1)+IF(C23='Run Snapshot'!C23,0,1)+IF(D23='Run Snapshot'!D23,0,1)+IF(E23='Run Snapshot'!E23,0,1)+IF(F23='Run Snapshot'!F23,0,1)+IF(G23='Run Snapshot'!G23,0,1)+IF(H23='Run Snapshot'!H23,0,1)+IF(I23='Run Snapshot'!I23,0,1)+IF(J23='Run Snapshot'!J23,0,1)+IF(K23='Run Snapshot'!K23,0,1)+IF(L23='Run Snapshot'!L23,0,1)+IF(M23='Run Snapshot'!M23,0,1)+IF(N23='Run Snapshot'!N23,0,1)+IF(O23='Run Snapshot'!O23,0,1)+IF(P23='Run Snapshot'!P23,0,1)+IF(Q23='Run Snapshot'!Q23,0,1)+IF(R23='Run Snapshot'!R23,0,1)</x:f>
        <x:v>0</x:v>
      </x:c>
      <x:c r="X23" s="15" t="n">
        <x:f>IF(A23="",0,COUNTIF($A$8:$A$59,A23)-1)</x:f>
        <x:v>0</x:v>
      </x:c>
      <x:c r="Y23" s="14" t="n">
        <x:f>IF(A23="",1,IF(OR(D23&lt;=0,N23&lt;0,N23&gt;1,M23&lt;=as_of_date),1,0))</x:f>
        <x:v>0</x:v>
      </x:c>
      <x:c r="Z23" s="170" t="n">
        <x:f>IF(A23="","",VLOOKUP(E23,SP_WARF_Factors,2,FALSE))</x:f>
        <x:v>1565.44</x:v>
      </x:c>
      <x:c r="AA23" s="172" t="n">
        <x:f>IF(A23="","",D23*Z23)</x:f>
        <x:v>1850350080</x:v>
      </x:c>
      <x:c r="AB23" s="170" t="n">
        <x:f>IF(A23="","",D23*ABS(Z23-SPWARF))</x:f>
        <x:v>801754532.9319749</x:v>
      </x:c>
    </x:row>
    <x:row r="24">
      <x:c r="A24" s="8" t="str">
        <x:v>SYN-LN-00017</x:v>
      </x:c>
      <x:c r="B24" s="8" t="str">
        <x:v>SYN-OB-0015</x:v>
      </x:c>
      <x:c r="C24" s="8" t="str">
        <x:v>Fairhaven LLC 015</x:v>
      </x:c>
      <x:c r="D24" s="9" t="n">
        <x:v>630000</x:v>
      </x:c>
      <x:c r="E24" s="8" t="str">
        <x:v>BB-</x:v>
      </x:c>
      <x:c r="F24" s="8" t="str">
        <x:v>Beverages</x:v>
      </x:c>
      <x:c r="G24" s="8" t="str">
        <x:v>Switzerland</x:v>
      </x:c>
      <x:c r="H24" s="8" t="str">
        <x:v>Sr Secured</x:v>
      </x:c>
      <x:c r="I24" s="8" t="str">
        <x:v>Fixed</x:v>
      </x:c>
      <x:c r="J24" s="8"/>
      <x:c r="K24" s="10" t="n">
        <x:v>0.0455</x:v>
      </x:c>
      <x:c r="L24" s="8"/>
      <x:c r="M24" s="11" t="n">
        <x:v>49003</x:v>
      </x:c>
      <x:c r="N24" s="10" t="n">
        <x:v>0.325</x:v>
      </x:c>
      <x:c r="O24" s="12" t="n">
        <x:v>99</x:v>
      </x:c>
      <x:c r="P24" s="13" t="n">
        <x:v>2</x:v>
      </x:c>
      <x:c r="Q24" s="8" t="str">
        <x:v>USD</x:v>
      </x:c>
      <x:c r="R24" s="8"/>
      <x:c r="S24" s="18" t="n">
        <x:f>IF(Portfolio_Par&gt;0,D24/Portfolio_Par,"")</x:f>
        <x:v>0.011301664753157291</x:v>
      </x:c>
      <x:c r="T24" s="19" t="n">
        <x:f>IF(A24="","",(M24-as_of_date)/365.25)</x:f>
        <x:v>7.1594798083504445</x:v>
      </x:c>
      <x:c r="U24" s="20" t="n">
        <x:f>IF(I24="Floating",D24*J24,0)</x:f>
        <x:v>0</x:v>
      </x:c>
      <x:c r="V24" s="20" t="n">
        <x:f>IF(A24="","",D24*N24)</x:f>
        <x:v>204750</x:v>
      </x:c>
      <x:c r="W24" s="14" t="n">
        <x:f>IF(A24='Run Snapshot'!A24,0,1)+IF(B24='Run Snapshot'!B24,0,1)+IF(C24='Run Snapshot'!C24,0,1)+IF(D24='Run Snapshot'!D24,0,1)+IF(E24='Run Snapshot'!E24,0,1)+IF(F24='Run Snapshot'!F24,0,1)+IF(G24='Run Snapshot'!G24,0,1)+IF(H24='Run Snapshot'!H24,0,1)+IF(I24='Run Snapshot'!I24,0,1)+IF(J24='Run Snapshot'!J24,0,1)+IF(K24='Run Snapshot'!K24,0,1)+IF(L24='Run Snapshot'!L24,0,1)+IF(M24='Run Snapshot'!M24,0,1)+IF(N24='Run Snapshot'!N24,0,1)+IF(O24='Run Snapshot'!O24,0,1)+IF(P24='Run Snapshot'!P24,0,1)+IF(Q24='Run Snapshot'!Q24,0,1)+IF(R24='Run Snapshot'!R24,0,1)</x:f>
        <x:v>0</x:v>
      </x:c>
      <x:c r="X24" s="15" t="n">
        <x:f>IF(A24="",0,COUNTIF($A$8:$A$59,A24)-1)</x:f>
        <x:v>0</x:v>
      </x:c>
      <x:c r="Y24" s="14" t="n">
        <x:f>IF(A24="",1,IF(OR(D24&lt;=0,N24&lt;0,N24&gt;1,M24&lt;=as_of_date),1,0))</x:f>
        <x:v>0</x:v>
      </x:c>
      <x:c r="Z24" s="170" t="n">
        <x:f>IF(A24="","",VLOOKUP(E24,SP_WARF_Factors,2,FALSE))</x:f>
        <x:v>1565.44</x:v>
      </x:c>
      <x:c r="AA24" s="172" t="n">
        <x:f>IF(A24="","",D24*Z24)</x:f>
        <x:v>986227200</x:v>
      </x:c>
      <x:c r="AB24" s="170" t="n">
        <x:f>IF(A24="","",D24*ABS(Z24-SPWARF))</x:f>
        <x:v>427331096.2327785</x:v>
      </x:c>
    </x:row>
    <x:row r="25">
      <x:c r="A25" s="8" t="str">
        <x:v>SYN-LN-00018</x:v>
      </x:c>
      <x:c r="B25" s="8" t="str">
        <x:v>SYN-OB-0016</x:v>
      </x:c>
      <x:c r="C25" s="8" t="str">
        <x:v>Granite Holdings 016</x:v>
      </x:c>
      <x:c r="D25" s="9" t="n">
        <x:v>1182000</x:v>
      </x:c>
      <x:c r="E25" s="8" t="str">
        <x:v>BB</x:v>
      </x:c>
      <x:c r="F25" s="8" t="str">
        <x:v>Banks</x:v>
      </x:c>
      <x:c r="G25" s="8" t="str">
        <x:v>United States</x:v>
      </x:c>
      <x:c r="H25" s="8" t="str">
        <x:v>1st Lien</x:v>
      </x:c>
      <x:c r="I25" s="8" t="str">
        <x:v>Floating</x:v>
      </x:c>
      <x:c r="J25" s="8" t="n">
        <x:v>285</x:v>
      </x:c>
      <x:c r="K25" s="10"/>
      <x:c r="L25" s="8" t="n">
        <x:v>0</x:v>
      </x:c>
      <x:c r="M25" s="11" t="n">
        <x:v>47710</x:v>
      </x:c>
      <x:c r="N25" s="10" t="n">
        <x:v>0.45</x:v>
      </x:c>
      <x:c r="O25" s="12" t="n">
        <x:v>101.5</x:v>
      </x:c>
      <x:c r="P25" s="13" t="n">
        <x:v>4</x:v>
      </x:c>
      <x:c r="Q25" s="8" t="str">
        <x:v>USD</x:v>
      </x:c>
      <x:c r="R25" s="8" t="str">
        <x:v>SOFR</x:v>
      </x:c>
      <x:c r="S25" s="18" t="n">
        <x:f>IF(Portfolio_Par&gt;0,D25/Portfolio_Par,"")</x:f>
        <x:v>0.021204075774971298</x:v>
      </x:c>
      <x:c r="T25" s="19" t="n">
        <x:f>IF(A25="","",(M25-as_of_date)/365.25)</x:f>
        <x:v>3.619438740588638</x:v>
      </x:c>
      <x:c r="U25" s="20" t="n">
        <x:f>IF(I25="Floating",D25*J25,0)</x:f>
        <x:v>336870000</x:v>
      </x:c>
      <x:c r="V25" s="20" t="n">
        <x:f>IF(A25="","",D25*N25)</x:f>
        <x:v>531900</x:v>
      </x:c>
      <x:c r="W25" s="14" t="n">
        <x:f>IF(A25='Run Snapshot'!A25,0,1)+IF(B25='Run Snapshot'!B25,0,1)+IF(C25='Run Snapshot'!C25,0,1)+IF(D25='Run Snapshot'!D25,0,1)+IF(E25='Run Snapshot'!E25,0,1)+IF(F25='Run Snapshot'!F25,0,1)+IF(G25='Run Snapshot'!G25,0,1)+IF(H25='Run Snapshot'!H25,0,1)+IF(I25='Run Snapshot'!I25,0,1)+IF(J25='Run Snapshot'!J25,0,1)+IF(K25='Run Snapshot'!K25,0,1)+IF(L25='Run Snapshot'!L25,0,1)+IF(M25='Run Snapshot'!M25,0,1)+IF(N25='Run Snapshot'!N25,0,1)+IF(O25='Run Snapshot'!O25,0,1)+IF(P25='Run Snapshot'!P25,0,1)+IF(Q25='Run Snapshot'!Q25,0,1)+IF(R25='Run Snapshot'!R25,0,1)</x:f>
        <x:v>0</x:v>
      </x:c>
      <x:c r="X25" s="15" t="n">
        <x:f>IF(A25="",0,COUNTIF($A$8:$A$59,A25)-1)</x:f>
        <x:v>0</x:v>
      </x:c>
      <x:c r="Y25" s="14" t="n">
        <x:f>IF(A25="",1,IF(OR(D25&lt;=0,N25&lt;0,N25&gt;1,M25&lt;=as_of_date),1,0))</x:f>
        <x:v>0</x:v>
      </x:c>
      <x:c r="Z25" s="170" t="n">
        <x:f>IF(A25="","",VLOOKUP(E25,SP_WARF_Factors,2,FALSE))</x:f>
        <x:v>1233.63</x:v>
      </x:c>
      <x:c r="AA25" s="172" t="n">
        <x:f>IF(A25="","",D25*Z25)</x:f>
        <x:v>1458150660.0000002</x:v>
      </x:c>
      <x:c r="AB25" s="170" t="n">
        <x:f>IF(A25="","",D25*ABS(Z25-SPWARF))</x:f>
        <x:v>1193953952.931975</x:v>
      </x:c>
    </x:row>
    <x:row r="26">
      <x:c r="A26" s="8" t="str">
        <x:v>SYN-LN-00019</x:v>
      </x:c>
      <x:c r="B26" s="8" t="str">
        <x:v>SYN-OB-0017</x:v>
      </x:c>
      <x:c r="C26" s="8" t="str">
        <x:v>Harbor Inc. 017</x:v>
      </x:c>
      <x:c r="D26" s="9" t="n">
        <x:v>1182000</x:v>
      </x:c>
      <x:c r="E26" s="8" t="str">
        <x:v>B-</x:v>
      </x:c>
      <x:c r="F26" s="8" t="str">
        <x:v>Transportation Infrastructure</x:v>
      </x:c>
      <x:c r="G26" s="8" t="str">
        <x:v>United States</x:v>
      </x:c>
      <x:c r="H26" s="8" t="str">
        <x:v>1st Lien</x:v>
      </x:c>
      <x:c r="I26" s="8" t="str">
        <x:v>Floating</x:v>
      </x:c>
      <x:c r="J26" s="8" t="n">
        <x:v>280</x:v>
      </x:c>
      <x:c r="K26" s="10"/>
      <x:c r="L26" s="8" t="n">
        <x:v>0</x:v>
      </x:c>
      <x:c r="M26" s="11" t="n">
        <x:v>48349</x:v>
      </x:c>
      <x:c r="N26" s="10" t="n">
        <x:v>0.235</x:v>
      </x:c>
      <x:c r="O26" s="12" t="n">
        <x:v>95.375</x:v>
      </x:c>
      <x:c r="P26" s="13" t="n">
        <x:v>4</x:v>
      </x:c>
      <x:c r="Q26" s="8" t="str">
        <x:v>USD</x:v>
      </x:c>
      <x:c r="R26" s="8" t="str">
        <x:v>SOFR</x:v>
      </x:c>
      <x:c r="S26" s="18" t="n">
        <x:f>IF(Portfolio_Par&gt;0,D26/Portfolio_Par,"")</x:f>
        <x:v>0.021204075774971298</x:v>
      </x:c>
      <x:c r="T26" s="19" t="n">
        <x:f>IF(A26="","",(M26-as_of_date)/365.25)</x:f>
        <x:v>5.368925393566051</x:v>
      </x:c>
      <x:c r="U26" s="20" t="n">
        <x:f>IF(I26="Floating",D26*J26,0)</x:f>
        <x:v>330960000</x:v>
      </x:c>
      <x:c r="V26" s="20" t="n">
        <x:f>IF(A26="","",D26*N26)</x:f>
        <x:v>277770</x:v>
      </x:c>
      <x:c r="W26" s="14" t="n">
        <x:f>IF(A26='Run Snapshot'!A26,0,1)+IF(B26='Run Snapshot'!B26,0,1)+IF(C26='Run Snapshot'!C26,0,1)+IF(D26='Run Snapshot'!D26,0,1)+IF(E26='Run Snapshot'!E26,0,1)+IF(F26='Run Snapshot'!F26,0,1)+IF(G26='Run Snapshot'!G26,0,1)+IF(H26='Run Snapshot'!H26,0,1)+IF(I26='Run Snapshot'!I26,0,1)+IF(J26='Run Snapshot'!J26,0,1)+IF(K26='Run Snapshot'!K26,0,1)+IF(L26='Run Snapshot'!L26,0,1)+IF(M26='Run Snapshot'!M26,0,1)+IF(N26='Run Snapshot'!N26,0,1)+IF(O26='Run Snapshot'!O26,0,1)+IF(P26='Run Snapshot'!P26,0,1)+IF(Q26='Run Snapshot'!Q26,0,1)+IF(R26='Run Snapshot'!R26,0,1)</x:f>
        <x:v>0</x:v>
      </x:c>
      <x:c r="X26" s="15" t="n">
        <x:f>IF(A26="",0,COUNTIF($A$8:$A$59,A26)-1)</x:f>
        <x:v>0</x:v>
      </x:c>
      <x:c r="Y26" s="14" t="n">
        <x:f>IF(A26="",1,IF(OR(D26&lt;=0,N26&lt;0,N26&gt;1,M26&lt;=as_of_date),1,0))</x:f>
        <x:v>0</x:v>
      </x:c>
      <x:c r="Z26" s="170" t="n">
        <x:f>IF(A26="","",VLOOKUP(E26,SP_WARF_Factors,2,FALSE))</x:f>
        <x:v>3610.11</x:v>
      </x:c>
      <x:c r="AA26" s="172" t="n">
        <x:f>IF(A26="","",D26*Z26)</x:f>
        <x:v>4267150020</x:v>
      </x:c>
      <x:c r="AB26" s="170" t="n">
        <x:f>IF(A26="","",D26*ABS(Z26-SPWARF))</x:f>
        <x:v>1615045407.0680254</x:v>
      </x:c>
    </x:row>
    <x:row r="27">
      <x:c r="A27" s="8" t="str">
        <x:v>SYN-LN-00020</x:v>
      </x:c>
      <x:c r="B27" s="8" t="str">
        <x:v>SYN-OB-0018</x:v>
      </x:c>
      <x:c r="C27" s="8" t="str">
        <x:v>Hawthorne Corp. 018</x:v>
      </x:c>
      <x:c r="D27" s="9" t="n">
        <x:v>1182000</x:v>
      </x:c>
      <x:c r="E27" s="8" t="str">
        <x:v>B+</x:v>
      </x:c>
      <x:c r="F27" s="8" t="str">
        <x:v>Passenger airlines</x:v>
      </x:c>
      <x:c r="G27" s="8" t="str">
        <x:v>United States</x:v>
      </x:c>
      <x:c r="H27" s="8" t="str">
        <x:v>1st Lien</x:v>
      </x:c>
      <x:c r="I27" s="8" t="str">
        <x:v>Floating</x:v>
      </x:c>
      <x:c r="J27" s="8" t="n">
        <x:v>290</x:v>
      </x:c>
      <x:c r="K27" s="10"/>
      <x:c r="L27" s="8" t="n">
        <x:v>0</x:v>
      </x:c>
      <x:c r="M27" s="11" t="n">
        <x:v>47817</x:v>
      </x:c>
      <x:c r="N27" s="10" t="n">
        <x:v>0.495</x:v>
      </x:c>
      <x:c r="O27" s="12" t="n">
        <x:v>100.25</x:v>
      </x:c>
      <x:c r="P27" s="13" t="n">
        <x:v>4</x:v>
      </x:c>
      <x:c r="Q27" s="8" t="str">
        <x:v>USD</x:v>
      </x:c>
      <x:c r="R27" s="8" t="str">
        <x:v>SOFR</x:v>
      </x:c>
      <x:c r="S27" s="18" t="n">
        <x:f>IF(Portfolio_Par&gt;0,D27/Portfolio_Par,"")</x:f>
        <x:v>0.021204075774971298</x:v>
      </x:c>
      <x:c r="T27" s="19" t="n">
        <x:f>IF(A27="","",(M27-as_of_date)/365.25)</x:f>
        <x:v>3.912388774811773</x:v>
      </x:c>
      <x:c r="U27" s="20" t="n">
        <x:f>IF(I27="Floating",D27*J27,0)</x:f>
        <x:v>342780000</x:v>
      </x:c>
      <x:c r="V27" s="20" t="n">
        <x:f>IF(A27="","",D27*N27)</x:f>
        <x:v>585090</x:v>
      </x:c>
      <x:c r="W27" s="14" t="n">
        <x:f>IF(A27='Run Snapshot'!A27,0,1)+IF(B27='Run Snapshot'!B27,0,1)+IF(C27='Run Snapshot'!C27,0,1)+IF(D27='Run Snapshot'!D27,0,1)+IF(E27='Run Snapshot'!E27,0,1)+IF(F27='Run Snapshot'!F27,0,1)+IF(G27='Run Snapshot'!G27,0,1)+IF(H27='Run Snapshot'!H27,0,1)+IF(I27='Run Snapshot'!I27,0,1)+IF(J27='Run Snapshot'!J27,0,1)+IF(K27='Run Snapshot'!K27,0,1)+IF(L27='Run Snapshot'!L27,0,1)+IF(M27='Run Snapshot'!M27,0,1)+IF(N27='Run Snapshot'!N27,0,1)+IF(O27='Run Snapshot'!O27,0,1)+IF(P27='Run Snapshot'!P27,0,1)+IF(Q27='Run Snapshot'!Q27,0,1)+IF(R27='Run Snapshot'!R27,0,1)</x:f>
        <x:v>0</x:v>
      </x:c>
      <x:c r="X27" s="15" t="n">
        <x:f>IF(A27="",0,COUNTIF($A$8:$A$59,A27)-1)</x:f>
        <x:v>0</x:v>
      </x:c>
      <x:c r="Y27" s="14" t="n">
        <x:f>IF(A27="",1,IF(OR(D27&lt;=0,N27&lt;0,N27&gt;1,M27&lt;=as_of_date),1,0))</x:f>
        <x:v>0</x:v>
      </x:c>
      <x:c r="Z27" s="170" t="n">
        <x:f>IF(A27="","",VLOOKUP(E27,SP_WARF_Factors,2,FALSE))</x:f>
        <x:v>1982</x:v>
      </x:c>
      <x:c r="AA27" s="172" t="n">
        <x:f>IF(A27="","",D27*Z27)</x:f>
        <x:v>2342724000</x:v>
      </x:c>
      <x:c r="AB27" s="170" t="n">
        <x:f>IF(A27="","",D27*ABS(Z27-SPWARF))</x:f>
        <x:v>309380612.9319749</x:v>
      </x:c>
    </x:row>
    <x:row r="28">
      <x:c r="A28" s="8" t="str">
        <x:v>SYN-LN-00021</x:v>
      </x:c>
      <x:c r="B28" s="8" t="str">
        <x:v>SYN-OB-0019</x:v>
      </x:c>
      <x:c r="C28" s="8" t="str">
        <x:v>Highland Group 019</x:v>
      </x:c>
      <x:c r="D28" s="9" t="n">
        <x:v>1182000</x:v>
      </x:c>
      <x:c r="E28" s="8" t="str">
        <x:v>BB-</x:v>
      </x:c>
      <x:c r="F28" s="8" t="str">
        <x:v>Industrial Conglomerates</x:v>
      </x:c>
      <x:c r="G28" s="8" t="str">
        <x:v>United States</x:v>
      </x:c>
      <x:c r="H28" s="8" t="str">
        <x:v>1st Lien</x:v>
      </x:c>
      <x:c r="I28" s="8" t="str">
        <x:v>Floating</x:v>
      </x:c>
      <x:c r="J28" s="8" t="n">
        <x:v>150</x:v>
      </x:c>
      <x:c r="K28" s="10"/>
      <x:c r="L28" s="8" t="n">
        <x:v>0</x:v>
      </x:c>
      <x:c r="M28" s="11" t="n">
        <x:v>47966</x:v>
      </x:c>
      <x:c r="N28" s="10" t="n">
        <x:v>0.275</x:v>
      </x:c>
      <x:c r="O28" s="12" t="n">
        <x:v>99.25</x:v>
      </x:c>
      <x:c r="P28" s="13" t="n">
        <x:v>4</x:v>
      </x:c>
      <x:c r="Q28" s="8" t="str">
        <x:v>USD</x:v>
      </x:c>
      <x:c r="R28" s="8" t="str">
        <x:v>SOFR</x:v>
      </x:c>
      <x:c r="S28" s="18" t="n">
        <x:f>IF(Portfolio_Par&gt;0,D28/Portfolio_Par,"")</x:f>
        <x:v>0.021204075774971298</x:v>
      </x:c>
      <x:c r="T28" s="19" t="n">
        <x:f>IF(A28="","",(M28-as_of_date)/365.25)</x:f>
        <x:v>4.3203285420944555</x:v>
      </x:c>
      <x:c r="U28" s="20" t="n">
        <x:f>IF(I28="Floating",D28*J28,0)</x:f>
        <x:v>177300000</x:v>
      </x:c>
      <x:c r="V28" s="20" t="n">
        <x:f>IF(A28="","",D28*N28)</x:f>
        <x:v>325050</x:v>
      </x:c>
      <x:c r="W28" s="14" t="n">
        <x:f>IF(A28='Run Snapshot'!A28,0,1)+IF(B28='Run Snapshot'!B28,0,1)+IF(C28='Run Snapshot'!C28,0,1)+IF(D28='Run Snapshot'!D28,0,1)+IF(E28='Run Snapshot'!E28,0,1)+IF(F28='Run Snapshot'!F28,0,1)+IF(G28='Run Snapshot'!G28,0,1)+IF(H28='Run Snapshot'!H28,0,1)+IF(I28='Run Snapshot'!I28,0,1)+IF(J28='Run Snapshot'!J28,0,1)+IF(K28='Run Snapshot'!K28,0,1)+IF(L28='Run Snapshot'!L28,0,1)+IF(M28='Run Snapshot'!M28,0,1)+IF(N28='Run Snapshot'!N28,0,1)+IF(O28='Run Snapshot'!O28,0,1)+IF(P28='Run Snapshot'!P28,0,1)+IF(Q28='Run Snapshot'!Q28,0,1)+IF(R28='Run Snapshot'!R28,0,1)</x:f>
        <x:v>0</x:v>
      </x:c>
      <x:c r="X28" s="15" t="n">
        <x:f>IF(A28="",0,COUNTIF($A$8:$A$59,A28)-1)</x:f>
        <x:v>0</x:v>
      </x:c>
      <x:c r="Y28" s="14" t="n">
        <x:f>IF(A28="",1,IF(OR(D28&lt;=0,N28&lt;0,N28&gt;1,M28&lt;=as_of_date),1,0))</x:f>
        <x:v>0</x:v>
      </x:c>
      <x:c r="Z28" s="170" t="n">
        <x:f>IF(A28="","",VLOOKUP(E28,SP_WARF_Factors,2,FALSE))</x:f>
        <x:v>1565.44</x:v>
      </x:c>
      <x:c r="AA28" s="172" t="n">
        <x:f>IF(A28="","",D28*Z28)</x:f>
        <x:v>1850350080</x:v>
      </x:c>
      <x:c r="AB28" s="170" t="n">
        <x:f>IF(A28="","",D28*ABS(Z28-SPWARF))</x:f>
        <x:v>801754532.9319749</x:v>
      </x:c>
    </x:row>
    <x:row r="29">
      <x:c r="A29" s="8" t="str">
        <x:v>SYN-LN-00022</x:v>
      </x:c>
      <x:c r="B29" s="8" t="str">
        <x:v>SYN-OB-0020</x:v>
      </x:c>
      <x:c r="C29" s="8" t="str">
        <x:v>Ironwood LLC 020</x:v>
      </x:c>
      <x:c r="D29" s="9" t="n">
        <x:v>1182000</x:v>
      </x:c>
      <x:c r="E29" s="8" t="str">
        <x:v>BBB-</x:v>
      </x:c>
      <x:c r="F29" s="8" t="str">
        <x:v>Capital Markets</x:v>
      </x:c>
      <x:c r="G29" s="8" t="str">
        <x:v>United States</x:v>
      </x:c>
      <x:c r="H29" s="8" t="str">
        <x:v>1st Lien</x:v>
      </x:c>
      <x:c r="I29" s="8" t="str">
        <x:v>Floating</x:v>
      </x:c>
      <x:c r="J29" s="8" t="n">
        <x:v>225</x:v>
      </x:c>
      <x:c r="K29" s="10"/>
      <x:c r="L29" s="8" t="n">
        <x:v>0</x:v>
      </x:c>
      <x:c r="M29" s="11" t="n">
        <x:v>48638</x:v>
      </x:c>
      <x:c r="N29" s="10" t="n">
        <x:v>0.37</x:v>
      </x:c>
      <x:c r="O29" s="12" t="n">
        <x:v>101.5</x:v>
      </x:c>
      <x:c r="P29" s="13" t="n">
        <x:v>4</x:v>
      </x:c>
      <x:c r="Q29" s="8" t="str">
        <x:v>USD</x:v>
      </x:c>
      <x:c r="R29" s="8" t="str">
        <x:v>SOFR</x:v>
      </x:c>
      <x:c r="S29" s="18" t="n">
        <x:f>IF(Portfolio_Par&gt;0,D29/Portfolio_Par,"")</x:f>
        <x:v>0.021204075774971298</x:v>
      </x:c>
      <x:c r="T29" s="19" t="n">
        <x:f>IF(A29="","",(M29-as_of_date)/365.25)</x:f>
        <x:v>6.160164271047228</x:v>
      </x:c>
      <x:c r="U29" s="20" t="n">
        <x:f>IF(I29="Floating",D29*J29,0)</x:f>
        <x:v>265950000</x:v>
      </x:c>
      <x:c r="V29" s="20" t="n">
        <x:f>IF(A29="","",D29*N29)</x:f>
        <x:v>437340</x:v>
      </x:c>
      <x:c r="W29" s="14" t="n">
        <x:f>IF(A29='Run Snapshot'!A29,0,1)+IF(B29='Run Snapshot'!B29,0,1)+IF(C29='Run Snapshot'!C29,0,1)+IF(D29='Run Snapshot'!D29,0,1)+IF(E29='Run Snapshot'!E29,0,1)+IF(F29='Run Snapshot'!F29,0,1)+IF(G29='Run Snapshot'!G29,0,1)+IF(H29='Run Snapshot'!H29,0,1)+IF(I29='Run Snapshot'!I29,0,1)+IF(J29='Run Snapshot'!J29,0,1)+IF(K29='Run Snapshot'!K29,0,1)+IF(L29='Run Snapshot'!L29,0,1)+IF(M29='Run Snapshot'!M29,0,1)+IF(N29='Run Snapshot'!N29,0,1)+IF(O29='Run Snapshot'!O29,0,1)+IF(P29='Run Snapshot'!P29,0,1)+IF(Q29='Run Snapshot'!Q29,0,1)+IF(R29='Run Snapshot'!R29,0,1)</x:f>
        <x:v>0</x:v>
      </x:c>
      <x:c r="X29" s="15" t="n">
        <x:f>IF(A29="",0,COUNTIF($A$8:$A$59,A29)-1)</x:f>
        <x:v>0</x:v>
      </x:c>
      <x:c r="Y29" s="14" t="n">
        <x:f>IF(A29="",1,IF(OR(D29&lt;=0,N29&lt;0,N29&gt;1,M29&lt;=as_of_date),1,0))</x:f>
        <x:v>0</x:v>
      </x:c>
      <x:c r="Z29" s="170" t="n">
        <x:f>IF(A29="","",VLOOKUP(E29,SP_WARF_Factors,2,FALSE))</x:f>
        <x:v>540.42</x:v>
      </x:c>
      <x:c r="AA29" s="172" t="n">
        <x:f>IF(A29="","",D29*Z29)</x:f>
        <x:v>638776440</x:v>
      </x:c>
      <x:c r="AB29" s="170" t="n">
        <x:f>IF(A29="","",D29*ABS(Z29-SPWARF))</x:f>
        <x:v>2013328172.931975</x:v>
      </x:c>
    </x:row>
    <x:row r="30">
      <x:c r="A30" s="8" t="str">
        <x:v>SYN-LN-00023</x:v>
      </x:c>
      <x:c r="B30" s="8" t="str">
        <x:v>SYN-OB-0021</x:v>
      </x:c>
      <x:c r="C30" s="8" t="str">
        <x:v>Juniper Holdings 021</x:v>
      </x:c>
      <x:c r="D30" s="9" t="n">
        <x:v>1182000</x:v>
      </x:c>
      <x:c r="E30" s="8" t="str">
        <x:v>BB</x:v>
      </x:c>
      <x:c r="F30" s="8" t="str">
        <x:v>Healthcare Technology</x:v>
      </x:c>
      <x:c r="G30" s="8" t="str">
        <x:v>United States</x:v>
      </x:c>
      <x:c r="H30" s="8" t="str">
        <x:v>1st Lien</x:v>
      </x:c>
      <x:c r="I30" s="8" t="str">
        <x:v>Floating</x:v>
      </x:c>
      <x:c r="J30" s="8" t="n">
        <x:v>215</x:v>
      </x:c>
      <x:c r="K30" s="10"/>
      <x:c r="L30" s="8" t="n">
        <x:v>0</x:v>
      </x:c>
      <x:c r="M30" s="11" t="n">
        <x:v>48548</x:v>
      </x:c>
      <x:c r="N30" s="10" t="n">
        <x:v>0.435</x:v>
      </x:c>
      <x:c r="O30" s="12" t="n">
        <x:v>99.375</x:v>
      </x:c>
      <x:c r="P30" s="13" t="n">
        <x:v>4</x:v>
      </x:c>
      <x:c r="Q30" s="8" t="str">
        <x:v>USD</x:v>
      </x:c>
      <x:c r="R30" s="8" t="str">
        <x:v>SOFR</x:v>
      </x:c>
      <x:c r="S30" s="18" t="n">
        <x:f>IF(Portfolio_Par&gt;0,D30/Portfolio_Par,"")</x:f>
        <x:v>0.021204075774971298</x:v>
      </x:c>
      <x:c r="T30" s="19" t="n">
        <x:f>IF(A30="","",(M30-as_of_date)/365.25)</x:f>
        <x:v>5.9137577002053385</x:v>
      </x:c>
      <x:c r="U30" s="20" t="n">
        <x:f>IF(I30="Floating",D30*J30,0)</x:f>
        <x:v>254130000</x:v>
      </x:c>
      <x:c r="V30" s="20" t="n">
        <x:f>IF(A30="","",D30*N30)</x:f>
        <x:v>514170</x:v>
      </x:c>
      <x:c r="W30" s="14" t="n">
        <x:f>IF(A30='Run Snapshot'!A30,0,1)+IF(B30='Run Snapshot'!B30,0,1)+IF(C30='Run Snapshot'!C30,0,1)+IF(D30='Run Snapshot'!D30,0,1)+IF(E30='Run Snapshot'!E30,0,1)+IF(F30='Run Snapshot'!F30,0,1)+IF(G30='Run Snapshot'!G30,0,1)+IF(H30='Run Snapshot'!H30,0,1)+IF(I30='Run Snapshot'!I30,0,1)+IF(J30='Run Snapshot'!J30,0,1)+IF(K30='Run Snapshot'!K30,0,1)+IF(L30='Run Snapshot'!L30,0,1)+IF(M30='Run Snapshot'!M30,0,1)+IF(N30='Run Snapshot'!N30,0,1)+IF(O30='Run Snapshot'!O30,0,1)+IF(P30='Run Snapshot'!P30,0,1)+IF(Q30='Run Snapshot'!Q30,0,1)+IF(R30='Run Snapshot'!R30,0,1)</x:f>
        <x:v>0</x:v>
      </x:c>
      <x:c r="X30" s="15" t="n">
        <x:f>IF(A30="",0,COUNTIF($A$8:$A$59,A30)-1)</x:f>
        <x:v>0</x:v>
      </x:c>
      <x:c r="Y30" s="14" t="n">
        <x:f>IF(A30="",1,IF(OR(D30&lt;=0,N30&lt;0,N30&gt;1,M30&lt;=as_of_date),1,0))</x:f>
        <x:v>0</x:v>
      </x:c>
      <x:c r="Z30" s="170" t="n">
        <x:f>IF(A30="","",VLOOKUP(E30,SP_WARF_Factors,2,FALSE))</x:f>
        <x:v>1233.63</x:v>
      </x:c>
      <x:c r="AA30" s="172" t="n">
        <x:f>IF(A30="","",D30*Z30)</x:f>
        <x:v>1458150660.0000002</x:v>
      </x:c>
      <x:c r="AB30" s="170" t="n">
        <x:f>IF(A30="","",D30*ABS(Z30-SPWARF))</x:f>
        <x:v>1193953952.931975</x:v>
      </x:c>
    </x:row>
    <x:row r="31">
      <x:c r="A31" s="8" t="str">
        <x:v>SYN-LN-00024</x:v>
      </x:c>
      <x:c r="B31" s="8" t="str">
        <x:v>SYN-OB-0022</x:v>
      </x:c>
      <x:c r="C31" s="8" t="str">
        <x:v>Keystone Inc. 022</x:v>
      </x:c>
      <x:c r="D31" s="9" t="n">
        <x:v>1182000</x:v>
      </x:c>
      <x:c r="E31" s="8" t="str">
        <x:v>B+</x:v>
      </x:c>
      <x:c r="F31" s="8" t="str">
        <x:v>Hotels, Restaurants &amp; Leisure</x:v>
      </x:c>
      <x:c r="G31" s="8" t="str">
        <x:v>United States</x:v>
      </x:c>
      <x:c r="H31" s="8" t="str">
        <x:v>1st Lien</x:v>
      </x:c>
      <x:c r="I31" s="8" t="str">
        <x:v>Floating</x:v>
      </x:c>
      <x:c r="J31" s="8" t="n">
        <x:v>215</x:v>
      </x:c>
      <x:c r="K31" s="10"/>
      <x:c r="L31" s="8" t="n">
        <x:v>0</x:v>
      </x:c>
      <x:c r="M31" s="11" t="n">
        <x:v>49140</x:v>
      </x:c>
      <x:c r="N31" s="10" t="n">
        <x:v>0.435</x:v>
      </x:c>
      <x:c r="O31" s="12" t="n">
        <x:v>98.75</x:v>
      </x:c>
      <x:c r="P31" s="13" t="n">
        <x:v>4</x:v>
      </x:c>
      <x:c r="Q31" s="8" t="str">
        <x:v>USD</x:v>
      </x:c>
      <x:c r="R31" s="8" t="str">
        <x:v>SOFR</x:v>
      </x:c>
      <x:c r="S31" s="18" t="n">
        <x:f>IF(Portfolio_Par&gt;0,D31/Portfolio_Par,"")</x:f>
        <x:v>0.021204075774971298</x:v>
      </x:c>
      <x:c r="T31" s="19" t="n">
        <x:f>IF(A31="","",(M31-as_of_date)/365.25)</x:f>
        <x:v>7.534565366187543</x:v>
      </x:c>
      <x:c r="U31" s="20" t="n">
        <x:f>IF(I31="Floating",D31*J31,0)</x:f>
        <x:v>254130000</x:v>
      </x:c>
      <x:c r="V31" s="20" t="n">
        <x:f>IF(A31="","",D31*N31)</x:f>
        <x:v>514170</x:v>
      </x:c>
      <x:c r="W31" s="14" t="n">
        <x:f>IF(A31='Run Snapshot'!A31,0,1)+IF(B31='Run Snapshot'!B31,0,1)+IF(C31='Run Snapshot'!C31,0,1)+IF(D31='Run Snapshot'!D31,0,1)+IF(E31='Run Snapshot'!E31,0,1)+IF(F31='Run Snapshot'!F31,0,1)+IF(G31='Run Snapshot'!G31,0,1)+IF(H31='Run Snapshot'!H31,0,1)+IF(I31='Run Snapshot'!I31,0,1)+IF(J31='Run Snapshot'!J31,0,1)+IF(K31='Run Snapshot'!K31,0,1)+IF(L31='Run Snapshot'!L31,0,1)+IF(M31='Run Snapshot'!M31,0,1)+IF(N31='Run Snapshot'!N31,0,1)+IF(O31='Run Snapshot'!O31,0,1)+IF(P31='Run Snapshot'!P31,0,1)+IF(Q31='Run Snapshot'!Q31,0,1)+IF(R31='Run Snapshot'!R31,0,1)</x:f>
        <x:v>0</x:v>
      </x:c>
      <x:c r="X31" s="15" t="n">
        <x:f>IF(A31="",0,COUNTIF($A$8:$A$59,A31)-1)</x:f>
        <x:v>0</x:v>
      </x:c>
      <x:c r="Y31" s="14" t="n">
        <x:f>IF(A31="",1,IF(OR(D31&lt;=0,N31&lt;0,N31&gt;1,M31&lt;=as_of_date),1,0))</x:f>
        <x:v>0</x:v>
      </x:c>
      <x:c r="Z31" s="170" t="n">
        <x:f>IF(A31="","",VLOOKUP(E31,SP_WARF_Factors,2,FALSE))</x:f>
        <x:v>1982</x:v>
      </x:c>
      <x:c r="AA31" s="172" t="n">
        <x:f>IF(A31="","",D31*Z31)</x:f>
        <x:v>2342724000</x:v>
      </x:c>
      <x:c r="AB31" s="170" t="n">
        <x:f>IF(A31="","",D31*ABS(Z31-SPWARF))</x:f>
        <x:v>309380612.9319749</x:v>
      </x:c>
    </x:row>
    <x:row r="32">
      <x:c r="A32" s="8" t="str">
        <x:v>SYN-LN-00025</x:v>
      </x:c>
      <x:c r="B32" s="8" t="str">
        <x:v>SYN-OB-0023</x:v>
      </x:c>
      <x:c r="C32" s="8" t="str">
        <x:v>Lakeview Corp. 023</x:v>
      </x:c>
      <x:c r="D32" s="9" t="n">
        <x:v>1182000</x:v>
      </x:c>
      <x:c r="E32" s="8" t="str">
        <x:v>B-</x:v>
      </x:c>
      <x:c r="F32" s="8" t="str">
        <x:v>Containers &amp; Packaging</x:v>
      </x:c>
      <x:c r="G32" s="8" t="str">
        <x:v>United States</x:v>
      </x:c>
      <x:c r="H32" s="8" t="str">
        <x:v>1st Lien</x:v>
      </x:c>
      <x:c r="I32" s="8" t="str">
        <x:v>Floating</x:v>
      </x:c>
      <x:c r="J32" s="8" t="n">
        <x:v>290</x:v>
      </x:c>
      <x:c r="K32" s="10"/>
      <x:c r="L32" s="8" t="n">
        <x:v>0</x:v>
      </x:c>
      <x:c r="M32" s="11" t="n">
        <x:v>47845</x:v>
      </x:c>
      <x:c r="N32" s="10" t="n">
        <x:v>0.27</x:v>
      </x:c>
      <x:c r="O32" s="12" t="n">
        <x:v>100.375</x:v>
      </x:c>
      <x:c r="P32" s="13" t="n">
        <x:v>4</x:v>
      </x:c>
      <x:c r="Q32" s="8" t="str">
        <x:v>USD</x:v>
      </x:c>
      <x:c r="R32" s="8" t="str">
        <x:v>SOFR</x:v>
      </x:c>
      <x:c r="S32" s="18" t="n">
        <x:f>IF(Portfolio_Par&gt;0,D32/Portfolio_Par,"")</x:f>
        <x:v>0.021204075774971298</x:v>
      </x:c>
      <x:c r="T32" s="19" t="n">
        <x:f>IF(A32="","",(M32-as_of_date)/365.25)</x:f>
        <x:v>3.9890485968514717</x:v>
      </x:c>
      <x:c r="U32" s="20" t="n">
        <x:f>IF(I32="Floating",D32*J32,0)</x:f>
        <x:v>342780000</x:v>
      </x:c>
      <x:c r="V32" s="20" t="n">
        <x:f>IF(A32="","",D32*N32)</x:f>
        <x:v>319140</x:v>
      </x:c>
      <x:c r="W32" s="14" t="n">
        <x:f>IF(A32='Run Snapshot'!A32,0,1)+IF(B32='Run Snapshot'!B32,0,1)+IF(C32='Run Snapshot'!C32,0,1)+IF(D32='Run Snapshot'!D32,0,1)+IF(E32='Run Snapshot'!E32,0,1)+IF(F32='Run Snapshot'!F32,0,1)+IF(G32='Run Snapshot'!G32,0,1)+IF(H32='Run Snapshot'!H32,0,1)+IF(I32='Run Snapshot'!I32,0,1)+IF(J32='Run Snapshot'!J32,0,1)+IF(K32='Run Snapshot'!K32,0,1)+IF(L32='Run Snapshot'!L32,0,1)+IF(M32='Run Snapshot'!M32,0,1)+IF(N32='Run Snapshot'!N32,0,1)+IF(O32='Run Snapshot'!O32,0,1)+IF(P32='Run Snapshot'!P32,0,1)+IF(Q32='Run Snapshot'!Q32,0,1)+IF(R32='Run Snapshot'!R32,0,1)</x:f>
        <x:v>0</x:v>
      </x:c>
      <x:c r="X32" s="15" t="n">
        <x:f>IF(A32="",0,COUNTIF($A$8:$A$59,A32)-1)</x:f>
        <x:v>0</x:v>
      </x:c>
      <x:c r="Y32" s="14" t="n">
        <x:f>IF(A32="",1,IF(OR(D32&lt;=0,N32&lt;0,N32&gt;1,M32&lt;=as_of_date),1,0))</x:f>
        <x:v>0</x:v>
      </x:c>
      <x:c r="Z32" s="170" t="n">
        <x:f>IF(A32="","",VLOOKUP(E32,SP_WARF_Factors,2,FALSE))</x:f>
        <x:v>3610.11</x:v>
      </x:c>
      <x:c r="AA32" s="172" t="n">
        <x:f>IF(A32="","",D32*Z32)</x:f>
        <x:v>4267150020</x:v>
      </x:c>
      <x:c r="AB32" s="170" t="n">
        <x:f>IF(A32="","",D32*ABS(Z32-SPWARF))</x:f>
        <x:v>1615045407.0680254</x:v>
      </x:c>
    </x:row>
    <x:row r="33">
      <x:c r="A33" s="8" t="str">
        <x:v>SYN-LN-00026</x:v>
      </x:c>
      <x:c r="B33" s="8" t="str">
        <x:v>SYN-OB-0024</x:v>
      </x:c>
      <x:c r="C33" s="8" t="str">
        <x:v>Larkspur Group 024</x:v>
      </x:c>
      <x:c r="D33" s="9" t="n">
        <x:v>1182000</x:v>
      </x:c>
      <x:c r="E33" s="8" t="str">
        <x:v>B</x:v>
      </x:c>
      <x:c r="F33" s="8" t="str">
        <x:v>Aerospace &amp; Defense</x:v>
      </x:c>
      <x:c r="G33" s="8" t="str">
        <x:v>Luxembourg</x:v>
      </x:c>
      <x:c r="H33" s="8" t="str">
        <x:v>1st Lien</x:v>
      </x:c>
      <x:c r="I33" s="8" t="str">
        <x:v>Floating</x:v>
      </x:c>
      <x:c r="J33" s="8" t="n">
        <x:v>405</x:v>
      </x:c>
      <x:c r="K33" s="10"/>
      <x:c r="L33" s="8" t="n">
        <x:v>0</x:v>
      </x:c>
      <x:c r="M33" s="11" t="n">
        <x:v>47480</x:v>
      </x:c>
      <x:c r="N33" s="10" t="n">
        <x:v>0.285</x:v>
      </x:c>
      <x:c r="O33" s="12" t="n">
        <x:v>101.5</x:v>
      </x:c>
      <x:c r="P33" s="13" t="n">
        <x:v>4</x:v>
      </x:c>
      <x:c r="Q33" s="8" t="str">
        <x:v>USD</x:v>
      </x:c>
      <x:c r="R33" s="8" t="str">
        <x:v>SOFR</x:v>
      </x:c>
      <x:c r="S33" s="18" t="n">
        <x:f>IF(Portfolio_Par&gt;0,D33/Portfolio_Par,"")</x:f>
        <x:v>0.021204075774971298</x:v>
      </x:c>
      <x:c r="T33" s="19" t="n">
        <x:f>IF(A33="","",(M33-as_of_date)/365.25)</x:f>
        <x:v>2.9897330595482545</x:v>
      </x:c>
      <x:c r="U33" s="20" t="n">
        <x:f>IF(I33="Floating",D33*J33,0)</x:f>
        <x:v>478710000</x:v>
      </x:c>
      <x:c r="V33" s="20" t="n">
        <x:f>IF(A33="","",D33*N33)</x:f>
        <x:v>336870</x:v>
      </x:c>
      <x:c r="W33" s="14" t="n">
        <x:f>IF(A33='Run Snapshot'!A33,0,1)+IF(B33='Run Snapshot'!B33,0,1)+IF(C33='Run Snapshot'!C33,0,1)+IF(D33='Run Snapshot'!D33,0,1)+IF(E33='Run Snapshot'!E33,0,1)+IF(F33='Run Snapshot'!F33,0,1)+IF(G33='Run Snapshot'!G33,0,1)+IF(H33='Run Snapshot'!H33,0,1)+IF(I33='Run Snapshot'!I33,0,1)+IF(J33='Run Snapshot'!J33,0,1)+IF(K33='Run Snapshot'!K33,0,1)+IF(L33='Run Snapshot'!L33,0,1)+IF(M33='Run Snapshot'!M33,0,1)+IF(N33='Run Snapshot'!N33,0,1)+IF(O33='Run Snapshot'!O33,0,1)+IF(P33='Run Snapshot'!P33,0,1)+IF(Q33='Run Snapshot'!Q33,0,1)+IF(R33='Run Snapshot'!R33,0,1)</x:f>
        <x:v>0</x:v>
      </x:c>
      <x:c r="X33" s="15" t="n">
        <x:f>IF(A33="",0,COUNTIF($A$8:$A$59,A33)-1)</x:f>
        <x:v>0</x:v>
      </x:c>
      <x:c r="Y33" s="14" t="n">
        <x:f>IF(A33="",1,IF(OR(D33&lt;=0,N33&lt;0,N33&gt;1,M33&lt;=as_of_date),1,0))</x:f>
        <x:v>0</x:v>
      </x:c>
      <x:c r="Z33" s="170" t="n">
        <x:f>IF(A33="","",VLOOKUP(E33,SP_WARF_Factors,2,FALSE))</x:f>
        <x:v>2859.5</x:v>
      </x:c>
      <x:c r="AA33" s="172" t="n">
        <x:f>IF(A33="","",D33*Z33)</x:f>
        <x:v>3379929000</x:v>
      </x:c>
      <x:c r="AB33" s="170" t="n">
        <x:f>IF(A33="","",D33*ABS(Z33-SPWARF))</x:f>
        <x:v>727824387.0680251</x:v>
      </x:c>
    </x:row>
    <x:row r="34">
      <x:c r="A34" s="8" t="str">
        <x:v>SYN-LN-00027</x:v>
      </x:c>
      <x:c r="B34" s="8" t="str">
        <x:v>SYN-OB-0025</x:v>
      </x:c>
      <x:c r="C34" s="8" t="str">
        <x:v>Maple LLC 025</x:v>
      </x:c>
      <x:c r="D34" s="9" t="n">
        <x:v>1182000</x:v>
      </x:c>
      <x:c r="E34" s="8" t="str">
        <x:v>BB-</x:v>
      </x:c>
      <x:c r="F34" s="8" t="str">
        <x:v>Broadline retail</x:v>
      </x:c>
      <x:c r="G34" s="8" t="str">
        <x:v>United States</x:v>
      </x:c>
      <x:c r="H34" s="8" t="str">
        <x:v>1st Lien</x:v>
      </x:c>
      <x:c r="I34" s="8" t="str">
        <x:v>Floating</x:v>
      </x:c>
      <x:c r="J34" s="8" t="n">
        <x:v>235</x:v>
      </x:c>
      <x:c r="K34" s="10"/>
      <x:c r="L34" s="8" t="n">
        <x:v>0</x:v>
      </x:c>
      <x:c r="M34" s="11" t="n">
        <x:v>48727</x:v>
      </x:c>
      <x:c r="N34" s="10" t="n">
        <x:v>0.475</x:v>
      </x:c>
      <x:c r="O34" s="12" t="n">
        <x:v>100.25</x:v>
      </x:c>
      <x:c r="P34" s="13" t="n">
        <x:v>4</x:v>
      </x:c>
      <x:c r="Q34" s="8" t="str">
        <x:v>USD</x:v>
      </x:c>
      <x:c r="R34" s="8" t="str">
        <x:v>SOFR</x:v>
      </x:c>
      <x:c r="S34" s="18" t="n">
        <x:f>IF(Portfolio_Par&gt;0,D34/Portfolio_Par,"")</x:f>
        <x:v>0.021204075774971298</x:v>
      </x:c>
      <x:c r="T34" s="19" t="n">
        <x:f>IF(A34="","",(M34-as_of_date)/365.25)</x:f>
        <x:v>6.403832991101985</x:v>
      </x:c>
      <x:c r="U34" s="20" t="n">
        <x:f>IF(I34="Floating",D34*J34,0)</x:f>
        <x:v>277770000</x:v>
      </x:c>
      <x:c r="V34" s="20" t="n">
        <x:f>IF(A34="","",D34*N34)</x:f>
        <x:v>561450</x:v>
      </x:c>
      <x:c r="W34" s="14" t="n">
        <x:f>IF(A34='Run Snapshot'!A34,0,1)+IF(B34='Run Snapshot'!B34,0,1)+IF(C34='Run Snapshot'!C34,0,1)+IF(D34='Run Snapshot'!D34,0,1)+IF(E34='Run Snapshot'!E34,0,1)+IF(F34='Run Snapshot'!F34,0,1)+IF(G34='Run Snapshot'!G34,0,1)+IF(H34='Run Snapshot'!H34,0,1)+IF(I34='Run Snapshot'!I34,0,1)+IF(J34='Run Snapshot'!J34,0,1)+IF(K34='Run Snapshot'!K34,0,1)+IF(L34='Run Snapshot'!L34,0,1)+IF(M34='Run Snapshot'!M34,0,1)+IF(N34='Run Snapshot'!N34,0,1)+IF(O34='Run Snapshot'!O34,0,1)+IF(P34='Run Snapshot'!P34,0,1)+IF(Q34='Run Snapshot'!Q34,0,1)+IF(R34='Run Snapshot'!R34,0,1)</x:f>
        <x:v>0</x:v>
      </x:c>
      <x:c r="X34" s="15" t="n">
        <x:f>IF(A34="",0,COUNTIF($A$8:$A$59,A34)-1)</x:f>
        <x:v>0</x:v>
      </x:c>
      <x:c r="Y34" s="14" t="n">
        <x:f>IF(A34="",1,IF(OR(D34&lt;=0,N34&lt;0,N34&gt;1,M34&lt;=as_of_date),1,0))</x:f>
        <x:v>0</x:v>
      </x:c>
      <x:c r="Z34" s="170" t="n">
        <x:f>IF(A34="","",VLOOKUP(E34,SP_WARF_Factors,2,FALSE))</x:f>
        <x:v>1565.44</x:v>
      </x:c>
      <x:c r="AA34" s="172" t="n">
        <x:f>IF(A34="","",D34*Z34)</x:f>
        <x:v>1850350080</x:v>
      </x:c>
      <x:c r="AB34" s="170" t="n">
        <x:f>IF(A34="","",D34*ABS(Z34-SPWARF))</x:f>
        <x:v>801754532.9319749</x:v>
      </x:c>
    </x:row>
    <x:row r="35">
      <x:c r="A35" s="8" t="str">
        <x:v>SYN-LN-00028</x:v>
      </x:c>
      <x:c r="B35" s="8" t="str">
        <x:v>SYN-OB-0026</x:v>
      </x:c>
      <x:c r="C35" s="8" t="str">
        <x:v>Meridian Holdings 026</x:v>
      </x:c>
      <x:c r="D35" s="9" t="n">
        <x:v>1182000</x:v>
      </x:c>
      <x:c r="E35" s="8" t="str">
        <x:v>BB-</x:v>
      </x:c>
      <x:c r="F35" s="8" t="str">
        <x:v>Household Products</x:v>
      </x:c>
      <x:c r="G35" s="8" t="str">
        <x:v>United States</x:v>
      </x:c>
      <x:c r="H35" s="8" t="str">
        <x:v>1st Lien</x:v>
      </x:c>
      <x:c r="I35" s="8" t="str">
        <x:v>Floating</x:v>
      </x:c>
      <x:c r="J35" s="8" t="n">
        <x:v>295</x:v>
      </x:c>
      <x:c r="K35" s="10"/>
      <x:c r="L35" s="8" t="n">
        <x:v>0</x:v>
      </x:c>
      <x:c r="M35" s="11" t="n">
        <x:v>48515</x:v>
      </x:c>
      <x:c r="N35" s="10" t="n">
        <x:v>0.365</x:v>
      </x:c>
      <x:c r="O35" s="12" t="n">
        <x:v>97</x:v>
      </x:c>
      <x:c r="P35" s="13" t="n">
        <x:v>4</x:v>
      </x:c>
      <x:c r="Q35" s="8" t="str">
        <x:v>USD</x:v>
      </x:c>
      <x:c r="R35" s="8" t="str">
        <x:v>SOFR</x:v>
      </x:c>
      <x:c r="S35" s="18" t="n">
        <x:f>IF(Portfolio_Par&gt;0,D35/Portfolio_Par,"")</x:f>
        <x:v>0.021204075774971298</x:v>
      </x:c>
      <x:c r="T35" s="19" t="n">
        <x:f>IF(A35="","",(M35-as_of_date)/365.25)</x:f>
        <x:v>5.823408624229979</x:v>
      </x:c>
      <x:c r="U35" s="20" t="n">
        <x:f>IF(I35="Floating",D35*J35,0)</x:f>
        <x:v>348690000</x:v>
      </x:c>
      <x:c r="V35" s="20" t="n">
        <x:f>IF(A35="","",D35*N35)</x:f>
        <x:v>431430</x:v>
      </x:c>
      <x:c r="W35" s="14" t="n">
        <x:f>IF(A35='Run Snapshot'!A35,0,1)+IF(B35='Run Snapshot'!B35,0,1)+IF(C35='Run Snapshot'!C35,0,1)+IF(D35='Run Snapshot'!D35,0,1)+IF(E35='Run Snapshot'!E35,0,1)+IF(F35='Run Snapshot'!F35,0,1)+IF(G35='Run Snapshot'!G35,0,1)+IF(H35='Run Snapshot'!H35,0,1)+IF(I35='Run Snapshot'!I35,0,1)+IF(J35='Run Snapshot'!J35,0,1)+IF(K35='Run Snapshot'!K35,0,1)+IF(L35='Run Snapshot'!L35,0,1)+IF(M35='Run Snapshot'!M35,0,1)+IF(N35='Run Snapshot'!N35,0,1)+IF(O35='Run Snapshot'!O35,0,1)+IF(P35='Run Snapshot'!P35,0,1)+IF(Q35='Run Snapshot'!Q35,0,1)+IF(R35='Run Snapshot'!R35,0,1)</x:f>
        <x:v>0</x:v>
      </x:c>
      <x:c r="X35" s="15" t="n">
        <x:f>IF(A35="",0,COUNTIF($A$8:$A$59,A35)-1)</x:f>
        <x:v>0</x:v>
      </x:c>
      <x:c r="Y35" s="14" t="n">
        <x:f>IF(A35="",1,IF(OR(D35&lt;=0,N35&lt;0,N35&gt;1,M35&lt;=as_of_date),1,0))</x:f>
        <x:v>0</x:v>
      </x:c>
      <x:c r="Z35" s="170" t="n">
        <x:f>IF(A35="","",VLOOKUP(E35,SP_WARF_Factors,2,FALSE))</x:f>
        <x:v>1565.44</x:v>
      </x:c>
      <x:c r="AA35" s="172" t="n">
        <x:f>IF(A35="","",D35*Z35)</x:f>
        <x:v>1850350080</x:v>
      </x:c>
      <x:c r="AB35" s="170" t="n">
        <x:f>IF(A35="","",D35*ABS(Z35-SPWARF))</x:f>
        <x:v>801754532.9319749</x:v>
      </x:c>
    </x:row>
    <x:row r="36">
      <x:c r="A36" s="8" t="str">
        <x:v>SYN-LN-00029</x:v>
      </x:c>
      <x:c r="B36" s="8" t="str">
        <x:v>SYN-OB-0027</x:v>
      </x:c>
      <x:c r="C36" s="8" t="str">
        <x:v>Northfield Inc. 027</x:v>
      </x:c>
      <x:c r="D36" s="9" t="n">
        <x:v>630000</x:v>
      </x:c>
      <x:c r="E36" s="8" t="str">
        <x:v>B</x:v>
      </x:c>
      <x:c r="F36" s="8" t="str">
        <x:v>Aerospace &amp; Defense</x:v>
      </x:c>
      <x:c r="G36" s="8" t="str">
        <x:v>Luxembourg</x:v>
      </x:c>
      <x:c r="H36" s="8" t="str">
        <x:v>1st Lien</x:v>
      </x:c>
      <x:c r="I36" s="8" t="str">
        <x:v>Floating</x:v>
      </x:c>
      <x:c r="J36" s="8" t="n">
        <x:v>365</x:v>
      </x:c>
      <x:c r="K36" s="10"/>
      <x:c r="L36" s="8" t="n">
        <x:v>50</x:v>
      </x:c>
      <x:c r="M36" s="11" t="n">
        <x:v>49582</x:v>
      </x:c>
      <x:c r="N36" s="10" t="n">
        <x:v>0.43</x:v>
      </x:c>
      <x:c r="O36" s="12" t="n">
        <x:v>99.5</x:v>
      </x:c>
      <x:c r="P36" s="13" t="n">
        <x:v>4</x:v>
      </x:c>
      <x:c r="Q36" s="8" t="str">
        <x:v>USD</x:v>
      </x:c>
      <x:c r="R36" s="8" t="str">
        <x:v>SOFR</x:v>
      </x:c>
      <x:c r="S36" s="18" t="n">
        <x:f>IF(Portfolio_Par&gt;0,D36/Portfolio_Par,"")</x:f>
        <x:v>0.011301664753157291</x:v>
      </x:c>
      <x:c r="T36" s="19" t="n">
        <x:f>IF(A36="","",(M36-as_of_date)/365.25)</x:f>
        <x:v>8.744695414099931</x:v>
      </x:c>
      <x:c r="U36" s="20" t="n">
        <x:f>IF(I36="Floating",D36*J36,0)</x:f>
        <x:v>229950000</x:v>
      </x:c>
      <x:c r="V36" s="20" t="n">
        <x:f>IF(A36="","",D36*N36)</x:f>
        <x:v>270900</x:v>
      </x:c>
      <x:c r="W36" s="14" t="n">
        <x:f>IF(A36='Run Snapshot'!A36,0,1)+IF(B36='Run Snapshot'!B36,0,1)+IF(C36='Run Snapshot'!C36,0,1)+IF(D36='Run Snapshot'!D36,0,1)+IF(E36='Run Snapshot'!E36,0,1)+IF(F36='Run Snapshot'!F36,0,1)+IF(G36='Run Snapshot'!G36,0,1)+IF(H36='Run Snapshot'!H36,0,1)+IF(I36='Run Snapshot'!I36,0,1)+IF(J36='Run Snapshot'!J36,0,1)+IF(K36='Run Snapshot'!K36,0,1)+IF(L36='Run Snapshot'!L36,0,1)+IF(M36='Run Snapshot'!M36,0,1)+IF(N36='Run Snapshot'!N36,0,1)+IF(O36='Run Snapshot'!O36,0,1)+IF(P36='Run Snapshot'!P36,0,1)+IF(Q36='Run Snapshot'!Q36,0,1)+IF(R36='Run Snapshot'!R36,0,1)</x:f>
        <x:v>0</x:v>
      </x:c>
      <x:c r="X36" s="15" t="n">
        <x:f>IF(A36="",0,COUNTIF($A$8:$A$59,A36)-1)</x:f>
        <x:v>0</x:v>
      </x:c>
      <x:c r="Y36" s="14" t="n">
        <x:f>IF(A36="",1,IF(OR(D36&lt;=0,N36&lt;0,N36&gt;1,M36&lt;=as_of_date),1,0))</x:f>
        <x:v>0</x:v>
      </x:c>
      <x:c r="Z36" s="170" t="n">
        <x:f>IF(A36="","",VLOOKUP(E36,SP_WARF_Factors,2,FALSE))</x:f>
        <x:v>2859.5</x:v>
      </x:c>
      <x:c r="AA36" s="172" t="n">
        <x:f>IF(A36="","",D36*Z36)</x:f>
        <x:v>1801485000</x:v>
      </x:c>
      <x:c r="AB36" s="170" t="n">
        <x:f>IF(A36="","",D36*ABS(Z36-SPWARF))</x:f>
        <x:v>387926703.7672215</x:v>
      </x:c>
    </x:row>
    <x:row r="37">
      <x:c r="A37" s="8" t="str">
        <x:v>SYN-LN-00030</x:v>
      </x:c>
      <x:c r="B37" s="8" t="str">
        <x:v>SYN-OB-0028</x:v>
      </x:c>
      <x:c r="C37" s="8" t="str">
        <x:v>Oakmont Corp. 028</x:v>
      </x:c>
      <x:c r="D37" s="9" t="n">
        <x:v>1182000</x:v>
      </x:c>
      <x:c r="E37" s="8" t="str">
        <x:v>B-</x:v>
      </x:c>
      <x:c r="F37" s="8" t="str">
        <x:v>Financial services</x:v>
      </x:c>
      <x:c r="G37" s="8" t="str">
        <x:v>United States</x:v>
      </x:c>
      <x:c r="H37" s="8" t="str">
        <x:v>1st Lien</x:v>
      </x:c>
      <x:c r="I37" s="8" t="str">
        <x:v>Floating</x:v>
      </x:c>
      <x:c r="J37" s="8" t="n">
        <x:v>330</x:v>
      </x:c>
      <x:c r="K37" s="10"/>
      <x:c r="L37" s="8" t="n">
        <x:v>0</x:v>
      </x:c>
      <x:c r="M37" s="11" t="n">
        <x:v>48533</x:v>
      </x:c>
      <x:c r="N37" s="10" t="n">
        <x:v>0.385</x:v>
      </x:c>
      <x:c r="O37" s="12" t="n">
        <x:v>98.875</x:v>
      </x:c>
      <x:c r="P37" s="13" t="n">
        <x:v>4</x:v>
      </x:c>
      <x:c r="Q37" s="8" t="str">
        <x:v>USD</x:v>
      </x:c>
      <x:c r="R37" s="8" t="str">
        <x:v>SOFR</x:v>
      </x:c>
      <x:c r="S37" s="18" t="n">
        <x:f>IF(Portfolio_Par&gt;0,D37/Portfolio_Par,"")</x:f>
        <x:v>0.021204075774971298</x:v>
      </x:c>
      <x:c r="T37" s="19" t="n">
        <x:f>IF(A37="","",(M37-as_of_date)/365.25)</x:f>
        <x:v>5.8726899383983575</x:v>
      </x:c>
      <x:c r="U37" s="20" t="n">
        <x:f>IF(I37="Floating",D37*J37,0)</x:f>
        <x:v>390060000</x:v>
      </x:c>
      <x:c r="V37" s="20" t="n">
        <x:f>IF(A37="","",D37*N37)</x:f>
        <x:v>455070</x:v>
      </x:c>
      <x:c r="W37" s="14" t="n">
        <x:f>IF(A37='Run Snapshot'!A37,0,1)+IF(B37='Run Snapshot'!B37,0,1)+IF(C37='Run Snapshot'!C37,0,1)+IF(D37='Run Snapshot'!D37,0,1)+IF(E37='Run Snapshot'!E37,0,1)+IF(F37='Run Snapshot'!F37,0,1)+IF(G37='Run Snapshot'!G37,0,1)+IF(H37='Run Snapshot'!H37,0,1)+IF(I37='Run Snapshot'!I37,0,1)+IF(J37='Run Snapshot'!J37,0,1)+IF(K37='Run Snapshot'!K37,0,1)+IF(L37='Run Snapshot'!L37,0,1)+IF(M37='Run Snapshot'!M37,0,1)+IF(N37='Run Snapshot'!N37,0,1)+IF(O37='Run Snapshot'!O37,0,1)+IF(P37='Run Snapshot'!P37,0,1)+IF(Q37='Run Snapshot'!Q37,0,1)+IF(R37='Run Snapshot'!R37,0,1)</x:f>
        <x:v>0</x:v>
      </x:c>
      <x:c r="X37" s="15" t="n">
        <x:f>IF(A37="",0,COUNTIF($A$8:$A$59,A37)-1)</x:f>
        <x:v>0</x:v>
      </x:c>
      <x:c r="Y37" s="14" t="n">
        <x:f>IF(A37="",1,IF(OR(D37&lt;=0,N37&lt;0,N37&gt;1,M37&lt;=as_of_date),1,0))</x:f>
        <x:v>0</x:v>
      </x:c>
      <x:c r="Z37" s="170" t="n">
        <x:f>IF(A37="","",VLOOKUP(E37,SP_WARF_Factors,2,FALSE))</x:f>
        <x:v>3610.11</x:v>
      </x:c>
      <x:c r="AA37" s="172" t="n">
        <x:f>IF(A37="","",D37*Z37)</x:f>
        <x:v>4267150020</x:v>
      </x:c>
      <x:c r="AB37" s="170" t="n">
        <x:f>IF(A37="","",D37*ABS(Z37-SPWARF))</x:f>
        <x:v>1615045407.0680254</x:v>
      </x:c>
    </x:row>
    <x:row r="38">
      <x:c r="A38" s="8" t="str">
        <x:v>SYN-LN-00031</x:v>
      </x:c>
      <x:c r="B38" s="8" t="str">
        <x:v>SYN-OB-0029</x:v>
      </x:c>
      <x:c r="C38" s="8" t="str">
        <x:v>Orchard Group 029</x:v>
      </x:c>
      <x:c r="D38" s="9" t="n">
        <x:v>1182000</x:v>
      </x:c>
      <x:c r="E38" s="8" t="str">
        <x:v>B+</x:v>
      </x:c>
      <x:c r="F38" s="8" t="str">
        <x:v>Semiconductors &amp; Semiconductor Equipment</x:v>
      </x:c>
      <x:c r="G38" s="8" t="str">
        <x:v>United States</x:v>
      </x:c>
      <x:c r="H38" s="8" t="str">
        <x:v>1st Lien</x:v>
      </x:c>
      <x:c r="I38" s="8" t="str">
        <x:v>Floating</x:v>
      </x:c>
      <x:c r="J38" s="8" t="n">
        <x:v>375</x:v>
      </x:c>
      <x:c r="K38" s="10"/>
      <x:c r="L38" s="8" t="n">
        <x:v>0</x:v>
      </x:c>
      <x:c r="M38" s="11" t="n">
        <x:v>48301</x:v>
      </x:c>
      <x:c r="N38" s="10" t="n">
        <x:v>0.295</x:v>
      </x:c>
      <x:c r="O38" s="12" t="n">
        <x:v>100.5</x:v>
      </x:c>
      <x:c r="P38" s="13" t="n">
        <x:v>4</x:v>
      </x:c>
      <x:c r="Q38" s="8" t="str">
        <x:v>USD</x:v>
      </x:c>
      <x:c r="R38" s="8" t="str">
        <x:v>SOFR</x:v>
      </x:c>
      <x:c r="S38" s="18" t="n">
        <x:f>IF(Portfolio_Par&gt;0,D38/Portfolio_Par,"")</x:f>
        <x:v>0.021204075774971298</x:v>
      </x:c>
      <x:c r="T38" s="19" t="n">
        <x:f>IF(A38="","",(M38-as_of_date)/365.25)</x:f>
        <x:v>5.23750855578371</x:v>
      </x:c>
      <x:c r="U38" s="20" t="n">
        <x:f>IF(I38="Floating",D38*J38,0)</x:f>
        <x:v>443250000</x:v>
      </x:c>
      <x:c r="V38" s="20" t="n">
        <x:f>IF(A38="","",D38*N38)</x:f>
        <x:v>348690</x:v>
      </x:c>
      <x:c r="W38" s="14" t="n">
        <x:f>IF(A38='Run Snapshot'!A38,0,1)+IF(B38='Run Snapshot'!B38,0,1)+IF(C38='Run Snapshot'!C38,0,1)+IF(D38='Run Snapshot'!D38,0,1)+IF(E38='Run Snapshot'!E38,0,1)+IF(F38='Run Snapshot'!F38,0,1)+IF(G38='Run Snapshot'!G38,0,1)+IF(H38='Run Snapshot'!H38,0,1)+IF(I38='Run Snapshot'!I38,0,1)+IF(J38='Run Snapshot'!J38,0,1)+IF(K38='Run Snapshot'!K38,0,1)+IF(L38='Run Snapshot'!L38,0,1)+IF(M38='Run Snapshot'!M38,0,1)+IF(N38='Run Snapshot'!N38,0,1)+IF(O38='Run Snapshot'!O38,0,1)+IF(P38='Run Snapshot'!P38,0,1)+IF(Q38='Run Snapshot'!Q38,0,1)+IF(R38='Run Snapshot'!R38,0,1)</x:f>
        <x:v>0</x:v>
      </x:c>
      <x:c r="X38" s="15" t="n">
        <x:f>IF(A38="",0,COUNTIF($A$8:$A$59,A38)-1)</x:f>
        <x:v>0</x:v>
      </x:c>
      <x:c r="Y38" s="14" t="n">
        <x:f>IF(A38="",1,IF(OR(D38&lt;=0,N38&lt;0,N38&gt;1,M38&lt;=as_of_date),1,0))</x:f>
        <x:v>0</x:v>
      </x:c>
      <x:c r="Z38" s="170" t="n">
        <x:f>IF(A38="","",VLOOKUP(E38,SP_WARF_Factors,2,FALSE))</x:f>
        <x:v>1982</x:v>
      </x:c>
      <x:c r="AA38" s="172" t="n">
        <x:f>IF(A38="","",D38*Z38)</x:f>
        <x:v>2342724000</x:v>
      </x:c>
      <x:c r="AB38" s="170" t="n">
        <x:f>IF(A38="","",D38*ABS(Z38-SPWARF))</x:f>
        <x:v>309380612.9319749</x:v>
      </x:c>
    </x:row>
    <x:row r="39">
      <x:c r="A39" s="8" t="str">
        <x:v>SYN-LN-00032</x:v>
      </x:c>
      <x:c r="B39" s="8" t="str">
        <x:v>SYN-OB-0030</x:v>
      </x:c>
      <x:c r="C39" s="8" t="str">
        <x:v>Pinecrest LLC 030</x:v>
      </x:c>
      <x:c r="D39" s="9" t="n">
        <x:v>1182000</x:v>
      </x:c>
      <x:c r="E39" s="8" t="str">
        <x:v>B</x:v>
      </x:c>
      <x:c r="F39" s="8" t="str">
        <x:v>Industrial Conglomerates</x:v>
      </x:c>
      <x:c r="G39" s="8" t="str">
        <x:v>United States</x:v>
      </x:c>
      <x:c r="H39" s="8" t="str">
        <x:v>1st Lien</x:v>
      </x:c>
      <x:c r="I39" s="8" t="str">
        <x:v>Floating</x:v>
      </x:c>
      <x:c r="J39" s="8" t="n">
        <x:v>435</x:v>
      </x:c>
      <x:c r="K39" s="10"/>
      <x:c r="L39" s="8" t="n">
        <x:v>0</x:v>
      </x:c>
      <x:c r="M39" s="11" t="n">
        <x:v>48607</x:v>
      </x:c>
      <x:c r="N39" s="10" t="n">
        <x:v>0.325</x:v>
      </x:c>
      <x:c r="O39" s="12" t="n">
        <x:v>100.625</x:v>
      </x:c>
      <x:c r="P39" s="13" t="n">
        <x:v>4</x:v>
      </x:c>
      <x:c r="Q39" s="8" t="str">
        <x:v>USD</x:v>
      </x:c>
      <x:c r="R39" s="8" t="str">
        <x:v>SOFR</x:v>
      </x:c>
      <x:c r="S39" s="18" t="n">
        <x:f>IF(Portfolio_Par&gt;0,D39/Portfolio_Par,"")</x:f>
        <x:v>0.021204075774971298</x:v>
      </x:c>
      <x:c r="T39" s="19" t="n">
        <x:f>IF(A39="","",(M39-as_of_date)/365.25)</x:f>
        <x:v>6.075290896646133</x:v>
      </x:c>
      <x:c r="U39" s="20" t="n">
        <x:f>IF(I39="Floating",D39*J39,0)</x:f>
        <x:v>514170000</x:v>
      </x:c>
      <x:c r="V39" s="20" t="n">
        <x:f>IF(A39="","",D39*N39)</x:f>
        <x:v>384150</x:v>
      </x:c>
      <x:c r="W39" s="14" t="n">
        <x:f>IF(A39='Run Snapshot'!A39,0,1)+IF(B39='Run Snapshot'!B39,0,1)+IF(C39='Run Snapshot'!C39,0,1)+IF(D39='Run Snapshot'!D39,0,1)+IF(E39='Run Snapshot'!E39,0,1)+IF(F39='Run Snapshot'!F39,0,1)+IF(G39='Run Snapshot'!G39,0,1)+IF(H39='Run Snapshot'!H39,0,1)+IF(I39='Run Snapshot'!I39,0,1)+IF(J39='Run Snapshot'!J39,0,1)+IF(K39='Run Snapshot'!K39,0,1)+IF(L39='Run Snapshot'!L39,0,1)+IF(M39='Run Snapshot'!M39,0,1)+IF(N39='Run Snapshot'!N39,0,1)+IF(O39='Run Snapshot'!O39,0,1)+IF(P39='Run Snapshot'!P39,0,1)+IF(Q39='Run Snapshot'!Q39,0,1)+IF(R39='Run Snapshot'!R39,0,1)</x:f>
        <x:v>0</x:v>
      </x:c>
      <x:c r="X39" s="15" t="n">
        <x:f>IF(A39="",0,COUNTIF($A$8:$A$59,A39)-1)</x:f>
        <x:v>0</x:v>
      </x:c>
      <x:c r="Y39" s="14" t="n">
        <x:f>IF(A39="",1,IF(OR(D39&lt;=0,N39&lt;0,N39&gt;1,M39&lt;=as_of_date),1,0))</x:f>
        <x:v>0</x:v>
      </x:c>
      <x:c r="Z39" s="170" t="n">
        <x:f>IF(A39="","",VLOOKUP(E39,SP_WARF_Factors,2,FALSE))</x:f>
        <x:v>2859.5</x:v>
      </x:c>
      <x:c r="AA39" s="172" t="n">
        <x:f>IF(A39="","",D39*Z39)</x:f>
        <x:v>3379929000</x:v>
      </x:c>
      <x:c r="AB39" s="170" t="n">
        <x:f>IF(A39="","",D39*ABS(Z39-SPWARF))</x:f>
        <x:v>727824387.0680251</x:v>
      </x:c>
    </x:row>
    <x:row r="40">
      <x:c r="A40" s="8" t="str">
        <x:v>SYN-LN-00033</x:v>
      </x:c>
      <x:c r="B40" s="8" t="str">
        <x:v>SYN-OB-0031</x:v>
      </x:c>
      <x:c r="C40" s="8" t="str">
        <x:v>Redwood Holdings 031</x:v>
      </x:c>
      <x:c r="D40" s="9" t="n">
        <x:v>1182000</x:v>
      </x:c>
      <x:c r="E40" s="8" t="str">
        <x:v>B+</x:v>
      </x:c>
      <x:c r="F40" s="8" t="str">
        <x:v>Professional Services</x:v>
      </x:c>
      <x:c r="G40" s="8" t="str">
        <x:v>United States</x:v>
      </x:c>
      <x:c r="H40" s="8" t="str">
        <x:v>1st Lien</x:v>
      </x:c>
      <x:c r="I40" s="8" t="str">
        <x:v>Floating</x:v>
      </x:c>
      <x:c r="J40" s="8" t="n">
        <x:v>430</x:v>
      </x:c>
      <x:c r="K40" s="10"/>
      <x:c r="L40" s="8" t="n">
        <x:v>0</x:v>
      </x:c>
      <x:c r="M40" s="11" t="n">
        <x:v>48898</x:v>
      </x:c>
      <x:c r="N40" s="10" t="n">
        <x:v>0.335</x:v>
      </x:c>
      <x:c r="O40" s="12" t="n">
        <x:v>100.125</x:v>
      </x:c>
      <x:c r="P40" s="13" t="n">
        <x:v>4</x:v>
      </x:c>
      <x:c r="Q40" s="8" t="str">
        <x:v>USD</x:v>
      </x:c>
      <x:c r="R40" s="8" t="str">
        <x:v>SOFR</x:v>
      </x:c>
      <x:c r="S40" s="18" t="n">
        <x:f>IF(Portfolio_Par&gt;0,D40/Portfolio_Par,"")</x:f>
        <x:v>0.021204075774971298</x:v>
      </x:c>
      <x:c r="T40" s="19" t="n">
        <x:f>IF(A40="","",(M40-as_of_date)/365.25)</x:f>
        <x:v>6.872005475701574</x:v>
      </x:c>
      <x:c r="U40" s="20" t="n">
        <x:f>IF(I40="Floating",D40*J40,0)</x:f>
        <x:v>508260000</x:v>
      </x:c>
      <x:c r="V40" s="20" t="n">
        <x:f>IF(A40="","",D40*N40)</x:f>
        <x:v>395970</x:v>
      </x:c>
      <x:c r="W40" s="14" t="n">
        <x:f>IF(A40='Run Snapshot'!A40,0,1)+IF(B40='Run Snapshot'!B40,0,1)+IF(C40='Run Snapshot'!C40,0,1)+IF(D40='Run Snapshot'!D40,0,1)+IF(E40='Run Snapshot'!E40,0,1)+IF(F40='Run Snapshot'!F40,0,1)+IF(G40='Run Snapshot'!G40,0,1)+IF(H40='Run Snapshot'!H40,0,1)+IF(I40='Run Snapshot'!I40,0,1)+IF(J40='Run Snapshot'!J40,0,1)+IF(K40='Run Snapshot'!K40,0,1)+IF(L40='Run Snapshot'!L40,0,1)+IF(M40='Run Snapshot'!M40,0,1)+IF(N40='Run Snapshot'!N40,0,1)+IF(O40='Run Snapshot'!O40,0,1)+IF(P40='Run Snapshot'!P40,0,1)+IF(Q40='Run Snapshot'!Q40,0,1)+IF(R40='Run Snapshot'!R40,0,1)</x:f>
        <x:v>0</x:v>
      </x:c>
      <x:c r="X40" s="15" t="n">
        <x:f>IF(A40="",0,COUNTIF($A$8:$A$59,A40)-1)</x:f>
        <x:v>0</x:v>
      </x:c>
      <x:c r="Y40" s="14" t="n">
        <x:f>IF(A40="",1,IF(OR(D40&lt;=0,N40&lt;0,N40&gt;1,M40&lt;=as_of_date),1,0))</x:f>
        <x:v>0</x:v>
      </x:c>
      <x:c r="Z40" s="170" t="n">
        <x:f>IF(A40="","",VLOOKUP(E40,SP_WARF_Factors,2,FALSE))</x:f>
        <x:v>1982</x:v>
      </x:c>
      <x:c r="AA40" s="172" t="n">
        <x:f>IF(A40="","",D40*Z40)</x:f>
        <x:v>2342724000</x:v>
      </x:c>
      <x:c r="AB40" s="170" t="n">
        <x:f>IF(A40="","",D40*ABS(Z40-SPWARF))</x:f>
        <x:v>309380612.9319749</x:v>
      </x:c>
    </x:row>
    <x:row r="41">
      <x:c r="A41" s="8" t="str">
        <x:v>SYN-LN-00034</x:v>
      </x:c>
      <x:c r="B41" s="8" t="str">
        <x:v>SYN-OB-0032</x:v>
      </x:c>
      <x:c r="C41" s="8" t="str">
        <x:v>Riverton Inc. 032</x:v>
      </x:c>
      <x:c r="D41" s="9" t="n">
        <x:v>1182000</x:v>
      </x:c>
      <x:c r="E41" s="8" t="str">
        <x:v>B+</x:v>
      </x:c>
      <x:c r="F41" s="8" t="str">
        <x:v>Semiconductors &amp; Semiconductor Equipment</x:v>
      </x:c>
      <x:c r="G41" s="8" t="str">
        <x:v>United States</x:v>
      </x:c>
      <x:c r="H41" s="8" t="str">
        <x:v>1st Lien</x:v>
      </x:c>
      <x:c r="I41" s="8" t="str">
        <x:v>Floating</x:v>
      </x:c>
      <x:c r="J41" s="8" t="n">
        <x:v>325</x:v>
      </x:c>
      <x:c r="K41" s="10"/>
      <x:c r="L41" s="8" t="n">
        <x:v>0</x:v>
      </x:c>
      <x:c r="M41" s="11" t="n">
        <x:v>47983</x:v>
      </x:c>
      <x:c r="N41" s="10" t="n">
        <x:v>0.355</x:v>
      </x:c>
      <x:c r="O41" s="12" t="n">
        <x:v>100.125</x:v>
      </x:c>
      <x:c r="P41" s="13" t="n">
        <x:v>4</x:v>
      </x:c>
      <x:c r="Q41" s="8" t="str">
        <x:v>USD</x:v>
      </x:c>
      <x:c r="R41" s="8" t="str">
        <x:v>SOFR</x:v>
      </x:c>
      <x:c r="S41" s="18" t="n">
        <x:f>IF(Portfolio_Par&gt;0,D41/Portfolio_Par,"")</x:f>
        <x:v>0.021204075774971298</x:v>
      </x:c>
      <x:c r="T41" s="19" t="n">
        <x:f>IF(A41="","",(M41-as_of_date)/365.25)</x:f>
        <x:v>4.3668720054757015</x:v>
      </x:c>
      <x:c r="U41" s="20" t="n">
        <x:f>IF(I41="Floating",D41*J41,0)</x:f>
        <x:v>384150000</x:v>
      </x:c>
      <x:c r="V41" s="20" t="n">
        <x:f>IF(A41="","",D41*N41)</x:f>
        <x:v>419610</x:v>
      </x:c>
      <x:c r="W41" s="14" t="n">
        <x:f>IF(A41='Run Snapshot'!A41,0,1)+IF(B41='Run Snapshot'!B41,0,1)+IF(C41='Run Snapshot'!C41,0,1)+IF(D41='Run Snapshot'!D41,0,1)+IF(E41='Run Snapshot'!E41,0,1)+IF(F41='Run Snapshot'!F41,0,1)+IF(G41='Run Snapshot'!G41,0,1)+IF(H41='Run Snapshot'!H41,0,1)+IF(I41='Run Snapshot'!I41,0,1)+IF(J41='Run Snapshot'!J41,0,1)+IF(K41='Run Snapshot'!K41,0,1)+IF(L41='Run Snapshot'!L41,0,1)+IF(M41='Run Snapshot'!M41,0,1)+IF(N41='Run Snapshot'!N41,0,1)+IF(O41='Run Snapshot'!O41,0,1)+IF(P41='Run Snapshot'!P41,0,1)+IF(Q41='Run Snapshot'!Q41,0,1)+IF(R41='Run Snapshot'!R41,0,1)</x:f>
        <x:v>0</x:v>
      </x:c>
      <x:c r="X41" s="15" t="n">
        <x:f>IF(A41="",0,COUNTIF($A$8:$A$59,A41)-1)</x:f>
        <x:v>0</x:v>
      </x:c>
      <x:c r="Y41" s="14" t="n">
        <x:f>IF(A41="",1,IF(OR(D41&lt;=0,N41&lt;0,N41&gt;1,M41&lt;=as_of_date),1,0))</x:f>
        <x:v>0</x:v>
      </x:c>
      <x:c r="Z41" s="170" t="n">
        <x:f>IF(A41="","",VLOOKUP(E41,SP_WARF_Factors,2,FALSE))</x:f>
        <x:v>1982</x:v>
      </x:c>
      <x:c r="AA41" s="172" t="n">
        <x:f>IF(A41="","",D41*Z41)</x:f>
        <x:v>2342724000</x:v>
      </x:c>
      <x:c r="AB41" s="170" t="n">
        <x:f>IF(A41="","",D41*ABS(Z41-SPWARF))</x:f>
        <x:v>309380612.9319749</x:v>
      </x:c>
    </x:row>
    <x:row r="42">
      <x:c r="A42" s="8" t="str">
        <x:v>SYN-LN-00035</x:v>
      </x:c>
      <x:c r="B42" s="8" t="str">
        <x:v>SYN-OB-0033</x:v>
      </x:c>
      <x:c r="C42" s="8" t="str">
        <x:v>Silver Corp. 033</x:v>
      </x:c>
      <x:c r="D42" s="9" t="n">
        <x:v>1182000</x:v>
      </x:c>
      <x:c r="E42" s="8" t="str">
        <x:v>B-</x:v>
      </x:c>
      <x:c r="F42" s="8" t="str">
        <x:v>Healthcare Technology</x:v>
      </x:c>
      <x:c r="G42" s="8" t="str">
        <x:v>United States</x:v>
      </x:c>
      <x:c r="H42" s="8" t="str">
        <x:v>1st Lien</x:v>
      </x:c>
      <x:c r="I42" s="8" t="str">
        <x:v>Floating</x:v>
      </x:c>
      <x:c r="J42" s="8" t="n">
        <x:v>430</x:v>
      </x:c>
      <x:c r="K42" s="10"/>
      <x:c r="L42" s="8" t="n">
        <x:v>0</x:v>
      </x:c>
      <x:c r="M42" s="11" t="n">
        <x:v>48014</x:v>
      </x:c>
      <x:c r="N42" s="10" t="n">
        <x:v>0.435</x:v>
      </x:c>
      <x:c r="O42" s="12" t="n">
        <x:v>99.625</x:v>
      </x:c>
      <x:c r="P42" s="13" t="n">
        <x:v>4</x:v>
      </x:c>
      <x:c r="Q42" s="8" t="str">
        <x:v>USD</x:v>
      </x:c>
      <x:c r="R42" s="8" t="str">
        <x:v>SOFR</x:v>
      </x:c>
      <x:c r="S42" s="18" t="n">
        <x:f>IF(Portfolio_Par&gt;0,D42/Portfolio_Par,"")</x:f>
        <x:v>0.021204075774971298</x:v>
      </x:c>
      <x:c r="T42" s="19" t="n">
        <x:f>IF(A42="","",(M42-as_of_date)/365.25)</x:f>
        <x:v>4.4517453798767965</x:v>
      </x:c>
      <x:c r="U42" s="20" t="n">
        <x:f>IF(I42="Floating",D42*J42,0)</x:f>
        <x:v>508260000</x:v>
      </x:c>
      <x:c r="V42" s="20" t="n">
        <x:f>IF(A42="","",D42*N42)</x:f>
        <x:v>514170</x:v>
      </x:c>
      <x:c r="W42" s="14" t="n">
        <x:f>IF(A42='Run Snapshot'!A42,0,1)+IF(B42='Run Snapshot'!B42,0,1)+IF(C42='Run Snapshot'!C42,0,1)+IF(D42='Run Snapshot'!D42,0,1)+IF(E42='Run Snapshot'!E42,0,1)+IF(F42='Run Snapshot'!F42,0,1)+IF(G42='Run Snapshot'!G42,0,1)+IF(H42='Run Snapshot'!H42,0,1)+IF(I42='Run Snapshot'!I42,0,1)+IF(J42='Run Snapshot'!J42,0,1)+IF(K42='Run Snapshot'!K42,0,1)+IF(L42='Run Snapshot'!L42,0,1)+IF(M42='Run Snapshot'!M42,0,1)+IF(N42='Run Snapshot'!N42,0,1)+IF(O42='Run Snapshot'!O42,0,1)+IF(P42='Run Snapshot'!P42,0,1)+IF(Q42='Run Snapshot'!Q42,0,1)+IF(R42='Run Snapshot'!R42,0,1)</x:f>
        <x:v>0</x:v>
      </x:c>
      <x:c r="X42" s="15" t="n">
        <x:f>IF(A42="",0,COUNTIF($A$8:$A$59,A42)-1)</x:f>
        <x:v>0</x:v>
      </x:c>
      <x:c r="Y42" s="14" t="n">
        <x:f>IF(A42="",1,IF(OR(D42&lt;=0,N42&lt;0,N42&gt;1,M42&lt;=as_of_date),1,0))</x:f>
        <x:v>0</x:v>
      </x:c>
      <x:c r="Z42" s="170" t="n">
        <x:f>IF(A42="","",VLOOKUP(E42,SP_WARF_Factors,2,FALSE))</x:f>
        <x:v>3610.11</x:v>
      </x:c>
      <x:c r="AA42" s="172" t="n">
        <x:f>IF(A42="","",D42*Z42)</x:f>
        <x:v>4267150020</x:v>
      </x:c>
      <x:c r="AB42" s="170" t="n">
        <x:f>IF(A42="","",D42*ABS(Z42-SPWARF))</x:f>
        <x:v>1615045407.0680254</x:v>
      </x:c>
    </x:row>
    <x:row r="43">
      <x:c r="A43" s="8" t="str">
        <x:v>SYN-LN-00036</x:v>
      </x:c>
      <x:c r="B43" s="8" t="str">
        <x:v>SYN-OB-0034</x:v>
      </x:c>
      <x:c r="C43" s="8" t="str">
        <x:v>Stonebridge Group 034</x:v>
      </x:c>
      <x:c r="D43" s="9" t="n">
        <x:v>1182000</x:v>
      </x:c>
      <x:c r="E43" s="8" t="str">
        <x:v>B</x:v>
      </x:c>
      <x:c r="F43" s="8" t="str">
        <x:v>Building Products</x:v>
      </x:c>
      <x:c r="G43" s="8" t="str">
        <x:v>United States</x:v>
      </x:c>
      <x:c r="H43" s="8" t="str">
        <x:v>1st Lien</x:v>
      </x:c>
      <x:c r="I43" s="8" t="str">
        <x:v>Floating</x:v>
      </x:c>
      <x:c r="J43" s="8" t="n">
        <x:v>275</x:v>
      </x:c>
      <x:c r="K43" s="10"/>
      <x:c r="L43" s="8" t="n">
        <x:v>0</x:v>
      </x:c>
      <x:c r="M43" s="11" t="n">
        <x:v>48182</x:v>
      </x:c>
      <x:c r="N43" s="10" t="n">
        <x:v>0.36</x:v>
      </x:c>
      <x:c r="O43" s="12" t="n">
        <x:v>99.5</x:v>
      </x:c>
      <x:c r="P43" s="13" t="n">
        <x:v>4</x:v>
      </x:c>
      <x:c r="Q43" s="8" t="str">
        <x:v>USD</x:v>
      </x:c>
      <x:c r="R43" s="8" t="str">
        <x:v>SOFR</x:v>
      </x:c>
      <x:c r="S43" s="18" t="n">
        <x:f>IF(Portfolio_Par&gt;0,D43/Portfolio_Par,"")</x:f>
        <x:v>0.021204075774971298</x:v>
      </x:c>
      <x:c r="T43" s="19" t="n">
        <x:f>IF(A43="","",(M43-as_of_date)/365.25)</x:f>
        <x:v>4.91170431211499</x:v>
      </x:c>
      <x:c r="U43" s="20" t="n">
        <x:f>IF(I43="Floating",D43*J43,0)</x:f>
        <x:v>325050000</x:v>
      </x:c>
      <x:c r="V43" s="20" t="n">
        <x:f>IF(A43="","",D43*N43)</x:f>
        <x:v>425520</x:v>
      </x:c>
      <x:c r="W43" s="14" t="n">
        <x:f>IF(A43='Run Snapshot'!A43,0,1)+IF(B43='Run Snapshot'!B43,0,1)+IF(C43='Run Snapshot'!C43,0,1)+IF(D43='Run Snapshot'!D43,0,1)+IF(E43='Run Snapshot'!E43,0,1)+IF(F43='Run Snapshot'!F43,0,1)+IF(G43='Run Snapshot'!G43,0,1)+IF(H43='Run Snapshot'!H43,0,1)+IF(I43='Run Snapshot'!I43,0,1)+IF(J43='Run Snapshot'!J43,0,1)+IF(K43='Run Snapshot'!K43,0,1)+IF(L43='Run Snapshot'!L43,0,1)+IF(M43='Run Snapshot'!M43,0,1)+IF(N43='Run Snapshot'!N43,0,1)+IF(O43='Run Snapshot'!O43,0,1)+IF(P43='Run Snapshot'!P43,0,1)+IF(Q43='Run Snapshot'!Q43,0,1)+IF(R43='Run Snapshot'!R43,0,1)</x:f>
        <x:v>0</x:v>
      </x:c>
      <x:c r="X43" s="15" t="n">
        <x:f>IF(A43="",0,COUNTIF($A$8:$A$59,A43)-1)</x:f>
        <x:v>0</x:v>
      </x:c>
      <x:c r="Y43" s="14" t="n">
        <x:f>IF(A43="",1,IF(OR(D43&lt;=0,N43&lt;0,N43&gt;1,M43&lt;=as_of_date),1,0))</x:f>
        <x:v>0</x:v>
      </x:c>
      <x:c r="Z43" s="170" t="n">
        <x:f>IF(A43="","",VLOOKUP(E43,SP_WARF_Factors,2,FALSE))</x:f>
        <x:v>2859.5</x:v>
      </x:c>
      <x:c r="AA43" s="172" t="n">
        <x:f>IF(A43="","",D43*Z43)</x:f>
        <x:v>3379929000</x:v>
      </x:c>
      <x:c r="AB43" s="170" t="n">
        <x:f>IF(A43="","",D43*ABS(Z43-SPWARF))</x:f>
        <x:v>727824387.0680251</x:v>
      </x:c>
    </x:row>
    <x:row r="44">
      <x:c r="A44" s="8" t="str">
        <x:v>SYN-LN-00037</x:v>
      </x:c>
      <x:c r="B44" s="8" t="str">
        <x:v>SYN-OB-0035</x:v>
      </x:c>
      <x:c r="C44" s="8" t="str">
        <x:v>Summit LLC 035</x:v>
      </x:c>
      <x:c r="D44" s="9" t="n">
        <x:v>1182000</x:v>
      </x:c>
      <x:c r="E44" s="8" t="str">
        <x:v>BB-</x:v>
      </x:c>
      <x:c r="F44" s="8" t="str">
        <x:v>Gas Utilities</x:v>
      </x:c>
      <x:c r="G44" s="8" t="str">
        <x:v>United States</x:v>
      </x:c>
      <x:c r="H44" s="8" t="str">
        <x:v>1st Lien</x:v>
      </x:c>
      <x:c r="I44" s="8" t="str">
        <x:v>Floating</x:v>
      </x:c>
      <x:c r="J44" s="8" t="n">
        <x:v>220</x:v>
      </x:c>
      <x:c r="K44" s="10"/>
      <x:c r="L44" s="8" t="n">
        <x:v>0</x:v>
      </x:c>
      <x:c r="M44" s="11" t="n">
        <x:v>48057</x:v>
      </x:c>
      <x:c r="N44" s="10" t="n">
        <x:v>0.2</x:v>
      </x:c>
      <x:c r="O44" s="12" t="n">
        <x:v>97.25</x:v>
      </x:c>
      <x:c r="P44" s="13" t="n">
        <x:v>4</x:v>
      </x:c>
      <x:c r="Q44" s="8" t="str">
        <x:v>USD</x:v>
      </x:c>
      <x:c r="R44" s="8" t="str">
        <x:v>SOFR</x:v>
      </x:c>
      <x:c r="S44" s="18" t="n">
        <x:f>IF(Portfolio_Par&gt;0,D44/Portfolio_Par,"")</x:f>
        <x:v>0.021204075774971298</x:v>
      </x:c>
      <x:c r="T44" s="19" t="n">
        <x:f>IF(A44="","",(M44-as_of_date)/365.25)</x:f>
        <x:v>4.569472963723477</x:v>
      </x:c>
      <x:c r="U44" s="20" t="n">
        <x:f>IF(I44="Floating",D44*J44,0)</x:f>
        <x:v>260040000</x:v>
      </x:c>
      <x:c r="V44" s="20" t="n">
        <x:f>IF(A44="","",D44*N44)</x:f>
        <x:v>236400</x:v>
      </x:c>
      <x:c r="W44" s="14" t="n">
        <x:f>IF(A44='Run Snapshot'!A44,0,1)+IF(B44='Run Snapshot'!B44,0,1)+IF(C44='Run Snapshot'!C44,0,1)+IF(D44='Run Snapshot'!D44,0,1)+IF(E44='Run Snapshot'!E44,0,1)+IF(F44='Run Snapshot'!F44,0,1)+IF(G44='Run Snapshot'!G44,0,1)+IF(H44='Run Snapshot'!H44,0,1)+IF(I44='Run Snapshot'!I44,0,1)+IF(J44='Run Snapshot'!J44,0,1)+IF(K44='Run Snapshot'!K44,0,1)+IF(L44='Run Snapshot'!L44,0,1)+IF(M44='Run Snapshot'!M44,0,1)+IF(N44='Run Snapshot'!N44,0,1)+IF(O44='Run Snapshot'!O44,0,1)+IF(P44='Run Snapshot'!P44,0,1)+IF(Q44='Run Snapshot'!Q44,0,1)+IF(R44='Run Snapshot'!R44,0,1)</x:f>
        <x:v>0</x:v>
      </x:c>
      <x:c r="X44" s="15" t="n">
        <x:f>IF(A44="",0,COUNTIF($A$8:$A$59,A44)-1)</x:f>
        <x:v>0</x:v>
      </x:c>
      <x:c r="Y44" s="14" t="n">
        <x:f>IF(A44="",1,IF(OR(D44&lt;=0,N44&lt;0,N44&gt;1,M44&lt;=as_of_date),1,0))</x:f>
        <x:v>0</x:v>
      </x:c>
      <x:c r="Z44" s="170" t="n">
        <x:f>IF(A44="","",VLOOKUP(E44,SP_WARF_Factors,2,FALSE))</x:f>
        <x:v>1565.44</x:v>
      </x:c>
      <x:c r="AA44" s="172" t="n">
        <x:f>IF(A44="","",D44*Z44)</x:f>
        <x:v>1850350080</x:v>
      </x:c>
      <x:c r="AB44" s="170" t="n">
        <x:f>IF(A44="","",D44*ABS(Z44-SPWARF))</x:f>
        <x:v>801754532.9319749</x:v>
      </x:c>
    </x:row>
    <x:row r="45">
      <x:c r="A45" s="8" t="str">
        <x:v>SYN-LN-00038</x:v>
      </x:c>
      <x:c r="B45" s="8" t="str">
        <x:v>SYN-OB-0036</x:v>
      </x:c>
      <x:c r="C45" s="8" t="str">
        <x:v>Timber Holdings 036</x:v>
      </x:c>
      <x:c r="D45" s="9" t="n">
        <x:v>1182000</x:v>
      </x:c>
      <x:c r="E45" s="8" t="str">
        <x:v>B-</x:v>
      </x:c>
      <x:c r="F45" s="8" t="str">
        <x:v>Machinery</x:v>
      </x:c>
      <x:c r="G45" s="8" t="str">
        <x:v>United States</x:v>
      </x:c>
      <x:c r="H45" s="8" t="str">
        <x:v>1st Lien</x:v>
      </x:c>
      <x:c r="I45" s="8" t="str">
        <x:v>Floating</x:v>
      </x:c>
      <x:c r="J45" s="8" t="n">
        <x:v>460</x:v>
      </x:c>
      <x:c r="K45" s="10"/>
      <x:c r="L45" s="8" t="n">
        <x:v>0</x:v>
      </x:c>
      <x:c r="M45" s="11" t="n">
        <x:v>48638</x:v>
      </x:c>
      <x:c r="N45" s="10" t="n">
        <x:v>0.47</x:v>
      </x:c>
      <x:c r="O45" s="12" t="n">
        <x:v>101.5</x:v>
      </x:c>
      <x:c r="P45" s="13" t="n">
        <x:v>4</x:v>
      </x:c>
      <x:c r="Q45" s="8" t="str">
        <x:v>USD</x:v>
      </x:c>
      <x:c r="R45" s="8" t="str">
        <x:v>SOFR</x:v>
      </x:c>
      <x:c r="S45" s="18" t="n">
        <x:f>IF(Portfolio_Par&gt;0,D45/Portfolio_Par,"")</x:f>
        <x:v>0.021204075774971298</x:v>
      </x:c>
      <x:c r="T45" s="19" t="n">
        <x:f>IF(A45="","",(M45-as_of_date)/365.25)</x:f>
        <x:v>6.160164271047228</x:v>
      </x:c>
      <x:c r="U45" s="20" t="n">
        <x:f>IF(I45="Floating",D45*J45,0)</x:f>
        <x:v>543720000</x:v>
      </x:c>
      <x:c r="V45" s="20" t="n">
        <x:f>IF(A45="","",D45*N45)</x:f>
        <x:v>555540</x:v>
      </x:c>
      <x:c r="W45" s="14" t="n">
        <x:f>IF(A45='Run Snapshot'!A45,0,1)+IF(B45='Run Snapshot'!B45,0,1)+IF(C45='Run Snapshot'!C45,0,1)+IF(D45='Run Snapshot'!D45,0,1)+IF(E45='Run Snapshot'!E45,0,1)+IF(F45='Run Snapshot'!F45,0,1)+IF(G45='Run Snapshot'!G45,0,1)+IF(H45='Run Snapshot'!H45,0,1)+IF(I45='Run Snapshot'!I45,0,1)+IF(J45='Run Snapshot'!J45,0,1)+IF(K45='Run Snapshot'!K45,0,1)+IF(L45='Run Snapshot'!L45,0,1)+IF(M45='Run Snapshot'!M45,0,1)+IF(N45='Run Snapshot'!N45,0,1)+IF(O45='Run Snapshot'!O45,0,1)+IF(P45='Run Snapshot'!P45,0,1)+IF(Q45='Run Snapshot'!Q45,0,1)+IF(R45='Run Snapshot'!R45,0,1)</x:f>
        <x:v>0</x:v>
      </x:c>
      <x:c r="X45" s="15" t="n">
        <x:f>IF(A45="",0,COUNTIF($A$8:$A$59,A45)-1)</x:f>
        <x:v>0</x:v>
      </x:c>
      <x:c r="Y45" s="14" t="n">
        <x:f>IF(A45="",1,IF(OR(D45&lt;=0,N45&lt;0,N45&gt;1,M45&lt;=as_of_date),1,0))</x:f>
        <x:v>0</x:v>
      </x:c>
      <x:c r="Z45" s="170" t="n">
        <x:f>IF(A45="","",VLOOKUP(E45,SP_WARF_Factors,2,FALSE))</x:f>
        <x:v>3610.11</x:v>
      </x:c>
      <x:c r="AA45" s="172" t="n">
        <x:f>IF(A45="","",D45*Z45)</x:f>
        <x:v>4267150020</x:v>
      </x:c>
      <x:c r="AB45" s="170" t="n">
        <x:f>IF(A45="","",D45*ABS(Z45-SPWARF))</x:f>
        <x:v>1615045407.0680254</x:v>
      </x:c>
    </x:row>
    <x:row r="46">
      <x:c r="A46" s="8" t="str">
        <x:v>SYN-LN-00039</x:v>
      </x:c>
      <x:c r="B46" s="8" t="str">
        <x:v>SYN-OB-0037</x:v>
      </x:c>
      <x:c r="C46" s="8" t="str">
        <x:v>Westhaven Inc. 037</x:v>
      </x:c>
      <x:c r="D46" s="9" t="n">
        <x:v>1182000</x:v>
      </x:c>
      <x:c r="E46" s="8" t="str">
        <x:v>B-</x:v>
      </x:c>
      <x:c r="F46" s="8" t="str">
        <x:v>Energy Equipment &amp; Services</x:v>
      </x:c>
      <x:c r="G46" s="8" t="str">
        <x:v>United States</x:v>
      </x:c>
      <x:c r="H46" s="8" t="str">
        <x:v>1st Lien</x:v>
      </x:c>
      <x:c r="I46" s="8" t="str">
        <x:v>Floating</x:v>
      </x:c>
      <x:c r="J46" s="8" t="n">
        <x:v>150</x:v>
      </x:c>
      <x:c r="K46" s="10"/>
      <x:c r="L46" s="8" t="n">
        <x:v>0</x:v>
      </x:c>
      <x:c r="M46" s="11" t="n">
        <x:v>47327</x:v>
      </x:c>
      <x:c r="N46" s="10" t="n">
        <x:v>0.34</x:v>
      </x:c>
      <x:c r="O46" s="12" t="n">
        <x:v>98.75</x:v>
      </x:c>
      <x:c r="P46" s="13" t="n">
        <x:v>4</x:v>
      </x:c>
      <x:c r="Q46" s="8" t="str">
        <x:v>USD</x:v>
      </x:c>
      <x:c r="R46" s="8" t="str">
        <x:v>SOFR</x:v>
      </x:c>
      <x:c r="S46" s="18" t="n">
        <x:f>IF(Portfolio_Par&gt;0,D46/Portfolio_Par,"")</x:f>
        <x:v>0.021204075774971298</x:v>
      </x:c>
      <x:c r="T46" s="19" t="n">
        <x:f>IF(A46="","",(M46-as_of_date)/365.25)</x:f>
        <x:v>2.5708418891170433</x:v>
      </x:c>
      <x:c r="U46" s="20" t="n">
        <x:f>IF(I46="Floating",D46*J46,0)</x:f>
        <x:v>177300000</x:v>
      </x:c>
      <x:c r="V46" s="20" t="n">
        <x:f>IF(A46="","",D46*N46)</x:f>
        <x:v>401880</x:v>
      </x:c>
      <x:c r="W46" s="14" t="n">
        <x:f>IF(A46='Run Snapshot'!A46,0,1)+IF(B46='Run Snapshot'!B46,0,1)+IF(C46='Run Snapshot'!C46,0,1)+IF(D46='Run Snapshot'!D46,0,1)+IF(E46='Run Snapshot'!E46,0,1)+IF(F46='Run Snapshot'!F46,0,1)+IF(G46='Run Snapshot'!G46,0,1)+IF(H46='Run Snapshot'!H46,0,1)+IF(I46='Run Snapshot'!I46,0,1)+IF(J46='Run Snapshot'!J46,0,1)+IF(K46='Run Snapshot'!K46,0,1)+IF(L46='Run Snapshot'!L46,0,1)+IF(M46='Run Snapshot'!M46,0,1)+IF(N46='Run Snapshot'!N46,0,1)+IF(O46='Run Snapshot'!O46,0,1)+IF(P46='Run Snapshot'!P46,0,1)+IF(Q46='Run Snapshot'!Q46,0,1)+IF(R46='Run Snapshot'!R46,0,1)</x:f>
        <x:v>0</x:v>
      </x:c>
      <x:c r="X46" s="15" t="n">
        <x:f>IF(A46="",0,COUNTIF($A$8:$A$59,A46)-1)</x:f>
        <x:v>0</x:v>
      </x:c>
      <x:c r="Y46" s="14" t="n">
        <x:f>IF(A46="",1,IF(OR(D46&lt;=0,N46&lt;0,N46&gt;1,M46&lt;=as_of_date),1,0))</x:f>
        <x:v>0</x:v>
      </x:c>
      <x:c r="Z46" s="170" t="n">
        <x:f>IF(A46="","",VLOOKUP(E46,SP_WARF_Factors,2,FALSE))</x:f>
        <x:v>3610.11</x:v>
      </x:c>
      <x:c r="AA46" s="172" t="n">
        <x:f>IF(A46="","",D46*Z46)</x:f>
        <x:v>4267150020</x:v>
      </x:c>
      <x:c r="AB46" s="170" t="n">
        <x:f>IF(A46="","",D46*ABS(Z46-SPWARF))</x:f>
        <x:v>1615045407.0680254</x:v>
      </x:c>
    </x:row>
    <x:row r="47">
      <x:c r="A47" s="8" t="str">
        <x:v>SYN-LN-00040</x:v>
      </x:c>
      <x:c r="B47" s="8" t="str">
        <x:v>SYN-OB-0038</x:v>
      </x:c>
      <x:c r="C47" s="8" t="str">
        <x:v>Willow Corp. 038</x:v>
      </x:c>
      <x:c r="D47" s="9" t="n">
        <x:v>630000</x:v>
      </x:c>
      <x:c r="E47" s="8" t="str">
        <x:v>BB</x:v>
      </x:c>
      <x:c r="F47" s="8" t="str">
        <x:v>Auto Components</x:v>
      </x:c>
      <x:c r="G47" s="8" t="str">
        <x:v>Canada</x:v>
      </x:c>
      <x:c r="H47" s="8" t="str">
        <x:v>1st Lien</x:v>
      </x:c>
      <x:c r="I47" s="8" t="str">
        <x:v>Floating</x:v>
      </x:c>
      <x:c r="J47" s="8" t="n">
        <x:v>295</x:v>
      </x:c>
      <x:c r="K47" s="10"/>
      <x:c r="L47" s="8" t="n">
        <x:v>50</x:v>
      </x:c>
      <x:c r="M47" s="11" t="n">
        <x:v>48563</x:v>
      </x:c>
      <x:c r="N47" s="10" t="n">
        <x:v>0.62</x:v>
      </x:c>
      <x:c r="O47" s="12" t="n">
        <x:v>100.75</x:v>
      </x:c>
      <x:c r="P47" s="13" t="n">
        <x:v>4</x:v>
      </x:c>
      <x:c r="Q47" s="8" t="str">
        <x:v>USD</x:v>
      </x:c>
      <x:c r="R47" s="8" t="str">
        <x:v>SOFR</x:v>
      </x:c>
      <x:c r="S47" s="18" t="n">
        <x:f>IF(Portfolio_Par&gt;0,D47/Portfolio_Par,"")</x:f>
        <x:v>0.011301664753157291</x:v>
      </x:c>
      <x:c r="T47" s="19" t="n">
        <x:f>IF(A47="","",(M47-as_of_date)/365.25)</x:f>
        <x:v>5.95482546201232</x:v>
      </x:c>
      <x:c r="U47" s="20" t="n">
        <x:f>IF(I47="Floating",D47*J47,0)</x:f>
        <x:v>185850000</x:v>
      </x:c>
      <x:c r="V47" s="20" t="n">
        <x:f>IF(A47="","",D47*N47)</x:f>
        <x:v>390600</x:v>
      </x:c>
      <x:c r="W47" s="14" t="n">
        <x:f>IF(A47='Run Snapshot'!A47,0,1)+IF(B47='Run Snapshot'!B47,0,1)+IF(C47='Run Snapshot'!C47,0,1)+IF(D47='Run Snapshot'!D47,0,1)+IF(E47='Run Snapshot'!E47,0,1)+IF(F47='Run Snapshot'!F47,0,1)+IF(G47='Run Snapshot'!G47,0,1)+IF(H47='Run Snapshot'!H47,0,1)+IF(I47='Run Snapshot'!I47,0,1)+IF(J47='Run Snapshot'!J47,0,1)+IF(K47='Run Snapshot'!K47,0,1)+IF(L47='Run Snapshot'!L47,0,1)+IF(M47='Run Snapshot'!M47,0,1)+IF(N47='Run Snapshot'!N47,0,1)+IF(O47='Run Snapshot'!O47,0,1)+IF(P47='Run Snapshot'!P47,0,1)+IF(Q47='Run Snapshot'!Q47,0,1)+IF(R47='Run Snapshot'!R47,0,1)</x:f>
        <x:v>0</x:v>
      </x:c>
      <x:c r="X47" s="15" t="n">
        <x:f>IF(A47="",0,COUNTIF($A$8:$A$59,A47)-1)</x:f>
        <x:v>0</x:v>
      </x:c>
      <x:c r="Y47" s="14" t="n">
        <x:f>IF(A47="",1,IF(OR(D47&lt;=0,N47&lt;0,N47&gt;1,M47&lt;=as_of_date),1,0))</x:f>
        <x:v>0</x:v>
      </x:c>
      <x:c r="Z47" s="170" t="n">
        <x:f>IF(A47="","",VLOOKUP(E47,SP_WARF_Factors,2,FALSE))</x:f>
        <x:v>1233.63</x:v>
      </x:c>
      <x:c r="AA47" s="172" t="n">
        <x:f>IF(A47="","",D47*Z47)</x:f>
        <x:v>777186900.0000001</x:v>
      </x:c>
      <x:c r="AB47" s="170" t="n">
        <x:f>IF(A47="","",D47*ABS(Z47-SPWARF))</x:f>
        <x:v>636371396.2327784</x:v>
      </x:c>
    </x:row>
    <x:row r="48">
      <x:c r="A48" s="8" t="str">
        <x:v>SYN-LN-00041</x:v>
      </x:c>
      <x:c r="B48" s="8" t="str">
        <x:v>SYN-OB-0039</x:v>
      </x:c>
      <x:c r="C48" s="8" t="str">
        <x:v>Windward Group 039</x:v>
      </x:c>
      <x:c r="D48" s="9" t="n">
        <x:v>1182000</x:v>
      </x:c>
      <x:c r="E48" s="8" t="str">
        <x:v>B</x:v>
      </x:c>
      <x:c r="F48" s="8" t="str">
        <x:v>Aerospace &amp; Defense</x:v>
      </x:c>
      <x:c r="G48" s="8" t="str">
        <x:v>United States</x:v>
      </x:c>
      <x:c r="H48" s="8" t="str">
        <x:v>1st Lien</x:v>
      </x:c>
      <x:c r="I48" s="8" t="str">
        <x:v>Floating</x:v>
      </x:c>
      <x:c r="J48" s="8" t="n">
        <x:v>220</x:v>
      </x:c>
      <x:c r="K48" s="10"/>
      <x:c r="L48" s="8" t="n">
        <x:v>0</x:v>
      </x:c>
      <x:c r="M48" s="11" t="n">
        <x:v>48745</x:v>
      </x:c>
      <x:c r="N48" s="10" t="n">
        <x:v>0.415</x:v>
      </x:c>
      <x:c r="O48" s="12" t="n">
        <x:v>100.75</x:v>
      </x:c>
      <x:c r="P48" s="13" t="n">
        <x:v>4</x:v>
      </x:c>
      <x:c r="Q48" s="8" t="str">
        <x:v>USD</x:v>
      </x:c>
      <x:c r="R48" s="8" t="str">
        <x:v>SOFR</x:v>
      </x:c>
      <x:c r="S48" s="18" t="n">
        <x:f>IF(Portfolio_Par&gt;0,D48/Portfolio_Par,"")</x:f>
        <x:v>0.021204075774971298</x:v>
      </x:c>
      <x:c r="T48" s="19" t="n">
        <x:f>IF(A48="","",(M48-as_of_date)/365.25)</x:f>
        <x:v>6.453114305270363</x:v>
      </x:c>
      <x:c r="U48" s="20" t="n">
        <x:f>IF(I48="Floating",D48*J48,0)</x:f>
        <x:v>260040000</x:v>
      </x:c>
      <x:c r="V48" s="20" t="n">
        <x:f>IF(A48="","",D48*N48)</x:f>
        <x:v>490530</x:v>
      </x:c>
      <x:c r="W48" s="14" t="n">
        <x:f>IF(A48='Run Snapshot'!A48,0,1)+IF(B48='Run Snapshot'!B48,0,1)+IF(C48='Run Snapshot'!C48,0,1)+IF(D48='Run Snapshot'!D48,0,1)+IF(E48='Run Snapshot'!E48,0,1)+IF(F48='Run Snapshot'!F48,0,1)+IF(G48='Run Snapshot'!G48,0,1)+IF(H48='Run Snapshot'!H48,0,1)+IF(I48='Run Snapshot'!I48,0,1)+IF(J48='Run Snapshot'!J48,0,1)+IF(K48='Run Snapshot'!K48,0,1)+IF(L48='Run Snapshot'!L48,0,1)+IF(M48='Run Snapshot'!M48,0,1)+IF(N48='Run Snapshot'!N48,0,1)+IF(O48='Run Snapshot'!O48,0,1)+IF(P48='Run Snapshot'!P48,0,1)+IF(Q48='Run Snapshot'!Q48,0,1)+IF(R48='Run Snapshot'!R48,0,1)</x:f>
        <x:v>0</x:v>
      </x:c>
      <x:c r="X48" s="15" t="n">
        <x:f>IF(A48="",0,COUNTIF($A$8:$A$59,A48)-1)</x:f>
        <x:v>0</x:v>
      </x:c>
      <x:c r="Y48" s="14" t="n">
        <x:f>IF(A48="",1,IF(OR(D48&lt;=0,N48&lt;0,N48&gt;1,M48&lt;=as_of_date),1,0))</x:f>
        <x:v>0</x:v>
      </x:c>
      <x:c r="Z48" s="170" t="n">
        <x:f>IF(A48="","",VLOOKUP(E48,SP_WARF_Factors,2,FALSE))</x:f>
        <x:v>2859.5</x:v>
      </x:c>
      <x:c r="AA48" s="172" t="n">
        <x:f>IF(A48="","",D48*Z48)</x:f>
        <x:v>3379929000</x:v>
      </x:c>
      <x:c r="AB48" s="170" t="n">
        <x:f>IF(A48="","",D48*ABS(Z48-SPWARF))</x:f>
        <x:v>727824387.0680251</x:v>
      </x:c>
    </x:row>
    <x:row r="49">
      <x:c r="A49" s="8" t="str">
        <x:v>SYN-LN-00042</x:v>
      </x:c>
      <x:c r="B49" s="8" t="str">
        <x:v>SYN-OB-0040</x:v>
      </x:c>
      <x:c r="C49" s="8" t="str">
        <x:v>Woodland LLC 040</x:v>
      </x:c>
      <x:c r="D49" s="9" t="n">
        <x:v>1182000</x:v>
      </x:c>
      <x:c r="E49" s="8" t="str">
        <x:v>BB</x:v>
      </x:c>
      <x:c r="F49" s="8" t="str">
        <x:v>Interactive media and services</x:v>
      </x:c>
      <x:c r="G49" s="8" t="str">
        <x:v>United States</x:v>
      </x:c>
      <x:c r="H49" s="8" t="str">
        <x:v>1st Lien</x:v>
      </x:c>
      <x:c r="I49" s="8" t="str">
        <x:v>Floating</x:v>
      </x:c>
      <x:c r="J49" s="8" t="n">
        <x:v>305</x:v>
      </x:c>
      <x:c r="K49" s="10"/>
      <x:c r="L49" s="8" t="n">
        <x:v>0</x:v>
      </x:c>
      <x:c r="M49" s="11" t="n">
        <x:v>48548</x:v>
      </x:c>
      <x:c r="N49" s="10" t="n">
        <x:v>0.545</x:v>
      </x:c>
      <x:c r="O49" s="12" t="n">
        <x:v>99.125</x:v>
      </x:c>
      <x:c r="P49" s="13" t="n">
        <x:v>4</x:v>
      </x:c>
      <x:c r="Q49" s="8" t="str">
        <x:v>USD</x:v>
      </x:c>
      <x:c r="R49" s="8" t="str">
        <x:v>SOFR</x:v>
      </x:c>
      <x:c r="S49" s="18" t="n">
        <x:f>IF(Portfolio_Par&gt;0,D49/Portfolio_Par,"")</x:f>
        <x:v>0.021204075774971298</x:v>
      </x:c>
      <x:c r="T49" s="19" t="n">
        <x:f>IF(A49="","",(M49-as_of_date)/365.25)</x:f>
        <x:v>5.9137577002053385</x:v>
      </x:c>
      <x:c r="U49" s="20" t="n">
        <x:f>IF(I49="Floating",D49*J49,0)</x:f>
        <x:v>360510000</x:v>
      </x:c>
      <x:c r="V49" s="20" t="n">
        <x:f>IF(A49="","",D49*N49)</x:f>
        <x:v>644190</x:v>
      </x:c>
      <x:c r="W49" s="14" t="n">
        <x:f>IF(A49='Run Snapshot'!A49,0,1)+IF(B49='Run Snapshot'!B49,0,1)+IF(C49='Run Snapshot'!C49,0,1)+IF(D49='Run Snapshot'!D49,0,1)+IF(E49='Run Snapshot'!E49,0,1)+IF(F49='Run Snapshot'!F49,0,1)+IF(G49='Run Snapshot'!G49,0,1)+IF(H49='Run Snapshot'!H49,0,1)+IF(I49='Run Snapshot'!I49,0,1)+IF(J49='Run Snapshot'!J49,0,1)+IF(K49='Run Snapshot'!K49,0,1)+IF(L49='Run Snapshot'!L49,0,1)+IF(M49='Run Snapshot'!M49,0,1)+IF(N49='Run Snapshot'!N49,0,1)+IF(O49='Run Snapshot'!O49,0,1)+IF(P49='Run Snapshot'!P49,0,1)+IF(Q49='Run Snapshot'!Q49,0,1)+IF(R49='Run Snapshot'!R49,0,1)</x:f>
        <x:v>0</x:v>
      </x:c>
      <x:c r="X49" s="15" t="n">
        <x:f>IF(A49="",0,COUNTIF($A$8:$A$59,A49)-1)</x:f>
        <x:v>0</x:v>
      </x:c>
      <x:c r="Y49" s="14" t="n">
        <x:f>IF(A49="",1,IF(OR(D49&lt;=0,N49&lt;0,N49&gt;1,M49&lt;=as_of_date),1,0))</x:f>
        <x:v>0</x:v>
      </x:c>
      <x:c r="Z49" s="170" t="n">
        <x:f>IF(A49="","",VLOOKUP(E49,SP_WARF_Factors,2,FALSE))</x:f>
        <x:v>1233.63</x:v>
      </x:c>
      <x:c r="AA49" s="172" t="n">
        <x:f>IF(A49="","",D49*Z49)</x:f>
        <x:v>1458150660.0000002</x:v>
      </x:c>
      <x:c r="AB49" s="170" t="n">
        <x:f>IF(A49="","",D49*ABS(Z49-SPWARF))</x:f>
        <x:v>1193953952.931975</x:v>
      </x:c>
    </x:row>
    <x:row r="50">
      <x:c r="A50" s="8" t="str">
        <x:v>SYN-LN-00043</x:v>
      </x:c>
      <x:c r="B50" s="8" t="str">
        <x:v>SYN-OB-0041</x:v>
      </x:c>
      <x:c r="C50" s="8" t="str">
        <x:v>Alder Holdings 041</x:v>
      </x:c>
      <x:c r="D50" s="9" t="n">
        <x:v>1182000</x:v>
      </x:c>
      <x:c r="E50" s="8" t="str">
        <x:v>B</x:v>
      </x:c>
      <x:c r="F50" s="8" t="str">
        <x:v>IT Services</x:v>
      </x:c>
      <x:c r="G50" s="8" t="str">
        <x:v>United States</x:v>
      </x:c>
      <x:c r="H50" s="8" t="str">
        <x:v>1st Lien</x:v>
      </x:c>
      <x:c r="I50" s="8" t="str">
        <x:v>Floating</x:v>
      </x:c>
      <x:c r="J50" s="8" t="n">
        <x:v>270</x:v>
      </x:c>
      <x:c r="K50" s="10"/>
      <x:c r="L50" s="8" t="n">
        <x:v>0</x:v>
      </x:c>
      <x:c r="M50" s="11" t="n">
        <x:v>48882</x:v>
      </x:c>
      <x:c r="N50" s="10" t="n">
        <x:v>0.28</x:v>
      </x:c>
      <x:c r="O50" s="12" t="n">
        <x:v>99.125</x:v>
      </x:c>
      <x:c r="P50" s="13" t="n">
        <x:v>4</x:v>
      </x:c>
      <x:c r="Q50" s="8" t="str">
        <x:v>USD</x:v>
      </x:c>
      <x:c r="R50" s="8" t="str">
        <x:v>SOFR</x:v>
      </x:c>
      <x:c r="S50" s="18" t="n">
        <x:f>IF(Portfolio_Par&gt;0,D50/Portfolio_Par,"")</x:f>
        <x:v>0.021204075774971298</x:v>
      </x:c>
      <x:c r="T50" s="19" t="n">
        <x:f>IF(A50="","",(M50-as_of_date)/365.25)</x:f>
        <x:v>6.828199863107461</x:v>
      </x:c>
      <x:c r="U50" s="20" t="n">
        <x:f>IF(I50="Floating",D50*J50,0)</x:f>
        <x:v>319140000</x:v>
      </x:c>
      <x:c r="V50" s="20" t="n">
        <x:f>IF(A50="","",D50*N50)</x:f>
        <x:v>330960.00000000006</x:v>
      </x:c>
      <x:c r="W50" s="14" t="n">
        <x:f>IF(A50='Run Snapshot'!A50,0,1)+IF(B50='Run Snapshot'!B50,0,1)+IF(C50='Run Snapshot'!C50,0,1)+IF(D50='Run Snapshot'!D50,0,1)+IF(E50='Run Snapshot'!E50,0,1)+IF(F50='Run Snapshot'!F50,0,1)+IF(G50='Run Snapshot'!G50,0,1)+IF(H50='Run Snapshot'!H50,0,1)+IF(I50='Run Snapshot'!I50,0,1)+IF(J50='Run Snapshot'!J50,0,1)+IF(K50='Run Snapshot'!K50,0,1)+IF(L50='Run Snapshot'!L50,0,1)+IF(M50='Run Snapshot'!M50,0,1)+IF(N50='Run Snapshot'!N50,0,1)+IF(O50='Run Snapshot'!O50,0,1)+IF(P50='Run Snapshot'!P50,0,1)+IF(Q50='Run Snapshot'!Q50,0,1)+IF(R50='Run Snapshot'!R50,0,1)</x:f>
        <x:v>0</x:v>
      </x:c>
      <x:c r="X50" s="15" t="n">
        <x:f>IF(A50="",0,COUNTIF($A$8:$A$59,A50)-1)</x:f>
        <x:v>0</x:v>
      </x:c>
      <x:c r="Y50" s="14" t="n">
        <x:f>IF(A50="",1,IF(OR(D50&lt;=0,N50&lt;0,N50&gt;1,M50&lt;=as_of_date),1,0))</x:f>
        <x:v>0</x:v>
      </x:c>
      <x:c r="Z50" s="170" t="n">
        <x:f>IF(A50="","",VLOOKUP(E50,SP_WARF_Factors,2,FALSE))</x:f>
        <x:v>2859.5</x:v>
      </x:c>
      <x:c r="AA50" s="172" t="n">
        <x:f>IF(A50="","",D50*Z50)</x:f>
        <x:v>3379929000</x:v>
      </x:c>
      <x:c r="AB50" s="170" t="n">
        <x:f>IF(A50="","",D50*ABS(Z50-SPWARF))</x:f>
        <x:v>727824387.0680251</x:v>
      </x:c>
    </x:row>
    <x:row r="51">
      <x:c r="A51" s="8" t="str">
        <x:v>SYN-LN-00044</x:v>
      </x:c>
      <x:c r="B51" s="8" t="str">
        <x:v>SYN-OB-0042</x:v>
      </x:c>
      <x:c r="C51" s="8" t="str">
        <x:v>Amber Inc. 042</x:v>
      </x:c>
      <x:c r="D51" s="9" t="n">
        <x:v>1182000</x:v>
      </x:c>
      <x:c r="E51" s="8" t="str">
        <x:v>B+</x:v>
      </x:c>
      <x:c r="F51" s="8" t="str">
        <x:v>Semiconductors &amp; Semiconductor Equipment</x:v>
      </x:c>
      <x:c r="G51" s="8" t="str">
        <x:v>United States</x:v>
      </x:c>
      <x:c r="H51" s="8" t="str">
        <x:v>1st Lien</x:v>
      </x:c>
      <x:c r="I51" s="8" t="str">
        <x:v>Floating</x:v>
      </x:c>
      <x:c r="J51" s="8" t="n">
        <x:v>330</x:v>
      </x:c>
      <x:c r="K51" s="10"/>
      <x:c r="L51" s="8" t="n">
        <x:v>0</x:v>
      </x:c>
      <x:c r="M51" s="11" t="n">
        <x:v>48182</x:v>
      </x:c>
      <x:c r="N51" s="10" t="n">
        <x:v>0.425</x:v>
      </x:c>
      <x:c r="O51" s="12" t="n">
        <x:v>99.625</x:v>
      </x:c>
      <x:c r="P51" s="13" t="n">
        <x:v>4</x:v>
      </x:c>
      <x:c r="Q51" s="8" t="str">
        <x:v>USD</x:v>
      </x:c>
      <x:c r="R51" s="8" t="str">
        <x:v>SOFR</x:v>
      </x:c>
      <x:c r="S51" s="18" t="n">
        <x:f>IF(Portfolio_Par&gt;0,D51/Portfolio_Par,"")</x:f>
        <x:v>0.021204075774971298</x:v>
      </x:c>
      <x:c r="T51" s="19" t="n">
        <x:f>IF(A51="","",(M51-as_of_date)/365.25)</x:f>
        <x:v>4.91170431211499</x:v>
      </x:c>
      <x:c r="U51" s="20" t="n">
        <x:f>IF(I51="Floating",D51*J51,0)</x:f>
        <x:v>390060000</x:v>
      </x:c>
      <x:c r="V51" s="20" t="n">
        <x:f>IF(A51="","",D51*N51)</x:f>
        <x:v>502350</x:v>
      </x:c>
      <x:c r="W51" s="14" t="n">
        <x:f>IF(A51='Run Snapshot'!A51,0,1)+IF(B51='Run Snapshot'!B51,0,1)+IF(C51='Run Snapshot'!C51,0,1)+IF(D51='Run Snapshot'!D51,0,1)+IF(E51='Run Snapshot'!E51,0,1)+IF(F51='Run Snapshot'!F51,0,1)+IF(G51='Run Snapshot'!G51,0,1)+IF(H51='Run Snapshot'!H51,0,1)+IF(I51='Run Snapshot'!I51,0,1)+IF(J51='Run Snapshot'!J51,0,1)+IF(K51='Run Snapshot'!K51,0,1)+IF(L51='Run Snapshot'!L51,0,1)+IF(M51='Run Snapshot'!M51,0,1)+IF(N51='Run Snapshot'!N51,0,1)+IF(O51='Run Snapshot'!O51,0,1)+IF(P51='Run Snapshot'!P51,0,1)+IF(Q51='Run Snapshot'!Q51,0,1)+IF(R51='Run Snapshot'!R51,0,1)</x:f>
        <x:v>0</x:v>
      </x:c>
      <x:c r="X51" s="15" t="n">
        <x:f>IF(A51="",0,COUNTIF($A$8:$A$59,A51)-1)</x:f>
        <x:v>0</x:v>
      </x:c>
      <x:c r="Y51" s="14" t="n">
        <x:f>IF(A51="",1,IF(OR(D51&lt;=0,N51&lt;0,N51&gt;1,M51&lt;=as_of_date),1,0))</x:f>
        <x:v>0</x:v>
      </x:c>
      <x:c r="Z51" s="170" t="n">
        <x:f>IF(A51="","",VLOOKUP(E51,SP_WARF_Factors,2,FALSE))</x:f>
        <x:v>1982</x:v>
      </x:c>
      <x:c r="AA51" s="172" t="n">
        <x:f>IF(A51="","",D51*Z51)</x:f>
        <x:v>2342724000</x:v>
      </x:c>
      <x:c r="AB51" s="170" t="n">
        <x:f>IF(A51="","",D51*ABS(Z51-SPWARF))</x:f>
        <x:v>309380612.9319749</x:v>
      </x:c>
    </x:row>
    <x:row r="52">
      <x:c r="A52" s="8" t="str">
        <x:v>SYN-LN-00045</x:v>
      </x:c>
      <x:c r="B52" s="8" t="str">
        <x:v>SYN-OB-0043</x:v>
      </x:c>
      <x:c r="C52" s="8" t="str">
        <x:v>Arbor Corp. 043</x:v>
      </x:c>
      <x:c r="D52" s="9" t="n">
        <x:v>1182000</x:v>
      </x:c>
      <x:c r="E52" s="8" t="str">
        <x:v>B</x:v>
      </x:c>
      <x:c r="F52" s="8" t="str">
        <x:v>Healthcare Providers &amp; Services</x:v>
      </x:c>
      <x:c r="G52" s="8" t="str">
        <x:v>United States</x:v>
      </x:c>
      <x:c r="H52" s="8" t="str">
        <x:v>1st Lien</x:v>
      </x:c>
      <x:c r="I52" s="8" t="str">
        <x:v>Floating</x:v>
      </x:c>
      <x:c r="J52" s="8" t="n">
        <x:v>365</x:v>
      </x:c>
      <x:c r="K52" s="10"/>
      <x:c r="L52" s="8" t="n">
        <x:v>0</x:v>
      </x:c>
      <x:c r="M52" s="11" t="n">
        <x:v>48852</x:v>
      </x:c>
      <x:c r="N52" s="10" t="n">
        <x:v>0.39</x:v>
      </x:c>
      <x:c r="O52" s="12" t="n">
        <x:v>101.5</x:v>
      </x:c>
      <x:c r="P52" s="13" t="n">
        <x:v>4</x:v>
      </x:c>
      <x:c r="Q52" s="8" t="str">
        <x:v>USD</x:v>
      </x:c>
      <x:c r="R52" s="8" t="str">
        <x:v>SOFR</x:v>
      </x:c>
      <x:c r="S52" s="18" t="n">
        <x:f>IF(Portfolio_Par&gt;0,D52/Portfolio_Par,"")</x:f>
        <x:v>0.021204075774971298</x:v>
      </x:c>
      <x:c r="T52" s="19" t="n">
        <x:f>IF(A52="","",(M52-as_of_date)/365.25)</x:f>
        <x:v>6.746064339493498</x:v>
      </x:c>
      <x:c r="U52" s="20" t="n">
        <x:f>IF(I52="Floating",D52*J52,0)</x:f>
        <x:v>431430000</x:v>
      </x:c>
      <x:c r="V52" s="20" t="n">
        <x:f>IF(A52="","",D52*N52)</x:f>
        <x:v>460980</x:v>
      </x:c>
      <x:c r="W52" s="14" t="n">
        <x:f>IF(A52='Run Snapshot'!A52,0,1)+IF(B52='Run Snapshot'!B52,0,1)+IF(C52='Run Snapshot'!C52,0,1)+IF(D52='Run Snapshot'!D52,0,1)+IF(E52='Run Snapshot'!E52,0,1)+IF(F52='Run Snapshot'!F52,0,1)+IF(G52='Run Snapshot'!G52,0,1)+IF(H52='Run Snapshot'!H52,0,1)+IF(I52='Run Snapshot'!I52,0,1)+IF(J52='Run Snapshot'!J52,0,1)+IF(K52='Run Snapshot'!K52,0,1)+IF(L52='Run Snapshot'!L52,0,1)+IF(M52='Run Snapshot'!M52,0,1)+IF(N52='Run Snapshot'!N52,0,1)+IF(O52='Run Snapshot'!O52,0,1)+IF(P52='Run Snapshot'!P52,0,1)+IF(Q52='Run Snapshot'!Q52,0,1)+IF(R52='Run Snapshot'!R52,0,1)</x:f>
        <x:v>0</x:v>
      </x:c>
      <x:c r="X52" s="15" t="n">
        <x:f>IF(A52="",0,COUNTIF($A$8:$A$59,A52)-1)</x:f>
        <x:v>0</x:v>
      </x:c>
      <x:c r="Y52" s="14" t="n">
        <x:f>IF(A52="",1,IF(OR(D52&lt;=0,N52&lt;0,N52&gt;1,M52&lt;=as_of_date),1,0))</x:f>
        <x:v>0</x:v>
      </x:c>
      <x:c r="Z52" s="170" t="n">
        <x:f>IF(A52="","",VLOOKUP(E52,SP_WARF_Factors,2,FALSE))</x:f>
        <x:v>2859.5</x:v>
      </x:c>
      <x:c r="AA52" s="172" t="n">
        <x:f>IF(A52="","",D52*Z52)</x:f>
        <x:v>3379929000</x:v>
      </x:c>
      <x:c r="AB52" s="170" t="n">
        <x:f>IF(A52="","",D52*ABS(Z52-SPWARF))</x:f>
        <x:v>727824387.0680251</x:v>
      </x:c>
    </x:row>
    <x:row r="53">
      <x:c r="A53" s="8" t="str">
        <x:v>SYN-LN-00046</x:v>
      </x:c>
      <x:c r="B53" s="8" t="str">
        <x:v>SYN-OB-0044</x:v>
      </x:c>
      <x:c r="C53" s="8" t="str">
        <x:v>Atlas Group 044</x:v>
      </x:c>
      <x:c r="D53" s="9" t="n">
        <x:v>1182000</x:v>
      </x:c>
      <x:c r="E53" s="8" t="str">
        <x:v>B+</x:v>
      </x:c>
      <x:c r="F53" s="8" t="str">
        <x:v>Electric Utilities</x:v>
      </x:c>
      <x:c r="G53" s="8" t="str">
        <x:v>United States</x:v>
      </x:c>
      <x:c r="H53" s="8" t="str">
        <x:v>1st Lien</x:v>
      </x:c>
      <x:c r="I53" s="8" t="str">
        <x:v>Floating</x:v>
      </x:c>
      <x:c r="J53" s="8" t="n">
        <x:v>300</x:v>
      </x:c>
      <x:c r="K53" s="10"/>
      <x:c r="L53" s="8" t="n">
        <x:v>0</x:v>
      </x:c>
      <x:c r="M53" s="11" t="n">
        <x:v>48911</x:v>
      </x:c>
      <x:c r="N53" s="10" t="n">
        <x:v>0.43</x:v>
      </x:c>
      <x:c r="O53" s="12" t="n">
        <x:v>101.125</x:v>
      </x:c>
      <x:c r="P53" s="13" t="n">
        <x:v>4</x:v>
      </x:c>
      <x:c r="Q53" s="8" t="str">
        <x:v>USD</x:v>
      </x:c>
      <x:c r="R53" s="8" t="str">
        <x:v>SOFR</x:v>
      </x:c>
      <x:c r="S53" s="18" t="n">
        <x:f>IF(Portfolio_Par&gt;0,D53/Portfolio_Par,"")</x:f>
        <x:v>0.021204075774971298</x:v>
      </x:c>
      <x:c r="T53" s="19" t="n">
        <x:f>IF(A53="","",(M53-as_of_date)/365.25)</x:f>
        <x:v>6.907597535934292</x:v>
      </x:c>
      <x:c r="U53" s="20" t="n">
        <x:f>IF(I53="Floating",D53*J53,0)</x:f>
        <x:v>354600000</x:v>
      </x:c>
      <x:c r="V53" s="20" t="n">
        <x:f>IF(A53="","",D53*N53)</x:f>
        <x:v>508260</x:v>
      </x:c>
      <x:c r="W53" s="14" t="n">
        <x:f>IF(A53='Run Snapshot'!A53,0,1)+IF(B53='Run Snapshot'!B53,0,1)+IF(C53='Run Snapshot'!C53,0,1)+IF(D53='Run Snapshot'!D53,0,1)+IF(E53='Run Snapshot'!E53,0,1)+IF(F53='Run Snapshot'!F53,0,1)+IF(G53='Run Snapshot'!G53,0,1)+IF(H53='Run Snapshot'!H53,0,1)+IF(I53='Run Snapshot'!I53,0,1)+IF(J53='Run Snapshot'!J53,0,1)+IF(K53='Run Snapshot'!K53,0,1)+IF(L53='Run Snapshot'!L53,0,1)+IF(M53='Run Snapshot'!M53,0,1)+IF(N53='Run Snapshot'!N53,0,1)+IF(O53='Run Snapshot'!O53,0,1)+IF(P53='Run Snapshot'!P53,0,1)+IF(Q53='Run Snapshot'!Q53,0,1)+IF(R53='Run Snapshot'!R53,0,1)</x:f>
        <x:v>0</x:v>
      </x:c>
      <x:c r="X53" s="15" t="n">
        <x:f>IF(A53="",0,COUNTIF($A$8:$A$59,A53)-1)</x:f>
        <x:v>0</x:v>
      </x:c>
      <x:c r="Y53" s="14" t="n">
        <x:f>IF(A53="",1,IF(OR(D53&lt;=0,N53&lt;0,N53&gt;1,M53&lt;=as_of_date),1,0))</x:f>
        <x:v>0</x:v>
      </x:c>
      <x:c r="Z53" s="170" t="n">
        <x:f>IF(A53="","",VLOOKUP(E53,SP_WARF_Factors,2,FALSE))</x:f>
        <x:v>1982</x:v>
      </x:c>
      <x:c r="AA53" s="172" t="n">
        <x:f>IF(A53="","",D53*Z53)</x:f>
        <x:v>2342724000</x:v>
      </x:c>
      <x:c r="AB53" s="170" t="n">
        <x:f>IF(A53="","",D53*ABS(Z53-SPWARF))</x:f>
        <x:v>309380612.9319749</x:v>
      </x:c>
    </x:row>
    <x:row r="54">
      <x:c r="A54" s="8" t="str">
        <x:v>SYN-LN-00047</x:v>
      </x:c>
      <x:c r="B54" s="8" t="str">
        <x:v>SYN-OB-0045</x:v>
      </x:c>
      <x:c r="C54" s="8" t="str">
        <x:v>Beacon LLC 045</x:v>
      </x:c>
      <x:c r="D54" s="9" t="n">
        <x:v>1182000</x:v>
      </x:c>
      <x:c r="E54" s="8" t="str">
        <x:v>B</x:v>
      </x:c>
      <x:c r="F54" s="8" t="str">
        <x:v>Aerospace &amp; Defense</x:v>
      </x:c>
      <x:c r="G54" s="8" t="str">
        <x:v>United States</x:v>
      </x:c>
      <x:c r="H54" s="8" t="str">
        <x:v>1st Lien</x:v>
      </x:c>
      <x:c r="I54" s="8" t="str">
        <x:v>Floating</x:v>
      </x:c>
      <x:c r="J54" s="8" t="n">
        <x:v>360</x:v>
      </x:c>
      <x:c r="K54" s="10"/>
      <x:c r="L54" s="8" t="n">
        <x:v>0</x:v>
      </x:c>
      <x:c r="M54" s="11" t="n">
        <x:v>48928</x:v>
      </x:c>
      <x:c r="N54" s="10" t="n">
        <x:v>0.305</x:v>
      </x:c>
      <x:c r="O54" s="12" t="n">
        <x:v>98.75</x:v>
      </x:c>
      <x:c r="P54" s="13" t="n">
        <x:v>4</x:v>
      </x:c>
      <x:c r="Q54" s="8" t="str">
        <x:v>USD</x:v>
      </x:c>
      <x:c r="R54" s="8" t="str">
        <x:v>SOFR</x:v>
      </x:c>
      <x:c r="S54" s="18" t="n">
        <x:f>IF(Portfolio_Par&gt;0,D54/Portfolio_Par,"")</x:f>
        <x:v>0.021204075774971298</x:v>
      </x:c>
      <x:c r="T54" s="19" t="n">
        <x:f>IF(A54="","",(M54-as_of_date)/365.25)</x:f>
        <x:v>6.954140999315538</x:v>
      </x:c>
      <x:c r="U54" s="20" t="n">
        <x:f>IF(I54="Floating",D54*J54,0)</x:f>
        <x:v>425520000</x:v>
      </x:c>
      <x:c r="V54" s="20" t="n">
        <x:f>IF(A54="","",D54*N54)</x:f>
        <x:v>360510</x:v>
      </x:c>
      <x:c r="W54" s="14" t="n">
        <x:f>IF(A54='Run Snapshot'!A54,0,1)+IF(B54='Run Snapshot'!B54,0,1)+IF(C54='Run Snapshot'!C54,0,1)+IF(D54='Run Snapshot'!D54,0,1)+IF(E54='Run Snapshot'!E54,0,1)+IF(F54='Run Snapshot'!F54,0,1)+IF(G54='Run Snapshot'!G54,0,1)+IF(H54='Run Snapshot'!H54,0,1)+IF(I54='Run Snapshot'!I54,0,1)+IF(J54='Run Snapshot'!J54,0,1)+IF(K54='Run Snapshot'!K54,0,1)+IF(L54='Run Snapshot'!L54,0,1)+IF(M54='Run Snapshot'!M54,0,1)+IF(N54='Run Snapshot'!N54,0,1)+IF(O54='Run Snapshot'!O54,0,1)+IF(P54='Run Snapshot'!P54,0,1)+IF(Q54='Run Snapshot'!Q54,0,1)+IF(R54='Run Snapshot'!R54,0,1)</x:f>
        <x:v>0</x:v>
      </x:c>
      <x:c r="X54" s="15" t="n">
        <x:f>IF(A54="",0,COUNTIF($A$8:$A$59,A54)-1)</x:f>
        <x:v>0</x:v>
      </x:c>
      <x:c r="Y54" s="14" t="n">
        <x:f>IF(A54="",1,IF(OR(D54&lt;=0,N54&lt;0,N54&gt;1,M54&lt;=as_of_date),1,0))</x:f>
        <x:v>0</x:v>
      </x:c>
      <x:c r="Z54" s="170" t="n">
        <x:f>IF(A54="","",VLOOKUP(E54,SP_WARF_Factors,2,FALSE))</x:f>
        <x:v>2859.5</x:v>
      </x:c>
      <x:c r="AA54" s="172" t="n">
        <x:f>IF(A54="","",D54*Z54)</x:f>
        <x:v>3379929000</x:v>
      </x:c>
      <x:c r="AB54" s="170" t="n">
        <x:f>IF(A54="","",D54*ABS(Z54-SPWARF))</x:f>
        <x:v>727824387.0680251</x:v>
      </x:c>
    </x:row>
    <x:row r="55">
      <x:c r="A55" s="8" t="str">
        <x:v>SYN-LN-00048</x:v>
      </x:c>
      <x:c r="B55" s="8" t="str">
        <x:v>SYN-OB-0046</x:v>
      </x:c>
      <x:c r="C55" s="8" t="str">
        <x:v>Bluewater Holdings 046</x:v>
      </x:c>
      <x:c r="D55" s="9" t="n">
        <x:v>1182000</x:v>
      </x:c>
      <x:c r="E55" s="8" t="str">
        <x:v>B</x:v>
      </x:c>
      <x:c r="F55" s="8" t="str">
        <x:v>Aerospace &amp; Defense</x:v>
      </x:c>
      <x:c r="G55" s="8" t="str">
        <x:v>United States</x:v>
      </x:c>
      <x:c r="H55" s="8" t="str">
        <x:v>1st Lien</x:v>
      </x:c>
      <x:c r="I55" s="8" t="str">
        <x:v>Floating</x:v>
      </x:c>
      <x:c r="J55" s="8" t="n">
        <x:v>365</x:v>
      </x:c>
      <x:c r="K55" s="10"/>
      <x:c r="L55" s="8" t="n">
        <x:v>0</x:v>
      </x:c>
      <x:c r="M55" s="11" t="n">
        <x:v>47832</x:v>
      </x:c>
      <x:c r="N55" s="10" t="n">
        <x:v>0.445</x:v>
      </x:c>
      <x:c r="O55" s="12" t="n">
        <x:v>101.5</x:v>
      </x:c>
      <x:c r="P55" s="13" t="n">
        <x:v>4</x:v>
      </x:c>
      <x:c r="Q55" s="8" t="str">
        <x:v>USD</x:v>
      </x:c>
      <x:c r="R55" s="8" t="str">
        <x:v>SOFR</x:v>
      </x:c>
      <x:c r="S55" s="18" t="n">
        <x:f>IF(Portfolio_Par&gt;0,D55/Portfolio_Par,"")</x:f>
        <x:v>0.021204075774971298</x:v>
      </x:c>
      <x:c r="T55" s="19" t="n">
        <x:f>IF(A55="","",(M55-as_of_date)/365.25)</x:f>
        <x:v>3.9534565366187544</x:v>
      </x:c>
      <x:c r="U55" s="20" t="n">
        <x:f>IF(I55="Floating",D55*J55,0)</x:f>
        <x:v>431430000</x:v>
      </x:c>
      <x:c r="V55" s="20" t="n">
        <x:f>IF(A55="","",D55*N55)</x:f>
        <x:v>525990</x:v>
      </x:c>
      <x:c r="W55" s="14" t="n">
        <x:f>IF(A55='Run Snapshot'!A55,0,1)+IF(B55='Run Snapshot'!B55,0,1)+IF(C55='Run Snapshot'!C55,0,1)+IF(D55='Run Snapshot'!D55,0,1)+IF(E55='Run Snapshot'!E55,0,1)+IF(F55='Run Snapshot'!F55,0,1)+IF(G55='Run Snapshot'!G55,0,1)+IF(H55='Run Snapshot'!H55,0,1)+IF(I55='Run Snapshot'!I55,0,1)+IF(J55='Run Snapshot'!J55,0,1)+IF(K55='Run Snapshot'!K55,0,1)+IF(L55='Run Snapshot'!L55,0,1)+IF(M55='Run Snapshot'!M55,0,1)+IF(N55='Run Snapshot'!N55,0,1)+IF(O55='Run Snapshot'!O55,0,1)+IF(P55='Run Snapshot'!P55,0,1)+IF(Q55='Run Snapshot'!Q55,0,1)+IF(R55='Run Snapshot'!R55,0,1)</x:f>
        <x:v>0</x:v>
      </x:c>
      <x:c r="X55" s="15" t="n">
        <x:f>IF(A55="",0,COUNTIF($A$8:$A$59,A55)-1)</x:f>
        <x:v>0</x:v>
      </x:c>
      <x:c r="Y55" s="14" t="n">
        <x:f>IF(A55="",1,IF(OR(D55&lt;=0,N55&lt;0,N55&gt;1,M55&lt;=as_of_date),1,0))</x:f>
        <x:v>0</x:v>
      </x:c>
      <x:c r="Z55" s="170" t="n">
        <x:f>IF(A55="","",VLOOKUP(E55,SP_WARF_Factors,2,FALSE))</x:f>
        <x:v>2859.5</x:v>
      </x:c>
      <x:c r="AA55" s="172" t="n">
        <x:f>IF(A55="","",D55*Z55)</x:f>
        <x:v>3379929000</x:v>
      </x:c>
      <x:c r="AB55" s="170" t="n">
        <x:f>IF(A55="","",D55*ABS(Z55-SPWARF))</x:f>
        <x:v>727824387.0680251</x:v>
      </x:c>
    </x:row>
    <x:row r="56">
      <x:c r="A56" s="8" t="str">
        <x:v>SYN-LN-00049</x:v>
      </x:c>
      <x:c r="B56" s="8" t="str">
        <x:v>SYN-OB-0047</x:v>
      </x:c>
      <x:c r="C56" s="8" t="str">
        <x:v>Bracken Inc. 047</x:v>
      </x:c>
      <x:c r="D56" s="9" t="n">
        <x:v>1182000</x:v>
      </x:c>
      <x:c r="E56" s="8" t="str">
        <x:v>B-</x:v>
      </x:c>
      <x:c r="F56" s="8" t="str">
        <x:v>Diversified Telecommunication Services</x:v>
      </x:c>
      <x:c r="G56" s="8" t="str">
        <x:v>United States</x:v>
      </x:c>
      <x:c r="H56" s="8" t="str">
        <x:v>1st Lien</x:v>
      </x:c>
      <x:c r="I56" s="8" t="str">
        <x:v>Floating</x:v>
      </x:c>
      <x:c r="J56" s="8" t="n">
        <x:v>430</x:v>
      </x:c>
      <x:c r="K56" s="10"/>
      <x:c r="L56" s="8" t="n">
        <x:v>0</x:v>
      </x:c>
      <x:c r="M56" s="11" t="n">
        <x:v>47437</x:v>
      </x:c>
      <x:c r="N56" s="10" t="n">
        <x:v>0.375</x:v>
      </x:c>
      <x:c r="O56" s="12" t="n">
        <x:v>95.5</x:v>
      </x:c>
      <x:c r="P56" s="13" t="n">
        <x:v>4</x:v>
      </x:c>
      <x:c r="Q56" s="8" t="str">
        <x:v>USD</x:v>
      </x:c>
      <x:c r="R56" s="8" t="str">
        <x:v>SOFR</x:v>
      </x:c>
      <x:c r="S56" s="18" t="n">
        <x:f>IF(Portfolio_Par&gt;0,D56/Portfolio_Par,"")</x:f>
        <x:v>0.021204075774971298</x:v>
      </x:c>
      <x:c r="T56" s="19" t="n">
        <x:f>IF(A56="","",(M56-as_of_date)/365.25)</x:f>
        <x:v>2.8720054757015743</x:v>
      </x:c>
      <x:c r="U56" s="20" t="n">
        <x:f>IF(I56="Floating",D56*J56,0)</x:f>
        <x:v>508260000</x:v>
      </x:c>
      <x:c r="V56" s="20" t="n">
        <x:f>IF(A56="","",D56*N56)</x:f>
        <x:v>443250</x:v>
      </x:c>
      <x:c r="W56" s="14" t="n">
        <x:f>IF(A56='Run Snapshot'!A56,0,1)+IF(B56='Run Snapshot'!B56,0,1)+IF(C56='Run Snapshot'!C56,0,1)+IF(D56='Run Snapshot'!D56,0,1)+IF(E56='Run Snapshot'!E56,0,1)+IF(F56='Run Snapshot'!F56,0,1)+IF(G56='Run Snapshot'!G56,0,1)+IF(H56='Run Snapshot'!H56,0,1)+IF(I56='Run Snapshot'!I56,0,1)+IF(J56='Run Snapshot'!J56,0,1)+IF(K56='Run Snapshot'!K56,0,1)+IF(L56='Run Snapshot'!L56,0,1)+IF(M56='Run Snapshot'!M56,0,1)+IF(N56='Run Snapshot'!N56,0,1)+IF(O56='Run Snapshot'!O56,0,1)+IF(P56='Run Snapshot'!P56,0,1)+IF(Q56='Run Snapshot'!Q56,0,1)+IF(R56='Run Snapshot'!R56,0,1)</x:f>
        <x:v>0</x:v>
      </x:c>
      <x:c r="X56" s="15" t="n">
        <x:f>IF(A56="",0,COUNTIF($A$8:$A$59,A56)-1)</x:f>
        <x:v>0</x:v>
      </x:c>
      <x:c r="Y56" s="14" t="n">
        <x:f>IF(A56="",1,IF(OR(D56&lt;=0,N56&lt;0,N56&gt;1,M56&lt;=as_of_date),1,0))</x:f>
        <x:v>0</x:v>
      </x:c>
      <x:c r="Z56" s="170" t="n">
        <x:f>IF(A56="","",VLOOKUP(E56,SP_WARF_Factors,2,FALSE))</x:f>
        <x:v>3610.11</x:v>
      </x:c>
      <x:c r="AA56" s="172" t="n">
        <x:f>IF(A56="","",D56*Z56)</x:f>
        <x:v>4267150020</x:v>
      </x:c>
      <x:c r="AB56" s="170" t="n">
        <x:f>IF(A56="","",D56*ABS(Z56-SPWARF))</x:f>
        <x:v>1615045407.0680254</x:v>
      </x:c>
    </x:row>
    <x:row r="57">
      <x:c r="A57" s="8" t="str">
        <x:v>SYN-LN-00050</x:v>
      </x:c>
      <x:c r="B57" s="8" t="str">
        <x:v>SYN-OB-0048</x:v>
      </x:c>
      <x:c r="C57" s="8" t="str">
        <x:v>Cedar Corp. 048</x:v>
      </x:c>
      <x:c r="D57" s="9" t="n">
        <x:v>630000</x:v>
      </x:c>
      <x:c r="E57" s="8" t="str">
        <x:v>BBB-</x:v>
      </x:c>
      <x:c r="F57" s="8" t="str">
        <x:v>Financial services</x:v>
      </x:c>
      <x:c r="G57" s="8" t="str">
        <x:v>Netherlands</x:v>
      </x:c>
      <x:c r="H57" s="8" t="str">
        <x:v>Sr Secured</x:v>
      </x:c>
      <x:c r="I57" s="8" t="str">
        <x:v>Floating</x:v>
      </x:c>
      <x:c r="J57" s="8" t="n">
        <x:v>210</x:v>
      </x:c>
      <x:c r="K57" s="10"/>
      <x:c r="L57" s="8" t="n">
        <x:v>50</x:v>
      </x:c>
      <x:c r="M57" s="11" t="n">
        <x:v>47618</x:v>
      </x:c>
      <x:c r="N57" s="10" t="n">
        <x:v>0.33</x:v>
      </x:c>
      <x:c r="O57" s="12" t="n">
        <x:v>97.625</x:v>
      </x:c>
      <x:c r="P57" s="13" t="n">
        <x:v>4</x:v>
      </x:c>
      <x:c r="Q57" s="8" t="str">
        <x:v>USD</x:v>
      </x:c>
      <x:c r="R57" s="8" t="str">
        <x:v>SOFR</x:v>
      </x:c>
      <x:c r="S57" s="18" t="n">
        <x:f>IF(Portfolio_Par&gt;0,D57/Portfolio_Par,"")</x:f>
        <x:v>0.011301664753157291</x:v>
      </x:c>
      <x:c r="T57" s="19" t="n">
        <x:f>IF(A57="","",(M57-as_of_date)/365.25)</x:f>
        <x:v>3.3675564681724848</x:v>
      </x:c>
      <x:c r="U57" s="20" t="n">
        <x:f>IF(I57="Floating",D57*J57,0)</x:f>
        <x:v>132300000</x:v>
      </x:c>
      <x:c r="V57" s="20" t="n">
        <x:f>IF(A57="","",D57*N57)</x:f>
        <x:v>207900</x:v>
      </x:c>
      <x:c r="W57" s="14" t="n">
        <x:f>IF(A57='Run Snapshot'!A57,0,1)+IF(B57='Run Snapshot'!B57,0,1)+IF(C57='Run Snapshot'!C57,0,1)+IF(D57='Run Snapshot'!D57,0,1)+IF(E57='Run Snapshot'!E57,0,1)+IF(F57='Run Snapshot'!F57,0,1)+IF(G57='Run Snapshot'!G57,0,1)+IF(H57='Run Snapshot'!H57,0,1)+IF(I57='Run Snapshot'!I57,0,1)+IF(J57='Run Snapshot'!J57,0,1)+IF(K57='Run Snapshot'!K57,0,1)+IF(L57='Run Snapshot'!L57,0,1)+IF(M57='Run Snapshot'!M57,0,1)+IF(N57='Run Snapshot'!N57,0,1)+IF(O57='Run Snapshot'!O57,0,1)+IF(P57='Run Snapshot'!P57,0,1)+IF(Q57='Run Snapshot'!Q57,0,1)+IF(R57='Run Snapshot'!R57,0,1)</x:f>
        <x:v>0</x:v>
      </x:c>
      <x:c r="X57" s="15" t="n">
        <x:f>IF(A57="",0,COUNTIF($A$8:$A$59,A57)-1)</x:f>
        <x:v>0</x:v>
      </x:c>
      <x:c r="Y57" s="14" t="n">
        <x:f>IF(A57="",1,IF(OR(D57&lt;=0,N57&lt;0,N57&gt;1,M57&lt;=as_of_date),1,0))</x:f>
        <x:v>0</x:v>
      </x:c>
      <x:c r="Z57" s="170" t="n">
        <x:f>IF(A57="","",VLOOKUP(E57,SP_WARF_Factors,2,FALSE))</x:f>
        <x:v>540.42</x:v>
      </x:c>
      <x:c r="AA57" s="172" t="n">
        <x:f>IF(A57="","",D57*Z57)</x:f>
        <x:v>340464600</x:v>
      </x:c>
      <x:c r="AB57" s="170" t="n">
        <x:f>IF(A57="","",D57*ABS(Z57-SPWARF))</x:f>
        <x:v>1073093696.2327784</x:v>
      </x:c>
    </x:row>
    <x:row r="58">
      <x:c r="A58" s="8" t="str">
        <x:v>SYN-LN-00051</x:v>
      </x:c>
      <x:c r="B58" s="8" t="str">
        <x:v>SYN-OB-0049</x:v>
      </x:c>
      <x:c r="C58" s="8" t="str">
        <x:v>Cobalt Group 049</x:v>
      </x:c>
      <x:c r="D58" s="9" t="n">
        <x:v>1182000</x:v>
      </x:c>
      <x:c r="E58" s="8" t="str">
        <x:v>BB</x:v>
      </x:c>
      <x:c r="F58" s="8" t="str">
        <x:v>Banks</x:v>
      </x:c>
      <x:c r="G58" s="8" t="str">
        <x:v>United States</x:v>
      </x:c>
      <x:c r="H58" s="8" t="str">
        <x:v>1st Lien</x:v>
      </x:c>
      <x:c r="I58" s="8" t="str">
        <x:v>Floating</x:v>
      </x:c>
      <x:c r="J58" s="8" t="n">
        <x:v>260</x:v>
      </x:c>
      <x:c r="K58" s="10"/>
      <x:c r="L58" s="8" t="n">
        <x:v>0</x:v>
      </x:c>
      <x:c r="M58" s="11" t="n">
        <x:v>47529</x:v>
      </x:c>
      <x:c r="N58" s="10" t="n">
        <x:v>0.515</x:v>
      </x:c>
      <x:c r="O58" s="12" t="n">
        <x:v>99.125</x:v>
      </x:c>
      <x:c r="P58" s="13" t="n">
        <x:v>4</x:v>
      </x:c>
      <x:c r="Q58" s="8" t="str">
        <x:v>USD</x:v>
      </x:c>
      <x:c r="R58" s="8" t="str">
        <x:v>SOFR</x:v>
      </x:c>
      <x:c r="S58" s="18" t="n">
        <x:f>IF(Portfolio_Par&gt;0,D58/Portfolio_Par,"")</x:f>
        <x:v>0.021204075774971298</x:v>
      </x:c>
      <x:c r="T58" s="19" t="n">
        <x:f>IF(A58="","",(M58-as_of_date)/365.25)</x:f>
        <x:v>3.1238877481177276</x:v>
      </x:c>
      <x:c r="U58" s="20" t="n">
        <x:f>IF(I58="Floating",D58*J58,0)</x:f>
        <x:v>307320000</x:v>
      </x:c>
      <x:c r="V58" s="20" t="n">
        <x:f>IF(A58="","",D58*N58)</x:f>
        <x:v>608730</x:v>
      </x:c>
      <x:c r="W58" s="14" t="n">
        <x:f>IF(A58='Run Snapshot'!A58,0,1)+IF(B58='Run Snapshot'!B58,0,1)+IF(C58='Run Snapshot'!C58,0,1)+IF(D58='Run Snapshot'!D58,0,1)+IF(E58='Run Snapshot'!E58,0,1)+IF(F58='Run Snapshot'!F58,0,1)+IF(G58='Run Snapshot'!G58,0,1)+IF(H58='Run Snapshot'!H58,0,1)+IF(I58='Run Snapshot'!I58,0,1)+IF(J58='Run Snapshot'!J58,0,1)+IF(K58='Run Snapshot'!K58,0,1)+IF(L58='Run Snapshot'!L58,0,1)+IF(M58='Run Snapshot'!M58,0,1)+IF(N58='Run Snapshot'!N58,0,1)+IF(O58='Run Snapshot'!O58,0,1)+IF(P58='Run Snapshot'!P58,0,1)+IF(Q58='Run Snapshot'!Q58,0,1)+IF(R58='Run Snapshot'!R58,0,1)</x:f>
        <x:v>0</x:v>
      </x:c>
      <x:c r="X58" s="15" t="n">
        <x:f>IF(A58="",0,COUNTIF($A$8:$A$59,A58)-1)</x:f>
        <x:v>0</x:v>
      </x:c>
      <x:c r="Y58" s="14" t="n">
        <x:f>IF(A58="",1,IF(OR(D58&lt;=0,N58&lt;0,N58&gt;1,M58&lt;=as_of_date),1,0))</x:f>
        <x:v>0</x:v>
      </x:c>
      <x:c r="Z58" s="170" t="n">
        <x:f>IF(A58="","",VLOOKUP(E58,SP_WARF_Factors,2,FALSE))</x:f>
        <x:v>1233.63</x:v>
      </x:c>
      <x:c r="AA58" s="172" t="n">
        <x:f>IF(A58="","",D58*Z58)</x:f>
        <x:v>1458150660.0000002</x:v>
      </x:c>
      <x:c r="AB58" s="170" t="n">
        <x:f>IF(A58="","",D58*ABS(Z58-SPWARF))</x:f>
        <x:v>1193953952.931975</x:v>
      </x:c>
    </x:row>
    <x:row r="59">
      <x:c r="A59" s="8" t="str">
        <x:v>SYN-LN-00052</x:v>
      </x:c>
      <x:c r="B59" s="8" t="str">
        <x:v>SYN-OB-0050</x:v>
      </x:c>
      <x:c r="C59" s="8" t="str">
        <x:v>Copper LLC 050</x:v>
      </x:c>
      <x:c r="D59" s="9" t="n">
        <x:v>630000</x:v>
      </x:c>
      <x:c r="E59" s="8" t="str">
        <x:v>BB+</x:v>
      </x:c>
      <x:c r="F59" s="8" t="str">
        <x:v>Construction &amp; Engineering</x:v>
      </x:c>
      <x:c r="G59" s="8" t="str">
        <x:v>United States</x:v>
      </x:c>
      <x:c r="H59" s="8" t="str">
        <x:v>1st Lien</x:v>
      </x:c>
      <x:c r="I59" s="8" t="str">
        <x:v>Floating</x:v>
      </x:c>
      <x:c r="J59" s="8" t="n">
        <x:v>195</x:v>
      </x:c>
      <x:c r="K59" s="10"/>
      <x:c r="L59" s="8" t="n">
        <x:v>50</x:v>
      </x:c>
      <x:c r="M59" s="11" t="n">
        <x:v>47815</x:v>
      </x:c>
      <x:c r="N59" s="10" t="n">
        <x:v>0.475</x:v>
      </x:c>
      <x:c r="O59" s="12" t="n">
        <x:v>99.125</x:v>
      </x:c>
      <x:c r="P59" s="13" t="n">
        <x:v>4</x:v>
      </x:c>
      <x:c r="Q59" s="8" t="str">
        <x:v>USD</x:v>
      </x:c>
      <x:c r="R59" s="8" t="str">
        <x:v>SOFR</x:v>
      </x:c>
      <x:c r="S59" s="18" t="n">
        <x:f>IF(Portfolio_Par&gt;0,D59/Portfolio_Par,"")</x:f>
        <x:v>0.011301664753157291</x:v>
      </x:c>
      <x:c r="T59" s="19" t="n">
        <x:f>IF(A59="","",(M59-as_of_date)/365.25)</x:f>
        <x:v>3.9069130732375084</x:v>
      </x:c>
      <x:c r="U59" s="20" t="n">
        <x:f>IF(I59="Floating",D59*J59,0)</x:f>
        <x:v>122850000</x:v>
      </x:c>
      <x:c r="V59" s="20" t="n">
        <x:f>IF(A59="","",D59*N59)</x:f>
        <x:v>299250</x:v>
      </x:c>
      <x:c r="W59" s="14" t="n">
        <x:f>IF(A59='Run Snapshot'!A59,0,1)+IF(B59='Run Snapshot'!B59,0,1)+IF(C59='Run Snapshot'!C59,0,1)+IF(D59='Run Snapshot'!D59,0,1)+IF(E59='Run Snapshot'!E59,0,1)+IF(F59='Run Snapshot'!F59,0,1)+IF(G59='Run Snapshot'!G59,0,1)+IF(H59='Run Snapshot'!H59,0,1)+IF(I59='Run Snapshot'!I59,0,1)+IF(J59='Run Snapshot'!J59,0,1)+IF(K59='Run Snapshot'!K59,0,1)+IF(L59='Run Snapshot'!L59,0,1)+IF(M59='Run Snapshot'!M59,0,1)+IF(N59='Run Snapshot'!N59,0,1)+IF(O59='Run Snapshot'!O59,0,1)+IF(P59='Run Snapshot'!P59,0,1)+IF(Q59='Run Snapshot'!Q59,0,1)+IF(R59='Run Snapshot'!R59,0,1)</x:f>
        <x:v>0</x:v>
      </x:c>
      <x:c r="X59" s="15" t="n">
        <x:f>IF(A59="",0,COUNTIF($A$8:$A$59,A59)-1)</x:f>
        <x:v>0</x:v>
      </x:c>
      <x:c r="Y59" s="14" t="n">
        <x:f>IF(A59="",1,IF(OR(D59&lt;=0,N59&lt;0,N59&gt;1,M59&lt;=as_of_date),1,0))</x:f>
        <x:v>0</x:v>
      </x:c>
      <x:c r="Z59" s="170" t="n">
        <x:f>IF(A59="","",VLOOKUP(E59,SP_WARF_Factors,2,FALSE))</x:f>
        <x:v>784.92</x:v>
      </x:c>
      <x:c r="AA59" s="172" t="n">
        <x:f>IF(A59="","",D59*Z59)</x:f>
        <x:v>494499600</x:v>
      </x:c>
      <x:c r="AB59" s="170" t="n">
        <x:f>IF(A59="","",D59*ABS(Z59-SPWARF))</x:f>
        <x:v>919058696.2327784</x:v>
      </x:c>
    </x:row>
  </x:sheetData>
  <x:pageMargins left="0.7" right="0.7" top="0.75" bottom="0.75" header="0.3" footer="0.3"/>
  <x:tableParts count="1">
    <x:tablePart xmlns:r="http://schemas.openxmlformats.org/officeDocument/2006/relationships" r:id="Rc9dccf42fc4a48b7"/>
  </x:tableParts>
</x:worksheet>
</file>

<file path=xl/worksheets/sheet5.xml><?xml version="1.0" encoding="utf-8"?>
<x:worksheet xmlns:x="http://schemas.openxmlformats.org/spreadsheetml/2006/main">
  <x:sheetPr>
    <x:tabColor rgb="FFD6A4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24" hidden="0" customWidth="1"/>
    <x:col min="5" max="5" width="24" hidden="0" customWidth="1"/>
    <x:col min="6" max="6" width="17" hidden="0" customWidth="1"/>
    <x:col min="7" max="7" width="12" hidden="0" customWidth="1"/>
    <x:col min="8" max="8" width="71" hidden="0" customWidth="1"/>
  </x:cols>
  <x:sheetData>
    <x:row r="1">
      <x:c r="A1" s="23"/>
      <x:c r="B1" s="23"/>
      <x:c r="C1" s="113" t="str">
        <x:v>Shared deal inputs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Assumptions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Blue / amber = editable; grey = value used in the last Python run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Key / named range</x:v>
      </x:c>
      <x:c r="D7" s="7" t="str">
        <x:v>Current value</x:v>
      </x:c>
      <x:c r="E7" s="7" t="str">
        <x:v>Last run value</x:v>
      </x:c>
      <x:c r="F7" s="7" t="str">
        <x:v>Unit</x:v>
      </x:c>
      <x:c r="G7" s="7" t="str">
        <x:v>Changed</x:v>
      </x:c>
      <x:c r="H7" s="7" t="str">
        <x:v>Provenance / meaning</x:v>
      </x:c>
    </x:row>
    <x:row r="8" ht="40" customHeight="1">
      <x:c r="A8" s="23"/>
      <x:c r="B8" s="23"/>
      <x:c r="C8" s="33" t="str">
        <x:v>as_of_date</x:v>
      </x:c>
      <x:c r="D8" s="53" t="n">
        <x:v>46388</x:v>
      </x:c>
      <x:c r="E8" s="59" t="n">
        <x:v>46388</x:v>
      </x:c>
      <x:c r="F8" s="23" t="str">
        <x:v>date</x:v>
      </x:c>
      <x:c r="G8" s="23" t="n">
        <x:f>IF(D8=E8,0,1)</x:f>
        <x:v>0</x:v>
      </x:c>
      <x:c r="H8" s="33" t="str">
        <x:v>Supplied fictional portfolio Overview</x:v>
      </x:c>
    </x:row>
    <x:row r="9" ht="40" customHeight="1">
      <x:c r="A9" s="150"/>
      <x:c r="B9" s="150"/>
      <x:c r="C9" s="33" t="str">
        <x:v>legal_final_date</x:v>
      </x:c>
      <x:c r="D9" s="53" t="n">
        <x:v>50771</x:v>
      </x:c>
      <x:c r="E9" s="59" t="n">
        <x:v>50771</x:v>
      </x:c>
      <x:c r="F9" s="23" t="str">
        <x:v>date</x:v>
      </x:c>
      <x:c r="G9" s="23" t="n">
        <x:f>IF(D9=E9,0,1)</x:f>
        <x:v>0</x:v>
      </x:c>
      <x:c r="H9" s="33" t="str">
        <x:v>Fictional development assumption; review before use</x:v>
      </x:c>
    </x:row>
    <x:row r="10" ht="40" customHeight="1">
      <x:c r="A10" s="150"/>
      <x:c r="B10" s="150"/>
      <x:c r="C10" s="33" t="str">
        <x:v>currency</x:v>
      </x:c>
      <x:c r="D10" s="54" t="str">
        <x:v>USD</x:v>
      </x:c>
      <x:c r="E10" s="28" t="str">
        <x:v>USD</x:v>
      </x:c>
      <x:c r="F10" s="23" t="str">
        <x:v>text / flag</x:v>
      </x:c>
      <x:c r="G10" s="23" t="n">
        <x:f>IF(D10=E10,0,1)</x:f>
        <x:v>0</x:v>
      </x:c>
      <x:c r="H10" s="33" t="str">
        <x:v>Supplied fictional portfolio</x:v>
      </x:c>
    </x:row>
    <x:row r="11" ht="40" customHeight="1">
      <x:c r="A11" s="150"/>
      <x:c r="B11" s="150"/>
      <x:c r="C11" s="33" t="str">
        <x:v>benchmark</x:v>
      </x:c>
      <x:c r="D11" s="54" t="str">
        <x:v>SOFR</x:v>
      </x:c>
      <x:c r="E11" s="28" t="str">
        <x:v>SOFR</x:v>
      </x:c>
      <x:c r="F11" s="23" t="str">
        <x:v>text / flag</x:v>
      </x:c>
      <x:c r="G11" s="23" t="n">
        <x:f>IF(D11=E11,0,1)</x:f>
        <x:v>0</x:v>
      </x:c>
      <x:c r="H11" s="33" t="str">
        <x:v>Supplied fictional portfolio</x:v>
      </x:c>
    </x:row>
    <x:row r="12" ht="40" customHeight="1">
      <x:c r="A12" s="150"/>
      <x:c r="B12" s="150"/>
      <x:c r="C12" s="33" t="str">
        <x:v>base_senior_pct</x:v>
      </x:c>
      <x:c r="D12" s="55" t="n">
        <x:v>0.64</x:v>
      </x:c>
      <x:c r="E12" s="60" t="n">
        <x:v>0.64</x:v>
      </x:c>
      <x:c r="F12" s="23" t="str">
        <x:v>fraction</x:v>
      </x:c>
      <x:c r="G12" s="23" t="n">
        <x:f>IF(D12=E12,0,1)</x:f>
        <x:v>0</x:v>
      </x:c>
      <x:c r="H12" s="33" t="str">
        <x:v>User instruction</x:v>
      </x:c>
    </x:row>
    <x:row r="13" ht="40" customHeight="1">
      <x:c r="A13" s="150"/>
      <x:c r="B13" s="150"/>
      <x:c r="C13" s="33" t="str">
        <x:v>equity_pct</x:v>
      </x:c>
      <x:c r="D13" s="55" t="n">
        <x:v>0.1</x:v>
      </x:c>
      <x:c r="E13" s="60" t="n">
        <x:v>0.1</x:v>
      </x:c>
      <x:c r="F13" s="23" t="str">
        <x:v>fraction</x:v>
      </x:c>
      <x:c r="G13" s="23" t="n">
        <x:f>IF(D13=E13,0,1)</x:f>
        <x:v>0</x:v>
      </x:c>
      <x:c r="H13" s="33" t="str">
        <x:v>User confirmed 10%; junior residual</x:v>
      </x:c>
    </x:row>
    <x:row r="14" ht="40" customHeight="1">
      <x:c r="A14" s="150"/>
      <x:c r="B14" s="150"/>
      <x:c r="C14" s="33" t="str">
        <x:v>senior_coupon_bps</x:v>
      </x:c>
      <x:c r="D14" s="54" t="n">
        <x:v>140</x:v>
      </x:c>
      <x:c r="E14" s="28" t="n">
        <x:v>140</x:v>
      </x:c>
      <x:c r="F14" s="23" t="str">
        <x:v>bps / year</x:v>
      </x:c>
      <x:c r="G14" s="23" t="n">
        <x:f>IF(D14=E14,0,1)</x:f>
        <x:v>0</x:v>
      </x:c>
      <x:c r="H14" s="33" t="str">
        <x:v>Fictional development assumption; review before use</x:v>
      </x:c>
    </x:row>
    <x:row r="15" ht="40" customHeight="1">
      <x:c r="A15" s="150"/>
      <x:c r="B15" s="150"/>
      <x:c r="C15" s="33" t="str">
        <x:v>junior_coupon_bps</x:v>
      </x:c>
      <x:c r="D15" s="54" t="n">
        <x:v>550</x:v>
      </x:c>
      <x:c r="E15" s="28" t="n">
        <x:v>550</x:v>
      </x:c>
      <x:c r="F15" s="23" t="str">
        <x:v>bps / year</x:v>
      </x:c>
      <x:c r="G15" s="23" t="n">
        <x:f>IF(D15=E15,0,1)</x:f>
        <x:v>0</x:v>
      </x:c>
      <x:c r="H15" s="33" t="str">
        <x:v>Fictional development assumption; review before use</x:v>
      </x:c>
    </x:row>
    <x:row r="16" ht="40" customHeight="1">
      <x:c r="A16" s="150"/>
      <x:c r="B16" s="150"/>
      <x:c r="C16" s="33" t="str">
        <x:v>senior_floor_pct</x:v>
      </x:c>
      <x:c r="D16" s="55" t="n">
        <x:v>0</x:v>
      </x:c>
      <x:c r="E16" s="60" t="n">
        <x:v>0</x:v>
      </x:c>
      <x:c r="F16" s="23" t="str">
        <x:v>fraction</x:v>
      </x:c>
      <x:c r="G16" s="23" t="n">
        <x:f>IF(D16=E16,0,1)</x:f>
        <x:v>0</x:v>
      </x:c>
      <x:c r="H16" s="33" t="str">
        <x:v>Fictional development assumption; review before use</x:v>
      </x:c>
    </x:row>
    <x:row r="17" ht="40" customHeight="1">
      <x:c r="A17" s="150"/>
      <x:c r="B17" s="150"/>
      <x:c r="C17" s="33" t="str">
        <x:v>junior_floor_pct</x:v>
      </x:c>
      <x:c r="D17" s="55" t="n">
        <x:v>0</x:v>
      </x:c>
      <x:c r="E17" s="60" t="n">
        <x:v>0</x:v>
      </x:c>
      <x:c r="F17" s="23" t="str">
        <x:v>fraction</x:v>
      </x:c>
      <x:c r="G17" s="23" t="n">
        <x:f>IF(D17=E17,0,1)</x:f>
        <x:v>0</x:v>
      </x:c>
      <x:c r="H17" s="33" t="str">
        <x:v>Fictional development assumption; review before use</x:v>
      </x:c>
    </x:row>
    <x:row r="18" ht="40" customHeight="1">
      <x:c r="A18" s="150"/>
      <x:c r="B18" s="150"/>
      <x:c r="C18" s="33" t="str">
        <x:v>senior_fee_bps</x:v>
      </x:c>
      <x:c r="D18" s="54" t="n">
        <x:v>35</x:v>
      </x:c>
      <x:c r="E18" s="28" t="n">
        <x:v>35</x:v>
      </x:c>
      <x:c r="F18" s="23" t="str">
        <x:v>bps / year</x:v>
      </x:c>
      <x:c r="G18" s="23" t="n">
        <x:f>IF(D18=E18,0,1)</x:f>
        <x:v>0</x:v>
      </x:c>
      <x:c r="H18" s="33" t="str">
        <x:v>Fictional development assumption; review before use</x:v>
      </x:c>
    </x:row>
    <x:row r="19" ht="40" customHeight="1">
      <x:c r="A19" s="150"/>
      <x:c r="B19" s="150"/>
      <x:c r="C19" s="33" t="str">
        <x:v>fixed_fee_per_period</x:v>
      </x:c>
      <x:c r="D19" s="54" t="n">
        <x:v>0</x:v>
      </x:c>
      <x:c r="E19" s="28" t="n">
        <x:v>0</x:v>
      </x:c>
      <x:c r="F19" s="23" t="str">
        <x:v>USD/quarter</x:v>
      </x:c>
      <x:c r="G19" s="23" t="n">
        <x:f>IF(D19=E19,0,1)</x:f>
        <x:v>0</x:v>
      </x:c>
      <x:c r="H19" s="33" t="str">
        <x:v>Fictional development assumption; review before use</x:v>
      </x:c>
    </x:row>
    <x:row r="20" ht="40" customHeight="1">
      <x:c r="A20" s="150"/>
      <x:c r="B20" s="150"/>
      <x:c r="C20" s="33" t="str">
        <x:v>subordinated_fee_bps</x:v>
      </x:c>
      <x:c r="D20" s="54" t="n">
        <x:v>15</x:v>
      </x:c>
      <x:c r="E20" s="28" t="n">
        <x:v>15</x:v>
      </x:c>
      <x:c r="F20" s="23" t="str">
        <x:v>bps / year</x:v>
      </x:c>
      <x:c r="G20" s="23" t="n">
        <x:f>IF(D20=E20,0,1)</x:f>
        <x:v>0</x:v>
      </x:c>
      <x:c r="H20" s="33" t="str">
        <x:v>Fictional development assumption; review before use</x:v>
      </x:c>
    </x:row>
    <x:row r="21" ht="40" customHeight="1">
      <x:c r="A21" s="150"/>
      <x:c r="B21" s="150"/>
      <x:c r="C21" s="33" t="str">
        <x:v>oc_trigger</x:v>
      </x:c>
      <x:c r="D21" s="56" t="n">
        <x:v>1.25</x:v>
      </x:c>
      <x:c r="E21" s="61" t="n">
        <x:v>1.25</x:v>
      </x:c>
      <x:c r="F21" s="23" t="str">
        <x:v>multiple</x:v>
      </x:c>
      <x:c r="G21" s="23" t="n">
        <x:f>IF(D21=E21,0,1)</x:f>
        <x:v>0</x:v>
      </x:c>
      <x:c r="H21" s="33" t="str">
        <x:v>Fictional development assumption; review before use</x:v>
      </x:c>
    </x:row>
    <x:row r="22" ht="40" customHeight="1">
      <x:c r="A22" s="150"/>
      <x:c r="B22" s="150"/>
      <x:c r="C22" s="33" t="str">
        <x:v>ic_trigger</x:v>
      </x:c>
      <x:c r="D22" s="56" t="n">
        <x:v>1.2</x:v>
      </x:c>
      <x:c r="E22" s="61" t="n">
        <x:v>1.2</x:v>
      </x:c>
      <x:c r="F22" s="23" t="str">
        <x:v>multiple</x:v>
      </x:c>
      <x:c r="G22" s="23" t="n">
        <x:f>IF(D22=E22,0,1)</x:f>
        <x:v>0</x:v>
      </x:c>
      <x:c r="H22" s="33" t="str">
        <x:v>Fictional development assumption; review before use</x:v>
      </x:c>
    </x:row>
    <x:row r="23" ht="40" customHeight="1">
      <x:c r="A23" s="150"/>
      <x:c r="B23" s="150"/>
      <x:c r="C23" s="33" t="str">
        <x:v>recovery_lag_quarters</x:v>
      </x:c>
      <x:c r="D23" s="54" t="n">
        <x:v>4</x:v>
      </x:c>
      <x:c r="E23" s="28" t="n">
        <x:v>4</x:v>
      </x:c>
      <x:c r="F23" s="23" t="str">
        <x:v>quarters</x:v>
      </x:c>
      <x:c r="G23" s="23" t="n">
        <x:f>IF(D23=E23,0,1)</x:f>
        <x:v>0</x:v>
      </x:c>
      <x:c r="H23" s="33" t="str">
        <x:v>Fictional development assumption; review before use</x:v>
      </x:c>
    </x:row>
    <x:row r="24" ht="40" customHeight="1">
      <x:c r="A24" s="150"/>
      <x:c r="B24" s="150"/>
      <x:c r="C24" s="33" t="str">
        <x:v>annual_prepayment_rate</x:v>
      </x:c>
      <x:c r="D24" s="55" t="n">
        <x:v>0</x:v>
      </x:c>
      <x:c r="E24" s="60" t="n">
        <x:v>0</x:v>
      </x:c>
      <x:c r="F24" s="23" t="str">
        <x:v>fraction</x:v>
      </x:c>
      <x:c r="G24" s="23" t="n">
        <x:f>IF(D24=E24,0,1)</x:f>
        <x:v>0</x:v>
      </x:c>
      <x:c r="H24" s="33" t="str">
        <x:v>Fictional development assumption; review before use</x:v>
      </x:c>
    </x:row>
    <x:row r="25" ht="40" customHeight="1">
      <x:c r="A25" s="150"/>
      <x:c r="B25" s="150"/>
      <x:c r="C25" s="33" t="str">
        <x:v>reinvestment_end_date</x:v>
      </x:c>
      <x:c r="D25" s="53" t="n">
        <x:v>46388</x:v>
      </x:c>
      <x:c r="E25" s="59" t="n">
        <x:v>46388</x:v>
      </x:c>
      <x:c r="F25" s="23" t="str">
        <x:v>date</x:v>
      </x:c>
      <x:c r="G25" s="23" t="n">
        <x:f>IF(D25=E25,0,1)</x:f>
        <x:v>0</x:v>
      </x:c>
      <x:c r="H25" s="33" t="str">
        <x:v>Fictional development assumption; review before use</x:v>
      </x:c>
    </x:row>
    <x:row r="26" ht="40" customHeight="1">
      <x:c r="A26" s="150"/>
      <x:c r="B26" s="150"/>
      <x:c r="C26" s="33" t="str">
        <x:v>reinvestment_price</x:v>
      </x:c>
      <x:c r="D26" s="55" t="n">
        <x:v>1</x:v>
      </x:c>
      <x:c r="E26" s="60" t="n">
        <x:v>1</x:v>
      </x:c>
      <x:c r="F26" s="23" t="str">
        <x:v>fraction</x:v>
      </x:c>
      <x:c r="G26" s="23" t="n">
        <x:f>IF(D26=E26,0,1)</x:f>
        <x:v>0</x:v>
      </x:c>
      <x:c r="H26" s="33" t="str">
        <x:v>Fictional development assumption; review before use</x:v>
      </x:c>
    </x:row>
    <x:row r="27" ht="40" customHeight="1">
      <x:c r="A27" s="150"/>
      <x:c r="B27" s="150"/>
      <x:c r="C27" s="33" t="str">
        <x:v>reinvestment_spread_bps</x:v>
      </x:c>
      <x:c r="D27" s="54" t="n">
        <x:v>350</x:v>
      </x:c>
      <x:c r="E27" s="28" t="n">
        <x:v>350</x:v>
      </x:c>
      <x:c r="F27" s="23" t="str">
        <x:v>bps / year</x:v>
      </x:c>
      <x:c r="G27" s="23" t="n">
        <x:f>IF(D27=E27,0,1)</x:f>
        <x:v>0</x:v>
      </x:c>
      <x:c r="H27" s="33" t="str">
        <x:v>Fictional development assumption; review before use</x:v>
      </x:c>
    </x:row>
    <x:row r="28" ht="40" customHeight="1">
      <x:c r="A28" s="150"/>
      <x:c r="B28" s="150"/>
      <x:c r="C28" s="33" t="str">
        <x:v>reinvestment_recovery</x:v>
      </x:c>
      <x:c r="D28" s="55" t="n">
        <x:v>0.4</x:v>
      </x:c>
      <x:c r="E28" s="60" t="n">
        <x:v>0.4</x:v>
      </x:c>
      <x:c r="F28" s="23" t="str">
        <x:v>fraction</x:v>
      </x:c>
      <x:c r="G28" s="23" t="n">
        <x:f>IF(D28=E28,0,1)</x:f>
        <x:v>0</x:v>
      </x:c>
      <x:c r="H28" s="33" t="str">
        <x:v>Fictional development assumption; review before use</x:v>
      </x:c>
    </x:row>
    <x:row r="29" ht="40" customHeight="1">
      <x:c r="A29" s="150"/>
      <x:c r="B29" s="150"/>
      <x:c r="C29" s="33" t="str">
        <x:v>reinvestment_maturity_years</x:v>
      </x:c>
      <x:c r="D29" s="54" t="n">
        <x:v>5</x:v>
      </x:c>
      <x:c r="E29" s="28" t="n">
        <x:v>5</x:v>
      </x:c>
      <x:c r="F29" s="23" t="str">
        <x:v>years</x:v>
      </x:c>
      <x:c r="G29" s="23" t="n">
        <x:f>IF(D29=E29,0,1)</x:f>
        <x:v>0</x:v>
      </x:c>
      <x:c r="H29" s="33" t="str">
        <x:v>Fictional development assumption; review before use</x:v>
      </x:c>
    </x:row>
    <x:row r="30" ht="40" customHeight="1">
      <x:c r="A30" s="150"/>
      <x:c r="B30" s="150"/>
      <x:c r="C30" s="33" t="str">
        <x:v>reinvestment_floor_bps</x:v>
      </x:c>
      <x:c r="D30" s="54" t="n">
        <x:v>0</x:v>
      </x:c>
      <x:c r="E30" s="28" t="n">
        <x:v>0</x:v>
      </x:c>
      <x:c r="F30" s="23" t="str">
        <x:v>bps / year</x:v>
      </x:c>
      <x:c r="G30" s="23" t="n">
        <x:f>IF(D30=E30,0,1)</x:f>
        <x:v>0</x:v>
      </x:c>
      <x:c r="H30" s="33" t="str">
        <x:v>Fictional development assumption; review before use</x:v>
      </x:c>
    </x:row>
    <x:row r="31" ht="40" customHeight="1">
      <x:c r="A31" s="150"/>
      <x:c r="B31" s="150"/>
      <x:c r="C31" s="33" t="str">
        <x:v>principal_support_interest</x:v>
      </x:c>
      <x:c r="D31" s="57" t="b">
        <x:v>1</x:v>
      </x:c>
      <x:c r="E31" s="62" t="b">
        <x:v>1</x:v>
      </x:c>
      <x:c r="F31" s="23" t="str">
        <x:v>flag</x:v>
      </x:c>
      <x:c r="G31" s="23" t="n">
        <x:f>IF(D31=E31,0,1)</x:f>
        <x:v>0</x:v>
      </x:c>
      <x:c r="H31" s="33" t="str">
        <x:v>Fictional development assumption; review before use</x:v>
      </x:c>
    </x:row>
    <x:row r="32" ht="40" customHeight="1">
      <x:c r="A32" s="150"/>
      <x:c r="B32" s="150"/>
      <x:c r="C32" s="33" t="str">
        <x:v>final_liquidation_price</x:v>
      </x:c>
      <x:c r="D32" s="55" t="n">
        <x:v>1</x:v>
      </x:c>
      <x:c r="E32" s="60" t="n">
        <x:v>1</x:v>
      </x:c>
      <x:c r="F32" s="23" t="str">
        <x:v>fraction</x:v>
      </x:c>
      <x:c r="G32" s="23" t="n">
        <x:f>IF(D32=E32,0,1)</x:f>
        <x:v>0</x:v>
      </x:c>
      <x:c r="H32" s="33" t="str">
        <x:v>Fictional development assumption; review before use</x:v>
      </x:c>
    </x:row>
    <x:row r="33" ht="40" customHeight="1">
      <x:c r="A33" s="150"/>
      <x:c r="B33" s="150"/>
      <x:c r="C33" s="33" t="str">
        <x:v>oc_recovery_credit</x:v>
      </x:c>
      <x:c r="D33" s="55" t="n">
        <x:v>0</x:v>
      </x:c>
      <x:c r="E33" s="60" t="n">
        <x:v>0</x:v>
      </x:c>
      <x:c r="F33" s="23" t="str">
        <x:v>fraction</x:v>
      </x:c>
      <x:c r="G33" s="23" t="n">
        <x:f>IF(D33=E33,0,1)</x:f>
        <x:v>0</x:v>
      </x:c>
      <x:c r="H33" s="33" t="str">
        <x:v>Fictional development assumption; review before use</x:v>
      </x:c>
    </x:row>
    <x:row r="34" ht="40" customHeight="1">
      <x:c r="A34" s="150"/>
      <x:c r="B34" s="150"/>
      <x:c r="C34" s="33" t="str">
        <x:v>reinvestment_stop_on_trigger</x:v>
      </x:c>
      <x:c r="D34" s="58" t="b">
        <x:v>1</x:v>
      </x:c>
      <x:c r="E34" s="63" t="b">
        <x:v>1</x:v>
      </x:c>
      <x:c r="F34" s="23" t="str">
        <x:v>flag</x:v>
      </x:c>
      <x:c r="G34" s="23" t="n">
        <x:f>IF(D34=E34,0,1)</x:f>
        <x:v>0</x:v>
      </x:c>
      <x:c r="H34" s="33" t="str">
        <x:v>Fictional development assumption; review before use</x:v>
      </x:c>
    </x:row>
    <x:row r="35" ht="40" customHeight="1">
      <x:c r="A35" s="150"/>
      <x:c r="B35" s="150"/>
      <x:c r="C35" s="33" t="str">
        <x:v>base_default_rate</x:v>
      </x:c>
      <x:c r="D35" s="55" t="n">
        <x:v>0.3</x:v>
      </x:c>
      <x:c r="E35" s="60" t="n">
        <x:v>0.3</x:v>
      </x:c>
      <x:c r="F35" s="23" t="str">
        <x:v>fraction</x:v>
      </x:c>
      <x:c r="G35" s="23" t="n">
        <x:f>IF(D35=E35,0,1)</x:f>
        <x:v>0</x:v>
      </x:c>
      <x:c r="H35" s="33" t="str">
        <x:v>Fictional development assumption; review before use</x:v>
      </x:c>
    </x:row>
    <x:row r="36" ht="40" customHeight="1">
      <x:c r="A36" s="150"/>
      <x:c r="B36" s="150"/>
      <x:c r="C36" s="33" t="str">
        <x:v>base_scenario_id</x:v>
      </x:c>
      <x:c r="D36" s="54" t="str">
        <x:v>front_flat</x:v>
      </x:c>
      <x:c r="E36" s="28" t="str">
        <x:v>front_flat</x:v>
      </x:c>
      <x:c r="F36" s="23" t="str">
        <x:v>text / flag</x:v>
      </x:c>
      <x:c r="G36" s="23" t="n">
        <x:f>IF(D36=E36,0,1)</x:f>
        <x:v>0</x:v>
      </x:c>
      <x:c r="H36" s="33" t="str">
        <x:v>Fictional development assumption; review before use</x:v>
      </x:c>
    </x:row>
    <x:row r="37" ht="40" customHeight="1">
      <x:c r="A37" s="150"/>
      <x:c r="B37" s="150"/>
      <x:c r="C37" s="33" t="str">
        <x:v>agency_sdr_aaa</x:v>
      </x:c>
      <x:c r="D37" s="55"/>
      <x:c r="E37" s="60"/>
      <x:c r="F37" s="23" t="str">
        <x:v>fraction</x:v>
      </x:c>
      <x:c r="G37" s="23" t="n">
        <x:f>IF(D37=E37,0,1)</x:f>
        <x:v>0</x:v>
      </x:c>
      <x:c r="H37" s="33" t="str">
        <x:v>Unavailable</x:v>
      </x:c>
    </x:row>
    <x:row r="38" ht="86" customHeight="1">
      <x:c r="A38" s="150"/>
      <x:c r="B38" s="150"/>
      <x:c r="C38" s="33" t="str">
        <x:v>agency_sdr_source</x:v>
      </x:c>
      <x:c r="D38" s="149" t="str">
        <x:v>Not supplied; no CDO Evaluator SDR calculated</x:v>
      </x:c>
      <x:c r="E38" s="99" t="str">
        <x:v>Not supplied; no CDO Evaluator SDR calculated</x:v>
      </x:c>
      <x:c r="F38" s="23" t="str">
        <x:v>text / flag</x:v>
      </x:c>
      <x:c r="G38" s="23" t="n">
        <x:f>IF(D38=E38,0,1)</x:f>
        <x:v>0</x:v>
      </x:c>
      <x:c r="H38" s="33" t="str">
        <x:v>Fictional development assumption; review before use</x:v>
      </x:c>
    </x:row>
    <x:row r="39" ht="40" customHeight="1">
      <x:c r="A39" s="150"/>
      <x:c r="B39" s="150"/>
      <x:c r="C39" s="33" t="str">
        <x:v>scenario.front_flat.recovery_multiplier</x:v>
      </x:c>
      <x:c r="D39" s="56" t="n">
        <x:v>1</x:v>
      </x:c>
      <x:c r="E39" s="61" t="n">
        <x:v>1</x:v>
      </x:c>
      <x:c r="F39" s="23" t="str">
        <x:v>multiple</x:v>
      </x:c>
      <x:c r="G39" s="23" t="n">
        <x:f>IF(D39=E39,0,1)</x:f>
        <x:v>0</x:v>
      </x:c>
      <x:c r="H39" s="33" t="str">
        <x:v>Fictional front_flat scenario input; overrides the global setting</x:v>
      </x:c>
    </x:row>
    <x:row r="40" ht="40" customHeight="1">
      <x:c r="A40" s="150"/>
      <x:c r="B40" s="150"/>
      <x:c r="C40" s="33" t="str">
        <x:v>scenario.front_flat.annual_prepayment_rate</x:v>
      </x:c>
      <x:c r="D40" s="55" t="n">
        <x:v>0</x:v>
      </x:c>
      <x:c r="E40" s="60" t="n">
        <x:v>0</x:v>
      </x:c>
      <x:c r="F40" s="23" t="str">
        <x:v>fraction</x:v>
      </x:c>
      <x:c r="G40" s="23" t="n">
        <x:f>IF(D40=E40,0,1)</x:f>
        <x:v>0</x:v>
      </x:c>
      <x:c r="H40" s="33" t="str">
        <x:v>Fictional front_flat scenario input; overrides the global setting</x:v>
      </x:c>
    </x:row>
    <x:row r="41" ht="40" customHeight="1">
      <x:c r="A41" s="150"/>
      <x:c r="B41" s="150"/>
      <x:c r="C41" s="33" t="str">
        <x:v>scenario.front_low.recovery_multiplier</x:v>
      </x:c>
      <x:c r="D41" s="56" t="n">
        <x:v>1</x:v>
      </x:c>
      <x:c r="E41" s="61" t="n">
        <x:v>1</x:v>
      </x:c>
      <x:c r="F41" s="23" t="str">
        <x:v>multiple</x:v>
      </x:c>
      <x:c r="G41" s="23" t="n">
        <x:f>IF(D41=E41,0,1)</x:f>
        <x:v>0</x:v>
      </x:c>
      <x:c r="H41" s="33" t="str">
        <x:v>Fictional front_low scenario input; overrides the global setting</x:v>
      </x:c>
    </x:row>
    <x:row r="42" ht="40" customHeight="1">
      <x:c r="A42" s="150"/>
      <x:c r="B42" s="150"/>
      <x:c r="C42" s="33" t="str">
        <x:v>scenario.front_low.annual_prepayment_rate</x:v>
      </x:c>
      <x:c r="D42" s="55" t="n">
        <x:v>0</x:v>
      </x:c>
      <x:c r="E42" s="60" t="n">
        <x:v>0</x:v>
      </x:c>
      <x:c r="F42" s="23" t="str">
        <x:v>fraction</x:v>
      </x:c>
      <x:c r="G42" s="23" t="n">
        <x:f>IF(D42=E42,0,1)</x:f>
        <x:v>0</x:v>
      </x:c>
      <x:c r="H42" s="33" t="str">
        <x:v>Fictional front_low scenario input; overrides the global setting</x:v>
      </x:c>
    </x:row>
    <x:row r="43" ht="40" customHeight="1">
      <x:c r="A43" s="150"/>
      <x:c r="B43" s="150"/>
      <x:c r="C43" s="33" t="str">
        <x:v>scenario.front_high.recovery_multiplier</x:v>
      </x:c>
      <x:c r="D43" s="56" t="n">
        <x:v>1</x:v>
      </x:c>
      <x:c r="E43" s="61" t="n">
        <x:v>1</x:v>
      </x:c>
      <x:c r="F43" s="23" t="str">
        <x:v>multiple</x:v>
      </x:c>
      <x:c r="G43" s="23" t="n">
        <x:f>IF(D43=E43,0,1)</x:f>
        <x:v>0</x:v>
      </x:c>
      <x:c r="H43" s="33" t="str">
        <x:v>Fictional front_high scenario input; overrides the global setting</x:v>
      </x:c>
    </x:row>
    <x:row r="44" ht="40" customHeight="1">
      <x:c r="A44" s="150"/>
      <x:c r="B44" s="150"/>
      <x:c r="C44" s="33" t="str">
        <x:v>scenario.front_high.annual_prepayment_rate</x:v>
      </x:c>
      <x:c r="D44" s="55" t="n">
        <x:v>0</x:v>
      </x:c>
      <x:c r="E44" s="60" t="n">
        <x:v>0</x:v>
      </x:c>
      <x:c r="F44" s="23" t="str">
        <x:v>fraction</x:v>
      </x:c>
      <x:c r="G44" s="23" t="n">
        <x:f>IF(D44=E44,0,1)</x:f>
        <x:v>0</x:v>
      </x:c>
      <x:c r="H44" s="33" t="str">
        <x:v>Fictional front_high scenario input; overrides the global setting</x:v>
      </x:c>
    </x:row>
    <x:row r="45" ht="40" customHeight="1">
      <x:c r="A45" s="150"/>
      <x:c r="B45" s="150"/>
      <x:c r="C45" s="33" t="str">
        <x:v>scenario.middle_flat.recovery_multiplier</x:v>
      </x:c>
      <x:c r="D45" s="56" t="n">
        <x:v>1</x:v>
      </x:c>
      <x:c r="E45" s="61" t="n">
        <x:v>1</x:v>
      </x:c>
      <x:c r="F45" s="23" t="str">
        <x:v>multiple</x:v>
      </x:c>
      <x:c r="G45" s="23" t="n">
        <x:f>IF(D45=E45,0,1)</x:f>
        <x:v>0</x:v>
      </x:c>
      <x:c r="H45" s="33" t="str">
        <x:v>Fictional middle_flat scenario input; overrides the global setting</x:v>
      </x:c>
    </x:row>
    <x:row r="46" ht="40" customHeight="1">
      <x:c r="A46" s="150"/>
      <x:c r="B46" s="150"/>
      <x:c r="C46" s="33" t="str">
        <x:v>scenario.middle_flat.annual_prepayment_rate</x:v>
      </x:c>
      <x:c r="D46" s="55" t="n">
        <x:v>0</x:v>
      </x:c>
      <x:c r="E46" s="60" t="n">
        <x:v>0</x:v>
      </x:c>
      <x:c r="F46" s="23" t="str">
        <x:v>fraction</x:v>
      </x:c>
      <x:c r="G46" s="23" t="n">
        <x:f>IF(D46=E46,0,1)</x:f>
        <x:v>0</x:v>
      </x:c>
      <x:c r="H46" s="33" t="str">
        <x:v>Fictional middle_flat scenario input; overrides the global setting</x:v>
      </x:c>
    </x:row>
    <x:row r="47" ht="40" customHeight="1">
      <x:c r="A47" s="150"/>
      <x:c r="B47" s="150"/>
      <x:c r="C47" s="33" t="str">
        <x:v>scenario.middle_low.recovery_multiplier</x:v>
      </x:c>
      <x:c r="D47" s="56" t="n">
        <x:v>1</x:v>
      </x:c>
      <x:c r="E47" s="61" t="n">
        <x:v>1</x:v>
      </x:c>
      <x:c r="F47" s="23" t="str">
        <x:v>multiple</x:v>
      </x:c>
      <x:c r="G47" s="23" t="n">
        <x:f>IF(D47=E47,0,1)</x:f>
        <x:v>0</x:v>
      </x:c>
      <x:c r="H47" s="33" t="str">
        <x:v>Fictional middle_low scenario input; overrides the global setting</x:v>
      </x:c>
    </x:row>
    <x:row r="48" ht="40" customHeight="1">
      <x:c r="A48" s="150"/>
      <x:c r="B48" s="150"/>
      <x:c r="C48" s="33" t="str">
        <x:v>scenario.middle_low.annual_prepayment_rate</x:v>
      </x:c>
      <x:c r="D48" s="55" t="n">
        <x:v>0</x:v>
      </x:c>
      <x:c r="E48" s="60" t="n">
        <x:v>0</x:v>
      </x:c>
      <x:c r="F48" s="23" t="str">
        <x:v>fraction</x:v>
      </x:c>
      <x:c r="G48" s="23" t="n">
        <x:f>IF(D48=E48,0,1)</x:f>
        <x:v>0</x:v>
      </x:c>
      <x:c r="H48" s="33" t="str">
        <x:v>Fictional middle_low scenario input; overrides the global setting</x:v>
      </x:c>
    </x:row>
    <x:row r="49" ht="40" customHeight="1">
      <x:c r="A49" s="150"/>
      <x:c r="B49" s="150"/>
      <x:c r="C49" s="33" t="str">
        <x:v>scenario.middle_high.recovery_multiplier</x:v>
      </x:c>
      <x:c r="D49" s="56" t="n">
        <x:v>1</x:v>
      </x:c>
      <x:c r="E49" s="61" t="n">
        <x:v>1</x:v>
      </x:c>
      <x:c r="F49" s="23" t="str">
        <x:v>multiple</x:v>
      </x:c>
      <x:c r="G49" s="23" t="n">
        <x:f>IF(D49=E49,0,1)</x:f>
        <x:v>0</x:v>
      </x:c>
      <x:c r="H49" s="33" t="str">
        <x:v>Fictional middle_high scenario input; overrides the global setting</x:v>
      </x:c>
    </x:row>
    <x:row r="50" ht="40" customHeight="1">
      <x:c r="A50" s="150"/>
      <x:c r="B50" s="150"/>
      <x:c r="C50" s="33" t="str">
        <x:v>scenario.middle_high.annual_prepayment_rate</x:v>
      </x:c>
      <x:c r="D50" s="55" t="n">
        <x:v>0</x:v>
      </x:c>
      <x:c r="E50" s="60" t="n">
        <x:v>0</x:v>
      </x:c>
      <x:c r="F50" s="23" t="str">
        <x:v>fraction</x:v>
      </x:c>
      <x:c r="G50" s="23" t="n">
        <x:f>IF(D50=E50,0,1)</x:f>
        <x:v>0</x:v>
      </x:c>
      <x:c r="H50" s="33" t="str">
        <x:v>Fictional middle_high scenario input; overrides the global setting</x:v>
      </x:c>
    </x:row>
    <x:row r="51" ht="40" customHeight="1">
      <x:c r="A51" s="150"/>
      <x:c r="B51" s="150"/>
      <x:c r="C51" s="33" t="str">
        <x:v>scenario.back_flat.recovery_multiplier</x:v>
      </x:c>
      <x:c r="D51" s="56" t="n">
        <x:v>1</x:v>
      </x:c>
      <x:c r="E51" s="61" t="n">
        <x:v>1</x:v>
      </x:c>
      <x:c r="F51" s="23" t="str">
        <x:v>multiple</x:v>
      </x:c>
      <x:c r="G51" s="23" t="n">
        <x:f>IF(D51=E51,0,1)</x:f>
        <x:v>0</x:v>
      </x:c>
      <x:c r="H51" s="33" t="str">
        <x:v>Fictional back_flat scenario input; overrides the global setting</x:v>
      </x:c>
    </x:row>
    <x:row r="52" ht="40" customHeight="1">
      <x:c r="A52" s="150"/>
      <x:c r="B52" s="150"/>
      <x:c r="C52" s="33" t="str">
        <x:v>scenario.back_flat.annual_prepayment_rate</x:v>
      </x:c>
      <x:c r="D52" s="55" t="n">
        <x:v>0</x:v>
      </x:c>
      <x:c r="E52" s="60" t="n">
        <x:v>0</x:v>
      </x:c>
      <x:c r="F52" s="23" t="str">
        <x:v>fraction</x:v>
      </x:c>
      <x:c r="G52" s="23" t="n">
        <x:f>IF(D52=E52,0,1)</x:f>
        <x:v>0</x:v>
      </x:c>
      <x:c r="H52" s="33" t="str">
        <x:v>Fictional back_flat scenario input; overrides the global setting</x:v>
      </x:c>
    </x:row>
    <x:row r="53" ht="40" customHeight="1">
      <x:c r="A53" s="150"/>
      <x:c r="B53" s="150"/>
      <x:c r="C53" s="33" t="str">
        <x:v>scenario.back_low.recovery_multiplier</x:v>
      </x:c>
      <x:c r="D53" s="56" t="n">
        <x:v>1</x:v>
      </x:c>
      <x:c r="E53" s="61" t="n">
        <x:v>1</x:v>
      </x:c>
      <x:c r="F53" s="23" t="str">
        <x:v>multiple</x:v>
      </x:c>
      <x:c r="G53" s="23" t="n">
        <x:f>IF(D53=E53,0,1)</x:f>
        <x:v>0</x:v>
      </x:c>
      <x:c r="H53" s="33" t="str">
        <x:v>Fictional back_low scenario input; overrides the global setting</x:v>
      </x:c>
    </x:row>
    <x:row r="54" ht="40" customHeight="1">
      <x:c r="A54" s="150"/>
      <x:c r="B54" s="150"/>
      <x:c r="C54" s="33" t="str">
        <x:v>scenario.back_low.annual_prepayment_rate</x:v>
      </x:c>
      <x:c r="D54" s="55" t="n">
        <x:v>0</x:v>
      </x:c>
      <x:c r="E54" s="60" t="n">
        <x:v>0</x:v>
      </x:c>
      <x:c r="F54" s="23" t="str">
        <x:v>fraction</x:v>
      </x:c>
      <x:c r="G54" s="23" t="n">
        <x:f>IF(D54=E54,0,1)</x:f>
        <x:v>0</x:v>
      </x:c>
      <x:c r="H54" s="33" t="str">
        <x:v>Fictional back_low scenario input; overrides the global setting</x:v>
      </x:c>
    </x:row>
    <x:row r="55" ht="40" customHeight="1">
      <x:c r="A55" s="150"/>
      <x:c r="B55" s="150"/>
      <x:c r="C55" s="33" t="str">
        <x:v>scenario.back_high.recovery_multiplier</x:v>
      </x:c>
      <x:c r="D55" s="56" t="n">
        <x:v>1</x:v>
      </x:c>
      <x:c r="E55" s="61" t="n">
        <x:v>1</x:v>
      </x:c>
      <x:c r="F55" s="23" t="str">
        <x:v>multiple</x:v>
      </x:c>
      <x:c r="G55" s="23" t="n">
        <x:f>IF(D55=E55,0,1)</x:f>
        <x:v>0</x:v>
      </x:c>
      <x:c r="H55" s="33" t="str">
        <x:v>Fictional back_high scenario input; overrides the global setting</x:v>
      </x:c>
    </x:row>
    <x:row r="56" ht="40" customHeight="1">
      <x:c r="A56" s="150"/>
      <x:c r="B56" s="150"/>
      <x:c r="C56" s="33" t="str">
        <x:v>scenario.back_high.annual_prepayment_rate</x:v>
      </x:c>
      <x:c r="D56" s="55" t="n">
        <x:v>0</x:v>
      </x:c>
      <x:c r="E56" s="60" t="n">
        <x:v>0</x:v>
      </x:c>
      <x:c r="F56" s="23" t="str">
        <x:v>fraction</x:v>
      </x:c>
      <x:c r="G56" s="23" t="n">
        <x:f>IF(D56=E56,0,1)</x:f>
        <x:v>0</x:v>
      </x:c>
      <x:c r="H56" s="33" t="str">
        <x:v>Fictional back_high scenario input; overrides the global setting</x:v>
      </x:c>
    </x:row>
    <x:row r="57" ht="40" customHeight="1">
      <x:c r="A57" s="150"/>
      <x:c r="B57" s="150"/>
      <x:c r="C57" s="33" t="str">
        <x:v>scenario.level_flat.recovery_multiplier</x:v>
      </x:c>
      <x:c r="D57" s="56" t="n">
        <x:v>1</x:v>
      </x:c>
      <x:c r="E57" s="61" t="n">
        <x:v>1</x:v>
      </x:c>
      <x:c r="F57" s="23" t="str">
        <x:v>multiple</x:v>
      </x:c>
      <x:c r="G57" s="23" t="n">
        <x:f>IF(D57=E57,0,1)</x:f>
        <x:v>0</x:v>
      </x:c>
      <x:c r="H57" s="33" t="str">
        <x:v>Fictional level_flat scenario input; overrides the global setting</x:v>
      </x:c>
    </x:row>
    <x:row r="58" ht="40" customHeight="1">
      <x:c r="A58" s="150"/>
      <x:c r="B58" s="150"/>
      <x:c r="C58" s="33" t="str">
        <x:v>scenario.level_flat.annual_prepayment_rate</x:v>
      </x:c>
      <x:c r="D58" s="55" t="n">
        <x:v>0</x:v>
      </x:c>
      <x:c r="E58" s="60" t="n">
        <x:v>0</x:v>
      </x:c>
      <x:c r="F58" s="23" t="str">
        <x:v>fraction</x:v>
      </x:c>
      <x:c r="G58" s="23" t="n">
        <x:f>IF(D58=E58,0,1)</x:f>
        <x:v>0</x:v>
      </x:c>
      <x:c r="H58" s="33" t="str">
        <x:v>Fictional level_flat scenario input; overrides the global setting</x:v>
      </x:c>
    </x:row>
    <x:row r="59" ht="40" customHeight="1">
      <x:c r="A59" s="150"/>
      <x:c r="B59" s="150"/>
      <x:c r="C59" s="33" t="str">
        <x:v>scenario.level_low.recovery_multiplier</x:v>
      </x:c>
      <x:c r="D59" s="56" t="n">
        <x:v>1</x:v>
      </x:c>
      <x:c r="E59" s="61" t="n">
        <x:v>1</x:v>
      </x:c>
      <x:c r="F59" s="23" t="str">
        <x:v>multiple</x:v>
      </x:c>
      <x:c r="G59" s="23" t="n">
        <x:f>IF(D59=E59,0,1)</x:f>
        <x:v>0</x:v>
      </x:c>
      <x:c r="H59" s="33" t="str">
        <x:v>Fictional level_low scenario input; overrides the global setting</x:v>
      </x:c>
    </x:row>
    <x:row r="60" ht="40" customHeight="1">
      <x:c r="A60" s="150"/>
      <x:c r="B60" s="150"/>
      <x:c r="C60" s="33" t="str">
        <x:v>scenario.level_low.annual_prepayment_rate</x:v>
      </x:c>
      <x:c r="D60" s="55" t="n">
        <x:v>0</x:v>
      </x:c>
      <x:c r="E60" s="60" t="n">
        <x:v>0</x:v>
      </x:c>
      <x:c r="F60" s="23" t="str">
        <x:v>fraction</x:v>
      </x:c>
      <x:c r="G60" s="23" t="n">
        <x:f>IF(D60=E60,0,1)</x:f>
        <x:v>0</x:v>
      </x:c>
      <x:c r="H60" s="33" t="str">
        <x:v>Fictional level_low scenario input; overrides the global setting</x:v>
      </x:c>
    </x:row>
    <x:row r="61" ht="40" customHeight="1">
      <x:c r="A61" s="150"/>
      <x:c r="B61" s="150"/>
      <x:c r="C61" s="33" t="str">
        <x:v>scenario.level_high.recovery_multiplier</x:v>
      </x:c>
      <x:c r="D61" s="56" t="n">
        <x:v>1</x:v>
      </x:c>
      <x:c r="E61" s="61" t="n">
        <x:v>1</x:v>
      </x:c>
      <x:c r="F61" s="23" t="str">
        <x:v>multiple</x:v>
      </x:c>
      <x:c r="G61" s="23" t="n">
        <x:f>IF(D61=E61,0,1)</x:f>
        <x:v>0</x:v>
      </x:c>
      <x:c r="H61" s="33" t="str">
        <x:v>Fictional level_high scenario input; overrides the global setting</x:v>
      </x:c>
    </x:row>
    <x:row r="62" ht="40" customHeight="1">
      <x:c r="A62" s="150"/>
      <x:c r="B62" s="150"/>
      <x:c r="C62" s="33" t="str">
        <x:v>scenario.level_high.annual_prepayment_rate</x:v>
      </x:c>
      <x:c r="D62" s="55" t="n">
        <x:v>0</x:v>
      </x:c>
      <x:c r="E62" s="60" t="n">
        <x:v>0</x:v>
      </x:c>
      <x:c r="F62" s="23" t="str">
        <x:v>fraction</x:v>
      </x:c>
      <x:c r="G62" s="23" t="n">
        <x:f>IF(D62=E62,0,1)</x:f>
        <x:v>0</x:v>
      </x:c>
      <x:c r="H62" s="33" t="str">
        <x:v>Fictional level_high scenario input; overrides the global setting</x:v>
      </x:c>
    </x:row>
  </x:sheetData>
  <x:dataValidations count="1">
    <x:dataValidation type="decimal" operator="between" sqref="D12">
      <x:formula1>0.6</x:formula1>
      <x:formula2>0.7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23" hidden="0" customWidth="1"/>
    <x:col min="5" max="5" width="16" hidden="0" customWidth="1"/>
    <x:col min="6" max="6" width="16" hidden="0" customWidth="1"/>
    <x:col min="7" max="7" width="40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3"/>
      <x:c r="B1" s="23"/>
      <x:c r="C1" s="112" t="str">
        <x:v>Shared portfolio / S&amp;P factors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</x:row>
    <x:row r="2">
      <x:c r="A2" s="23"/>
      <x:c r="B2" s="23"/>
      <x:c r="C2" s="24" t="str">
        <x:v>Portfolio Calculations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22" customHeight="1">
      <x:c r="A3" s="23"/>
      <x:c r="B3" s="23"/>
      <x:c r="C3" s="26" t="str">
        <x:v>USD, full units. Weighted spread uses floating par only. Term is bullet maturity, not amortising WAL.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</x:row>
    <x:row r="7" ht="38" customHeight="1">
      <x:c r="A7" s="23"/>
      <x:c r="B7" s="23"/>
      <x:c r="C7" s="7" t="str">
        <x:v>Metric</x:v>
      </x:c>
      <x:c r="D7" s="7" t="str">
        <x:v>Excel formula result</x:v>
      </x:c>
      <x:c r="E7" s="23"/>
      <x:c r="F7" s="23"/>
      <x:c r="G7" s="7" t="str">
        <x:v>Industry</x:v>
      </x:c>
      <x:c r="H7" s="7" t="str">
        <x:v>Par</x:v>
      </x:c>
      <x:c r="I7" s="7" t="str">
        <x:v>Share</x:v>
      </x:c>
      <x:c r="J7" s="23"/>
      <x:c r="K7" s="23"/>
      <x:c r="L7" s="23"/>
      <x:c r="M7" s="23"/>
      <x:c r="N7" s="23"/>
      <x:c r="O7" s="23"/>
      <x:c r="P7" s="23"/>
      <x:c r="Q7" s="23"/>
    </x:row>
    <x:row r="8" ht="29" customHeight="1">
      <x:c r="A8" s="23"/>
      <x:c r="B8" s="23"/>
      <x:c r="C8" s="23" t="str">
        <x:v>Portfolio par</x:v>
      </x:c>
      <x:c r="D8" s="66" t="n">
        <x:f>SUM('Portfolio Inputs'!D8:D59)</x:f>
        <x:v>55744000</x:v>
      </x:c>
      <x:c r="E8" s="23"/>
      <x:c r="F8" s="23"/>
      <x:c r="G8" s="33" t="str">
        <x:v>Industrial Conglomerates</x:v>
      </x:c>
      <x:c r="H8" s="66" t="n">
        <x:f>SUMIF('Portfolio Inputs'!F8:F59,G8,'Portfolio Inputs'!D8:D59)</x:f>
        <x:v>5910000</x:v>
      </x:c>
      <x:c r="I8" s="75" t="n">
        <x:f>IF(Portfolio_Par&gt;0,H8/Portfolio_Par,"")</x:f>
        <x:v>0.10602037887485649</x:v>
      </x:c>
      <x:c r="J8" s="23"/>
      <x:c r="K8" s="23"/>
      <x:c r="L8" s="23"/>
      <x:c r="M8" s="23"/>
      <x:c r="N8" s="23"/>
      <x:c r="O8" s="23"/>
      <x:c r="P8" s="23"/>
      <x:c r="Q8" s="23"/>
    </x:row>
    <x:row r="9" ht="29" customHeight="1">
      <x:c r="A9" s="150"/>
      <x:c r="B9" s="150"/>
      <x:c r="C9" s="150" t="str">
        <x:v>Facilities</x:v>
      </x:c>
      <x:c r="D9" s="167" t="n">
        <x:f>COUNTA('Portfolio Inputs'!A8:A59)</x:f>
        <x:v>52</x:v>
      </x:c>
      <x:c r="E9" s="150"/>
      <x:c r="F9" s="150"/>
      <x:c r="G9" s="154" t="str">
        <x:v>Aerospace &amp; Defense</x:v>
      </x:c>
      <x:c r="H9" s="66" t="n">
        <x:f>SUMIF('Portfolio Inputs'!F8:F59,G9,'Portfolio Inputs'!D8:D59)</x:f>
        <x:v>5358000</x:v>
      </x:c>
      <x:c r="I9" s="75" t="n">
        <x:f>IF(Portfolio_Par&gt;0,H9/Portfolio_Par,"")</x:f>
        <x:v>0.09611796785304248</x:v>
      </x:c>
      <x:c r="J9" s="150"/>
      <x:c r="K9" s="150"/>
      <x:c r="L9" s="150"/>
      <x:c r="M9" s="150"/>
      <x:c r="N9" s="150"/>
      <x:c r="O9" s="150"/>
      <x:c r="P9" s="150"/>
      <x:c r="Q9" s="150"/>
    </x:row>
    <x:row r="10" ht="29" customHeight="1">
      <x:c r="A10" s="150"/>
      <x:c r="B10" s="150"/>
      <x:c r="C10" s="150" t="str">
        <x:v>Obligors</x:v>
      </x:c>
      <x:c r="D10" s="167" t="n">
        <x:f>COUNTA('Obligor Calc'!A8:A57)</x:f>
        <x:v>50</x:v>
      </x:c>
      <x:c r="E10" s="150"/>
      <x:c r="F10" s="150"/>
      <x:c r="G10" s="154" t="str">
        <x:v>Hotels, Restaurants &amp; Leisure</x:v>
      </x:c>
      <x:c r="H10" s="66" t="n">
        <x:f>SUMIF('Portfolio Inputs'!F8:F59,G10,'Portfolio Inputs'!D8:D59)</x:f>
        <x:v>3546000</x:v>
      </x:c>
      <x:c r="I10" s="75" t="n">
        <x:f>IF(Portfolio_Par&gt;0,H10/Portfolio_Par,"")</x:f>
        <x:v>0.0636122273249139</x:v>
      </x:c>
      <x:c r="J10" s="150"/>
      <x:c r="K10" s="150"/>
      <x:c r="L10" s="150"/>
      <x:c r="M10" s="150"/>
      <x:c r="N10" s="150"/>
      <x:c r="O10" s="150"/>
      <x:c r="P10" s="150"/>
      <x:c r="Q10" s="150"/>
    </x:row>
    <x:row r="11" ht="29" customHeight="1">
      <x:c r="A11" s="150"/>
      <x:c r="B11" s="150"/>
      <x:c r="C11" s="150" t="str">
        <x:v>Floating par</x:v>
      </x:c>
      <x:c r="D11" s="66" t="n">
        <x:f>SUMIF('Portfolio Inputs'!I8:I59,"Floating",'Portfolio Inputs'!D8:D59)</x:f>
        <x:v>55114000</x:v>
      </x:c>
      <x:c r="E11" s="150"/>
      <x:c r="F11" s="150"/>
      <x:c r="G11" s="154" t="str">
        <x:v>Semiconductors &amp; Semiconductor Equipment</x:v>
      </x:c>
      <x:c r="H11" s="66" t="n">
        <x:f>SUMIF('Portfolio Inputs'!F8:F59,G11,'Portfolio Inputs'!D8:D59)</x:f>
        <x:v>3546000</x:v>
      </x:c>
      <x:c r="I11" s="75" t="n">
        <x:f>IF(Portfolio_Par&gt;0,H11/Portfolio_Par,"")</x:f>
        <x:v>0.0636122273249139</x:v>
      </x:c>
      <x:c r="J11" s="150"/>
      <x:c r="K11" s="150"/>
      <x:c r="L11" s="150"/>
      <x:c r="M11" s="150"/>
      <x:c r="N11" s="150"/>
      <x:c r="O11" s="150"/>
      <x:c r="P11" s="150"/>
      <x:c r="Q11" s="150"/>
    </x:row>
    <x:row r="12" ht="29" customHeight="1">
      <x:c r="A12" s="150"/>
      <x:c r="B12" s="150"/>
      <x:c r="C12" s="150" t="str">
        <x:v>Floating share</x:v>
      </x:c>
      <x:c r="D12" s="78" t="n">
        <x:f>IF(D8&gt;0,D11/D8,"")</x:f>
        <x:v>0.9886983352468427</x:v>
      </x:c>
      <x:c r="E12" s="150"/>
      <x:c r="F12" s="150"/>
      <x:c r="G12" s="154" t="str">
        <x:v>Financial services</x:v>
      </x:c>
      <x:c r="H12" s="66" t="n">
        <x:f>SUMIF('Portfolio Inputs'!F8:F59,G12,'Portfolio Inputs'!D8:D59)</x:f>
        <x:v>2994000</x:v>
      </x:c>
      <x:c r="I12" s="75" t="n">
        <x:f>IF(Portfolio_Par&gt;0,H12/Portfolio_Par,"")</x:f>
        <x:v>0.053709816303099886</x:v>
      </x:c>
      <x:c r="J12" s="150"/>
      <x:c r="K12" s="150"/>
      <x:c r="L12" s="150"/>
      <x:c r="M12" s="150"/>
      <x:c r="N12" s="150"/>
      <x:c r="O12" s="150"/>
      <x:c r="P12" s="150"/>
      <x:c r="Q12" s="150"/>
    </x:row>
    <x:row r="13" ht="29" customHeight="1">
      <x:c r="A13" s="150"/>
      <x:c r="B13" s="150"/>
      <x:c r="C13" s="150" t="str">
        <x:v>Weighted spread (bps)</x:v>
      </x:c>
      <x:c r="D13" s="169" t="n">
        <x:f>IF(D11&gt;0,SUM('Portfolio Inputs'!U8:U59)/D11,"")</x:f>
        <x:v>290.20031208041513</x:v>
      </x:c>
      <x:c r="E13" s="150"/>
      <x:c r="F13" s="150"/>
      <x:c r="G13" s="154" t="str">
        <x:v>Healthcare Providers &amp; Services</x:v>
      </x:c>
      <x:c r="H13" s="66" t="n">
        <x:f>SUMIF('Portfolio Inputs'!F8:F59,G13,'Portfolio Inputs'!D8:D59)</x:f>
        <x:v>2364000</x:v>
      </x:c>
      <x:c r="I13" s="75" t="n">
        <x:f>IF(Portfolio_Par&gt;0,H13/Portfolio_Par,"")</x:f>
        <x:v>0.042408151549942597</x:v>
      </x:c>
      <x:c r="J13" s="150"/>
      <x:c r="K13" s="150"/>
      <x:c r="L13" s="150"/>
      <x:c r="M13" s="150"/>
      <x:c r="N13" s="150"/>
      <x:c r="O13" s="150"/>
      <x:c r="P13" s="150"/>
      <x:c r="Q13" s="150"/>
    </x:row>
    <x:row r="14" ht="29" customHeight="1">
      <x:c r="A14" s="150"/>
      <x:c r="B14" s="150"/>
      <x:c r="C14" s="150" t="str">
        <x:v>Weighted stressed recovery</x:v>
      </x:c>
      <x:c r="D14" s="75" t="n">
        <x:f>IF(D8&gt;0,SUM('Portfolio Inputs'!V8:V59)/D8,"")</x:f>
        <x:v>0.38710336538461537</x:v>
      </x:c>
      <x:c r="E14" s="150"/>
      <x:c r="F14" s="150"/>
      <x:c r="G14" s="154" t="str">
        <x:v>Building Products</x:v>
      </x:c>
      <x:c r="H14" s="66" t="n">
        <x:f>SUMIF('Portfolio Inputs'!F8:F59,G14,'Portfolio Inputs'!D8:D59)</x:f>
        <x:v>2364000</x:v>
      </x:c>
      <x:c r="I14" s="75" t="n">
        <x:f>IF(Portfolio_Par&gt;0,H14/Portfolio_Par,"")</x:f>
        <x:v>0.042408151549942597</x:v>
      </x:c>
      <x:c r="J14" s="150"/>
      <x:c r="K14" s="150"/>
      <x:c r="L14" s="150"/>
      <x:c r="M14" s="150"/>
      <x:c r="N14" s="150"/>
      <x:c r="O14" s="150"/>
      <x:c r="P14" s="150"/>
      <x:c r="Q14" s="150"/>
    </x:row>
    <x:row r="15" ht="29" customHeight="1">
      <x:c r="A15" s="150"/>
      <x:c r="B15" s="150"/>
      <x:c r="C15" s="150" t="str">
        <x:v>Weighted remaining term (years)</x:v>
      </x:c>
      <x:c r="D15" s="170" t="n">
        <x:f>IF(D8&gt;0,SUMPRODUCT('Portfolio Inputs'!D8:D59,'Portfolio Inputs'!T8:T59)/D8,"")</x:f>
        <x:v>5.223321082158313</x:v>
      </x:c>
      <x:c r="E15" s="150"/>
      <x:c r="F15" s="150"/>
      <x:c r="G15" s="154" t="str">
        <x:v>Diversified Telecommunication Services</x:v>
      </x:c>
      <x:c r="H15" s="66" t="n">
        <x:f>SUMIF('Portfolio Inputs'!F8:F59,G15,'Portfolio Inputs'!D8:D59)</x:f>
        <x:v>2364000</x:v>
      </x:c>
      <x:c r="I15" s="75" t="n">
        <x:f>IF(Portfolio_Par&gt;0,H15/Portfolio_Par,"")</x:f>
        <x:v>0.042408151549942597</x:v>
      </x:c>
      <x:c r="J15" s="150"/>
      <x:c r="K15" s="150"/>
      <x:c r="L15" s="150"/>
      <x:c r="M15" s="150"/>
      <x:c r="N15" s="150"/>
      <x:c r="O15" s="150"/>
      <x:c r="P15" s="150"/>
      <x:c r="Q15" s="150"/>
    </x:row>
    <x:row r="16" ht="29" customHeight="1">
      <x:c r="A16" s="150"/>
      <x:c r="B16" s="150"/>
      <x:c r="C16" s="150" t="str">
        <x:v>Weighted price / 100</x:v>
      </x:c>
      <x:c r="D16" s="170" t="n">
        <x:f>IF(D8&gt;0,SUMPRODUCT('Portfolio Inputs'!D8:D59,'Portfolio Inputs'!O8:O59)/D8,"")</x:f>
        <x:v>99.54154258754305</x:v>
      </x:c>
      <x:c r="E16" s="150"/>
      <x:c r="F16" s="150"/>
      <x:c r="G16" s="154" t="str">
        <x:v>Commercial Services &amp; Supplies</x:v>
      </x:c>
      <x:c r="H16" s="66" t="n">
        <x:f>SUMIF('Portfolio Inputs'!F8:F59,G16,'Portfolio Inputs'!D8:D59)</x:f>
        <x:v>2364000</x:v>
      </x:c>
      <x:c r="I16" s="75" t="n">
        <x:f>IF(Portfolio_Par&gt;0,H16/Portfolio_Par,"")</x:f>
        <x:v>0.042408151549942597</x:v>
      </x:c>
      <x:c r="J16" s="150"/>
      <x:c r="K16" s="150"/>
      <x:c r="L16" s="150"/>
      <x:c r="M16" s="150"/>
      <x:c r="N16" s="150"/>
      <x:c r="O16" s="150"/>
      <x:c r="P16" s="150"/>
      <x:c r="Q16" s="150"/>
    </x:row>
    <x:row r="17" ht="29" customHeight="1">
      <x:c r="A17" s="150"/>
      <x:c r="B17" s="150"/>
      <x:c r="C17" s="150" t="str">
        <x:v>Largest obligor share</x:v>
      </x:c>
      <x:c r="D17" s="75" t="n">
        <x:f>IF(D8&gt;0,MAX('Obligor Calc'!H8:H57),"")</x:f>
        <x:v>0.021204075774971298</x:v>
      </x:c>
      <x:c r="E17" s="150"/>
      <x:c r="F17" s="150"/>
      <x:c r="G17" s="154" t="str">
        <x:v>Banks</x:v>
      </x:c>
      <x:c r="H17" s="66" t="n">
        <x:f>SUMIF('Portfolio Inputs'!F8:F59,G17,'Portfolio Inputs'!D8:D59)</x:f>
        <x:v>2364000</x:v>
      </x:c>
      <x:c r="I17" s="75" t="n">
        <x:f>IF(Portfolio_Par&gt;0,H17/Portfolio_Par,"")</x:f>
        <x:v>0.042408151549942597</x:v>
      </x:c>
      <x:c r="J17" s="150"/>
      <x:c r="K17" s="150"/>
      <x:c r="L17" s="150"/>
      <x:c r="M17" s="150"/>
      <x:c r="N17" s="150"/>
      <x:c r="O17" s="150"/>
      <x:c r="P17" s="150"/>
      <x:c r="Q17" s="150"/>
    </x:row>
    <x:row r="18" ht="29" customHeight="1">
      <x:c r="A18" s="150"/>
      <x:c r="B18" s="150"/>
      <x:c r="C18" s="150" t="str">
        <x:v>Obligor HHI</x:v>
      </x:c>
      <x:c r="D18" s="173" t="n">
        <x:f>IF(D8&gt;0,SUM('Obligor Calc'!I8:I57),"")</x:f>
        <x:v>0.020532111964848988</x:v>
      </x:c>
      <x:c r="E18" s="150"/>
      <x:c r="F18" s="150"/>
      <x:c r="G18" s="154" t="str">
        <x:v>Healthcare Technology</x:v>
      </x:c>
      <x:c r="H18" s="66" t="n">
        <x:f>SUMIF('Portfolio Inputs'!F8:F59,G18,'Portfolio Inputs'!D8:D59)</x:f>
        <x:v>2364000</x:v>
      </x:c>
      <x:c r="I18" s="75" t="n">
        <x:f>IF(Portfolio_Par&gt;0,H18/Portfolio_Par,"")</x:f>
        <x:v>0.042408151549942597</x:v>
      </x:c>
      <x:c r="J18" s="150"/>
      <x:c r="K18" s="150"/>
      <x:c r="L18" s="150"/>
      <x:c r="M18" s="150"/>
      <x:c r="N18" s="150"/>
      <x:c r="O18" s="150"/>
      <x:c r="P18" s="150"/>
      <x:c r="Q18" s="150"/>
    </x:row>
    <x:row r="19" ht="29" customHeight="1">
      <x:c r="A19" s="150"/>
      <x:c r="B19" s="150"/>
      <x:c r="C19" s="150" t="str">
        <x:v>Effective obligors (1 / HHI)</x:v>
      </x:c>
      <x:c r="D19" s="174" t="n">
        <x:f>IF(D18&gt;0,1/D18,"")</x:f>
        <x:v>48.70419573553864</x:v>
      </x:c>
      <x:c r="E19" s="150"/>
      <x:c r="F19" s="150"/>
      <x:c r="G19" s="154" t="str">
        <x:v>IT Services</x:v>
      </x:c>
      <x:c r="H19" s="66" t="n">
        <x:f>SUMIF('Portfolio Inputs'!F8:F59,G19,'Portfolio Inputs'!D8:D59)</x:f>
        <x:v>1768000</x:v>
      </x:c>
      <x:c r="I19" s="75" t="n">
        <x:f>IF(Portfolio_Par&gt;0,H19/Portfolio_Par,"")</x:f>
        <x:v>0.03171641791044776</x:v>
      </x:c>
      <x:c r="J19" s="150"/>
      <x:c r="K19" s="150"/>
      <x:c r="L19" s="150"/>
      <x:c r="M19" s="150"/>
      <x:c r="N19" s="150"/>
      <x:c r="O19" s="150"/>
      <x:c r="P19" s="150"/>
      <x:c r="Q19" s="150"/>
    </x:row>
    <x:row r="20" ht="29" customHeight="1">
      <x:c r="A20" s="150"/>
      <x:c r="B20" s="150"/>
      <x:c r="C20" s="150" t="str">
        <x:v>CCC category share</x:v>
      </x:c>
      <x:c r="D20" s="75" t="n">
        <x:f>IF(D8&gt;0,SUMIF('Portfolio Inputs'!E8:E59,"CCC*",'Portfolio Inputs'!D8:D59)/D8,"")</x:f>
        <x:v>0</x:v>
      </x:c>
      <x:c r="E20" s="150"/>
      <x:c r="F20" s="150"/>
      <x:c r="G20" s="154" t="str">
        <x:v>Chemicals</x:v>
      </x:c>
      <x:c r="H20" s="66" t="n">
        <x:f>SUMIF('Portfolio Inputs'!F8:F59,G20,'Portfolio Inputs'!D8:D59)</x:f>
        <x:v>1182000</x:v>
      </x:c>
      <x:c r="I20" s="75" t="n">
        <x:f>IF(Portfolio_Par&gt;0,H20/Portfolio_Par,"")</x:f>
        <x:v>0.021204075774971298</x:v>
      </x:c>
      <x:c r="J20" s="150"/>
      <x:c r="K20" s="150"/>
      <x:c r="L20" s="150"/>
      <x:c r="M20" s="150"/>
      <x:c r="N20" s="150"/>
      <x:c r="O20" s="150"/>
      <x:c r="P20" s="150"/>
      <x:c r="Q20" s="150"/>
    </x:row>
    <x:row r="21" ht="29" customHeight="1">
      <x:c r="A21" s="150"/>
      <x:c r="B21" s="150"/>
      <x:c r="C21" s="150" t="str">
        <x:v>S&amp;P WARF (published factors)</x:v>
      </x:c>
      <x:c r="D21" s="175" t="n">
        <x:f>IF(D8&gt;0,SUM('Portfolio Inputs'!AA8:AA59)/D8,"")</x:f>
        <x:v>2243.7433273536167</x:v>
      </x:c>
      <x:c r="E21" s="150"/>
      <x:c r="F21" s="150"/>
      <x:c r="G21" s="154" t="str">
        <x:v>Construction Materials</x:v>
      </x:c>
      <x:c r="H21" s="66" t="n">
        <x:f>SUMIF('Portfolio Inputs'!F8:F59,G21,'Portfolio Inputs'!D8:D59)</x:f>
        <x:v>1182000</x:v>
      </x:c>
      <x:c r="I21" s="75" t="n">
        <x:f>IF(Portfolio_Par&gt;0,H21/Portfolio_Par,"")</x:f>
        <x:v>0.021204075774971298</x:v>
      </x:c>
      <x:c r="J21" s="150"/>
      <x:c r="K21" s="150"/>
      <x:c r="L21" s="150"/>
      <x:c r="M21" s="150"/>
      <x:c r="N21" s="150"/>
      <x:c r="O21" s="150"/>
      <x:c r="P21" s="150"/>
      <x:c r="Q21" s="150"/>
    </x:row>
    <x:row r="22" ht="29" customHeight="1">
      <x:c r="A22" s="150"/>
      <x:c r="B22" s="150"/>
      <x:c r="C22" s="150" t="str">
        <x:v>S&amp;P AAA scenario default rate</x:v>
      </x:c>
      <x:c r="D22" s="75" t="str">
        <x:f>IF(Refresh_Required,"REFRESH REQUIRED",IF(ISNUMBER(agency_sdr_aaa),agency_sdr_aaa,"Unavailable"))</x:f>
        <x:v>Unavailable</x:v>
      </x:c>
      <x:c r="E22" s="150"/>
      <x:c r="F22" s="150"/>
      <x:c r="G22" s="154" t="str">
        <x:v>Transportation Infrastructure</x:v>
      </x:c>
      <x:c r="H22" s="66" t="n">
        <x:f>SUMIF('Portfolio Inputs'!F8:F59,G22,'Portfolio Inputs'!D8:D59)</x:f>
        <x:v>1182000</x:v>
      </x:c>
      <x:c r="I22" s="75" t="n">
        <x:f>IF(Portfolio_Par&gt;0,H22/Portfolio_Par,"")</x:f>
        <x:v>0.021204075774971298</x:v>
      </x:c>
      <x:c r="J22" s="150"/>
      <x:c r="K22" s="150"/>
      <x:c r="L22" s="150"/>
      <x:c r="M22" s="150"/>
      <x:c r="N22" s="150"/>
      <x:c r="O22" s="150"/>
      <x:c r="P22" s="150"/>
      <x:c r="Q22" s="150"/>
    </x:row>
    <x:row r="23" ht="29" customHeight="1">
      <x:c r="A23" s="150"/>
      <x:c r="B23" s="150"/>
      <x:c r="C23" s="150" t="str">
        <x:v>S&amp;P default-rate dispersion</x:v>
      </x:c>
      <x:c r="D23" s="170" t="n">
        <x:f>IF(D8&gt;0,SUM('Portfolio Inputs'!AB8:AB59)/D8,"")</x:f>
        <x:v>790.8360578762819</x:v>
      </x:c>
      <x:c r="E23" s="150"/>
      <x:c r="F23" s="150"/>
      <x:c r="G23" s="154" t="str">
        <x:v>Passenger airlines</x:v>
      </x:c>
      <x:c r="H23" s="66" t="n">
        <x:f>SUMIF('Portfolio Inputs'!F8:F59,G23,'Portfolio Inputs'!D8:D59)</x:f>
        <x:v>1182000</x:v>
      </x:c>
      <x:c r="I23" s="75" t="n">
        <x:f>IF(Portfolio_Par&gt;0,H23/Portfolio_Par,"")</x:f>
        <x:v>0.021204075774971298</x:v>
      </x:c>
      <x:c r="J23" s="150"/>
      <x:c r="K23" s="150"/>
      <x:c r="L23" s="150"/>
      <x:c r="M23" s="150"/>
      <x:c r="N23" s="150"/>
      <x:c r="O23" s="150"/>
      <x:c r="P23" s="150"/>
      <x:c r="Q23" s="150"/>
    </x:row>
    <x:row r="24" ht="29" customHeight="1">
      <x:c r="A24" s="150"/>
      <x:c r="B24" s="150"/>
      <x:c r="C24" s="150"/>
      <x:c r="D24" s="150"/>
      <x:c r="E24" s="150"/>
      <x:c r="F24" s="150"/>
      <x:c r="G24" s="154" t="str">
        <x:v>Capital Markets</x:v>
      </x:c>
      <x:c r="H24" s="66" t="n">
        <x:f>SUMIF('Portfolio Inputs'!F8:F59,G24,'Portfolio Inputs'!D8:D59)</x:f>
        <x:v>1182000</x:v>
      </x:c>
      <x:c r="I24" s="75" t="n">
        <x:f>IF(Portfolio_Par&gt;0,H24/Portfolio_Par,"")</x:f>
        <x:v>0.021204075774971298</x:v>
      </x:c>
      <x:c r="J24" s="150"/>
      <x:c r="K24" s="150"/>
      <x:c r="L24" s="150"/>
      <x:c r="M24" s="150"/>
      <x:c r="N24" s="150"/>
      <x:c r="O24" s="150"/>
      <x:c r="P24" s="150"/>
      <x:c r="Q24" s="150"/>
    </x:row>
    <x:row r="25" ht="29" customHeight="1">
      <x:c r="A25" s="150"/>
      <x:c r="B25" s="150"/>
      <x:c r="C25" s="150"/>
      <x:c r="D25" s="150"/>
      <x:c r="E25" s="150"/>
      <x:c r="F25" s="150"/>
      <x:c r="G25" s="154" t="str">
        <x:v>Containers &amp; Packaging</x:v>
      </x:c>
      <x:c r="H25" s="66" t="n">
        <x:f>SUMIF('Portfolio Inputs'!F8:F59,G25,'Portfolio Inputs'!D8:D59)</x:f>
        <x:v>1182000</x:v>
      </x:c>
      <x:c r="I25" s="75" t="n">
        <x:f>IF(Portfolio_Par&gt;0,H25/Portfolio_Par,"")</x:f>
        <x:v>0.021204075774971298</x:v>
      </x:c>
      <x:c r="J25" s="150"/>
      <x:c r="K25" s="150"/>
      <x:c r="L25" s="150"/>
      <x:c r="M25" s="150"/>
      <x:c r="N25" s="150"/>
      <x:c r="O25" s="150"/>
      <x:c r="P25" s="150"/>
      <x:c r="Q25" s="150"/>
    </x:row>
    <x:row r="26" ht="29" customHeight="1">
      <x:c r="A26" s="150"/>
      <x:c r="B26" s="150"/>
      <x:c r="C26" s="150"/>
      <x:c r="D26" s="150"/>
      <x:c r="E26" s="150"/>
      <x:c r="F26" s="150"/>
      <x:c r="G26" s="154" t="str">
        <x:v>Broadline retail</x:v>
      </x:c>
      <x:c r="H26" s="66" t="n">
        <x:f>SUMIF('Portfolio Inputs'!F8:F59,G26,'Portfolio Inputs'!D8:D59)</x:f>
        <x:v>1182000</x:v>
      </x:c>
      <x:c r="I26" s="75" t="n">
        <x:f>IF(Portfolio_Par&gt;0,H26/Portfolio_Par,"")</x:f>
        <x:v>0.021204075774971298</x:v>
      </x:c>
      <x:c r="J26" s="150"/>
      <x:c r="K26" s="150"/>
      <x:c r="L26" s="150"/>
      <x:c r="M26" s="150"/>
      <x:c r="N26" s="150"/>
      <x:c r="O26" s="150"/>
      <x:c r="P26" s="150"/>
      <x:c r="Q26" s="150"/>
    </x:row>
    <x:row r="27" ht="29" customHeight="1">
      <x:c r="A27" s="150"/>
      <x:c r="B27" s="150"/>
      <x:c r="C27" s="150"/>
      <x:c r="D27" s="150"/>
      <x:c r="E27" s="150"/>
      <x:c r="F27" s="150"/>
      <x:c r="G27" s="154" t="str">
        <x:v>Household Products</x:v>
      </x:c>
      <x:c r="H27" s="66" t="n">
        <x:f>SUMIF('Portfolio Inputs'!F8:F59,G27,'Portfolio Inputs'!D8:D59)</x:f>
        <x:v>1182000</x:v>
      </x:c>
      <x:c r="I27" s="75" t="n">
        <x:f>IF(Portfolio_Par&gt;0,H27/Portfolio_Par,"")</x:f>
        <x:v>0.021204075774971298</x:v>
      </x:c>
      <x:c r="J27" s="150"/>
      <x:c r="K27" s="150"/>
      <x:c r="L27" s="150"/>
      <x:c r="M27" s="150"/>
      <x:c r="N27" s="150"/>
      <x:c r="O27" s="150"/>
      <x:c r="P27" s="150"/>
      <x:c r="Q27" s="150"/>
    </x:row>
    <x:row r="28" ht="29" customHeight="1">
      <x:c r="A28" s="150"/>
      <x:c r="B28" s="150"/>
      <x:c r="C28" s="150"/>
      <x:c r="D28" s="150"/>
      <x:c r="E28" s="150"/>
      <x:c r="F28" s="150"/>
      <x:c r="G28" s="154" t="str">
        <x:v>Professional Services</x:v>
      </x:c>
      <x:c r="H28" s="66" t="n">
        <x:f>SUMIF('Portfolio Inputs'!F8:F59,G28,'Portfolio Inputs'!D8:D59)</x:f>
        <x:v>1182000</x:v>
      </x:c>
      <x:c r="I28" s="75" t="n">
        <x:f>IF(Portfolio_Par&gt;0,H28/Portfolio_Par,"")</x:f>
        <x:v>0.021204075774971298</x:v>
      </x:c>
      <x:c r="J28" s="150"/>
      <x:c r="K28" s="150"/>
      <x:c r="L28" s="150"/>
      <x:c r="M28" s="150"/>
      <x:c r="N28" s="150"/>
      <x:c r="O28" s="150"/>
      <x:c r="P28" s="150"/>
      <x:c r="Q28" s="150"/>
    </x:row>
    <x:row r="29" ht="29" customHeight="1">
      <x:c r="A29" s="150"/>
      <x:c r="B29" s="150"/>
      <x:c r="C29" s="150"/>
      <x:c r="D29" s="150"/>
      <x:c r="E29" s="150"/>
      <x:c r="F29" s="150"/>
      <x:c r="G29" s="154" t="str">
        <x:v>Gas Utilities</x:v>
      </x:c>
      <x:c r="H29" s="66" t="n">
        <x:f>SUMIF('Portfolio Inputs'!F8:F59,G29,'Portfolio Inputs'!D8:D59)</x:f>
        <x:v>1182000</x:v>
      </x:c>
      <x:c r="I29" s="75" t="n">
        <x:f>IF(Portfolio_Par&gt;0,H29/Portfolio_Par,"")</x:f>
        <x:v>0.021204075774971298</x:v>
      </x:c>
      <x:c r="J29" s="150"/>
      <x:c r="K29" s="150"/>
      <x:c r="L29" s="150"/>
      <x:c r="M29" s="150"/>
      <x:c r="N29" s="150"/>
      <x:c r="O29" s="150"/>
      <x:c r="P29" s="150"/>
      <x:c r="Q29" s="150"/>
    </x:row>
    <x:row r="30" ht="29" customHeight="1">
      <x:c r="A30" s="150"/>
      <x:c r="B30" s="150"/>
      <x:c r="C30" s="150"/>
      <x:c r="D30" s="150"/>
      <x:c r="E30" s="150"/>
      <x:c r="F30" s="150"/>
      <x:c r="G30" s="154" t="str">
        <x:v>Machinery</x:v>
      </x:c>
      <x:c r="H30" s="66" t="n">
        <x:f>SUMIF('Portfolio Inputs'!F8:F59,G30,'Portfolio Inputs'!D8:D59)</x:f>
        <x:v>1182000</x:v>
      </x:c>
      <x:c r="I30" s="75" t="n">
        <x:f>IF(Portfolio_Par&gt;0,H30/Portfolio_Par,"")</x:f>
        <x:v>0.021204075774971298</x:v>
      </x:c>
      <x:c r="J30" s="150"/>
      <x:c r="K30" s="150"/>
      <x:c r="L30" s="150"/>
      <x:c r="M30" s="150"/>
      <x:c r="N30" s="150"/>
      <x:c r="O30" s="150"/>
      <x:c r="P30" s="150"/>
      <x:c r="Q30" s="150"/>
    </x:row>
    <x:row r="31" ht="29" customHeight="1">
      <x:c r="A31" s="150"/>
      <x:c r="B31" s="150"/>
      <x:c r="C31" s="150"/>
      <x:c r="D31" s="150"/>
      <x:c r="E31" s="150"/>
      <x:c r="F31" s="150"/>
      <x:c r="G31" s="154" t="str">
        <x:v>Energy Equipment &amp; Services</x:v>
      </x:c>
      <x:c r="H31" s="66" t="n">
        <x:f>SUMIF('Portfolio Inputs'!F8:F59,G31,'Portfolio Inputs'!D8:D59)</x:f>
        <x:v>1182000</x:v>
      </x:c>
      <x:c r="I31" s="75" t="n">
        <x:f>IF(Portfolio_Par&gt;0,H31/Portfolio_Par,"")</x:f>
        <x:v>0.021204075774971298</x:v>
      </x:c>
      <x:c r="J31" s="150"/>
      <x:c r="K31" s="150"/>
      <x:c r="L31" s="150"/>
      <x:c r="M31" s="150"/>
      <x:c r="N31" s="150"/>
      <x:c r="O31" s="150"/>
      <x:c r="P31" s="150"/>
      <x:c r="Q31" s="150"/>
    </x:row>
    <x:row r="32" ht="29" customHeight="1">
      <x:c r="A32" s="150"/>
      <x:c r="B32" s="150"/>
      <x:c r="C32" s="150"/>
      <x:c r="D32" s="150"/>
      <x:c r="E32" s="150"/>
      <x:c r="F32" s="150"/>
      <x:c r="G32" s="154" t="str">
        <x:v>Interactive media and services</x:v>
      </x:c>
      <x:c r="H32" s="66" t="n">
        <x:f>SUMIF('Portfolio Inputs'!F8:F59,G32,'Portfolio Inputs'!D8:D59)</x:f>
        <x:v>1182000</x:v>
      </x:c>
      <x:c r="I32" s="75" t="n">
        <x:f>IF(Portfolio_Par&gt;0,H32/Portfolio_Par,"")</x:f>
        <x:v>0.021204075774971298</x:v>
      </x:c>
      <x:c r="J32" s="150"/>
      <x:c r="K32" s="150"/>
      <x:c r="L32" s="150"/>
      <x:c r="M32" s="150"/>
      <x:c r="N32" s="150"/>
      <x:c r="O32" s="150"/>
      <x:c r="P32" s="150"/>
      <x:c r="Q32" s="150"/>
    </x:row>
    <x:row r="33" ht="29" customHeight="1">
      <x:c r="A33" s="150"/>
      <x:c r="B33" s="150"/>
      <x:c r="C33" s="150"/>
      <x:c r="D33" s="150"/>
      <x:c r="E33" s="150"/>
      <x:c r="F33" s="150"/>
      <x:c r="G33" s="154" t="str">
        <x:v>Electric Utilities</x:v>
      </x:c>
      <x:c r="H33" s="66" t="n">
        <x:f>SUMIF('Portfolio Inputs'!F8:F59,G33,'Portfolio Inputs'!D8:D59)</x:f>
        <x:v>1182000</x:v>
      </x:c>
      <x:c r="I33" s="75" t="n">
        <x:f>IF(Portfolio_Par&gt;0,H33/Portfolio_Par,"")</x:f>
        <x:v>0.021204075774971298</x:v>
      </x:c>
      <x:c r="J33" s="150"/>
      <x:c r="K33" s="150"/>
      <x:c r="L33" s="150"/>
      <x:c r="M33" s="150"/>
      <x:c r="N33" s="150"/>
      <x:c r="O33" s="150"/>
      <x:c r="P33" s="150"/>
      <x:c r="Q33" s="150"/>
    </x:row>
    <x:row r="34" ht="29" customHeight="1">
      <x:c r="A34" s="150"/>
      <x:c r="B34" s="150"/>
      <x:c r="C34" s="150"/>
      <x:c r="D34" s="150"/>
      <x:c r="E34" s="150"/>
      <x:c r="F34" s="150"/>
      <x:c r="G34" s="154" t="str">
        <x:v>Beverages</x:v>
      </x:c>
      <x:c r="H34" s="66" t="n">
        <x:f>SUMIF('Portfolio Inputs'!F8:F59,G34,'Portfolio Inputs'!D8:D59)</x:f>
        <x:v>630000</x:v>
      </x:c>
      <x:c r="I34" s="75" t="n">
        <x:f>IF(Portfolio_Par&gt;0,H34/Portfolio_Par,"")</x:f>
        <x:v>0.011301664753157291</x:v>
      </x:c>
      <x:c r="J34" s="150"/>
      <x:c r="K34" s="150"/>
      <x:c r="L34" s="150"/>
      <x:c r="M34" s="150"/>
      <x:c r="N34" s="150"/>
      <x:c r="O34" s="150"/>
      <x:c r="P34" s="150"/>
      <x:c r="Q34" s="150"/>
    </x:row>
    <x:row r="35" ht="29" customHeight="1">
      <x:c r="A35" s="150"/>
      <x:c r="B35" s="150"/>
      <x:c r="C35" s="150"/>
      <x:c r="D35" s="150"/>
      <x:c r="E35" s="150"/>
      <x:c r="F35" s="150"/>
      <x:c r="G35" s="154" t="str">
        <x:v>Auto Components</x:v>
      </x:c>
      <x:c r="H35" s="66" t="n">
        <x:f>SUMIF('Portfolio Inputs'!F8:F59,G35,'Portfolio Inputs'!D8:D59)</x:f>
        <x:v>630000</x:v>
      </x:c>
      <x:c r="I35" s="75" t="n">
        <x:f>IF(Portfolio_Par&gt;0,H35/Portfolio_Par,"")</x:f>
        <x:v>0.011301664753157291</x:v>
      </x:c>
      <x:c r="J35" s="150"/>
      <x:c r="K35" s="150"/>
      <x:c r="L35" s="150"/>
      <x:c r="M35" s="150"/>
      <x:c r="N35" s="150"/>
      <x:c r="O35" s="150"/>
      <x:c r="P35" s="150"/>
      <x:c r="Q35" s="150"/>
    </x:row>
    <x:row r="36" ht="29" customHeight="1">
      <x:c r="A36" s="150"/>
      <x:c r="B36" s="150"/>
      <x:c r="C36" s="150"/>
      <x:c r="D36" s="150"/>
      <x:c r="E36" s="150"/>
      <x:c r="F36" s="150"/>
      <x:c r="G36" s="154" t="str">
        <x:v>Construction &amp; Engineering</x:v>
      </x:c>
      <x:c r="H36" s="66" t="n">
        <x:f>SUMIF('Portfolio Inputs'!F8:F59,G36,'Portfolio Inputs'!D8:D59)</x:f>
        <x:v>630000</x:v>
      </x:c>
      <x:c r="I36" s="75" t="n">
        <x:f>IF(Portfolio_Par&gt;0,H36/Portfolio_Par,"")</x:f>
        <x:v>0.011301664753157291</x:v>
      </x:c>
      <x:c r="J36" s="150"/>
      <x:c r="K36" s="150"/>
      <x:c r="L36" s="150"/>
      <x:c r="M36" s="150"/>
      <x:c r="N36" s="150"/>
      <x:c r="O36" s="150"/>
      <x:c r="P36" s="150"/>
      <x:c r="Q36" s="150"/>
    </x:row>
    <x:row r="37" ht="29" customHeight="1">
      <x:c r="A37" s="150"/>
      <x:c r="B37" s="150"/>
      <x:c r="C37" s="150"/>
      <x:c r="D37" s="150"/>
      <x:c r="E37" s="150"/>
      <x:c r="F37" s="150"/>
      <x:c r="G37" s="154"/>
      <x:c r="H37" s="150"/>
      <x:c r="I37" s="150"/>
      <x:c r="J37" s="150"/>
      <x:c r="K37" s="150"/>
      <x:c r="L37" s="150"/>
      <x:c r="M37" s="150"/>
      <x:c r="N37" s="150"/>
      <x:c r="O37" s="150"/>
      <x:c r="P37" s="150"/>
      <x:c r="Q37" s="150"/>
    </x:row>
    <x:row r="38" ht="29" customHeight="1">
      <x:c r="A38" s="150"/>
      <x:c r="B38" s="150"/>
      <x:c r="C38" s="150"/>
      <x:c r="D38" s="150"/>
      <x:c r="E38" s="150"/>
      <x:c r="F38" s="150"/>
      <x:c r="G38" s="154"/>
      <x:c r="H38" s="150"/>
      <x:c r="I38" s="150"/>
      <x:c r="J38" s="150"/>
      <x:c r="K38" s="150"/>
      <x:c r="L38" s="150"/>
      <x:c r="M38" s="150"/>
      <x:c r="N38" s="150"/>
      <x:c r="O38" s="150"/>
      <x:c r="P38" s="150"/>
      <x:c r="Q38" s="150"/>
    </x:row>
    <x:row r="39" ht="29" customHeight="1">
      <x:c r="A39" s="150"/>
      <x:c r="B39" s="150"/>
      <x:c r="C39" s="150"/>
      <x:c r="D39" s="150"/>
      <x:c r="E39" s="150"/>
      <x:c r="F39" s="150"/>
      <x:c r="G39" s="7" t="str">
        <x:v>Rating input</x:v>
      </x:c>
      <x:c r="H39" s="7" t="str">
        <x:v>Par</x:v>
      </x:c>
      <x:c r="I39" s="7" t="str">
        <x:v>Share</x:v>
      </x:c>
      <x:c r="J39" s="150"/>
      <x:c r="K39" s="150"/>
      <x:c r="L39" s="150"/>
      <x:c r="M39" s="150"/>
      <x:c r="N39" s="150"/>
      <x:c r="O39" s="150"/>
      <x:c r="P39" s="150"/>
      <x:c r="Q39" s="150"/>
    </x:row>
    <x:row r="40" ht="29" customHeight="1">
      <x:c r="A40" s="150"/>
      <x:c r="B40" s="150"/>
      <x:c r="C40" s="150"/>
      <x:c r="D40" s="150"/>
      <x:c r="E40" s="150"/>
      <x:c r="F40" s="150"/>
      <x:c r="G40" s="154" t="str">
        <x:v>B</x:v>
      </x:c>
      <x:c r="H40" s="66" t="n">
        <x:f>SUMIF('Portfolio Inputs'!E8:E59,G40,'Portfolio Inputs'!D8:D59)</x:f>
        <x:v>14814000</x:v>
      </x:c>
      <x:c r="I40" s="75" t="n">
        <x:f>IF(Portfolio_Par&gt;0,H40/Portfolio_Par,"")</x:f>
        <x:v>0.2657505740528129</x:v>
      </x:c>
      <x:c r="J40" s="150"/>
      <x:c r="K40" s="150"/>
      <x:c r="L40" s="150"/>
      <x:c r="M40" s="150"/>
      <x:c r="N40" s="150"/>
      <x:c r="O40" s="150"/>
      <x:c r="P40" s="150"/>
      <x:c r="Q40" s="150"/>
    </x:row>
    <x:row r="41" ht="29" customHeight="1">
      <x:c r="A41" s="150"/>
      <x:c r="B41" s="150"/>
      <x:c r="C41" s="150"/>
      <x:c r="D41" s="150"/>
      <x:c r="E41" s="150"/>
      <x:c r="F41" s="150"/>
      <x:c r="G41" s="154" t="str">
        <x:v>B+</x:v>
      </x:c>
      <x:c r="H41" s="66" t="n">
        <x:f>SUMIF('Portfolio Inputs'!E8:E59,G41,'Portfolio Inputs'!D8:D59)</x:f>
        <x:v>11820000</x:v>
      </x:c>
      <x:c r="I41" s="75" t="n">
        <x:f>IF(Portfolio_Par&gt;0,H41/Portfolio_Par,"")</x:f>
        <x:v>0.21204075774971298</x:v>
      </x:c>
      <x:c r="J41" s="150"/>
      <x:c r="K41" s="150"/>
      <x:c r="L41" s="150"/>
      <x:c r="M41" s="150"/>
      <x:c r="N41" s="150"/>
      <x:c r="O41" s="150"/>
      <x:c r="P41" s="150"/>
      <x:c r="Q41" s="150"/>
    </x:row>
    <x:row r="42" ht="29" customHeight="1">
      <x:c r="A42" s="150"/>
      <x:c r="B42" s="150"/>
      <x:c r="C42" s="150"/>
      <x:c r="D42" s="150"/>
      <x:c r="E42" s="150"/>
      <x:c r="F42" s="150"/>
      <x:c r="G42" s="154" t="str">
        <x:v>B-</x:v>
      </x:c>
      <x:c r="H42" s="66" t="n">
        <x:f>SUMIF('Portfolio Inputs'!E8:E59,G42,'Portfolio Inputs'!D8:D59)</x:f>
        <x:v>9456000</x:v>
      </x:c>
      <x:c r="I42" s="75" t="n">
        <x:f>IF(Portfolio_Par&gt;0,H42/Portfolio_Par,"")</x:f>
        <x:v>0.16963260619977039</x:v>
      </x:c>
      <x:c r="J42" s="150"/>
      <x:c r="K42" s="150"/>
      <x:c r="L42" s="150"/>
      <x:c r="M42" s="150"/>
      <x:c r="N42" s="150"/>
      <x:c r="O42" s="150"/>
      <x:c r="P42" s="150"/>
      <x:c r="Q42" s="150"/>
    </x:row>
    <x:row r="43" ht="29" customHeight="1">
      <x:c r="A43" s="150"/>
      <x:c r="B43" s="150"/>
      <x:c r="C43" s="150"/>
      <x:c r="D43" s="150"/>
      <x:c r="E43" s="150"/>
      <x:c r="F43" s="150"/>
      <x:c r="G43" s="154" t="str">
        <x:v>BB-</x:v>
      </x:c>
      <x:c r="H43" s="66" t="n">
        <x:f>SUMIF('Portfolio Inputs'!E8:E59,G43,'Portfolio Inputs'!D8:D59)</x:f>
        <x:v>8904000</x:v>
      </x:c>
      <x:c r="I43" s="75" t="n">
        <x:f>IF(Portfolio_Par&gt;0,H43/Portfolio_Par,"")</x:f>
        <x:v>0.15973019517795636</x:v>
      </x:c>
      <x:c r="J43" s="150"/>
      <x:c r="K43" s="150"/>
      <x:c r="L43" s="150"/>
      <x:c r="M43" s="150"/>
      <x:c r="N43" s="150"/>
      <x:c r="O43" s="150"/>
      <x:c r="P43" s="150"/>
      <x:c r="Q43" s="150"/>
    </x:row>
    <x:row r="44" ht="29" customHeight="1">
      <x:c r="A44" s="150"/>
      <x:c r="B44" s="150"/>
      <x:c r="C44" s="150"/>
      <x:c r="D44" s="150"/>
      <x:c r="E44" s="150"/>
      <x:c r="F44" s="150"/>
      <x:c r="G44" s="154" t="str">
        <x:v>BB</x:v>
      </x:c>
      <x:c r="H44" s="66" t="n">
        <x:f>SUMIF('Portfolio Inputs'!E8:E59,G44,'Portfolio Inputs'!D8:D59)</x:f>
        <x:v>7722000</x:v>
      </x:c>
      <x:c r="I44" s="75" t="n">
        <x:f>IF(Portfolio_Par&gt;0,H44/Portfolio_Par,"")</x:f>
        <x:v>0.13852611940298507</x:v>
      </x:c>
      <x:c r="J44" s="150"/>
      <x:c r="K44" s="150"/>
      <x:c r="L44" s="150"/>
      <x:c r="M44" s="150"/>
      <x:c r="N44" s="150"/>
      <x:c r="O44" s="150"/>
      <x:c r="P44" s="150"/>
      <x:c r="Q44" s="150"/>
    </x:row>
    <x:row r="45" ht="29" customHeight="1">
      <x:c r="A45" s="150"/>
      <x:c r="B45" s="150"/>
      <x:c r="C45" s="150"/>
      <x:c r="D45" s="150"/>
      <x:c r="E45" s="150"/>
      <x:c r="F45" s="150"/>
      <x:c r="G45" s="154" t="str">
        <x:v>BBB-</x:v>
      </x:c>
      <x:c r="H45" s="66" t="n">
        <x:f>SUMIF('Portfolio Inputs'!E8:E59,G45,'Portfolio Inputs'!D8:D59)</x:f>
        <x:v>1812000</x:v>
      </x:c>
      <x:c r="I45" s="75" t="n">
        <x:f>IF(Portfolio_Par&gt;0,H45/Portfolio_Par,"")</x:f>
        <x:v>0.03250574052812859</x:v>
      </x:c>
      <x:c r="J45" s="150"/>
      <x:c r="K45" s="150"/>
      <x:c r="L45" s="150"/>
      <x:c r="M45" s="150"/>
      <x:c r="N45" s="150"/>
      <x:c r="O45" s="150"/>
      <x:c r="P45" s="150"/>
      <x:c r="Q45" s="150"/>
    </x:row>
    <x:row r="46" ht="29" customHeight="1">
      <x:c r="A46" s="150"/>
      <x:c r="B46" s="150"/>
      <x:c r="C46" s="150"/>
      <x:c r="D46" s="150"/>
      <x:c r="E46" s="150"/>
      <x:c r="F46" s="150"/>
      <x:c r="G46" s="154" t="str">
        <x:v>BB+</x:v>
      </x:c>
      <x:c r="H46" s="66" t="n">
        <x:f>SUMIF('Portfolio Inputs'!E8:E59,G46,'Portfolio Inputs'!D8:D59)</x:f>
        <x:v>630000</x:v>
      </x:c>
      <x:c r="I46" s="75" t="n">
        <x:f>IF(Portfolio_Par&gt;0,H46/Portfolio_Par,"")</x:f>
        <x:v>0.011301664753157291</x:v>
      </x:c>
      <x:c r="J46" s="150"/>
      <x:c r="K46" s="150"/>
      <x:c r="L46" s="150"/>
      <x:c r="M46" s="150"/>
      <x:c r="N46" s="150"/>
      <x:c r="O46" s="150"/>
      <x:c r="P46" s="150"/>
      <x:c r="Q46" s="150"/>
    </x:row>
    <x:row r="47" ht="29" customHeight="1">
      <x:c r="A47" s="150"/>
      <x:c r="B47" s="150"/>
      <x:c r="C47" s="150"/>
      <x:c r="D47" s="150"/>
      <x:c r="E47" s="150"/>
      <x:c r="F47" s="150"/>
      <x:c r="G47" s="154" t="str">
        <x:v>BBB</x:v>
      </x:c>
      <x:c r="H47" s="66" t="n">
        <x:f>SUMIF('Portfolio Inputs'!E8:E59,G47,'Portfolio Inputs'!D8:D59)</x:f>
        <x:v>586000</x:v>
      </x:c>
      <x:c r="I47" s="75" t="n">
        <x:f>IF(Portfolio_Par&gt;0,H47/Portfolio_Par,"")</x:f>
        <x:v>0.010512342135476464</x:v>
      </x:c>
      <x:c r="J47" s="150"/>
      <x:c r="K47" s="150"/>
      <x:c r="L47" s="150"/>
      <x:c r="M47" s="150"/>
      <x:c r="N47" s="150"/>
      <x:c r="O47" s="150"/>
      <x:c r="P47" s="150"/>
      <x:c r="Q47" s="150"/>
    </x:row>
    <x:row r="48" ht="29" customHeight="1">
      <x:c r="A48" s="150"/>
      <x:c r="B48" s="150"/>
      <x:c r="C48" s="150"/>
      <x:c r="D48" s="150"/>
      <x:c r="E48" s="150"/>
      <x:c r="F48" s="150"/>
      <x:c r="G48" s="154"/>
      <x:c r="H48" s="150"/>
      <x:c r="I48" s="150"/>
      <x:c r="J48" s="150"/>
      <x:c r="K48" s="150"/>
      <x:c r="L48" s="150"/>
      <x:c r="M48" s="150"/>
      <x:c r="N48" s="150"/>
      <x:c r="O48" s="150"/>
      <x:c r="P48" s="150"/>
      <x:c r="Q48" s="150"/>
    </x:row>
    <x:row r="49" ht="29" customHeight="1">
      <x:c r="A49" s="150"/>
      <x:c r="B49" s="150"/>
      <x:c r="C49" s="150"/>
      <x:c r="D49" s="150"/>
      <x:c r="E49" s="150"/>
      <x:c r="F49" s="150"/>
      <x:c r="G49" s="154"/>
      <x:c r="H49" s="150"/>
      <x:c r="I49" s="150"/>
      <x:c r="J49" s="150"/>
      <x:c r="K49" s="150"/>
      <x:c r="L49" s="150"/>
      <x:c r="M49" s="150"/>
      <x:c r="N49" s="150"/>
      <x:c r="O49" s="150"/>
      <x:c r="P49" s="150"/>
      <x:c r="Q49" s="150"/>
    </x:row>
    <x:row r="50" ht="29" customHeight="1">
      <x:c r="A50" s="150"/>
      <x:c r="B50" s="150"/>
      <x:c r="C50" s="150"/>
      <x:c r="D50" s="150"/>
      <x:c r="E50" s="150"/>
      <x:c r="F50" s="150"/>
      <x:c r="G50" s="7" t="str">
        <x:v>Country</x:v>
      </x:c>
      <x:c r="H50" s="7" t="str">
        <x:v>Par</x:v>
      </x:c>
      <x:c r="I50" s="7" t="str">
        <x:v>Share</x:v>
      </x:c>
      <x:c r="J50" s="150"/>
      <x:c r="K50" s="150"/>
      <x:c r="L50" s="150"/>
      <x:c r="M50" s="150"/>
      <x:c r="N50" s="150"/>
      <x:c r="O50" s="150"/>
      <x:c r="P50" s="150"/>
      <x:c r="Q50" s="150"/>
    </x:row>
    <x:row r="51" ht="29" customHeight="1">
      <x:c r="A51" s="150"/>
      <x:c r="B51" s="150"/>
      <x:c r="C51" s="150"/>
      <x:c r="D51" s="150"/>
      <x:c r="E51" s="150"/>
      <x:c r="F51" s="150"/>
      <x:c r="G51" s="154" t="str">
        <x:v>United States</x:v>
      </x:c>
      <x:c r="H51" s="66" t="n">
        <x:f>SUMIF('Portfolio Inputs'!G8:G59,G51,'Portfolio Inputs'!D8:D59)</x:f>
        <x:v>51456000</x:v>
      </x:c>
      <x:c r="I51" s="75" t="n">
        <x:f>IF(Portfolio_Par&gt;0,H51/Portfolio_Par,"")</x:f>
        <x:v>0.9230769230769231</x:v>
      </x:c>
      <x:c r="J51" s="150"/>
      <x:c r="K51" s="150"/>
      <x:c r="L51" s="150"/>
      <x:c r="M51" s="150"/>
      <x:c r="N51" s="150"/>
      <x:c r="O51" s="150"/>
      <x:c r="P51" s="150"/>
      <x:c r="Q51" s="150"/>
    </x:row>
    <x:row r="52" ht="29" customHeight="1">
      <x:c r="A52" s="150"/>
      <x:c r="B52" s="150"/>
      <x:c r="C52" s="150"/>
      <x:c r="D52" s="150"/>
      <x:c r="E52" s="150"/>
      <x:c r="F52" s="150"/>
      <x:c r="G52" s="154" t="str">
        <x:v>Luxembourg</x:v>
      </x:c>
      <x:c r="H52" s="66" t="n">
        <x:f>SUMIF('Portfolio Inputs'!G8:G59,G52,'Portfolio Inputs'!D8:D59)</x:f>
        <x:v>1812000</x:v>
      </x:c>
      <x:c r="I52" s="75" t="n">
        <x:f>IF(Portfolio_Par&gt;0,H52/Portfolio_Par,"")</x:f>
        <x:v>0.03250574052812859</x:v>
      </x:c>
      <x:c r="J52" s="150"/>
      <x:c r="K52" s="150"/>
      <x:c r="L52" s="150"/>
      <x:c r="M52" s="150"/>
      <x:c r="N52" s="150"/>
      <x:c r="O52" s="150"/>
      <x:c r="P52" s="150"/>
      <x:c r="Q52" s="150"/>
    </x:row>
    <x:row r="53" ht="29" customHeight="1">
      <x:c r="A53" s="150"/>
      <x:c r="B53" s="150"/>
      <x:c r="C53" s="150"/>
      <x:c r="D53" s="150"/>
      <x:c r="E53" s="150"/>
      <x:c r="F53" s="150"/>
      <x:c r="G53" s="154" t="str">
        <x:v>Switzerland</x:v>
      </x:c>
      <x:c r="H53" s="66" t="n">
        <x:f>SUMIF('Portfolio Inputs'!G8:G59,G53,'Portfolio Inputs'!D8:D59)</x:f>
        <x:v>630000</x:v>
      </x:c>
      <x:c r="I53" s="75" t="n">
        <x:f>IF(Portfolio_Par&gt;0,H53/Portfolio_Par,"")</x:f>
        <x:v>0.011301664753157291</x:v>
      </x:c>
      <x:c r="J53" s="150"/>
      <x:c r="K53" s="150"/>
      <x:c r="L53" s="150"/>
      <x:c r="M53" s="150"/>
      <x:c r="N53" s="150"/>
      <x:c r="O53" s="150"/>
      <x:c r="P53" s="150"/>
      <x:c r="Q53" s="150"/>
    </x:row>
    <x:row r="54" ht="29" customHeight="1">
      <x:c r="A54" s="150"/>
      <x:c r="B54" s="150"/>
      <x:c r="C54" s="150"/>
      <x:c r="D54" s="150"/>
      <x:c r="E54" s="150"/>
      <x:c r="F54" s="150"/>
      <x:c r="G54" s="154" t="str">
        <x:v>Canada</x:v>
      </x:c>
      <x:c r="H54" s="66" t="n">
        <x:f>SUMIF('Portfolio Inputs'!G8:G59,G54,'Portfolio Inputs'!D8:D59)</x:f>
        <x:v>630000</x:v>
      </x:c>
      <x:c r="I54" s="75" t="n">
        <x:f>IF(Portfolio_Par&gt;0,H54/Portfolio_Par,"")</x:f>
        <x:v>0.011301664753157291</x:v>
      </x:c>
      <x:c r="J54" s="150"/>
      <x:c r="K54" s="150"/>
      <x:c r="L54" s="150"/>
      <x:c r="M54" s="150"/>
      <x:c r="N54" s="150"/>
      <x:c r="O54" s="150"/>
      <x:c r="P54" s="150"/>
      <x:c r="Q54" s="150"/>
    </x:row>
    <x:row r="55" ht="29" customHeight="1">
      <x:c r="A55" s="150"/>
      <x:c r="B55" s="150"/>
      <x:c r="C55" s="150"/>
      <x:c r="D55" s="150"/>
      <x:c r="E55" s="150"/>
      <x:c r="F55" s="150"/>
      <x:c r="G55" s="154" t="str">
        <x:v>Netherlands</x:v>
      </x:c>
      <x:c r="H55" s="66" t="n">
        <x:f>SUMIF('Portfolio Inputs'!G8:G59,G55,'Portfolio Inputs'!D8:D59)</x:f>
        <x:v>630000</x:v>
      </x:c>
      <x:c r="I55" s="75" t="n">
        <x:f>IF(Portfolio_Par&gt;0,H55/Portfolio_Par,"")</x:f>
        <x:v>0.011301664753157291</x:v>
      </x:c>
      <x:c r="J55" s="150"/>
      <x:c r="K55" s="150"/>
      <x:c r="L55" s="150"/>
      <x:c r="M55" s="150"/>
      <x:c r="N55" s="150"/>
      <x:c r="O55" s="150"/>
      <x:c r="P55" s="150"/>
      <x:c r="Q55" s="150"/>
    </x:row>
    <x:row r="56" ht="29" customHeight="1">
      <x:c r="A56" s="150"/>
      <x:c r="B56" s="150"/>
      <x:c r="C56" s="150"/>
      <x:c r="D56" s="150"/>
      <x:c r="E56" s="150"/>
      <x:c r="F56" s="150"/>
      <x:c r="G56" s="154" t="str">
        <x:v>United Kingdom</x:v>
      </x:c>
      <x:c r="H56" s="66" t="n">
        <x:f>SUMIF('Portfolio Inputs'!G8:G59,G56,'Portfolio Inputs'!D8:D59)</x:f>
        <x:v>586000</x:v>
      </x:c>
      <x:c r="I56" s="75" t="n">
        <x:f>IF(Portfolio_Par&gt;0,H56/Portfolio_Par,"")</x:f>
        <x:v>0.010512342135476464</x:v>
      </x:c>
      <x:c r="J56" s="150"/>
      <x:c r="K56" s="150"/>
      <x:c r="L56" s="150"/>
      <x:c r="M56" s="150"/>
      <x:c r="N56" s="150"/>
      <x:c r="O56" s="150"/>
      <x:c r="P56" s="150"/>
      <x:c r="Q56" s="150"/>
    </x:row>
    <x:row r="57" ht="29" customHeight="1">
      <x:c r="A57" s="150"/>
      <x:c r="B57" s="150"/>
      <x:c r="C57" s="150"/>
      <x:c r="D57" s="150"/>
      <x:c r="E57" s="150"/>
      <x:c r="F57" s="150"/>
      <x:c r="G57" s="154"/>
      <x:c r="H57" s="150"/>
      <x:c r="I57" s="150"/>
      <x:c r="J57" s="150"/>
      <x:c r="K57" s="150"/>
      <x:c r="L57" s="150"/>
      <x:c r="M57" s="150"/>
      <x:c r="N57" s="150"/>
      <x:c r="O57" s="150"/>
      <x:c r="P57" s="150"/>
      <x:c r="Q57" s="150"/>
    </x:row>
    <x:row r="58" ht="29" customHeight="1">
      <x:c r="A58" s="150"/>
      <x:c r="B58" s="150"/>
      <x:c r="C58" s="150"/>
      <x:c r="D58" s="150"/>
      <x:c r="E58" s="150"/>
      <x:c r="F58" s="150"/>
      <x:c r="G58" s="154"/>
      <x:c r="H58" s="150"/>
      <x:c r="I58" s="150"/>
      <x:c r="J58" s="150"/>
      <x:c r="K58" s="150"/>
      <x:c r="L58" s="150"/>
      <x:c r="M58" s="150"/>
      <x:c r="N58" s="150"/>
      <x:c r="O58" s="150"/>
      <x:c r="P58" s="150"/>
      <x:c r="Q58" s="150"/>
    </x:row>
    <x:row r="59" ht="29" customHeight="1">
      <x:c r="A59" s="150"/>
      <x:c r="B59" s="150"/>
      <x:c r="C59" s="150"/>
      <x:c r="D59" s="150"/>
      <x:c r="E59" s="150"/>
      <x:c r="F59" s="150"/>
      <x:c r="G59" s="7" t="str">
        <x:v>Seniority</x:v>
      </x:c>
      <x:c r="H59" s="7" t="str">
        <x:v>Par</x:v>
      </x:c>
      <x:c r="I59" s="7" t="str">
        <x:v>Share</x:v>
      </x:c>
      <x:c r="J59" s="150"/>
      <x:c r="K59" s="150"/>
      <x:c r="L59" s="150"/>
      <x:c r="M59" s="150"/>
      <x:c r="N59" s="150"/>
      <x:c r="O59" s="150"/>
      <x:c r="P59" s="150"/>
      <x:c r="Q59" s="150"/>
    </x:row>
    <x:row r="60" ht="29" customHeight="1">
      <x:c r="A60" s="150"/>
      <x:c r="B60" s="150"/>
      <x:c r="C60" s="150"/>
      <x:c r="D60" s="150"/>
      <x:c r="E60" s="150"/>
      <x:c r="F60" s="150"/>
      <x:c r="G60" s="154" t="str">
        <x:v>1st Lien</x:v>
      </x:c>
      <x:c r="H60" s="66" t="n">
        <x:f>SUMIF('Portfolio Inputs'!H8:H59,G60,'Portfolio Inputs'!D8:D59)</x:f>
        <x:v>53898000</x:v>
      </x:c>
      <x:c r="I60" s="75" t="n">
        <x:f>IF(Portfolio_Par&gt;0,H60/Portfolio_Par,"")</x:f>
        <x:v>0.9668843283582089</x:v>
      </x:c>
      <x:c r="J60" s="150"/>
      <x:c r="K60" s="150"/>
      <x:c r="L60" s="150"/>
      <x:c r="M60" s="150"/>
      <x:c r="N60" s="150"/>
      <x:c r="O60" s="150"/>
      <x:c r="P60" s="150"/>
      <x:c r="Q60" s="150"/>
    </x:row>
    <x:row r="61" ht="29" customHeight="1">
      <x:c r="A61" s="150"/>
      <x:c r="B61" s="150"/>
      <x:c r="C61" s="150"/>
      <x:c r="D61" s="150"/>
      <x:c r="E61" s="150"/>
      <x:c r="F61" s="150"/>
      <x:c r="G61" s="154" t="str">
        <x:v>Sr Secured</x:v>
      </x:c>
      <x:c r="H61" s="66" t="n">
        <x:f>SUMIF('Portfolio Inputs'!H8:H59,G61,'Portfolio Inputs'!D8:D59)</x:f>
        <x:v>1260000</x:v>
      </x:c>
      <x:c r="I61" s="75" t="n">
        <x:f>IF(Portfolio_Par&gt;0,H61/Portfolio_Par,"")</x:f>
        <x:v>0.022603329506314582</x:v>
      </x:c>
      <x:c r="J61" s="150"/>
      <x:c r="K61" s="150"/>
      <x:c r="L61" s="150"/>
      <x:c r="M61" s="150"/>
      <x:c r="N61" s="150"/>
      <x:c r="O61" s="150"/>
      <x:c r="P61" s="150"/>
      <x:c r="Q61" s="150"/>
    </x:row>
    <x:row r="62" ht="29" customHeight="1">
      <x:c r="A62" s="150"/>
      <x:c r="B62" s="150"/>
      <x:c r="C62" s="150"/>
      <x:c r="D62" s="150"/>
      <x:c r="E62" s="150"/>
      <x:c r="F62" s="150"/>
      <x:c r="G62" s="154" t="str">
        <x:v>Sr Unsec</x:v>
      </x:c>
      <x:c r="H62" s="66" t="n">
        <x:f>SUMIF('Portfolio Inputs'!H8:H59,G62,'Portfolio Inputs'!D8:D59)</x:f>
        <x:v>586000</x:v>
      </x:c>
      <x:c r="I62" s="75" t="n">
        <x:f>IF(Portfolio_Par&gt;0,H62/Portfolio_Par,"")</x:f>
        <x:v>0.010512342135476464</x:v>
      </x:c>
      <x:c r="J62" s="150"/>
      <x:c r="K62" s="150"/>
      <x:c r="L62" s="150"/>
      <x:c r="M62" s="150"/>
      <x:c r="N62" s="150"/>
      <x:c r="O62" s="150"/>
      <x:c r="P62" s="150"/>
      <x:c r="Q62" s="150"/>
    </x:row>
    <x:row r="63" ht="29" customHeight="1">
      <x:c r="A63" s="150"/>
      <x:c r="B63" s="150"/>
      <x:c r="C63" s="150"/>
      <x:c r="D63" s="150"/>
      <x:c r="E63" s="150"/>
      <x:c r="F63" s="150"/>
      <x:c r="G63" s="154"/>
      <x:c r="H63" s="150"/>
      <x:c r="I63" s="150"/>
      <x:c r="J63" s="150"/>
      <x:c r="K63" s="150"/>
      <x:c r="L63" s="150"/>
      <x:c r="M63" s="150"/>
      <x:c r="N63" s="150"/>
      <x:c r="O63" s="150"/>
      <x:c r="P63" s="150"/>
      <x:c r="Q63" s="150"/>
    </x:row>
    <x:row r="64" ht="29" customHeight="1">
      <x:c r="A64" s="150"/>
      <x:c r="B64" s="150"/>
      <x:c r="C64" s="150"/>
      <x:c r="D64" s="150"/>
      <x:c r="E64" s="150"/>
      <x:c r="F64" s="150"/>
      <x:c r="G64" s="154"/>
      <x:c r="H64" s="150"/>
      <x:c r="I64" s="150"/>
      <x:c r="J64" s="150"/>
      <x:c r="K64" s="150"/>
      <x:c r="L64" s="150"/>
      <x:c r="M64" s="150"/>
      <x:c r="N64" s="150"/>
      <x:c r="O64" s="150"/>
      <x:c r="P64" s="150"/>
      <x:c r="Q64" s="150"/>
    </x:row>
    <x:row r="65" ht="29" customHeight="1">
      <x:c r="A65" s="150"/>
      <x:c r="B65" s="150"/>
      <x:c r="C65" s="150"/>
      <x:c r="D65" s="150"/>
      <x:c r="E65" s="150"/>
      <x:c r="F65" s="150"/>
      <x:c r="G65" s="7" t="str">
        <x:v>Rate type</x:v>
      </x:c>
      <x:c r="H65" s="7" t="str">
        <x:v>Par</x:v>
      </x:c>
      <x:c r="I65" s="7" t="str">
        <x:v>Share</x:v>
      </x:c>
      <x:c r="J65" s="150"/>
      <x:c r="K65" s="150"/>
      <x:c r="L65" s="150"/>
      <x:c r="M65" s="150"/>
      <x:c r="N65" s="150"/>
      <x:c r="O65" s="150"/>
      <x:c r="P65" s="150"/>
      <x:c r="Q65" s="150"/>
    </x:row>
    <x:row r="66" ht="29" customHeight="1">
      <x:c r="A66" s="150"/>
      <x:c r="B66" s="150"/>
      <x:c r="C66" s="150"/>
      <x:c r="D66" s="150"/>
      <x:c r="E66" s="150"/>
      <x:c r="F66" s="150"/>
      <x:c r="G66" s="154" t="str">
        <x:v>Floating</x:v>
      </x:c>
      <x:c r="H66" s="66" t="n">
        <x:f>SUMIF('Portfolio Inputs'!I8:I59,G66,'Portfolio Inputs'!D8:D59)</x:f>
        <x:v>55114000</x:v>
      </x:c>
      <x:c r="I66" s="75" t="n">
        <x:f>IF(Portfolio_Par&gt;0,H66/Portfolio_Par,"")</x:f>
        <x:v>0.9886983352468427</x:v>
      </x:c>
      <x:c r="J66" s="150"/>
      <x:c r="K66" s="150"/>
      <x:c r="L66" s="150"/>
      <x:c r="M66" s="150"/>
      <x:c r="N66" s="150"/>
      <x:c r="O66" s="150"/>
      <x:c r="P66" s="150"/>
      <x:c r="Q66" s="150"/>
    </x:row>
    <x:row r="67" ht="29" customHeight="1">
      <x:c r="A67" s="150"/>
      <x:c r="B67" s="150"/>
      <x:c r="C67" s="150"/>
      <x:c r="D67" s="150"/>
      <x:c r="E67" s="150"/>
      <x:c r="F67" s="150"/>
      <x:c r="G67" s="154" t="str">
        <x:v>Fixed</x:v>
      </x:c>
      <x:c r="H67" s="66" t="n">
        <x:f>SUMIF('Portfolio Inputs'!I8:I59,G67,'Portfolio Inputs'!D8:D59)</x:f>
        <x:v>630000</x:v>
      </x:c>
      <x:c r="I67" s="75" t="n">
        <x:f>IF(Portfolio_Par&gt;0,H67/Portfolio_Par,"")</x:f>
        <x:v>0.011301664753157291</x:v>
      </x:c>
      <x:c r="J67" s="150"/>
      <x:c r="K67" s="150"/>
      <x:c r="L67" s="150"/>
      <x:c r="M67" s="150"/>
      <x:c r="N67" s="150"/>
      <x:c r="O67" s="150"/>
      <x:c r="P67" s="150"/>
      <x:c r="Q67" s="150"/>
    </x:row>
    <x:row r="68" ht="29" customHeight="1">
      <x:c r="A68" s="150"/>
      <x:c r="B68" s="150"/>
      <x:c r="C68" s="150"/>
      <x:c r="D68" s="150"/>
      <x:c r="E68" s="150"/>
      <x:c r="F68" s="150"/>
      <x:c r="G68" s="154"/>
      <x:c r="H68" s="150"/>
      <x:c r="I68" s="150"/>
      <x:c r="J68" s="150"/>
      <x:c r="K68" s="150"/>
      <x:c r="L68" s="150"/>
      <x:c r="M68" s="150"/>
      <x:c r="N68" s="150"/>
      <x:c r="O68" s="150"/>
      <x:c r="P68" s="150"/>
      <x:c r="Q68" s="150"/>
    </x:row>
    <x:row r="69" ht="29" customHeight="1">
      <x:c r="A69" s="150"/>
      <x:c r="B69" s="150"/>
      <x:c r="C69" s="150"/>
      <x:c r="D69" s="150"/>
      <x:c r="E69" s="150"/>
      <x:c r="F69" s="150"/>
      <x:c r="G69" s="154"/>
      <x:c r="H69" s="150"/>
      <x:c r="I69" s="150"/>
      <x:c r="J69" s="150"/>
      <x:c r="K69" s="150"/>
      <x:c r="L69" s="150"/>
      <x:c r="M69" s="150"/>
      <x:c r="N69" s="150"/>
      <x:c r="O69" s="150"/>
      <x:c r="P69" s="150"/>
      <x:c r="Q69" s="150"/>
    </x:row>
    <x:row r="70" ht="29" customHeight="1">
      <x:c r="A70" s="150"/>
      <x:c r="B70" s="150"/>
      <x:c r="C70" s="150"/>
      <x:c r="D70" s="150"/>
      <x:c r="E70" s="150"/>
      <x:c r="F70" s="150"/>
      <x:c r="G70" s="154"/>
      <x:c r="H70" s="150"/>
      <x:c r="I70" s="150"/>
      <x:c r="J70" s="150"/>
      <x:c r="K70" s="150"/>
      <x:c r="L70" s="150"/>
      <x:c r="M70" s="150"/>
      <x:c r="N70" s="150"/>
      <x:c r="O70" s="150"/>
      <x:c r="P70" s="150"/>
      <x:c r="Q70" s="150"/>
    </x:row>
  </x:sheetData>
  <x:pageMargins left="0.7" right="0.7" top="0.75" bottom="0.75" header="0.3" footer="0.3"/>
  <x:drawing xmlns:r="http://schemas.openxmlformats.org/officeDocument/2006/relationships" r:id="R3547cff2f0074a02"/>
</x:worksheet>
</file>

<file path=xl/worksheets/sheet7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3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12" t="str">
        <x:v>Shared grouping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64" t="str">
        <x:v>Obligor Calculations</x:v>
      </x:c>
      <x:c r="B2" s="150"/>
      <x:c r="C2" s="150"/>
      <x:c r="D2" s="150"/>
      <x:c r="E2" s="150"/>
      <x:c r="F2" s="150"/>
      <x:c r="G2" s="150"/>
      <x:c r="H2" s="150"/>
      <x:c r="I2" s="150"/>
    </x:row>
    <x:row r="3">
      <x:c r="A3" s="150" t="str">
        <x:v>Identifiers and grouping come from Python; par, facility counts and concentration are Excel formulas.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ht="38" customHeight="1">
      <x:c r="A7" s="7" t="str">
        <x:v>Obligor ID</x:v>
      </x:c>
      <x:c r="B7" s="7" t="str">
        <x:v>Obligor name</x:v>
      </x:c>
      <x:c r="C7" s="7" t="str">
        <x:v>Rating input</x:v>
      </x:c>
      <x:c r="D7" s="7" t="str">
        <x:v>Industry</x:v>
      </x:c>
      <x:c r="E7" s="7" t="str">
        <x:v>Country</x:v>
      </x:c>
      <x:c r="F7" s="7" t="str">
        <x:v>Grouped par</x:v>
      </x:c>
      <x:c r="G7" s="7" t="str">
        <x:v>Facilities</x:v>
      </x:c>
      <x:c r="H7" s="7" t="str">
        <x:v>Weight</x:v>
      </x:c>
      <x:c r="I7" s="7" t="str">
        <x:v>Weight squared</x:v>
      </x:c>
    </x:row>
    <x:row r="8" ht="21" customHeight="1">
      <x:c r="A8" s="28" t="str">
        <x:v>SYN-OB-0001</x:v>
      </x:c>
      <x:c r="B8" s="28" t="str">
        <x:v>Alder Holdings 001</x:v>
      </x:c>
      <x:c r="C8" s="28" t="str">
        <x:v>BB-</x:v>
      </x:c>
      <x:c r="D8" s="28" t="str">
        <x:v>Hotels, Restaurants &amp; Leisure</x:v>
      </x:c>
      <x:c r="E8" s="28" t="str">
        <x:v>United States</x:v>
      </x:c>
      <x:c r="F8" s="66" t="n">
        <x:f>IF(A8="","",SUMIF('Portfolio Inputs'!B8:B59,A8,'Portfolio Inputs'!D8:D59))</x:f>
        <x:v>1182000</x:v>
      </x:c>
      <x:c r="G8" s="65" t="n">
        <x:f>IF(A8="","",COUNTIF('Portfolio Inputs'!B8:B59,A8))</x:f>
        <x:v>1</x:v>
      </x:c>
      <x:c r="H8" s="75" t="n">
        <x:f>IF(Portfolio_Par&gt;0,F8/Portfolio_Par,"")</x:f>
        <x:v>0.021204075774971298</x:v>
      </x:c>
      <x:c r="I8" s="196" t="n">
        <x:f>IF(Portfolio_Par&gt;0,H8^2,"")</x:f>
        <x:v>0.00044961282947072464</x:v>
      </x:c>
    </x:row>
    <x:row r="9" ht="21" customHeight="1">
      <x:c r="A9" s="28" t="str">
        <x:v>SYN-OB-0003</x:v>
      </x:c>
      <x:c r="B9" s="28" t="str">
        <x:v>Arbor Corp. 003</x:v>
      </x:c>
      <x:c r="C9" s="28" t="str">
        <x:v>B</x:v>
      </x:c>
      <x:c r="D9" s="28" t="str">
        <x:v>Industrial Conglomerates</x:v>
      </x:c>
      <x:c r="E9" s="28" t="str">
        <x:v>United States</x:v>
      </x:c>
      <x:c r="F9" s="66" t="n">
        <x:f>IF(A9="","",SUMIF('Portfolio Inputs'!B8:B59,A9,'Portfolio Inputs'!D8:D59))</x:f>
        <x:v>1182000</x:v>
      </x:c>
      <x:c r="G9" s="65" t="n">
        <x:f>IF(A9="","",COUNTIF('Portfolio Inputs'!B8:B59,A9))</x:f>
        <x:v>1</x:v>
      </x:c>
      <x:c r="H9" s="75" t="n">
        <x:f>IF(Portfolio_Par&gt;0,F9/Portfolio_Par,"")</x:f>
        <x:v>0.021204075774971298</x:v>
      </x:c>
      <x:c r="I9" s="196" t="n">
        <x:f>IF(Portfolio_Par&gt;0,H9^2,"")</x:f>
        <x:v>0.00044961282947072464</x:v>
      </x:c>
    </x:row>
    <x:row r="10" ht="21" customHeight="1">
      <x:c r="A10" s="28" t="str">
        <x:v>SYN-OB-0004</x:v>
      </x:c>
      <x:c r="B10" s="28" t="str">
        <x:v>Atlas Group 004</x:v>
      </x:c>
      <x:c r="C10" s="28" t="str">
        <x:v>B-</x:v>
      </x:c>
      <x:c r="D10" s="28" t="str">
        <x:v>Financial services</x:v>
      </x:c>
      <x:c r="E10" s="28" t="str">
        <x:v>United States</x:v>
      </x:c>
      <x:c r="F10" s="66" t="n">
        <x:f>IF(A10="","",SUMIF('Portfolio Inputs'!B8:B59,A10,'Portfolio Inputs'!D8:D59))</x:f>
        <x:v>1182000</x:v>
      </x:c>
      <x:c r="G10" s="65" t="n">
        <x:f>IF(A10="","",COUNTIF('Portfolio Inputs'!B8:B59,A10))</x:f>
        <x:v>1</x:v>
      </x:c>
      <x:c r="H10" s="75" t="n">
        <x:f>IF(Portfolio_Par&gt;0,F10/Portfolio_Par,"")</x:f>
        <x:v>0.021204075774971298</x:v>
      </x:c>
      <x:c r="I10" s="196" t="n">
        <x:f>IF(Portfolio_Par&gt;0,H10^2,"")</x:f>
        <x:v>0.00044961282947072464</x:v>
      </x:c>
    </x:row>
    <x:row r="11" ht="21" customHeight="1">
      <x:c r="A11" s="28" t="str">
        <x:v>SYN-OB-0005</x:v>
      </x:c>
      <x:c r="B11" s="28" t="str">
        <x:v>Beacon LLC 005</x:v>
      </x:c>
      <x:c r="C11" s="28" t="str">
        <x:v>B</x:v>
      </x:c>
      <x:c r="D11" s="28" t="str">
        <x:v>Healthcare Providers &amp; Services</x:v>
      </x:c>
      <x:c r="E11" s="28" t="str">
        <x:v>United States</x:v>
      </x:c>
      <x:c r="F11" s="66" t="n">
        <x:f>IF(A11="","",SUMIF('Portfolio Inputs'!B8:B59,A11,'Portfolio Inputs'!D8:D59))</x:f>
        <x:v>1182000</x:v>
      </x:c>
      <x:c r="G11" s="65" t="n">
        <x:f>IF(A11="","",COUNTIF('Portfolio Inputs'!B8:B59,A11))</x:f>
        <x:v>1</x:v>
      </x:c>
      <x:c r="H11" s="75" t="n">
        <x:f>IF(Portfolio_Par&gt;0,F11/Portfolio_Par,"")</x:f>
        <x:v>0.021204075774971298</x:v>
      </x:c>
      <x:c r="I11" s="196" t="n">
        <x:f>IF(Portfolio_Par&gt;0,H11^2,"")</x:f>
        <x:v>0.00044961282947072464</x:v>
      </x:c>
    </x:row>
    <x:row r="12" ht="21" customHeight="1">
      <x:c r="A12" s="28" t="str">
        <x:v>SYN-OB-0006</x:v>
      </x:c>
      <x:c r="B12" s="28" t="str">
        <x:v>Bluewater Holdings 006</x:v>
      </x:c>
      <x:c r="C12" s="28" t="str">
        <x:v>B</x:v>
      </x:c>
      <x:c r="D12" s="28" t="str">
        <x:v>Chemicals</x:v>
      </x:c>
      <x:c r="E12" s="28" t="str">
        <x:v>United States</x:v>
      </x:c>
      <x:c r="F12" s="66" t="n">
        <x:f>IF(A12="","",SUMIF('Portfolio Inputs'!B8:B59,A12,'Portfolio Inputs'!D8:D59))</x:f>
        <x:v>1182000</x:v>
      </x:c>
      <x:c r="G12" s="65" t="n">
        <x:f>IF(A12="","",COUNTIF('Portfolio Inputs'!B8:B59,A12))</x:f>
        <x:v>1</x:v>
      </x:c>
      <x:c r="H12" s="75" t="n">
        <x:f>IF(Portfolio_Par&gt;0,F12/Portfolio_Par,"")</x:f>
        <x:v>0.021204075774971298</x:v>
      </x:c>
      <x:c r="I12" s="196" t="n">
        <x:f>IF(Portfolio_Par&gt;0,H12^2,"")</x:f>
        <x:v>0.00044961282947072464</x:v>
      </x:c>
    </x:row>
    <x:row r="13" ht="21" customHeight="1">
      <x:c r="A13" s="28" t="str">
        <x:v>SYN-OB-0007</x:v>
      </x:c>
      <x:c r="B13" s="28" t="str">
        <x:v>Bracken Inc. 007</x:v>
      </x:c>
      <x:c r="C13" s="28" t="str">
        <x:v>B</x:v>
      </x:c>
      <x:c r="D13" s="28" t="str">
        <x:v>Building Products</x:v>
      </x:c>
      <x:c r="E13" s="28" t="str">
        <x:v>United States</x:v>
      </x:c>
      <x:c r="F13" s="66" t="n">
        <x:f>IF(A13="","",SUMIF('Portfolio Inputs'!B8:B59,A13,'Portfolio Inputs'!D8:D59))</x:f>
        <x:v>1182000</x:v>
      </x:c>
      <x:c r="G13" s="65" t="n">
        <x:f>IF(A13="","",COUNTIF('Portfolio Inputs'!B8:B59,A13))</x:f>
        <x:v>1</x:v>
      </x:c>
      <x:c r="H13" s="75" t="n">
        <x:f>IF(Portfolio_Par&gt;0,F13/Portfolio_Par,"")</x:f>
        <x:v>0.021204075774971298</x:v>
      </x:c>
      <x:c r="I13" s="196" t="n">
        <x:f>IF(Portfolio_Par&gt;0,H13^2,"")</x:f>
        <x:v>0.00044961282947072464</x:v>
      </x:c>
    </x:row>
    <x:row r="14" ht="21" customHeight="1">
      <x:c r="A14" s="28" t="str">
        <x:v>SYN-OB-0008</x:v>
      </x:c>
      <x:c r="B14" s="28" t="str">
        <x:v>Cedar Corp. 008</x:v>
      </x:c>
      <x:c r="C14" s="28" t="str">
        <x:v>B+</x:v>
      </x:c>
      <x:c r="D14" s="28" t="str">
        <x:v>Industrial Conglomerates</x:v>
      </x:c>
      <x:c r="E14" s="28" t="str">
        <x:v>United States</x:v>
      </x:c>
      <x:c r="F14" s="66" t="n">
        <x:f>IF(A14="","",SUMIF('Portfolio Inputs'!B8:B59,A14,'Portfolio Inputs'!D8:D59))</x:f>
        <x:v>1182000</x:v>
      </x:c>
      <x:c r="G14" s="65" t="n">
        <x:f>IF(A14="","",COUNTIF('Portfolio Inputs'!B8:B59,A14))</x:f>
        <x:v>1</x:v>
      </x:c>
      <x:c r="H14" s="75" t="n">
        <x:f>IF(Portfolio_Par&gt;0,F14/Portfolio_Par,"")</x:f>
        <x:v>0.021204075774971298</x:v>
      </x:c>
      <x:c r="I14" s="196" t="n">
        <x:f>IF(Portfolio_Par&gt;0,H14^2,"")</x:f>
        <x:v>0.00044961282947072464</x:v>
      </x:c>
    </x:row>
    <x:row r="15" ht="21" customHeight="1">
      <x:c r="A15" s="28" t="str">
        <x:v>SYN-OB-0009</x:v>
      </x:c>
      <x:c r="B15" s="28" t="str">
        <x:v>Cobalt Group 009</x:v>
      </x:c>
      <x:c r="C15" s="28" t="str">
        <x:v>BB-</x:v>
      </x:c>
      <x:c r="D15" s="28" t="str">
        <x:v>Diversified Telecommunication Services</x:v>
      </x:c>
      <x:c r="E15" s="28" t="str">
        <x:v>United States</x:v>
      </x:c>
      <x:c r="F15" s="66" t="n">
        <x:f>IF(A15="","",SUMIF('Portfolio Inputs'!B8:B59,A15,'Portfolio Inputs'!D8:D59))</x:f>
        <x:v>1182000</x:v>
      </x:c>
      <x:c r="G15" s="65" t="n">
        <x:f>IF(A15="","",COUNTIF('Portfolio Inputs'!B8:B59,A15))</x:f>
        <x:v>1</x:v>
      </x:c>
      <x:c r="H15" s="75" t="n">
        <x:f>IF(Portfolio_Par&gt;0,F15/Portfolio_Par,"")</x:f>
        <x:v>0.021204075774971298</x:v>
      </x:c>
      <x:c r="I15" s="196" t="n">
        <x:f>IF(Portfolio_Par&gt;0,H15^2,"")</x:f>
        <x:v>0.00044961282947072464</x:v>
      </x:c>
    </x:row>
    <x:row r="16" ht="21" customHeight="1">
      <x:c r="A16" s="28" t="str">
        <x:v>SYN-OB-0010</x:v>
      </x:c>
      <x:c r="B16" s="28" t="str">
        <x:v>Copper LLC 010</x:v>
      </x:c>
      <x:c r="C16" s="28" t="str">
        <x:v>BB</x:v>
      </x:c>
      <x:c r="D16" s="28" t="str">
        <x:v>Commercial Services &amp; Supplies</x:v>
      </x:c>
      <x:c r="E16" s="28" t="str">
        <x:v>United States</x:v>
      </x:c>
      <x:c r="F16" s="66" t="n">
        <x:f>IF(A16="","",SUMIF('Portfolio Inputs'!B8:B59,A16,'Portfolio Inputs'!D8:D59))</x:f>
        <x:v>1182000</x:v>
      </x:c>
      <x:c r="G16" s="65" t="n">
        <x:f>IF(A16="","",COUNTIF('Portfolio Inputs'!B8:B59,A16))</x:f>
        <x:v>1</x:v>
      </x:c>
      <x:c r="H16" s="75" t="n">
        <x:f>IF(Portfolio_Par&gt;0,F16/Portfolio_Par,"")</x:f>
        <x:v>0.021204075774971298</x:v>
      </x:c>
      <x:c r="I16" s="196" t="n">
        <x:f>IF(Portfolio_Par&gt;0,H16^2,"")</x:f>
        <x:v>0.00044961282947072464</x:v>
      </x:c>
    </x:row>
    <x:row r="17" ht="21" customHeight="1">
      <x:c r="A17" s="28" t="str">
        <x:v>SYN-OB-0011</x:v>
      </x:c>
      <x:c r="B17" s="28" t="str">
        <x:v>Crest Holdings 011</x:v>
      </x:c>
      <x:c r="C17" s="28" t="str">
        <x:v>B+</x:v>
      </x:c>
      <x:c r="D17" s="28" t="str">
        <x:v>Commercial Services &amp; Supplies</x:v>
      </x:c>
      <x:c r="E17" s="28" t="str">
        <x:v>United States</x:v>
      </x:c>
      <x:c r="F17" s="66" t="n">
        <x:f>IF(A17="","",SUMIF('Portfolio Inputs'!B8:B59,A17,'Portfolio Inputs'!D8:D59))</x:f>
        <x:v>1182000</x:v>
      </x:c>
      <x:c r="G17" s="65" t="n">
        <x:f>IF(A17="","",COUNTIF('Portfolio Inputs'!B8:B59,A17))</x:f>
        <x:v>2</x:v>
      </x:c>
      <x:c r="H17" s="75" t="n">
        <x:f>IF(Portfolio_Par&gt;0,F17/Portfolio_Par,"")</x:f>
        <x:v>0.021204075774971298</x:v>
      </x:c>
      <x:c r="I17" s="196" t="n">
        <x:f>IF(Portfolio_Par&gt;0,H17^2,"")</x:f>
        <x:v>0.00044961282947072464</x:v>
      </x:c>
    </x:row>
    <x:row r="18" ht="21" customHeight="1">
      <x:c r="A18" s="28" t="str">
        <x:v>SYN-OB-0012</x:v>
      </x:c>
      <x:c r="B18" s="28" t="str">
        <x:v>Duneland Inc. 012</x:v>
      </x:c>
      <x:c r="C18" s="28" t="str">
        <x:v>B+</x:v>
      </x:c>
      <x:c r="D18" s="28" t="str">
        <x:v>Industrial Conglomerates</x:v>
      </x:c>
      <x:c r="E18" s="28" t="str">
        <x:v>United States</x:v>
      </x:c>
      <x:c r="F18" s="66" t="n">
        <x:f>IF(A18="","",SUMIF('Portfolio Inputs'!B8:B59,A18,'Portfolio Inputs'!D8:D59))</x:f>
        <x:v>1182000</x:v>
      </x:c>
      <x:c r="G18" s="65" t="n">
        <x:f>IF(A18="","",COUNTIF('Portfolio Inputs'!B8:B59,A18))</x:f>
        <x:v>2</x:v>
      </x:c>
      <x:c r="H18" s="75" t="n">
        <x:f>IF(Portfolio_Par&gt;0,F18/Portfolio_Par,"")</x:f>
        <x:v>0.021204075774971298</x:v>
      </x:c>
      <x:c r="I18" s="196" t="n">
        <x:f>IF(Portfolio_Par&gt;0,H18^2,"")</x:f>
        <x:v>0.00044961282947072464</x:v>
      </x:c>
    </x:row>
    <x:row r="19" ht="21" customHeight="1">
      <x:c r="A19" s="28" t="str">
        <x:v>SYN-OB-0013</x:v>
      </x:c>
      <x:c r="B19" s="28" t="str">
        <x:v>Elmstone Corp. 013</x:v>
      </x:c>
      <x:c r="C19" s="28" t="str">
        <x:v>BB</x:v>
      </x:c>
      <x:c r="D19" s="28" t="str">
        <x:v>Construction Materials</x:v>
      </x:c>
      <x:c r="E19" s="28" t="str">
        <x:v>United States</x:v>
      </x:c>
      <x:c r="F19" s="66" t="n">
        <x:f>IF(A19="","",SUMIF('Portfolio Inputs'!B8:B59,A19,'Portfolio Inputs'!D8:D59))</x:f>
        <x:v>1182000</x:v>
      </x:c>
      <x:c r="G19" s="65" t="n">
        <x:f>IF(A19="","",COUNTIF('Portfolio Inputs'!B8:B59,A19))</x:f>
        <x:v>1</x:v>
      </x:c>
      <x:c r="H19" s="75" t="n">
        <x:f>IF(Portfolio_Par&gt;0,F19/Portfolio_Par,"")</x:f>
        <x:v>0.021204075774971298</x:v>
      </x:c>
      <x:c r="I19" s="196" t="n">
        <x:f>IF(Portfolio_Par&gt;0,H19^2,"")</x:f>
        <x:v>0.00044961282947072464</x:v>
      </x:c>
    </x:row>
    <x:row r="20" ht="21" customHeight="1">
      <x:c r="A20" s="28" t="str">
        <x:v>SYN-OB-0014</x:v>
      </x:c>
      <x:c r="B20" s="28" t="str">
        <x:v>Evergreen Group 014</x:v>
      </x:c>
      <x:c r="C20" s="28" t="str">
        <x:v>BB-</x:v>
      </x:c>
      <x:c r="D20" s="28" t="str">
        <x:v>Hotels, Restaurants &amp; Leisure</x:v>
      </x:c>
      <x:c r="E20" s="28" t="str">
        <x:v>United States</x:v>
      </x:c>
      <x:c r="F20" s="66" t="n">
        <x:f>IF(A20="","",SUMIF('Portfolio Inputs'!B8:B59,A20,'Portfolio Inputs'!D8:D59))</x:f>
        <x:v>1182000</x:v>
      </x:c>
      <x:c r="G20" s="65" t="n">
        <x:f>IF(A20="","",COUNTIF('Portfolio Inputs'!B8:B59,A20))</x:f>
        <x:v>1</x:v>
      </x:c>
      <x:c r="H20" s="75" t="n">
        <x:f>IF(Portfolio_Par&gt;0,F20/Portfolio_Par,"")</x:f>
        <x:v>0.021204075774971298</x:v>
      </x:c>
      <x:c r="I20" s="196" t="n">
        <x:f>IF(Portfolio_Par&gt;0,H20^2,"")</x:f>
        <x:v>0.00044961282947072464</x:v>
      </x:c>
    </x:row>
    <x:row r="21" ht="21" customHeight="1">
      <x:c r="A21" s="28" t="str">
        <x:v>SYN-OB-0016</x:v>
      </x:c>
      <x:c r="B21" s="28" t="str">
        <x:v>Granite Holdings 016</x:v>
      </x:c>
      <x:c r="C21" s="28" t="str">
        <x:v>BB</x:v>
      </x:c>
      <x:c r="D21" s="28" t="str">
        <x:v>Banks</x:v>
      </x:c>
      <x:c r="E21" s="28" t="str">
        <x:v>United States</x:v>
      </x:c>
      <x:c r="F21" s="66" t="n">
        <x:f>IF(A21="","",SUMIF('Portfolio Inputs'!B8:B59,A21,'Portfolio Inputs'!D8:D59))</x:f>
        <x:v>1182000</x:v>
      </x:c>
      <x:c r="G21" s="65" t="n">
        <x:f>IF(A21="","",COUNTIF('Portfolio Inputs'!B8:B59,A21))</x:f>
        <x:v>1</x:v>
      </x:c>
      <x:c r="H21" s="75" t="n">
        <x:f>IF(Portfolio_Par&gt;0,F21/Portfolio_Par,"")</x:f>
        <x:v>0.021204075774971298</x:v>
      </x:c>
      <x:c r="I21" s="196" t="n">
        <x:f>IF(Portfolio_Par&gt;0,H21^2,"")</x:f>
        <x:v>0.00044961282947072464</x:v>
      </x:c>
    </x:row>
    <x:row r="22" ht="21" customHeight="1">
      <x:c r="A22" s="28" t="str">
        <x:v>SYN-OB-0017</x:v>
      </x:c>
      <x:c r="B22" s="28" t="str">
        <x:v>Harbor Inc. 017</x:v>
      </x:c>
      <x:c r="C22" s="28" t="str">
        <x:v>B-</x:v>
      </x:c>
      <x:c r="D22" s="28" t="str">
        <x:v>Transportation Infrastructure</x:v>
      </x:c>
      <x:c r="E22" s="28" t="str">
        <x:v>United States</x:v>
      </x:c>
      <x:c r="F22" s="66" t="n">
        <x:f>IF(A22="","",SUMIF('Portfolio Inputs'!B8:B59,A22,'Portfolio Inputs'!D8:D59))</x:f>
        <x:v>1182000</x:v>
      </x:c>
      <x:c r="G22" s="65" t="n">
        <x:f>IF(A22="","",COUNTIF('Portfolio Inputs'!B8:B59,A22))</x:f>
        <x:v>1</x:v>
      </x:c>
      <x:c r="H22" s="75" t="n">
        <x:f>IF(Portfolio_Par&gt;0,F22/Portfolio_Par,"")</x:f>
        <x:v>0.021204075774971298</x:v>
      </x:c>
      <x:c r="I22" s="196" t="n">
        <x:f>IF(Portfolio_Par&gt;0,H22^2,"")</x:f>
        <x:v>0.00044961282947072464</x:v>
      </x:c>
    </x:row>
    <x:row r="23" ht="21" customHeight="1">
      <x:c r="A23" s="28" t="str">
        <x:v>SYN-OB-0018</x:v>
      </x:c>
      <x:c r="B23" s="28" t="str">
        <x:v>Hawthorne Corp. 018</x:v>
      </x:c>
      <x:c r="C23" s="28" t="str">
        <x:v>B+</x:v>
      </x:c>
      <x:c r="D23" s="28" t="str">
        <x:v>Passenger airlines</x:v>
      </x:c>
      <x:c r="E23" s="28" t="str">
        <x:v>United States</x:v>
      </x:c>
      <x:c r="F23" s="66" t="n">
        <x:f>IF(A23="","",SUMIF('Portfolio Inputs'!B8:B59,A23,'Portfolio Inputs'!D8:D59))</x:f>
        <x:v>1182000</x:v>
      </x:c>
      <x:c r="G23" s="65" t="n">
        <x:f>IF(A23="","",COUNTIF('Portfolio Inputs'!B8:B59,A23))</x:f>
        <x:v>1</x:v>
      </x:c>
      <x:c r="H23" s="75" t="n">
        <x:f>IF(Portfolio_Par&gt;0,F23/Portfolio_Par,"")</x:f>
        <x:v>0.021204075774971298</x:v>
      </x:c>
      <x:c r="I23" s="196" t="n">
        <x:f>IF(Portfolio_Par&gt;0,H23^2,"")</x:f>
        <x:v>0.00044961282947072464</x:v>
      </x:c>
    </x:row>
    <x:row r="24" ht="21" customHeight="1">
      <x:c r="A24" s="28" t="str">
        <x:v>SYN-OB-0019</x:v>
      </x:c>
      <x:c r="B24" s="28" t="str">
        <x:v>Highland Group 019</x:v>
      </x:c>
      <x:c r="C24" s="28" t="str">
        <x:v>BB-</x:v>
      </x:c>
      <x:c r="D24" s="28" t="str">
        <x:v>Industrial Conglomerates</x:v>
      </x:c>
      <x:c r="E24" s="28" t="str">
        <x:v>United States</x:v>
      </x:c>
      <x:c r="F24" s="66" t="n">
        <x:f>IF(A24="","",SUMIF('Portfolio Inputs'!B8:B59,A24,'Portfolio Inputs'!D8:D59))</x:f>
        <x:v>1182000</x:v>
      </x:c>
      <x:c r="G24" s="65" t="n">
        <x:f>IF(A24="","",COUNTIF('Portfolio Inputs'!B8:B59,A24))</x:f>
        <x:v>1</x:v>
      </x:c>
      <x:c r="H24" s="75" t="n">
        <x:f>IF(Portfolio_Par&gt;0,F24/Portfolio_Par,"")</x:f>
        <x:v>0.021204075774971298</x:v>
      </x:c>
      <x:c r="I24" s="196" t="n">
        <x:f>IF(Portfolio_Par&gt;0,H24^2,"")</x:f>
        <x:v>0.00044961282947072464</x:v>
      </x:c>
    </x:row>
    <x:row r="25" ht="21" customHeight="1">
      <x:c r="A25" s="28" t="str">
        <x:v>SYN-OB-0020</x:v>
      </x:c>
      <x:c r="B25" s="28" t="str">
        <x:v>Ironwood LLC 020</x:v>
      </x:c>
      <x:c r="C25" s="28" t="str">
        <x:v>BBB-</x:v>
      </x:c>
      <x:c r="D25" s="28" t="str">
        <x:v>Capital Markets</x:v>
      </x:c>
      <x:c r="E25" s="28" t="str">
        <x:v>United States</x:v>
      </x:c>
      <x:c r="F25" s="66" t="n">
        <x:f>IF(A25="","",SUMIF('Portfolio Inputs'!B8:B59,A25,'Portfolio Inputs'!D8:D59))</x:f>
        <x:v>1182000</x:v>
      </x:c>
      <x:c r="G25" s="65" t="n">
        <x:f>IF(A25="","",COUNTIF('Portfolio Inputs'!B8:B59,A25))</x:f>
        <x:v>1</x:v>
      </x:c>
      <x:c r="H25" s="75" t="n">
        <x:f>IF(Portfolio_Par&gt;0,F25/Portfolio_Par,"")</x:f>
        <x:v>0.021204075774971298</x:v>
      </x:c>
      <x:c r="I25" s="196" t="n">
        <x:f>IF(Portfolio_Par&gt;0,H25^2,"")</x:f>
        <x:v>0.00044961282947072464</x:v>
      </x:c>
    </x:row>
    <x:row r="26" ht="21" customHeight="1">
      <x:c r="A26" s="28" t="str">
        <x:v>SYN-OB-0021</x:v>
      </x:c>
      <x:c r="B26" s="28" t="str">
        <x:v>Juniper Holdings 021</x:v>
      </x:c>
      <x:c r="C26" s="28" t="str">
        <x:v>BB</x:v>
      </x:c>
      <x:c r="D26" s="28" t="str">
        <x:v>Healthcare Technology</x:v>
      </x:c>
      <x:c r="E26" s="28" t="str">
        <x:v>United States</x:v>
      </x:c>
      <x:c r="F26" s="66" t="n">
        <x:f>IF(A26="","",SUMIF('Portfolio Inputs'!B8:B59,A26,'Portfolio Inputs'!D8:D59))</x:f>
        <x:v>1182000</x:v>
      </x:c>
      <x:c r="G26" s="65" t="n">
        <x:f>IF(A26="","",COUNTIF('Portfolio Inputs'!B8:B59,A26))</x:f>
        <x:v>1</x:v>
      </x:c>
      <x:c r="H26" s="75" t="n">
        <x:f>IF(Portfolio_Par&gt;0,F26/Portfolio_Par,"")</x:f>
        <x:v>0.021204075774971298</x:v>
      </x:c>
      <x:c r="I26" s="196" t="n">
        <x:f>IF(Portfolio_Par&gt;0,H26^2,"")</x:f>
        <x:v>0.00044961282947072464</x:v>
      </x:c>
    </x:row>
    <x:row r="27" ht="21" customHeight="1">
      <x:c r="A27" s="28" t="str">
        <x:v>SYN-OB-0022</x:v>
      </x:c>
      <x:c r="B27" s="28" t="str">
        <x:v>Keystone Inc. 022</x:v>
      </x:c>
      <x:c r="C27" s="28" t="str">
        <x:v>B+</x:v>
      </x:c>
      <x:c r="D27" s="28" t="str">
        <x:v>Hotels, Restaurants &amp; Leisure</x:v>
      </x:c>
      <x:c r="E27" s="28" t="str">
        <x:v>United States</x:v>
      </x:c>
      <x:c r="F27" s="66" t="n">
        <x:f>IF(A27="","",SUMIF('Portfolio Inputs'!B8:B59,A27,'Portfolio Inputs'!D8:D59))</x:f>
        <x:v>1182000</x:v>
      </x:c>
      <x:c r="G27" s="65" t="n">
        <x:f>IF(A27="","",COUNTIF('Portfolio Inputs'!B8:B59,A27))</x:f>
        <x:v>1</x:v>
      </x:c>
      <x:c r="H27" s="75" t="n">
        <x:f>IF(Portfolio_Par&gt;0,F27/Portfolio_Par,"")</x:f>
        <x:v>0.021204075774971298</x:v>
      </x:c>
      <x:c r="I27" s="196" t="n">
        <x:f>IF(Portfolio_Par&gt;0,H27^2,"")</x:f>
        <x:v>0.00044961282947072464</x:v>
      </x:c>
    </x:row>
    <x:row r="28" ht="21" customHeight="1">
      <x:c r="A28" s="28" t="str">
        <x:v>SYN-OB-0023</x:v>
      </x:c>
      <x:c r="B28" s="28" t="str">
        <x:v>Lakeview Corp. 023</x:v>
      </x:c>
      <x:c r="C28" s="28" t="str">
        <x:v>B-</x:v>
      </x:c>
      <x:c r="D28" s="28" t="str">
        <x:v>Containers &amp; Packaging</x:v>
      </x:c>
      <x:c r="E28" s="28" t="str">
        <x:v>United States</x:v>
      </x:c>
      <x:c r="F28" s="66" t="n">
        <x:f>IF(A28="","",SUMIF('Portfolio Inputs'!B8:B59,A28,'Portfolio Inputs'!D8:D59))</x:f>
        <x:v>1182000</x:v>
      </x:c>
      <x:c r="G28" s="65" t="n">
        <x:f>IF(A28="","",COUNTIF('Portfolio Inputs'!B8:B59,A28))</x:f>
        <x:v>1</x:v>
      </x:c>
      <x:c r="H28" s="75" t="n">
        <x:f>IF(Portfolio_Par&gt;0,F28/Portfolio_Par,"")</x:f>
        <x:v>0.021204075774971298</x:v>
      </x:c>
      <x:c r="I28" s="196" t="n">
        <x:f>IF(Portfolio_Par&gt;0,H28^2,"")</x:f>
        <x:v>0.00044961282947072464</x:v>
      </x:c>
    </x:row>
    <x:row r="29" ht="21" customHeight="1">
      <x:c r="A29" s="28" t="str">
        <x:v>SYN-OB-0024</x:v>
      </x:c>
      <x:c r="B29" s="28" t="str">
        <x:v>Larkspur Group 024</x:v>
      </x:c>
      <x:c r="C29" s="28" t="str">
        <x:v>B</x:v>
      </x:c>
      <x:c r="D29" s="28" t="str">
        <x:v>Aerospace &amp; Defense</x:v>
      </x:c>
      <x:c r="E29" s="28" t="str">
        <x:v>Luxembourg</x:v>
      </x:c>
      <x:c r="F29" s="66" t="n">
        <x:f>IF(A29="","",SUMIF('Portfolio Inputs'!B8:B59,A29,'Portfolio Inputs'!D8:D59))</x:f>
        <x:v>1182000</x:v>
      </x:c>
      <x:c r="G29" s="65" t="n">
        <x:f>IF(A29="","",COUNTIF('Portfolio Inputs'!B8:B59,A29))</x:f>
        <x:v>1</x:v>
      </x:c>
      <x:c r="H29" s="75" t="n">
        <x:f>IF(Portfolio_Par&gt;0,F29/Portfolio_Par,"")</x:f>
        <x:v>0.021204075774971298</x:v>
      </x:c>
      <x:c r="I29" s="196" t="n">
        <x:f>IF(Portfolio_Par&gt;0,H29^2,"")</x:f>
        <x:v>0.00044961282947072464</x:v>
      </x:c>
    </x:row>
    <x:row r="30" ht="21" customHeight="1">
      <x:c r="A30" s="28" t="str">
        <x:v>SYN-OB-0025</x:v>
      </x:c>
      <x:c r="B30" s="28" t="str">
        <x:v>Maple LLC 025</x:v>
      </x:c>
      <x:c r="C30" s="28" t="str">
        <x:v>BB-</x:v>
      </x:c>
      <x:c r="D30" s="28" t="str">
        <x:v>Broadline retail</x:v>
      </x:c>
      <x:c r="E30" s="28" t="str">
        <x:v>United States</x:v>
      </x:c>
      <x:c r="F30" s="66" t="n">
        <x:f>IF(A30="","",SUMIF('Portfolio Inputs'!B8:B59,A30,'Portfolio Inputs'!D8:D59))</x:f>
        <x:v>1182000</x:v>
      </x:c>
      <x:c r="G30" s="65" t="n">
        <x:f>IF(A30="","",COUNTIF('Portfolio Inputs'!B8:B59,A30))</x:f>
        <x:v>1</x:v>
      </x:c>
      <x:c r="H30" s="75" t="n">
        <x:f>IF(Portfolio_Par&gt;0,F30/Portfolio_Par,"")</x:f>
        <x:v>0.021204075774971298</x:v>
      </x:c>
      <x:c r="I30" s="196" t="n">
        <x:f>IF(Portfolio_Par&gt;0,H30^2,"")</x:f>
        <x:v>0.00044961282947072464</x:v>
      </x:c>
    </x:row>
    <x:row r="31" ht="21" customHeight="1">
      <x:c r="A31" s="28" t="str">
        <x:v>SYN-OB-0026</x:v>
      </x:c>
      <x:c r="B31" s="28" t="str">
        <x:v>Meridian Holdings 026</x:v>
      </x:c>
      <x:c r="C31" s="28" t="str">
        <x:v>BB-</x:v>
      </x:c>
      <x:c r="D31" s="28" t="str">
        <x:v>Household Products</x:v>
      </x:c>
      <x:c r="E31" s="28" t="str">
        <x:v>United States</x:v>
      </x:c>
      <x:c r="F31" s="66" t="n">
        <x:f>IF(A31="","",SUMIF('Portfolio Inputs'!B8:B59,A31,'Portfolio Inputs'!D8:D59))</x:f>
        <x:v>1182000</x:v>
      </x:c>
      <x:c r="G31" s="65" t="n">
        <x:f>IF(A31="","",COUNTIF('Portfolio Inputs'!B8:B59,A31))</x:f>
        <x:v>1</x:v>
      </x:c>
      <x:c r="H31" s="75" t="n">
        <x:f>IF(Portfolio_Par&gt;0,F31/Portfolio_Par,"")</x:f>
        <x:v>0.021204075774971298</x:v>
      </x:c>
      <x:c r="I31" s="196" t="n">
        <x:f>IF(Portfolio_Par&gt;0,H31^2,"")</x:f>
        <x:v>0.00044961282947072464</x:v>
      </x:c>
    </x:row>
    <x:row r="32" ht="21" customHeight="1">
      <x:c r="A32" s="28" t="str">
        <x:v>SYN-OB-0028</x:v>
      </x:c>
      <x:c r="B32" s="28" t="str">
        <x:v>Oakmont Corp. 028</x:v>
      </x:c>
      <x:c r="C32" s="28" t="str">
        <x:v>B-</x:v>
      </x:c>
      <x:c r="D32" s="28" t="str">
        <x:v>Financial services</x:v>
      </x:c>
      <x:c r="E32" s="28" t="str">
        <x:v>United States</x:v>
      </x:c>
      <x:c r="F32" s="66" t="n">
        <x:f>IF(A32="","",SUMIF('Portfolio Inputs'!B8:B59,A32,'Portfolio Inputs'!D8:D59))</x:f>
        <x:v>1182000</x:v>
      </x:c>
      <x:c r="G32" s="65" t="n">
        <x:f>IF(A32="","",COUNTIF('Portfolio Inputs'!B8:B59,A32))</x:f>
        <x:v>1</x:v>
      </x:c>
      <x:c r="H32" s="75" t="n">
        <x:f>IF(Portfolio_Par&gt;0,F32/Portfolio_Par,"")</x:f>
        <x:v>0.021204075774971298</x:v>
      </x:c>
      <x:c r="I32" s="196" t="n">
        <x:f>IF(Portfolio_Par&gt;0,H32^2,"")</x:f>
        <x:v>0.00044961282947072464</x:v>
      </x:c>
    </x:row>
    <x:row r="33" ht="21" customHeight="1">
      <x:c r="A33" s="28" t="str">
        <x:v>SYN-OB-0029</x:v>
      </x:c>
      <x:c r="B33" s="28" t="str">
        <x:v>Orchard Group 029</x:v>
      </x:c>
      <x:c r="C33" s="28" t="str">
        <x:v>B+</x:v>
      </x:c>
      <x:c r="D33" s="28" t="str">
        <x:v>Semiconductors &amp; Semiconductor Equipment</x:v>
      </x:c>
      <x:c r="E33" s="28" t="str">
        <x:v>United States</x:v>
      </x:c>
      <x:c r="F33" s="66" t="n">
        <x:f>IF(A33="","",SUMIF('Portfolio Inputs'!B8:B59,A33,'Portfolio Inputs'!D8:D59))</x:f>
        <x:v>1182000</x:v>
      </x:c>
      <x:c r="G33" s="65" t="n">
        <x:f>IF(A33="","",COUNTIF('Portfolio Inputs'!B8:B59,A33))</x:f>
        <x:v>1</x:v>
      </x:c>
      <x:c r="H33" s="75" t="n">
        <x:f>IF(Portfolio_Par&gt;0,F33/Portfolio_Par,"")</x:f>
        <x:v>0.021204075774971298</x:v>
      </x:c>
      <x:c r="I33" s="196" t="n">
        <x:f>IF(Portfolio_Par&gt;0,H33^2,"")</x:f>
        <x:v>0.00044961282947072464</x:v>
      </x:c>
    </x:row>
    <x:row r="34" ht="21" customHeight="1">
      <x:c r="A34" s="28" t="str">
        <x:v>SYN-OB-0030</x:v>
      </x:c>
      <x:c r="B34" s="28" t="str">
        <x:v>Pinecrest LLC 030</x:v>
      </x:c>
      <x:c r="C34" s="28" t="str">
        <x:v>B</x:v>
      </x:c>
      <x:c r="D34" s="28" t="str">
        <x:v>Industrial Conglomerates</x:v>
      </x:c>
      <x:c r="E34" s="28" t="str">
        <x:v>United States</x:v>
      </x:c>
      <x:c r="F34" s="66" t="n">
        <x:f>IF(A34="","",SUMIF('Portfolio Inputs'!B8:B59,A34,'Portfolio Inputs'!D8:D59))</x:f>
        <x:v>1182000</x:v>
      </x:c>
      <x:c r="G34" s="65" t="n">
        <x:f>IF(A34="","",COUNTIF('Portfolio Inputs'!B8:B59,A34))</x:f>
        <x:v>1</x:v>
      </x:c>
      <x:c r="H34" s="75" t="n">
        <x:f>IF(Portfolio_Par&gt;0,F34/Portfolio_Par,"")</x:f>
        <x:v>0.021204075774971298</x:v>
      </x:c>
      <x:c r="I34" s="196" t="n">
        <x:f>IF(Portfolio_Par&gt;0,H34^2,"")</x:f>
        <x:v>0.00044961282947072464</x:v>
      </x:c>
    </x:row>
    <x:row r="35" ht="21" customHeight="1">
      <x:c r="A35" s="28" t="str">
        <x:v>SYN-OB-0031</x:v>
      </x:c>
      <x:c r="B35" s="28" t="str">
        <x:v>Redwood Holdings 031</x:v>
      </x:c>
      <x:c r="C35" s="28" t="str">
        <x:v>B+</x:v>
      </x:c>
      <x:c r="D35" s="28" t="str">
        <x:v>Professional Services</x:v>
      </x:c>
      <x:c r="E35" s="28" t="str">
        <x:v>United States</x:v>
      </x:c>
      <x:c r="F35" s="66" t="n">
        <x:f>IF(A35="","",SUMIF('Portfolio Inputs'!B8:B59,A35,'Portfolio Inputs'!D8:D59))</x:f>
        <x:v>1182000</x:v>
      </x:c>
      <x:c r="G35" s="65" t="n">
        <x:f>IF(A35="","",COUNTIF('Portfolio Inputs'!B8:B59,A35))</x:f>
        <x:v>1</x:v>
      </x:c>
      <x:c r="H35" s="75" t="n">
        <x:f>IF(Portfolio_Par&gt;0,F35/Portfolio_Par,"")</x:f>
        <x:v>0.021204075774971298</x:v>
      </x:c>
      <x:c r="I35" s="196" t="n">
        <x:f>IF(Portfolio_Par&gt;0,H35^2,"")</x:f>
        <x:v>0.00044961282947072464</x:v>
      </x:c>
    </x:row>
    <x:row r="36" ht="21" customHeight="1">
      <x:c r="A36" s="28" t="str">
        <x:v>SYN-OB-0032</x:v>
      </x:c>
      <x:c r="B36" s="28" t="str">
        <x:v>Riverton Inc. 032</x:v>
      </x:c>
      <x:c r="C36" s="28" t="str">
        <x:v>B+</x:v>
      </x:c>
      <x:c r="D36" s="28" t="str">
        <x:v>Semiconductors &amp; Semiconductor Equipment</x:v>
      </x:c>
      <x:c r="E36" s="28" t="str">
        <x:v>United States</x:v>
      </x:c>
      <x:c r="F36" s="66" t="n">
        <x:f>IF(A36="","",SUMIF('Portfolio Inputs'!B8:B59,A36,'Portfolio Inputs'!D8:D59))</x:f>
        <x:v>1182000</x:v>
      </x:c>
      <x:c r="G36" s="65" t="n">
        <x:f>IF(A36="","",COUNTIF('Portfolio Inputs'!B8:B59,A36))</x:f>
        <x:v>1</x:v>
      </x:c>
      <x:c r="H36" s="75" t="n">
        <x:f>IF(Portfolio_Par&gt;0,F36/Portfolio_Par,"")</x:f>
        <x:v>0.021204075774971298</x:v>
      </x:c>
      <x:c r="I36" s="196" t="n">
        <x:f>IF(Portfolio_Par&gt;0,H36^2,"")</x:f>
        <x:v>0.00044961282947072464</x:v>
      </x:c>
    </x:row>
    <x:row r="37" ht="21" customHeight="1">
      <x:c r="A37" s="28" t="str">
        <x:v>SYN-OB-0033</x:v>
      </x:c>
      <x:c r="B37" s="28" t="str">
        <x:v>Silver Corp. 033</x:v>
      </x:c>
      <x:c r="C37" s="28" t="str">
        <x:v>B-</x:v>
      </x:c>
      <x:c r="D37" s="28" t="str">
        <x:v>Healthcare Technology</x:v>
      </x:c>
      <x:c r="E37" s="28" t="str">
        <x:v>United States</x:v>
      </x:c>
      <x:c r="F37" s="66" t="n">
        <x:f>IF(A37="","",SUMIF('Portfolio Inputs'!B8:B59,A37,'Portfolio Inputs'!D8:D59))</x:f>
        <x:v>1182000</x:v>
      </x:c>
      <x:c r="G37" s="65" t="n">
        <x:f>IF(A37="","",COUNTIF('Portfolio Inputs'!B8:B59,A37))</x:f>
        <x:v>1</x:v>
      </x:c>
      <x:c r="H37" s="75" t="n">
        <x:f>IF(Portfolio_Par&gt;0,F37/Portfolio_Par,"")</x:f>
        <x:v>0.021204075774971298</x:v>
      </x:c>
      <x:c r="I37" s="196" t="n">
        <x:f>IF(Portfolio_Par&gt;0,H37^2,"")</x:f>
        <x:v>0.00044961282947072464</x:v>
      </x:c>
    </x:row>
    <x:row r="38" ht="21" customHeight="1">
      <x:c r="A38" s="28" t="str">
        <x:v>SYN-OB-0034</x:v>
      </x:c>
      <x:c r="B38" s="28" t="str">
        <x:v>Stonebridge Group 034</x:v>
      </x:c>
      <x:c r="C38" s="28" t="str">
        <x:v>B</x:v>
      </x:c>
      <x:c r="D38" s="28" t="str">
        <x:v>Building Products</x:v>
      </x:c>
      <x:c r="E38" s="28" t="str">
        <x:v>United States</x:v>
      </x:c>
      <x:c r="F38" s="66" t="n">
        <x:f>IF(A38="","",SUMIF('Portfolio Inputs'!B8:B59,A38,'Portfolio Inputs'!D8:D59))</x:f>
        <x:v>1182000</x:v>
      </x:c>
      <x:c r="G38" s="65" t="n">
        <x:f>IF(A38="","",COUNTIF('Portfolio Inputs'!B8:B59,A38))</x:f>
        <x:v>1</x:v>
      </x:c>
      <x:c r="H38" s="75" t="n">
        <x:f>IF(Portfolio_Par&gt;0,F38/Portfolio_Par,"")</x:f>
        <x:v>0.021204075774971298</x:v>
      </x:c>
      <x:c r="I38" s="196" t="n">
        <x:f>IF(Portfolio_Par&gt;0,H38^2,"")</x:f>
        <x:v>0.00044961282947072464</x:v>
      </x:c>
    </x:row>
    <x:row r="39" ht="21" customHeight="1">
      <x:c r="A39" s="28" t="str">
        <x:v>SYN-OB-0035</x:v>
      </x:c>
      <x:c r="B39" s="28" t="str">
        <x:v>Summit LLC 035</x:v>
      </x:c>
      <x:c r="C39" s="28" t="str">
        <x:v>BB-</x:v>
      </x:c>
      <x:c r="D39" s="28" t="str">
        <x:v>Gas Utilities</x:v>
      </x:c>
      <x:c r="E39" s="28" t="str">
        <x:v>United States</x:v>
      </x:c>
      <x:c r="F39" s="66" t="n">
        <x:f>IF(A39="","",SUMIF('Portfolio Inputs'!B8:B59,A39,'Portfolio Inputs'!D8:D59))</x:f>
        <x:v>1182000</x:v>
      </x:c>
      <x:c r="G39" s="65" t="n">
        <x:f>IF(A39="","",COUNTIF('Portfolio Inputs'!B8:B59,A39))</x:f>
        <x:v>1</x:v>
      </x:c>
      <x:c r="H39" s="75" t="n">
        <x:f>IF(Portfolio_Par&gt;0,F39/Portfolio_Par,"")</x:f>
        <x:v>0.021204075774971298</x:v>
      </x:c>
      <x:c r="I39" s="196" t="n">
        <x:f>IF(Portfolio_Par&gt;0,H39^2,"")</x:f>
        <x:v>0.00044961282947072464</x:v>
      </x:c>
    </x:row>
    <x:row r="40" ht="21" customHeight="1">
      <x:c r="A40" s="28" t="str">
        <x:v>SYN-OB-0036</x:v>
      </x:c>
      <x:c r="B40" s="28" t="str">
        <x:v>Timber Holdings 036</x:v>
      </x:c>
      <x:c r="C40" s="28" t="str">
        <x:v>B-</x:v>
      </x:c>
      <x:c r="D40" s="28" t="str">
        <x:v>Machinery</x:v>
      </x:c>
      <x:c r="E40" s="28" t="str">
        <x:v>United States</x:v>
      </x:c>
      <x:c r="F40" s="66" t="n">
        <x:f>IF(A40="","",SUMIF('Portfolio Inputs'!B8:B59,A40,'Portfolio Inputs'!D8:D59))</x:f>
        <x:v>1182000</x:v>
      </x:c>
      <x:c r="G40" s="65" t="n">
        <x:f>IF(A40="","",COUNTIF('Portfolio Inputs'!B8:B59,A40))</x:f>
        <x:v>1</x:v>
      </x:c>
      <x:c r="H40" s="75" t="n">
        <x:f>IF(Portfolio_Par&gt;0,F40/Portfolio_Par,"")</x:f>
        <x:v>0.021204075774971298</x:v>
      </x:c>
      <x:c r="I40" s="196" t="n">
        <x:f>IF(Portfolio_Par&gt;0,H40^2,"")</x:f>
        <x:v>0.00044961282947072464</x:v>
      </x:c>
    </x:row>
    <x:row r="41" ht="21" customHeight="1">
      <x:c r="A41" s="28" t="str">
        <x:v>SYN-OB-0037</x:v>
      </x:c>
      <x:c r="B41" s="28" t="str">
        <x:v>Westhaven Inc. 037</x:v>
      </x:c>
      <x:c r="C41" s="28" t="str">
        <x:v>B-</x:v>
      </x:c>
      <x:c r="D41" s="28" t="str">
        <x:v>Energy Equipment &amp; Services</x:v>
      </x:c>
      <x:c r="E41" s="28" t="str">
        <x:v>United States</x:v>
      </x:c>
      <x:c r="F41" s="66" t="n">
        <x:f>IF(A41="","",SUMIF('Portfolio Inputs'!B8:B59,A41,'Portfolio Inputs'!D8:D59))</x:f>
        <x:v>1182000</x:v>
      </x:c>
      <x:c r="G41" s="65" t="n">
        <x:f>IF(A41="","",COUNTIF('Portfolio Inputs'!B8:B59,A41))</x:f>
        <x:v>1</x:v>
      </x:c>
      <x:c r="H41" s="75" t="n">
        <x:f>IF(Portfolio_Par&gt;0,F41/Portfolio_Par,"")</x:f>
        <x:v>0.021204075774971298</x:v>
      </x:c>
      <x:c r="I41" s="196" t="n">
        <x:f>IF(Portfolio_Par&gt;0,H41^2,"")</x:f>
        <x:v>0.00044961282947072464</x:v>
      </x:c>
    </x:row>
    <x:row r="42" ht="21" customHeight="1">
      <x:c r="A42" s="28" t="str">
        <x:v>SYN-OB-0039</x:v>
      </x:c>
      <x:c r="B42" s="28" t="str">
        <x:v>Windward Group 039</x:v>
      </x:c>
      <x:c r="C42" s="28" t="str">
        <x:v>B</x:v>
      </x:c>
      <x:c r="D42" s="28" t="str">
        <x:v>Aerospace &amp; Defense</x:v>
      </x:c>
      <x:c r="E42" s="28" t="str">
        <x:v>United States</x:v>
      </x:c>
      <x:c r="F42" s="66" t="n">
        <x:f>IF(A42="","",SUMIF('Portfolio Inputs'!B8:B59,A42,'Portfolio Inputs'!D8:D59))</x:f>
        <x:v>1182000</x:v>
      </x:c>
      <x:c r="G42" s="65" t="n">
        <x:f>IF(A42="","",COUNTIF('Portfolio Inputs'!B8:B59,A42))</x:f>
        <x:v>1</x:v>
      </x:c>
      <x:c r="H42" s="75" t="n">
        <x:f>IF(Portfolio_Par&gt;0,F42/Portfolio_Par,"")</x:f>
        <x:v>0.021204075774971298</x:v>
      </x:c>
      <x:c r="I42" s="196" t="n">
        <x:f>IF(Portfolio_Par&gt;0,H42^2,"")</x:f>
        <x:v>0.00044961282947072464</x:v>
      </x:c>
    </x:row>
    <x:row r="43" ht="21" customHeight="1">
      <x:c r="A43" s="28" t="str">
        <x:v>SYN-OB-0040</x:v>
      </x:c>
      <x:c r="B43" s="28" t="str">
        <x:v>Woodland LLC 040</x:v>
      </x:c>
      <x:c r="C43" s="28" t="str">
        <x:v>BB</x:v>
      </x:c>
      <x:c r="D43" s="28" t="str">
        <x:v>Interactive media and services</x:v>
      </x:c>
      <x:c r="E43" s="28" t="str">
        <x:v>United States</x:v>
      </x:c>
      <x:c r="F43" s="66" t="n">
        <x:f>IF(A43="","",SUMIF('Portfolio Inputs'!B8:B59,A43,'Portfolio Inputs'!D8:D59))</x:f>
        <x:v>1182000</x:v>
      </x:c>
      <x:c r="G43" s="65" t="n">
        <x:f>IF(A43="","",COUNTIF('Portfolio Inputs'!B8:B59,A43))</x:f>
        <x:v>1</x:v>
      </x:c>
      <x:c r="H43" s="75" t="n">
        <x:f>IF(Portfolio_Par&gt;0,F43/Portfolio_Par,"")</x:f>
        <x:v>0.021204075774971298</x:v>
      </x:c>
      <x:c r="I43" s="196" t="n">
        <x:f>IF(Portfolio_Par&gt;0,H43^2,"")</x:f>
        <x:v>0.00044961282947072464</x:v>
      </x:c>
    </x:row>
    <x:row r="44" ht="21" customHeight="1">
      <x:c r="A44" s="28" t="str">
        <x:v>SYN-OB-0041</x:v>
      </x:c>
      <x:c r="B44" s="28" t="str">
        <x:v>Alder Holdings 041</x:v>
      </x:c>
      <x:c r="C44" s="28" t="str">
        <x:v>B</x:v>
      </x:c>
      <x:c r="D44" s="28" t="str">
        <x:v>IT Services</x:v>
      </x:c>
      <x:c r="E44" s="28" t="str">
        <x:v>United States</x:v>
      </x:c>
      <x:c r="F44" s="66" t="n">
        <x:f>IF(A44="","",SUMIF('Portfolio Inputs'!B8:B59,A44,'Portfolio Inputs'!D8:D59))</x:f>
        <x:v>1182000</x:v>
      </x:c>
      <x:c r="G44" s="65" t="n">
        <x:f>IF(A44="","",COUNTIF('Portfolio Inputs'!B8:B59,A44))</x:f>
        <x:v>1</x:v>
      </x:c>
      <x:c r="H44" s="75" t="n">
        <x:f>IF(Portfolio_Par&gt;0,F44/Portfolio_Par,"")</x:f>
        <x:v>0.021204075774971298</x:v>
      </x:c>
      <x:c r="I44" s="196" t="n">
        <x:f>IF(Portfolio_Par&gt;0,H44^2,"")</x:f>
        <x:v>0.00044961282947072464</x:v>
      </x:c>
    </x:row>
    <x:row r="45" ht="21" customHeight="1">
      <x:c r="A45" s="28" t="str">
        <x:v>SYN-OB-0042</x:v>
      </x:c>
      <x:c r="B45" s="28" t="str">
        <x:v>Amber Inc. 042</x:v>
      </x:c>
      <x:c r="C45" s="28" t="str">
        <x:v>B+</x:v>
      </x:c>
      <x:c r="D45" s="28" t="str">
        <x:v>Semiconductors &amp; Semiconductor Equipment</x:v>
      </x:c>
      <x:c r="E45" s="28" t="str">
        <x:v>United States</x:v>
      </x:c>
      <x:c r="F45" s="66" t="n">
        <x:f>IF(A45="","",SUMIF('Portfolio Inputs'!B8:B59,A45,'Portfolio Inputs'!D8:D59))</x:f>
        <x:v>1182000</x:v>
      </x:c>
      <x:c r="G45" s="65" t="n">
        <x:f>IF(A45="","",COUNTIF('Portfolio Inputs'!B8:B59,A45))</x:f>
        <x:v>1</x:v>
      </x:c>
      <x:c r="H45" s="75" t="n">
        <x:f>IF(Portfolio_Par&gt;0,F45/Portfolio_Par,"")</x:f>
        <x:v>0.021204075774971298</x:v>
      </x:c>
      <x:c r="I45" s="196" t="n">
        <x:f>IF(Portfolio_Par&gt;0,H45^2,"")</x:f>
        <x:v>0.00044961282947072464</x:v>
      </x:c>
    </x:row>
    <x:row r="46" ht="21" customHeight="1">
      <x:c r="A46" s="28" t="str">
        <x:v>SYN-OB-0043</x:v>
      </x:c>
      <x:c r="B46" s="28" t="str">
        <x:v>Arbor Corp. 043</x:v>
      </x:c>
      <x:c r="C46" s="28" t="str">
        <x:v>B</x:v>
      </x:c>
      <x:c r="D46" s="28" t="str">
        <x:v>Healthcare Providers &amp; Services</x:v>
      </x:c>
      <x:c r="E46" s="28" t="str">
        <x:v>United States</x:v>
      </x:c>
      <x:c r="F46" s="66" t="n">
        <x:f>IF(A46="","",SUMIF('Portfolio Inputs'!B8:B59,A46,'Portfolio Inputs'!D8:D59))</x:f>
        <x:v>1182000</x:v>
      </x:c>
      <x:c r="G46" s="65" t="n">
        <x:f>IF(A46="","",COUNTIF('Portfolio Inputs'!B8:B59,A46))</x:f>
        <x:v>1</x:v>
      </x:c>
      <x:c r="H46" s="75" t="n">
        <x:f>IF(Portfolio_Par&gt;0,F46/Portfolio_Par,"")</x:f>
        <x:v>0.021204075774971298</x:v>
      </x:c>
      <x:c r="I46" s="196" t="n">
        <x:f>IF(Portfolio_Par&gt;0,H46^2,"")</x:f>
        <x:v>0.00044961282947072464</x:v>
      </x:c>
    </x:row>
    <x:row r="47" ht="21" customHeight="1">
      <x:c r="A47" s="28" t="str">
        <x:v>SYN-OB-0044</x:v>
      </x:c>
      <x:c r="B47" s="28" t="str">
        <x:v>Atlas Group 044</x:v>
      </x:c>
      <x:c r="C47" s="28" t="str">
        <x:v>B+</x:v>
      </x:c>
      <x:c r="D47" s="28" t="str">
        <x:v>Electric Utilities</x:v>
      </x:c>
      <x:c r="E47" s="28" t="str">
        <x:v>United States</x:v>
      </x:c>
      <x:c r="F47" s="66" t="n">
        <x:f>IF(A47="","",SUMIF('Portfolio Inputs'!B8:B59,A47,'Portfolio Inputs'!D8:D59))</x:f>
        <x:v>1182000</x:v>
      </x:c>
      <x:c r="G47" s="65" t="n">
        <x:f>IF(A47="","",COUNTIF('Portfolio Inputs'!B8:B59,A47))</x:f>
        <x:v>1</x:v>
      </x:c>
      <x:c r="H47" s="75" t="n">
        <x:f>IF(Portfolio_Par&gt;0,F47/Portfolio_Par,"")</x:f>
        <x:v>0.021204075774971298</x:v>
      </x:c>
      <x:c r="I47" s="196" t="n">
        <x:f>IF(Portfolio_Par&gt;0,H47^2,"")</x:f>
        <x:v>0.00044961282947072464</x:v>
      </x:c>
    </x:row>
    <x:row r="48" ht="21" customHeight="1">
      <x:c r="A48" s="28" t="str">
        <x:v>SYN-OB-0045</x:v>
      </x:c>
      <x:c r="B48" s="28" t="str">
        <x:v>Beacon LLC 045</x:v>
      </x:c>
      <x:c r="C48" s="28" t="str">
        <x:v>B</x:v>
      </x:c>
      <x:c r="D48" s="28" t="str">
        <x:v>Aerospace &amp; Defense</x:v>
      </x:c>
      <x:c r="E48" s="28" t="str">
        <x:v>United States</x:v>
      </x:c>
      <x:c r="F48" s="66" t="n">
        <x:f>IF(A48="","",SUMIF('Portfolio Inputs'!B8:B59,A48,'Portfolio Inputs'!D8:D59))</x:f>
        <x:v>1182000</x:v>
      </x:c>
      <x:c r="G48" s="65" t="n">
        <x:f>IF(A48="","",COUNTIF('Portfolio Inputs'!B8:B59,A48))</x:f>
        <x:v>1</x:v>
      </x:c>
      <x:c r="H48" s="75" t="n">
        <x:f>IF(Portfolio_Par&gt;0,F48/Portfolio_Par,"")</x:f>
        <x:v>0.021204075774971298</x:v>
      </x:c>
      <x:c r="I48" s="196" t="n">
        <x:f>IF(Portfolio_Par&gt;0,H48^2,"")</x:f>
        <x:v>0.00044961282947072464</x:v>
      </x:c>
    </x:row>
    <x:row r="49" ht="21" customHeight="1">
      <x:c r="A49" s="28" t="str">
        <x:v>SYN-OB-0046</x:v>
      </x:c>
      <x:c r="B49" s="28" t="str">
        <x:v>Bluewater Holdings 046</x:v>
      </x:c>
      <x:c r="C49" s="28" t="str">
        <x:v>B</x:v>
      </x:c>
      <x:c r="D49" s="28" t="str">
        <x:v>Aerospace &amp; Defense</x:v>
      </x:c>
      <x:c r="E49" s="28" t="str">
        <x:v>United States</x:v>
      </x:c>
      <x:c r="F49" s="66" t="n">
        <x:f>IF(A49="","",SUMIF('Portfolio Inputs'!B8:B59,A49,'Portfolio Inputs'!D8:D59))</x:f>
        <x:v>1182000</x:v>
      </x:c>
      <x:c r="G49" s="65" t="n">
        <x:f>IF(A49="","",COUNTIF('Portfolio Inputs'!B8:B59,A49))</x:f>
        <x:v>1</x:v>
      </x:c>
      <x:c r="H49" s="75" t="n">
        <x:f>IF(Portfolio_Par&gt;0,F49/Portfolio_Par,"")</x:f>
        <x:v>0.021204075774971298</x:v>
      </x:c>
      <x:c r="I49" s="196" t="n">
        <x:f>IF(Portfolio_Par&gt;0,H49^2,"")</x:f>
        <x:v>0.00044961282947072464</x:v>
      </x:c>
    </x:row>
    <x:row r="50" ht="21" customHeight="1">
      <x:c r="A50" s="28" t="str">
        <x:v>SYN-OB-0047</x:v>
      </x:c>
      <x:c r="B50" s="28" t="str">
        <x:v>Bracken Inc. 047</x:v>
      </x:c>
      <x:c r="C50" s="28" t="str">
        <x:v>B-</x:v>
      </x:c>
      <x:c r="D50" s="28" t="str">
        <x:v>Diversified Telecommunication Services</x:v>
      </x:c>
      <x:c r="E50" s="28" t="str">
        <x:v>United States</x:v>
      </x:c>
      <x:c r="F50" s="66" t="n">
        <x:f>IF(A50="","",SUMIF('Portfolio Inputs'!B8:B59,A50,'Portfolio Inputs'!D8:D59))</x:f>
        <x:v>1182000</x:v>
      </x:c>
      <x:c r="G50" s="65" t="n">
        <x:f>IF(A50="","",COUNTIF('Portfolio Inputs'!B8:B59,A50))</x:f>
        <x:v>1</x:v>
      </x:c>
      <x:c r="H50" s="75" t="n">
        <x:f>IF(Portfolio_Par&gt;0,F50/Portfolio_Par,"")</x:f>
        <x:v>0.021204075774971298</x:v>
      </x:c>
      <x:c r="I50" s="196" t="n">
        <x:f>IF(Portfolio_Par&gt;0,H50^2,"")</x:f>
        <x:v>0.00044961282947072464</x:v>
      </x:c>
    </x:row>
    <x:row r="51" ht="21" customHeight="1">
      <x:c r="A51" s="28" t="str">
        <x:v>SYN-OB-0049</x:v>
      </x:c>
      <x:c r="B51" s="28" t="str">
        <x:v>Cobalt Group 049</x:v>
      </x:c>
      <x:c r="C51" s="28" t="str">
        <x:v>BB</x:v>
      </x:c>
      <x:c r="D51" s="28" t="str">
        <x:v>Banks</x:v>
      </x:c>
      <x:c r="E51" s="28" t="str">
        <x:v>United States</x:v>
      </x:c>
      <x:c r="F51" s="66" t="n">
        <x:f>IF(A51="","",SUMIF('Portfolio Inputs'!B8:B59,A51,'Portfolio Inputs'!D8:D59))</x:f>
        <x:v>1182000</x:v>
      </x:c>
      <x:c r="G51" s="65" t="n">
        <x:f>IF(A51="","",COUNTIF('Portfolio Inputs'!B8:B59,A51))</x:f>
        <x:v>1</x:v>
      </x:c>
      <x:c r="H51" s="75" t="n">
        <x:f>IF(Portfolio_Par&gt;0,F51/Portfolio_Par,"")</x:f>
        <x:v>0.021204075774971298</x:v>
      </x:c>
      <x:c r="I51" s="196" t="n">
        <x:f>IF(Portfolio_Par&gt;0,H51^2,"")</x:f>
        <x:v>0.00044961282947072464</x:v>
      </x:c>
    </x:row>
    <x:row r="52" ht="21" customHeight="1">
      <x:c r="A52" s="28" t="str">
        <x:v>SYN-OB-0015</x:v>
      </x:c>
      <x:c r="B52" s="28" t="str">
        <x:v>Fairhaven LLC 015</x:v>
      </x:c>
      <x:c r="C52" s="28" t="str">
        <x:v>BB-</x:v>
      </x:c>
      <x:c r="D52" s="28" t="str">
        <x:v>Beverages</x:v>
      </x:c>
      <x:c r="E52" s="28" t="str">
        <x:v>Switzerland</x:v>
      </x:c>
      <x:c r="F52" s="66" t="n">
        <x:f>IF(A52="","",SUMIF('Portfolio Inputs'!B8:B59,A52,'Portfolio Inputs'!D8:D59))</x:f>
        <x:v>630000</x:v>
      </x:c>
      <x:c r="G52" s="65" t="n">
        <x:f>IF(A52="","",COUNTIF('Portfolio Inputs'!B8:B59,A52))</x:f>
        <x:v>1</x:v>
      </x:c>
      <x:c r="H52" s="75" t="n">
        <x:f>IF(Portfolio_Par&gt;0,F52/Portfolio_Par,"")</x:f>
        <x:v>0.011301664753157291</x:v>
      </x:c>
      <x:c r="I52" s="196" t="n">
        <x:f>IF(Portfolio_Par&gt;0,H52^2,"")</x:f>
        <x:v>0.00012772762619275786</x:v>
      </x:c>
    </x:row>
    <x:row r="53" ht="21" customHeight="1">
      <x:c r="A53" s="28" t="str">
        <x:v>SYN-OB-0027</x:v>
      </x:c>
      <x:c r="B53" s="28" t="str">
        <x:v>Northfield Inc. 027</x:v>
      </x:c>
      <x:c r="C53" s="28" t="str">
        <x:v>B</x:v>
      </x:c>
      <x:c r="D53" s="28" t="str">
        <x:v>Aerospace &amp; Defense</x:v>
      </x:c>
      <x:c r="E53" s="28" t="str">
        <x:v>Luxembourg</x:v>
      </x:c>
      <x:c r="F53" s="66" t="n">
        <x:f>IF(A53="","",SUMIF('Portfolio Inputs'!B8:B59,A53,'Portfolio Inputs'!D8:D59))</x:f>
        <x:v>630000</x:v>
      </x:c>
      <x:c r="G53" s="65" t="n">
        <x:f>IF(A53="","",COUNTIF('Portfolio Inputs'!B8:B59,A53))</x:f>
        <x:v>1</x:v>
      </x:c>
      <x:c r="H53" s="75" t="n">
        <x:f>IF(Portfolio_Par&gt;0,F53/Portfolio_Par,"")</x:f>
        <x:v>0.011301664753157291</x:v>
      </x:c>
      <x:c r="I53" s="196" t="n">
        <x:f>IF(Portfolio_Par&gt;0,H53^2,"")</x:f>
        <x:v>0.00012772762619275786</x:v>
      </x:c>
    </x:row>
    <x:row r="54" ht="21" customHeight="1">
      <x:c r="A54" s="28" t="str">
        <x:v>SYN-OB-0038</x:v>
      </x:c>
      <x:c r="B54" s="28" t="str">
        <x:v>Willow Corp. 038</x:v>
      </x:c>
      <x:c r="C54" s="28" t="str">
        <x:v>BB</x:v>
      </x:c>
      <x:c r="D54" s="28" t="str">
        <x:v>Auto Components</x:v>
      </x:c>
      <x:c r="E54" s="28" t="str">
        <x:v>Canada</x:v>
      </x:c>
      <x:c r="F54" s="66" t="n">
        <x:f>IF(A54="","",SUMIF('Portfolio Inputs'!B8:B59,A54,'Portfolio Inputs'!D8:D59))</x:f>
        <x:v>630000</x:v>
      </x:c>
      <x:c r="G54" s="65" t="n">
        <x:f>IF(A54="","",COUNTIF('Portfolio Inputs'!B8:B59,A54))</x:f>
        <x:v>1</x:v>
      </x:c>
      <x:c r="H54" s="75" t="n">
        <x:f>IF(Portfolio_Par&gt;0,F54/Portfolio_Par,"")</x:f>
        <x:v>0.011301664753157291</x:v>
      </x:c>
      <x:c r="I54" s="196" t="n">
        <x:f>IF(Portfolio_Par&gt;0,H54^2,"")</x:f>
        <x:v>0.00012772762619275786</x:v>
      </x:c>
    </x:row>
    <x:row r="55" ht="21" customHeight="1">
      <x:c r="A55" s="28" t="str">
        <x:v>SYN-OB-0048</x:v>
      </x:c>
      <x:c r="B55" s="28" t="str">
        <x:v>Cedar Corp. 048</x:v>
      </x:c>
      <x:c r="C55" s="28" t="str">
        <x:v>BBB-</x:v>
      </x:c>
      <x:c r="D55" s="28" t="str">
        <x:v>Financial services</x:v>
      </x:c>
      <x:c r="E55" s="28" t="str">
        <x:v>Netherlands</x:v>
      </x:c>
      <x:c r="F55" s="66" t="n">
        <x:f>IF(A55="","",SUMIF('Portfolio Inputs'!B8:B59,A55,'Portfolio Inputs'!D8:D59))</x:f>
        <x:v>630000</x:v>
      </x:c>
      <x:c r="G55" s="65" t="n">
        <x:f>IF(A55="","",COUNTIF('Portfolio Inputs'!B8:B59,A55))</x:f>
        <x:v>1</x:v>
      </x:c>
      <x:c r="H55" s="75" t="n">
        <x:f>IF(Portfolio_Par&gt;0,F55/Portfolio_Par,"")</x:f>
        <x:v>0.011301664753157291</x:v>
      </x:c>
      <x:c r="I55" s="196" t="n">
        <x:f>IF(Portfolio_Par&gt;0,H55^2,"")</x:f>
        <x:v>0.00012772762619275786</x:v>
      </x:c>
    </x:row>
    <x:row r="56" ht="21" customHeight="1">
      <x:c r="A56" s="28" t="str">
        <x:v>SYN-OB-0050</x:v>
      </x:c>
      <x:c r="B56" s="28" t="str">
        <x:v>Copper LLC 050</x:v>
      </x:c>
      <x:c r="C56" s="28" t="str">
        <x:v>BB+</x:v>
      </x:c>
      <x:c r="D56" s="28" t="str">
        <x:v>Construction &amp; Engineering</x:v>
      </x:c>
      <x:c r="E56" s="28" t="str">
        <x:v>United States</x:v>
      </x:c>
      <x:c r="F56" s="66" t="n">
        <x:f>IF(A56="","",SUMIF('Portfolio Inputs'!B8:B59,A56,'Portfolio Inputs'!D8:D59))</x:f>
        <x:v>630000</x:v>
      </x:c>
      <x:c r="G56" s="65" t="n">
        <x:f>IF(A56="","",COUNTIF('Portfolio Inputs'!B8:B59,A56))</x:f>
        <x:v>1</x:v>
      </x:c>
      <x:c r="H56" s="75" t="n">
        <x:f>IF(Portfolio_Par&gt;0,F56/Portfolio_Par,"")</x:f>
        <x:v>0.011301664753157291</x:v>
      </x:c>
      <x:c r="I56" s="196" t="n">
        <x:f>IF(Portfolio_Par&gt;0,H56^2,"")</x:f>
        <x:v>0.00012772762619275786</x:v>
      </x:c>
    </x:row>
    <x:row r="57" ht="21" customHeight="1">
      <x:c r="A57" s="28" t="str">
        <x:v>SYN-OB-0002</x:v>
      </x:c>
      <x:c r="B57" s="28" t="str">
        <x:v>Amber Inc. 002</x:v>
      </x:c>
      <x:c r="C57" s="28" t="str">
        <x:v>BBB</x:v>
      </x:c>
      <x:c r="D57" s="28" t="str">
        <x:v>IT Services</x:v>
      </x:c>
      <x:c r="E57" s="28" t="str">
        <x:v>United Kingdom</x:v>
      </x:c>
      <x:c r="F57" s="66" t="n">
        <x:f>IF(A57="","",SUMIF('Portfolio Inputs'!B8:B59,A57,'Portfolio Inputs'!D8:D59))</x:f>
        <x:v>586000</x:v>
      </x:c>
      <x:c r="G57" s="65" t="n">
        <x:f>IF(A57="","",COUNTIF('Portfolio Inputs'!B8:B59,A57))</x:f>
        <x:v>1</x:v>
      </x:c>
      <x:c r="H57" s="75" t="n">
        <x:f>IF(Portfolio_Par&gt;0,F57/Portfolio_Par,"")</x:f>
        <x:v>0.010512342135476464</x:v>
      </x:c>
      <x:c r="I57" s="196" t="n">
        <x:f>IF(Portfolio_Par&gt;0,H57^2,"")</x:f>
        <x:v>0.00011050933717331387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3"/>
      <x:c r="B1" s="23"/>
      <x:c r="C1" s="112" t="str">
        <x:v>Shared capital structure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Capital Structure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Senior sensitivity: equity stays fixed; junior debt is the residual. Funding at par is a fictional assumption.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Case</x:v>
      </x:c>
      <x:c r="D7" s="7" t="str">
        <x:v>Senior share</x:v>
      </x:c>
      <x:c r="E7" s="7" t="str">
        <x:v>Junior share</x:v>
      </x:c>
      <x:c r="F7" s="7" t="str">
        <x:v>Equity share</x:v>
      </x:c>
      <x:c r="G7" s="7" t="str">
        <x:v>Senior balance</x:v>
      </x:c>
      <x:c r="H7" s="7" t="str">
        <x:v>Junior balance</x:v>
      </x:c>
      <x:c r="I7" s="7" t="str">
        <x:v>Equity contribution</x:v>
      </x:c>
      <x:c r="J7" s="7" t="str">
        <x:v>Stack difference</x:v>
      </x:c>
    </x:row>
    <x:row r="8">
      <x:c r="A8" s="23"/>
      <x:c r="B8" s="23"/>
      <x:c r="C8" s="23" t="str">
        <x:v>Base</x:v>
      </x:c>
      <x:c r="D8" s="75" t="n">
        <x:f>base_senior_pct</x:f>
        <x:v>0.64</x:v>
      </x:c>
      <x:c r="E8" s="78" t="n">
        <x:f>1-D8-F8</x:f>
        <x:v>0.26</x:v>
      </x:c>
      <x:c r="F8" s="75" t="n">
        <x:f>equity_pct</x:f>
        <x:v>0.1</x:v>
      </x:c>
      <x:c r="G8" s="66" t="n">
        <x:f>Portfolio_Par*D8</x:f>
        <x:v>35676160</x:v>
      </x:c>
      <x:c r="H8" s="66" t="n">
        <x:f>Portfolio_Par*E8</x:f>
        <x:v>14493440</x:v>
      </x:c>
      <x:c r="I8" s="66" t="n">
        <x:f>Portfolio_Par*F8</x:f>
        <x:v>5574400</x:v>
      </x:c>
      <x:c r="J8" s="66" t="n">
        <x:f>SUM(G8:I8)-Portfolio_Par</x:f>
        <x:v>0</x:v>
      </x:c>
    </x:row>
    <x:row r="9">
      <x:c r="A9" s="150"/>
      <x:c r="B9" s="150"/>
      <x:c r="C9" s="150" t="str">
        <x:v>60% senior</x:v>
      </x:c>
      <x:c r="D9" s="163" t="n">
        <x:v>0.6</x:v>
      </x:c>
      <x:c r="E9" s="78" t="n">
        <x:f>1-D9-F9</x:f>
        <x:v>0.30000000000000004</x:v>
      </x:c>
      <x:c r="F9" s="75" t="n">
        <x:f>equity_pct</x:f>
        <x:v>0.1</x:v>
      </x:c>
      <x:c r="G9" s="66" t="n">
        <x:f>Portfolio_Par*D9</x:f>
        <x:v>33446400</x:v>
      </x:c>
      <x:c r="H9" s="66" t="n">
        <x:f>Portfolio_Par*E9</x:f>
        <x:v>16723200.000000002</x:v>
      </x:c>
      <x:c r="I9" s="66" t="n">
        <x:f>Portfolio_Par*F9</x:f>
        <x:v>5574400</x:v>
      </x:c>
      <x:c r="J9" s="66" t="n">
        <x:f>SUM(G9:I9)-Portfolio_Par</x:f>
        <x:v>0</x:v>
      </x:c>
    </x:row>
    <x:row r="10">
      <x:c r="A10" s="150"/>
      <x:c r="B10" s="150"/>
      <x:c r="C10" s="150" t="str">
        <x:v>61% senior</x:v>
      </x:c>
      <x:c r="D10" s="163" t="n">
        <x:v>0.61</x:v>
      </x:c>
      <x:c r="E10" s="78" t="n">
        <x:f>1-D10-F10</x:f>
        <x:v>0.29000000000000004</x:v>
      </x:c>
      <x:c r="F10" s="75" t="n">
        <x:f>equity_pct</x:f>
        <x:v>0.1</x:v>
      </x:c>
      <x:c r="G10" s="66" t="n">
        <x:f>Portfolio_Par*D10</x:f>
        <x:v>34003840</x:v>
      </x:c>
      <x:c r="H10" s="66" t="n">
        <x:f>Portfolio_Par*E10</x:f>
        <x:v>16165760.000000002</x:v>
      </x:c>
      <x:c r="I10" s="66" t="n">
        <x:f>Portfolio_Par*F10</x:f>
        <x:v>5574400</x:v>
      </x:c>
      <x:c r="J10" s="66" t="n">
        <x:f>SUM(G10:I10)-Portfolio_Par</x:f>
        <x:v>0</x:v>
      </x:c>
    </x:row>
    <x:row r="11">
      <x:c r="A11" s="150"/>
      <x:c r="B11" s="150"/>
      <x:c r="C11" s="150" t="str">
        <x:v>62% senior</x:v>
      </x:c>
      <x:c r="D11" s="163" t="n">
        <x:v>0.62</x:v>
      </x:c>
      <x:c r="E11" s="78" t="n">
        <x:f>1-D11-F11</x:f>
        <x:v>0.28</x:v>
      </x:c>
      <x:c r="F11" s="75" t="n">
        <x:f>equity_pct</x:f>
        <x:v>0.1</x:v>
      </x:c>
      <x:c r="G11" s="66" t="n">
        <x:f>Portfolio_Par*D11</x:f>
        <x:v>34561280</x:v>
      </x:c>
      <x:c r="H11" s="66" t="n">
        <x:f>Portfolio_Par*E11</x:f>
        <x:v>15608320.000000002</x:v>
      </x:c>
      <x:c r="I11" s="66" t="n">
        <x:f>Portfolio_Par*F11</x:f>
        <x:v>5574400</x:v>
      </x:c>
      <x:c r="J11" s="66" t="n">
        <x:f>SUM(G11:I11)-Portfolio_Par</x:f>
        <x:v>0</x:v>
      </x:c>
    </x:row>
    <x:row r="12">
      <x:c r="A12" s="150"/>
      <x:c r="B12" s="150"/>
      <x:c r="C12" s="150" t="str">
        <x:v>63% senior</x:v>
      </x:c>
      <x:c r="D12" s="163" t="n">
        <x:v>0.63</x:v>
      </x:c>
      <x:c r="E12" s="78" t="n">
        <x:f>1-D12-F12</x:f>
        <x:v>0.27</x:v>
      </x:c>
      <x:c r="F12" s="75" t="n">
        <x:f>equity_pct</x:f>
        <x:v>0.1</x:v>
      </x:c>
      <x:c r="G12" s="66" t="n">
        <x:f>Portfolio_Par*D12</x:f>
        <x:v>35118720</x:v>
      </x:c>
      <x:c r="H12" s="66" t="n">
        <x:f>Portfolio_Par*E12</x:f>
        <x:v>15050880.000000002</x:v>
      </x:c>
      <x:c r="I12" s="66" t="n">
        <x:f>Portfolio_Par*F12</x:f>
        <x:v>5574400</x:v>
      </x:c>
      <x:c r="J12" s="66" t="n">
        <x:f>SUM(G12:I12)-Portfolio_Par</x:f>
        <x:v>0</x:v>
      </x:c>
    </x:row>
    <x:row r="13">
      <x:c r="A13" s="150"/>
      <x:c r="B13" s="150"/>
      <x:c r="C13" s="150" t="str">
        <x:v>64% senior</x:v>
      </x:c>
      <x:c r="D13" s="163" t="n">
        <x:v>0.64</x:v>
      </x:c>
      <x:c r="E13" s="78" t="n">
        <x:f>1-D13-F13</x:f>
        <x:v>0.26</x:v>
      </x:c>
      <x:c r="F13" s="75" t="n">
        <x:f>equity_pct</x:f>
        <x:v>0.1</x:v>
      </x:c>
      <x:c r="G13" s="66" t="n">
        <x:f>Portfolio_Par*D13</x:f>
        <x:v>35676160</x:v>
      </x:c>
      <x:c r="H13" s="66" t="n">
        <x:f>Portfolio_Par*E13</x:f>
        <x:v>14493440</x:v>
      </x:c>
      <x:c r="I13" s="66" t="n">
        <x:f>Portfolio_Par*F13</x:f>
        <x:v>5574400</x:v>
      </x:c>
      <x:c r="J13" s="66" t="n">
        <x:f>SUM(G13:I13)-Portfolio_Par</x:f>
        <x:v>0</x:v>
      </x:c>
    </x:row>
    <x:row r="14">
      <x:c r="A14" s="150"/>
      <x:c r="B14" s="150"/>
      <x:c r="C14" s="150" t="str">
        <x:v>65% senior</x:v>
      </x:c>
      <x:c r="D14" s="163" t="n">
        <x:v>0.65</x:v>
      </x:c>
      <x:c r="E14" s="78" t="n">
        <x:f>1-D14-F14</x:f>
        <x:v>0.24999999999999997</x:v>
      </x:c>
      <x:c r="F14" s="75" t="n">
        <x:f>equity_pct</x:f>
        <x:v>0.1</x:v>
      </x:c>
      <x:c r="G14" s="66" t="n">
        <x:f>Portfolio_Par*D14</x:f>
        <x:v>36233600</x:v>
      </x:c>
      <x:c r="H14" s="66" t="n">
        <x:f>Portfolio_Par*E14</x:f>
        <x:v>13935999.999999998</x:v>
      </x:c>
      <x:c r="I14" s="66" t="n">
        <x:f>Portfolio_Par*F14</x:f>
        <x:v>5574400</x:v>
      </x:c>
      <x:c r="J14" s="66" t="n">
        <x:f>SUM(G14:I14)-Portfolio_Par</x:f>
        <x:v>0</x:v>
      </x:c>
    </x:row>
    <x:row r="15">
      <x:c r="A15" s="150"/>
      <x:c r="B15" s="150"/>
      <x:c r="C15" s="150" t="str">
        <x:v>66% senior</x:v>
      </x:c>
      <x:c r="D15" s="163" t="n">
        <x:v>0.66</x:v>
      </x:c>
      <x:c r="E15" s="78" t="n">
        <x:f>1-D15-F15</x:f>
        <x:v>0.23999999999999996</x:v>
      </x:c>
      <x:c r="F15" s="75" t="n">
        <x:f>equity_pct</x:f>
        <x:v>0.1</x:v>
      </x:c>
      <x:c r="G15" s="66" t="n">
        <x:f>Portfolio_Par*D15</x:f>
        <x:v>36791040</x:v>
      </x:c>
      <x:c r="H15" s="66" t="n">
        <x:f>Portfolio_Par*E15</x:f>
        <x:v>13378559.999999998</x:v>
      </x:c>
      <x:c r="I15" s="66" t="n">
        <x:f>Portfolio_Par*F15</x:f>
        <x:v>5574400</x:v>
      </x:c>
      <x:c r="J15" s="66" t="n">
        <x:f>SUM(G15:I15)-Portfolio_Par</x:f>
        <x:v>0</x:v>
      </x:c>
    </x:row>
    <x:row r="16">
      <x:c r="A16" s="150"/>
      <x:c r="B16" s="150"/>
      <x:c r="C16" s="150" t="str">
        <x:v>67% senior</x:v>
      </x:c>
      <x:c r="D16" s="163" t="n">
        <x:v>0.67</x:v>
      </x:c>
      <x:c r="E16" s="78" t="n">
        <x:f>1-D16-F16</x:f>
        <x:v>0.22999999999999995</x:v>
      </x:c>
      <x:c r="F16" s="75" t="n">
        <x:f>equity_pct</x:f>
        <x:v>0.1</x:v>
      </x:c>
      <x:c r="G16" s="66" t="n">
        <x:f>Portfolio_Par*D16</x:f>
        <x:v>37348480</x:v>
      </x:c>
      <x:c r="H16" s="66" t="n">
        <x:f>Portfolio_Par*E16</x:f>
        <x:v>12821119.999999998</x:v>
      </x:c>
      <x:c r="I16" s="66" t="n">
        <x:f>Portfolio_Par*F16</x:f>
        <x:v>5574400</x:v>
      </x:c>
      <x:c r="J16" s="66" t="n">
        <x:f>SUM(G16:I16)-Portfolio_Par</x:f>
        <x:v>0</x:v>
      </x:c>
    </x:row>
    <x:row r="17">
      <x:c r="A17" s="150"/>
      <x:c r="B17" s="150"/>
      <x:c r="C17" s="150" t="str">
        <x:v>68% senior</x:v>
      </x:c>
      <x:c r="D17" s="163" t="n">
        <x:v>0.68</x:v>
      </x:c>
      <x:c r="E17" s="78" t="n">
        <x:f>1-D17-F17</x:f>
        <x:v>0.21999999999999995</x:v>
      </x:c>
      <x:c r="F17" s="75" t="n">
        <x:f>equity_pct</x:f>
        <x:v>0.1</x:v>
      </x:c>
      <x:c r="G17" s="66" t="n">
        <x:f>Portfolio_Par*D17</x:f>
        <x:v>37905920</x:v>
      </x:c>
      <x:c r="H17" s="66" t="n">
        <x:f>Portfolio_Par*E17</x:f>
        <x:v>12263679.999999996</x:v>
      </x:c>
      <x:c r="I17" s="66" t="n">
        <x:f>Portfolio_Par*F17</x:f>
        <x:v>5574400</x:v>
      </x:c>
      <x:c r="J17" s="66" t="n">
        <x:f>SUM(G17:I17)-Portfolio_Par</x:f>
        <x:v>0</x:v>
      </x:c>
    </x:row>
    <x:row r="18">
      <x:c r="A18" s="150"/>
      <x:c r="B18" s="150"/>
      <x:c r="C18" s="150" t="str">
        <x:v>69% senior</x:v>
      </x:c>
      <x:c r="D18" s="163" t="n">
        <x:v>0.69</x:v>
      </x:c>
      <x:c r="E18" s="78" t="n">
        <x:f>1-D18-F18</x:f>
        <x:v>0.21000000000000005</x:v>
      </x:c>
      <x:c r="F18" s="75" t="n">
        <x:f>equity_pct</x:f>
        <x:v>0.1</x:v>
      </x:c>
      <x:c r="G18" s="66" t="n">
        <x:f>Portfolio_Par*D18</x:f>
        <x:v>38463360</x:v>
      </x:c>
      <x:c r="H18" s="66" t="n">
        <x:f>Portfolio_Par*E18</x:f>
        <x:v>11706240.000000002</x:v>
      </x:c>
      <x:c r="I18" s="66" t="n">
        <x:f>Portfolio_Par*F18</x:f>
        <x:v>5574400</x:v>
      </x:c>
      <x:c r="J18" s="66" t="n">
        <x:f>SUM(G18:I18)-Portfolio_Par</x:f>
        <x:v>0</x:v>
      </x:c>
    </x:row>
    <x:row r="19">
      <x:c r="A19" s="150"/>
      <x:c r="B19" s="150"/>
      <x:c r="C19" s="150" t="str">
        <x:v>70% senior</x:v>
      </x:c>
      <x:c r="D19" s="163" t="n">
        <x:v>0.7</x:v>
      </x:c>
      <x:c r="E19" s="78" t="n">
        <x:f>1-D19-F19</x:f>
        <x:v>0.20000000000000004</x:v>
      </x:c>
      <x:c r="F19" s="75" t="n">
        <x:f>equity_pct</x:f>
        <x:v>0.1</x:v>
      </x:c>
      <x:c r="G19" s="66" t="n">
        <x:f>Portfolio_Par*D19</x:f>
        <x:v>39020800</x:v>
      </x:c>
      <x:c r="H19" s="66" t="n">
        <x:f>Portfolio_Par*E19</x:f>
        <x:v>11148800.000000002</x:v>
      </x:c>
      <x:c r="I19" s="66" t="n">
        <x:f>Portfolio_Par*F19</x:f>
        <x:v>5574400</x:v>
      </x:c>
      <x:c r="J19" s="66" t="n">
        <x:f>SUM(G19:I19)-Portfolio_Par</x:f>
        <x:v>0</x:v>
      </x:c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</x:row>
    <x:row r="21">
      <x:c r="A21" s="150"/>
      <x:c r="B21" s="150"/>
      <x:c r="C21" s="150"/>
      <x:c r="D21" s="150"/>
      <x:c r="E21" s="150"/>
      <x:c r="F21" s="150"/>
      <x:c r="G21" s="150"/>
      <x:c r="H21" s="150"/>
      <x:c r="I21" s="150"/>
      <x:c r="J21" s="150"/>
    </x:row>
    <x:row r="22">
      <x:c r="A22" s="150"/>
      <x:c r="B22" s="150"/>
      <x:c r="C22" s="150"/>
      <x:c r="D22" s="150"/>
      <x:c r="E22" s="150"/>
      <x:c r="F22" s="150"/>
      <x:c r="G22" s="150"/>
      <x:c r="H22" s="150"/>
      <x:c r="I22" s="150"/>
      <x:c r="J22" s="150"/>
    </x:row>
    <x:row r="23">
      <x:c r="A23" s="150"/>
      <x:c r="B23" s="150"/>
      <x:c r="C23" s="150" t="str">
        <x:v>Sizing controls are on Assumptions. Change percentages to change tranche balances.</x:v>
      </x:c>
      <x:c r="D23" s="150"/>
      <x:c r="E23" s="150"/>
      <x:c r="F23" s="150"/>
      <x:c r="G23" s="150"/>
      <x:c r="H23" s="150"/>
      <x:c r="I23" s="150"/>
      <x:c r="J23" s="150"/>
    </x:row>
    <x:row r="24">
      <x:c r="A24" s="150"/>
      <x:c r="B24" s="150"/>
      <x:c r="C24" s="150" t="str">
        <x:v>A 64% senior balance plus 26% junior debt and 10% equity funds 100% of portfolio par.</x:v>
      </x:c>
      <x:c r="D24" s="150"/>
      <x:c r="E24" s="150"/>
      <x:c r="F24" s="150"/>
      <x:c r="G24" s="150"/>
      <x:c r="H24" s="150"/>
      <x:c r="I24" s="150"/>
      <x:c r="J24" s="150"/>
    </x:row>
    <x:row r="25">
      <x:c r="A25" s="150"/>
      <x:c r="B25" s="150"/>
      <x:c r="C25" s="150" t="str">
        <x:v>Prices are descriptive; this prototype does not fund collateral at market value.</x:v>
      </x:c>
      <x:c r="D25" s="150"/>
      <x:c r="E25" s="150"/>
      <x:c r="F25" s="150"/>
      <x:c r="G25" s="150"/>
      <x:c r="H25" s="150"/>
      <x:c r="I25" s="150"/>
      <x:c r="J25" s="15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075B9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9" hidden="0" customWidth="1"/>
    <x:col min="4" max="4" width="22" hidden="0" customWidth="1"/>
    <x:col min="5" max="5" width="5" hidden="0" customWidth="1"/>
    <x:col min="6" max="6" width="99" hidden="0" customWidth="1"/>
  </x:cols>
  <x:sheetData>
    <x:row r="1">
      <x:c r="A1" s="23"/>
      <x:c r="B1" s="23"/>
      <x:c r="C1" s="114" t="str">
        <x:v>S&amp;P sources</x:v>
      </x:c>
      <x:c r="D1" s="23"/>
      <x:c r="E1" s="23"/>
      <x:c r="F1" s="23"/>
    </x:row>
    <x:row r="2">
      <x:c r="A2" s="23"/>
      <x:c r="B2" s="23"/>
      <x:c r="C2" s="24" t="str">
        <x:v>S&amp;P Credit Parameters</x:v>
      </x:c>
      <x:c r="D2" s="25"/>
      <x:c r="E2" s="25"/>
      <x:c r="F2" s="25"/>
    </x:row>
    <x:row r="3" ht="22" customHeight="1">
      <x:c r="A3" s="23"/>
      <x:c r="B3" s="23"/>
      <x:c r="C3" s="26" t="str">
        <x:v>Published factor-table basis. Performing assets rated AAA through CCC-.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23"/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S&amp;P input rating</x:v>
      </x:c>
      <x:c r="D7" s="7" t="str">
        <x:v>Rating factor</x:v>
      </x:c>
      <x:c r="E7" s="23"/>
      <x:c r="F7" s="32" t="str">
        <x:v>Calculation</x:v>
      </x:c>
    </x:row>
    <x:row r="8" ht="47" customHeight="1">
      <x:c r="A8" s="23"/>
      <x:c r="B8" s="23"/>
      <x:c r="C8" s="28" t="str">
        <x:v>AAA</x:v>
      </x:c>
      <x:c r="D8" s="30" t="n">
        <x:v>13.51</x:v>
      </x:c>
      <x:c r="E8" s="23"/>
      <x:c r="F8" s="33" t="str">
        <x:v>SPWARF = SUM(par × rating factor) / eligible par. Default-rate dispersion is the par-weighted absolute deviation from SPWARF.</x:v>
      </x:c>
    </x:row>
    <x:row r="9">
      <x:c r="A9" s="150"/>
      <x:c r="B9" s="150"/>
      <x:c r="C9" s="165" t="str">
        <x:v>AA+</x:v>
      </x:c>
      <x:c r="D9" s="176" t="n">
        <x:v>26.75</x:v>
      </x:c>
      <x:c r="E9" s="150"/>
      <x:c r="F9" s="177" t="str">
        <x:v>Scope</x:v>
      </x:c>
    </x:row>
    <x:row r="10" ht="47" customHeight="1">
      <x:c r="A10" s="150"/>
      <x:c r="B10" s="150"/>
      <x:c r="C10" s="165" t="str">
        <x:v>AA</x:v>
      </x:c>
      <x:c r="D10" s="176" t="n">
        <x:v>46.36</x:v>
      </x:c>
      <x:c r="E10" s="150"/>
      <x:c r="F10" s="154" t="str">
        <x:v>This engine accepts performing corporate assets AAA through CCC-. Unknown, unrated and defaulted assets fail validation; they do not receive a zero factor.</x:v>
      </x:c>
    </x:row>
    <x:row r="11">
      <x:c r="A11" s="150"/>
      <x:c r="B11" s="150"/>
      <x:c r="C11" s="165" t="str">
        <x:v>AA-</x:v>
      </x:c>
      <x:c r="D11" s="176" t="n">
        <x:v>63.9</x:v>
      </x:c>
      <x:c r="E11" s="150"/>
      <x:c r="F11" s="177" t="str">
        <x:v>Meaning</x:v>
      </x:c>
    </x:row>
    <x:row r="12" ht="47" customHeight="1">
      <x:c r="A12" s="150"/>
      <x:c r="B12" s="150"/>
      <x:c r="C12" s="165" t="str">
        <x:v>A+</x:v>
      </x:c>
      <x:c r="D12" s="176" t="n">
        <x:v>99.5</x:v>
      </x:c>
      <x:c r="E12" s="150"/>
      <x:c r="F12" s="154" t="str">
        <x:v>Credit-quality description only. This factor scale is different from Fitch WARF. Neither metric is an AAA scenario default rate.</x:v>
      </x:c>
    </x:row>
    <x:row r="13">
      <x:c r="A13" s="150"/>
      <x:c r="B13" s="150"/>
      <x:c r="C13" s="165" t="str">
        <x:v>A</x:v>
      </x:c>
      <x:c r="D13" s="176" t="n">
        <x:v>146.35</x:v>
      </x:c>
      <x:c r="E13" s="150"/>
      <x:c r="F13" s="177" t="str">
        <x:v>Table source</x:v>
      </x:c>
    </x:row>
    <x:row r="14" ht="47" customHeight="1">
      <x:c r="A14" s="150"/>
      <x:c r="B14" s="150"/>
      <x:c r="C14" s="165" t="str">
        <x:v>A-</x:v>
      </x:c>
      <x:c r="D14" s="176" t="n">
        <x:v>199.83</x:v>
      </x:c>
      <x:c r="E14" s="150"/>
      <x:c r="F14" s="154" t="str">
        <x:v>Blue Owl Technology Finance Corp., Exhibit 10.1, S&amp;P Rating Factor table, page 61</x:v>
      </x:c>
    </x:row>
    <x:row r="15">
      <x:c r="A15" s="150"/>
      <x:c r="B15" s="150"/>
      <x:c r="C15" s="165" t="str">
        <x:v>BBB+</x:v>
      </x:c>
      <x:c r="D15" s="176" t="n">
        <x:v>271.01</x:v>
      </x:c>
      <x:c r="E15" s="150"/>
      <x:c r="F15" s="177" t="str">
        <x:v>Source URL</x:v>
      </x:c>
    </x:row>
    <x:row r="16" ht="47" customHeight="1">
      <x:c r="A16" s="150"/>
      <x:c r="B16" s="150"/>
      <x:c r="C16" s="165" t="str">
        <x:v>BBB</x:v>
      </x:c>
      <x:c r="D16" s="176" t="n">
        <x:v>361.17</x:v>
      </x:c>
      <x:c r="E16" s="150"/>
      <x:c r="F16" s="154" t="str">
        <x:v>https://www.blueowltechnologyfinance.com/investors/sec-filings/all-sec-filings/content/0001193125-25-262653/d38473dex101.htm</x:v>
      </x:c>
    </x:row>
    <x:row r="17">
      <x:c r="A17" s="150"/>
      <x:c r="B17" s="150"/>
      <x:c r="C17" s="165" t="str">
        <x:v>BBB-</x:v>
      </x:c>
      <x:c r="D17" s="176" t="n">
        <x:v>540.42</x:v>
      </x:c>
      <x:c r="E17" s="150"/>
      <x:c r="F17" s="177" t="str">
        <x:v>Definition source</x:v>
      </x:c>
    </x:row>
    <x:row r="18" ht="47" customHeight="1">
      <x:c r="A18" s="150"/>
      <x:c r="B18" s="150"/>
      <x:c r="C18" s="165" t="str">
        <x:v>BB+</x:v>
      </x:c>
      <x:c r="D18" s="176" t="n">
        <x:v>784.92</x:v>
      </x:c>
      <x:c r="E18" s="150"/>
      <x:c r="F18" s="154" t="str">
        <x:v>https://www.spglobal.com/ratings/en/regulatory/article/221215-presale-auf-funding-llc-s12592453</x:v>
      </x:c>
    </x:row>
    <x:row r="19">
      <x:c r="A19" s="150"/>
      <x:c r="B19" s="150"/>
      <x:c r="C19" s="165" t="str">
        <x:v>BB</x:v>
      </x:c>
      <x:c r="D19" s="176" t="n">
        <x:v>1233.63</x:v>
      </x:c>
      <x:c r="E19" s="150"/>
      <x:c r="F19" s="177" t="str">
        <x:v>Version basis</x:v>
      </x:c>
    </x:row>
    <x:row r="20" ht="47" customHeight="1">
      <x:c r="A20" s="150"/>
      <x:c r="B20" s="150"/>
      <x:c r="C20" s="165" t="str">
        <x:v>BB-</x:v>
      </x:c>
      <x:c r="D20" s="176" t="n">
        <x:v>1565.44</x:v>
      </x:c>
      <x:c r="E20" s="150"/>
      <x:c r="F20" s="154" t="str">
        <x:v>Table reference 2025-11-03; verified 2026-09-21. Review transaction applicability.</x:v>
      </x:c>
    </x:row>
    <x:row r="21">
      <x:c r="A21" s="150"/>
      <x:c r="B21" s="150"/>
      <x:c r="C21" s="165" t="str">
        <x:v>B+</x:v>
      </x:c>
      <x:c r="D21" s="176" t="n">
        <x:v>1982</x:v>
      </x:c>
      <x:c r="E21" s="150"/>
      <x:c r="F21" s="177" t="str">
        <x:v>Editing</x:v>
      </x:c>
    </x:row>
    <x:row r="22" ht="47" customHeight="1">
      <x:c r="A22" s="150"/>
      <x:c r="B22" s="150"/>
      <x:c r="C22" s="165" t="str">
        <x:v>B</x:v>
      </x:c>
      <x:c r="D22" s="176" t="n">
        <x:v>2859.5</x:v>
      </x:c>
      <x:c r="E22" s="150"/>
      <x:c r="F22" s="154" t="str">
        <x:v>Source constants are not scenario controls. Update the sourced Python table and rebuild to change versions; the reconciliation check detects edits here.</x:v>
      </x:c>
    </x:row>
    <x:row r="23">
      <x:c r="A23" s="150"/>
      <x:c r="B23" s="150"/>
      <x:c r="C23" s="165" t="str">
        <x:v>B-</x:v>
      </x:c>
      <x:c r="D23" s="176" t="n">
        <x:v>3610.11</x:v>
      </x:c>
      <x:c r="E23" s="150"/>
      <x:c r="F23" s="150"/>
    </x:row>
    <x:row r="24">
      <x:c r="A24" s="150"/>
      <x:c r="B24" s="150"/>
      <x:c r="C24" s="165" t="str">
        <x:v>CCC+</x:v>
      </x:c>
      <x:c r="D24" s="176" t="n">
        <x:v>4641.4</x:v>
      </x:c>
      <x:c r="E24" s="150"/>
      <x:c r="F24" s="150"/>
    </x:row>
    <x:row r="25">
      <x:c r="A25" s="150"/>
      <x:c r="B25" s="150"/>
      <x:c r="C25" s="165" t="str">
        <x:v>CCC</x:v>
      </x:c>
      <x:c r="D25" s="176" t="n">
        <x:v>5293</x:v>
      </x:c>
      <x:c r="E25" s="150"/>
      <x:c r="F25" s="150"/>
    </x:row>
    <x:row r="26">
      <x:c r="A26" s="150"/>
      <x:c r="B26" s="150"/>
      <x:c r="C26" s="165" t="str">
        <x:v>CCC-</x:v>
      </x:c>
      <x:c r="D26" s="176" t="n">
        <x:v>5751.1</x:v>
      </x:c>
      <x:c r="E26" s="150"/>
      <x:c r="F26" s="150"/>
    </x:row>
    <x:row r="27">
      <x:c r="A27" s="150"/>
      <x:c r="B27" s="150"/>
      <x:c r="C27" s="150"/>
      <x:c r="D27" s="150"/>
      <x:c r="E27" s="150"/>
      <x:c r="F27" s="150"/>
    </x:row>
    <x:row r="28">
      <x:c r="A28" s="150"/>
      <x:c r="B28" s="150"/>
      <x:c r="C28" s="150"/>
      <x:c r="D28" s="150"/>
      <x:c r="E28" s="150"/>
      <x:c r="F28" s="150"/>
    </x:row>
    <x:row r="29" ht="40" customHeight="1">
      <x:c r="A29" s="150"/>
      <x:c r="B29" s="150"/>
      <x:c r="C29" s="154" t="str">
        <x:v>Edited source constants</x:v>
      </x:c>
      <x:c r="D29" s="36" t="n">
        <x:f>IF(C8="AAA",0,1)+IF(D8=13.51,0,1)+IF(C9="AA+",0,1)+IF(D9=26.75,0,1)+IF(C10="AA",0,1)+IF(D10=46.36,0,1)+IF(C11="AA-",0,1)+IF(D11=63.9,0,1)+IF(C12="A+",0,1)+IF(D12=99.5,0,1)+IF(C13="A",0,1)+IF(D13=146.35,0,1)+IF(C14="A-",0,1)+IF(D14=199.83,0,1)+IF(C15="BBB+",0,1)+IF(D15=271.01,0,1)+IF(C16="BBB",0,1)+IF(D16=361.17,0,1)+IF(C17="BBB-",0,1)+IF(D17=540.42,0,1)+IF(C18="BB+",0,1)+IF(D18=784.92,0,1)+IF(C19="BB",0,1)+IF(D19=1233.63,0,1)+IF(C20="BB-",0,1)+IF(D20=1565.44,0,1)+IF(C21="B+",0,1)+IF(D21=1982,0,1)+IF(C22="B",0,1)+IF(D22=2859.5,0,1)+IF(C23="B-",0,1)+IF(D23=3610.11,0,1)+IF(C24="CCC+",0,1)+IF(D24=4641.4,0,1)+IF(C25="CCC",0,1)+IF(D25=5293,0,1)+IF(C26="CCC-",0,1)+IF(D26=5751.1,0,1)</x:f>
        <x:v>0</x:v>
      </x:c>
      <x:c r="E29" s="150"/>
      <x:c r="F29" s="15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075B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29" hidden="0" customWidth="1"/>
    <x:col min="5" max="5" width="3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0" hidden="0" customWidth="1"/>
  </x:cols>
  <x:sheetData>
    <x:row r="1">
      <x:c r="A1" s="23"/>
      <x:c r="B1" s="23"/>
      <x:c r="C1" s="114" t="str">
        <x:v>S&amp;P supplemental arithmetic</x:v>
      </x:c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3"/>
      <x:c r="B2" s="23"/>
      <x:c r="C2" s="24" t="str">
        <x:v>S&amp;P Supplemental Concentration Tests</x:v>
      </x:c>
      <x:c r="D2" s="25"/>
      <x:c r="E2" s="25"/>
      <x:c r="F2" s="25"/>
      <x:c r="G2" s="25"/>
      <x:c r="H2" s="25"/>
      <x:c r="I2" s="25"/>
      <x:c r="J2" s="25"/>
      <x:c r="K2" s="25"/>
      <x:c r="L2" s="25"/>
    </x:row>
    <x:row r="3" ht="22" customHeight="1">
      <x:c r="A3" s="23"/>
      <x:c r="B3" s="23"/>
      <x:c r="C3" s="26" t="str">
        <x:v>AAA is the test target. Loss arithmetic only; tranche sufficiency is not assessed.</x:v>
      </x:c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 ht="38" customHeight="1">
      <x:c r="A7" s="23"/>
      <x:c r="B7" s="23"/>
      <x:c r="C7" s="7" t="str">
        <x:v>Test / route</x:v>
      </x:c>
      <x:c r="D7" s="7" t="str">
        <x:v>Rating band</x:v>
      </x:c>
      <x:c r="E7" s="7" t="str">
        <x:v>Industry</x:v>
      </x:c>
      <x:c r="F7" s="7" t="str">
        <x:v>Required count</x:v>
      </x:c>
      <x:c r="G7" s="7" t="str">
        <x:v>Selected count</x:v>
      </x:c>
      <x:c r="H7" s="7" t="str">
        <x:v>Gross default par</x:v>
      </x:c>
      <x:c r="I7" s="7" t="str">
        <x:v>Flat recovery</x:v>
      </x:c>
      <x:c r="J7" s="7" t="str">
        <x:v>Loss (formula)</x:v>
      </x:c>
      <x:c r="K7" s="7" t="str">
        <x:v>Loss / par</x:v>
      </x:c>
      <x:c r="L7" s="7" t="str">
        <x:v>Selected IDs</x:v>
      </x:c>
    </x:row>
    <x:row r="8" ht="39" customHeight="1">
      <x:c r="A8" s="23"/>
      <x:c r="B8" s="23"/>
      <x:c r="C8" s="33" t="str">
        <x:v>Binding: largest_obligor</x:v>
      </x:c>
      <x:c r="D8" s="33" t="str">
        <x:v>B+ through CCC-</x:v>
      </x:c>
      <x:c r="E8" s="33" t="str">
        <x:v>All industries</x:v>
      </x:c>
      <x:c r="F8" s="23" t="n">
        <x:v>10</x:v>
      </x:c>
      <x:c r="G8" s="23" t="n">
        <x:v>10</x:v>
      </x:c>
      <x:c r="H8" s="76" t="n">
        <x:v>11820000</x:v>
      </x:c>
      <x:c r="I8" s="43" t="n">
        <x:v>0.05</x:v>
      </x:c>
      <x:c r="J8" s="80" t="n">
        <x:f>H8*(1-I8)</x:f>
        <x:v>11229000</x:v>
      </x:c>
      <x:c r="K8" s="75" t="n">
        <x:f>IF(Portfolio_Par&gt;0,J8/Portfolio_Par,"")</x:f>
        <x:v>0.20143871986222733</x:v>
      </x:c>
      <x:c r="L8" s="23" t="str">
        <x:v>SYN-OB-0003, SYN-OB-0004, SYN-OB-0005, SYN-OB-0006, SYN-OB-0007, SYN-OB-0008, SYN-OB-0011, SYN-OB-0012, SYN-OB-0017, SYN-OB-0018</x:v>
      </x:c>
    </x:row>
    <x:row r="9" ht="39" customHeight="1">
      <x:c r="A9" s="150"/>
      <x:c r="B9" s="150"/>
      <x:c r="C9" s="154" t="str">
        <x:v>Binding: primary_industry</x:v>
      </x:c>
      <x:c r="D9" s="154" t="str">
        <x:v>AAA through CCC-</x:v>
      </x:c>
      <x:c r="E9" s="154" t="str">
        <x:v>Industrial Conglomerates</x:v>
      </x:c>
      <x:c r="F9" s="150" t="n">
        <x:v>5</x:v>
      </x:c>
      <x:c r="G9" s="150" t="n">
        <x:v>5</x:v>
      </x:c>
      <x:c r="H9" s="178" t="n">
        <x:v>5910000</x:v>
      </x:c>
      <x:c r="I9" s="163" t="n">
        <x:v>0.17</x:v>
      </x:c>
      <x:c r="J9" s="80" t="n">
        <x:f>H9*(1-I9)</x:f>
        <x:v>4905300</x:v>
      </x:c>
      <x:c r="K9" s="75" t="n">
        <x:f>IF(Portfolio_Par&gt;0,J9/Portfolio_Par,"")</x:f>
        <x:v>0.08799691446613088</x:v>
      </x:c>
      <x:c r="L9" s="150" t="str">
        <x:v>SYN-OB-0003, SYN-OB-0008, SYN-OB-0012, SYN-OB-0019, SYN-OB-0030</x:v>
      </x:c>
    </x:row>
    <x:row r="10" ht="39" customHeight="1">
      <x:c r="A10" s="150"/>
      <x:c r="B10" s="150"/>
      <x:c r="C10" s="154" t="str">
        <x:v>Binding: alternative_industry</x:v>
      </x:c>
      <x:c r="D10" s="154" t="str">
        <x:v>AA+ through CCC-</x:v>
      </x:c>
      <x:c r="E10" s="154" t="str">
        <x:v>Industrial Conglomerates</x:v>
      </x:c>
      <x:c r="F10" s="150" t="n">
        <x:v>6</x:v>
      </x:c>
      <x:c r="G10" s="150" t="n">
        <x:v>5</x:v>
      </x:c>
      <x:c r="H10" s="178" t="n">
        <x:v>5910000</x:v>
      </x:c>
      <x:c r="I10" s="163" t="n">
        <x:v>0.05</x:v>
      </x:c>
      <x:c r="J10" s="80" t="n">
        <x:f>H10*(1-I10)</x:f>
        <x:v>5614500</x:v>
      </x:c>
      <x:c r="K10" s="75" t="n">
        <x:f>IF(Portfolio_Par&gt;0,J10/Portfolio_Par,"")</x:f>
        <x:v>0.10071935993111367</x:v>
      </x:c>
      <x:c r="L10" s="150" t="str">
        <x:v>SYN-OB-0003, SYN-OB-0008, SYN-OB-0012, SYN-OB-0019, SYN-OB-0030</x:v>
      </x:c>
    </x:row>
    <x:row r="11" ht="39" customHeight="1">
      <x:c r="A11" s="150"/>
      <x:c r="B11" s="150"/>
      <x:c r="C11" s="154" t="str">
        <x:v>largest_obligor</x:v>
      </x:c>
      <x:c r="D11" s="154" t="str">
        <x:v>AAA through CCC-</x:v>
      </x:c>
      <x:c r="E11" s="154" t="str">
        <x:v>All industries</x:v>
      </x:c>
      <x:c r="F11" s="150" t="n">
        <x:v>2</x:v>
      </x:c>
      <x:c r="G11" s="150" t="n">
        <x:v>2</x:v>
      </x:c>
      <x:c r="H11" s="178" t="n">
        <x:v>2364000</x:v>
      </x:c>
      <x:c r="I11" s="163" t="n">
        <x:v>0.05</x:v>
      </x:c>
      <x:c r="J11" s="80" t="n">
        <x:f>H11*(1-I11)</x:f>
        <x:v>2245800</x:v>
      </x:c>
      <x:c r="K11" s="75" t="n">
        <x:f>IF(Portfolio_Par&gt;0,J11/Portfolio_Par,"")</x:f>
        <x:v>0.040287743972445465</x:v>
      </x:c>
      <x:c r="L11" s="150" t="str">
        <x:v>SYN-OB-0001, SYN-OB-0003</x:v>
      </x:c>
    </x:row>
    <x:row r="12" ht="39" customHeight="1">
      <x:c r="A12" s="150"/>
      <x:c r="B12" s="150"/>
      <x:c r="C12" s="154" t="str">
        <x:v>largest_obligor</x:v>
      </x:c>
      <x:c r="D12" s="154" t="str">
        <x:v>AA+ through CCC-</x:v>
      </x:c>
      <x:c r="E12" s="154" t="str">
        <x:v>All industries</x:v>
      </x:c>
      <x:c r="F12" s="150" t="n">
        <x:v>3</x:v>
      </x:c>
      <x:c r="G12" s="150" t="n">
        <x:v>3</x:v>
      </x:c>
      <x:c r="H12" s="178" t="n">
        <x:v>3546000</x:v>
      </x:c>
      <x:c r="I12" s="163" t="n">
        <x:v>0.05</x:v>
      </x:c>
      <x:c r="J12" s="80" t="n">
        <x:f>H12*(1-I12)</x:f>
        <x:v>3368700</x:v>
      </x:c>
      <x:c r="K12" s="75" t="n">
        <x:f>IF(Portfolio_Par&gt;0,J12/Portfolio_Par,"")</x:f>
        <x:v>0.060431615958668194</x:v>
      </x:c>
      <x:c r="L12" s="150" t="str">
        <x:v>SYN-OB-0001, SYN-OB-0003, SYN-OB-0004</x:v>
      </x:c>
    </x:row>
    <x:row r="13" ht="39" customHeight="1">
      <x:c r="A13" s="150"/>
      <x:c r="B13" s="150"/>
      <x:c r="C13" s="154" t="str">
        <x:v>largest_obligor</x:v>
      </x:c>
      <x:c r="D13" s="154" t="str">
        <x:v>A+ through CCC-</x:v>
      </x:c>
      <x:c r="E13" s="154" t="str">
        <x:v>All industries</x:v>
      </x:c>
      <x:c r="F13" s="150" t="n">
        <x:v>4</x:v>
      </x:c>
      <x:c r="G13" s="150" t="n">
        <x:v>4</x:v>
      </x:c>
      <x:c r="H13" s="178" t="n">
        <x:v>4728000</x:v>
      </x:c>
      <x:c r="I13" s="163" t="n">
        <x:v>0.05</x:v>
      </x:c>
      <x:c r="J13" s="80" t="n">
        <x:f>H13*(1-I13)</x:f>
        <x:v>4491600</x:v>
      </x:c>
      <x:c r="K13" s="75" t="n">
        <x:f>IF(Portfolio_Par&gt;0,J13/Portfolio_Par,"")</x:f>
        <x:v>0.08057548794489093</x:v>
      </x:c>
      <x:c r="L13" s="150" t="str">
        <x:v>SYN-OB-0001, SYN-OB-0003, SYN-OB-0004, SYN-OB-0005</x:v>
      </x:c>
    </x:row>
    <x:row r="14" ht="39" customHeight="1">
      <x:c r="A14" s="150"/>
      <x:c r="B14" s="150"/>
      <x:c r="C14" s="154" t="str">
        <x:v>largest_obligor</x:v>
      </x:c>
      <x:c r="D14" s="154" t="str">
        <x:v>BBB+ through CCC-</x:v>
      </x:c>
      <x:c r="E14" s="154" t="str">
        <x:v>All industries</x:v>
      </x:c>
      <x:c r="F14" s="150" t="n">
        <x:v>6</x:v>
      </x:c>
      <x:c r="G14" s="150" t="n">
        <x:v>6</x:v>
      </x:c>
      <x:c r="H14" s="178" t="n">
        <x:v>7092000</x:v>
      </x:c>
      <x:c r="I14" s="163" t="n">
        <x:v>0.05</x:v>
      </x:c>
      <x:c r="J14" s="80" t="n">
        <x:f>H14*(1-I14)</x:f>
        <x:v>6737400</x:v>
      </x:c>
      <x:c r="K14" s="75" t="n">
        <x:f>IF(Portfolio_Par&gt;0,J14/Portfolio_Par,"")</x:f>
        <x:v>0.12086323191733639</x:v>
      </x:c>
      <x:c r="L14" s="150" t="str">
        <x:v>SYN-OB-0001, SYN-OB-0003, SYN-OB-0004, SYN-OB-0005, SYN-OB-0006, SYN-OB-0007</x:v>
      </x:c>
    </x:row>
    <x:row r="15" ht="39" customHeight="1">
      <x:c r="A15" s="150"/>
      <x:c r="B15" s="150"/>
      <x:c r="C15" s="154" t="str">
        <x:v>largest_obligor</x:v>
      </x:c>
      <x:c r="D15" s="154" t="str">
        <x:v>BB+ through CCC-</x:v>
      </x:c>
      <x:c r="E15" s="154" t="str">
        <x:v>All industries</x:v>
      </x:c>
      <x:c r="F15" s="150" t="n">
        <x:v>8</x:v>
      </x:c>
      <x:c r="G15" s="150" t="n">
        <x:v>8</x:v>
      </x:c>
      <x:c r="H15" s="178" t="n">
        <x:v>9456000</x:v>
      </x:c>
      <x:c r="I15" s="163" t="n">
        <x:v>0.05</x:v>
      </x:c>
      <x:c r="J15" s="80" t="n">
        <x:f>H15*(1-I15)</x:f>
        <x:v>8983200</x:v>
      </x:c>
      <x:c r="K15" s="75" t="n">
        <x:f>IF(Portfolio_Par&gt;0,J15/Portfolio_Par,"")</x:f>
        <x:v>0.16115097588978186</x:v>
      </x:c>
      <x:c r="L15" s="150" t="str">
        <x:v>SYN-OB-0001, SYN-OB-0003, SYN-OB-0004, SYN-OB-0005, SYN-OB-0006, SYN-OB-0007, SYN-OB-0008, SYN-OB-0009</x:v>
      </x:c>
    </x:row>
    <x:row r="16" ht="39" customHeight="1">
      <x:c r="A16" s="150"/>
      <x:c r="B16" s="150"/>
      <x:c r="C16" s="154" t="str">
        <x:v>largest_obligor</x:v>
      </x:c>
      <x:c r="D16" s="154" t="str">
        <x:v>B+ through CCC-</x:v>
      </x:c>
      <x:c r="E16" s="154" t="str">
        <x:v>All industries</x:v>
      </x:c>
      <x:c r="F16" s="150" t="n">
        <x:v>10</x:v>
      </x:c>
      <x:c r="G16" s="150" t="n">
        <x:v>10</x:v>
      </x:c>
      <x:c r="H16" s="178" t="n">
        <x:v>11820000</x:v>
      </x:c>
      <x:c r="I16" s="163" t="n">
        <x:v>0.05</x:v>
      </x:c>
      <x:c r="J16" s="80" t="n">
        <x:f>H16*(1-I16)</x:f>
        <x:v>11229000</x:v>
      </x:c>
      <x:c r="K16" s="75" t="n">
        <x:f>IF(Portfolio_Par&gt;0,J16/Portfolio_Par,"")</x:f>
        <x:v>0.20143871986222733</x:v>
      </x:c>
      <x:c r="L16" s="150" t="str">
        <x:v>SYN-OB-0003, SYN-OB-0004, SYN-OB-0005, SYN-OB-0006, SYN-OB-0007, SYN-OB-0008, SYN-OB-0011, SYN-OB-0012, SYN-OB-0017, SYN-OB-0018</x:v>
      </x:c>
    </x:row>
    <x:row r="17" ht="39" customHeight="1">
      <x:c r="A17" s="150"/>
      <x:c r="B17" s="150"/>
      <x:c r="C17" s="154" t="str">
        <x:v>largest_obligor</x:v>
      </x:c>
      <x:c r="D17" s="154" t="str">
        <x:v>CCC+ through CCC-</x:v>
      </x:c>
      <x:c r="E17" s="154" t="str">
        <x:v>All industries</x:v>
      </x:c>
      <x:c r="F17" s="150" t="n">
        <x:v>12</x:v>
      </x:c>
      <x:c r="G17" s="150" t="n">
        <x:v>0</x:v>
      </x:c>
      <x:c r="H17" s="178" t="n">
        <x:v>0</x:v>
      </x:c>
      <x:c r="I17" s="163" t="n">
        <x:v>0.05</x:v>
      </x:c>
      <x:c r="J17" s="80" t="n">
        <x:f>H17*(1-I17)</x:f>
        <x:v>0</x:v>
      </x:c>
      <x:c r="K17" s="75" t="n">
        <x:f>IF(Portfolio_Par&gt;0,J17/Portfolio_Par,"")</x:f>
        <x:v>0</x:v>
      </x:c>
      <x:c r="L17" s="150" t="str"/>
    </x:row>
    <x:row r="18" ht="39" customHeight="1">
      <x:c r="A18" s="150"/>
      <x:c r="B18" s="150"/>
      <x:c r="C18" s="154" t="str">
        <x:v>primary_industry</x:v>
      </x:c>
      <x:c r="D18" s="154" t="str">
        <x:v>AAA through CCC-</x:v>
      </x:c>
      <x:c r="E18" s="154" t="str">
        <x:v>Aerospace &amp; Defense</x:v>
      </x:c>
      <x:c r="F18" s="150" t="n">
        <x:v>5</x:v>
      </x:c>
      <x:c r="G18" s="150" t="n">
        <x:v>5</x:v>
      </x:c>
      <x:c r="H18" s="178" t="n">
        <x:v>5358000</x:v>
      </x:c>
      <x:c r="I18" s="163" t="n">
        <x:v>0.17</x:v>
      </x:c>
      <x:c r="J18" s="80" t="n">
        <x:f>H18*(1-I18)</x:f>
        <x:v>4447140</x:v>
      </x:c>
      <x:c r="K18" s="75" t="n">
        <x:f>IF(Portfolio_Par&gt;0,J18/Portfolio_Par,"")</x:f>
        <x:v>0.07977791331802526</x:v>
      </x:c>
      <x:c r="L18" s="150" t="str">
        <x:v>SYN-OB-0024, SYN-OB-0039, SYN-OB-0045, SYN-OB-0046, SYN-OB-0027</x:v>
      </x:c>
    </x:row>
    <x:row r="19" ht="39" customHeight="1">
      <x:c r="A19" s="150"/>
      <x:c r="B19" s="150"/>
      <x:c r="C19" s="154" t="str">
        <x:v>primary_industry</x:v>
      </x:c>
      <x:c r="D19" s="154" t="str">
        <x:v>AAA through CCC-</x:v>
      </x:c>
      <x:c r="E19" s="154" t="str">
        <x:v>Auto Components</x:v>
      </x:c>
      <x:c r="F19" s="150" t="n">
        <x:v>1</x:v>
      </x:c>
      <x:c r="G19" s="150" t="n">
        <x:v>1</x:v>
      </x:c>
      <x:c r="H19" s="178" t="n">
        <x:v>630000</x:v>
      </x:c>
      <x:c r="I19" s="163" t="n">
        <x:v>0.17</x:v>
      </x:c>
      <x:c r="J19" s="80" t="n">
        <x:f>H19*(1-I19)</x:f>
        <x:v>522900</x:v>
      </x:c>
      <x:c r="K19" s="75" t="n">
        <x:f>IF(Portfolio_Par&gt;0,J19/Portfolio_Par,"")</x:f>
        <x:v>0.00938038174512055</x:v>
      </x:c>
      <x:c r="L19" s="150" t="str">
        <x:v>SYN-OB-0038</x:v>
      </x:c>
    </x:row>
    <x:row r="20" ht="39" customHeight="1">
      <x:c r="A20" s="150"/>
      <x:c r="B20" s="150"/>
      <x:c r="C20" s="154" t="str">
        <x:v>primary_industry</x:v>
      </x:c>
      <x:c r="D20" s="154" t="str">
        <x:v>AAA through CCC-</x:v>
      </x:c>
      <x:c r="E20" s="154" t="str">
        <x:v>Banks</x:v>
      </x:c>
      <x:c r="F20" s="150" t="n">
        <x:v>2</x:v>
      </x:c>
      <x:c r="G20" s="150" t="n">
        <x:v>2</x:v>
      </x:c>
      <x:c r="H20" s="178" t="n">
        <x:v>2364000</x:v>
      </x:c>
      <x:c r="I20" s="163" t="n">
        <x:v>0.17</x:v>
      </x:c>
      <x:c r="J20" s="80" t="n">
        <x:f>H20*(1-I20)</x:f>
        <x:v>1962120</x:v>
      </x:c>
      <x:c r="K20" s="75" t="n">
        <x:f>IF(Portfolio_Par&gt;0,J20/Portfolio_Par,"")</x:f>
        <x:v>0.035198765786452355</x:v>
      </x:c>
      <x:c r="L20" s="150" t="str">
        <x:v>SYN-OB-0016, SYN-OB-0049</x:v>
      </x:c>
    </x:row>
    <x:row r="21" ht="39" customHeight="1">
      <x:c r="A21" s="150"/>
      <x:c r="B21" s="150"/>
      <x:c r="C21" s="154" t="str">
        <x:v>primary_industry</x:v>
      </x:c>
      <x:c r="D21" s="154" t="str">
        <x:v>AAA through CCC-</x:v>
      </x:c>
      <x:c r="E21" s="154" t="str">
        <x:v>Beverages</x:v>
      </x:c>
      <x:c r="F21" s="150" t="n">
        <x:v>1</x:v>
      </x:c>
      <x:c r="G21" s="150" t="n">
        <x:v>1</x:v>
      </x:c>
      <x:c r="H21" s="178" t="n">
        <x:v>630000</x:v>
      </x:c>
      <x:c r="I21" s="163" t="n">
        <x:v>0.17</x:v>
      </x:c>
      <x:c r="J21" s="80" t="n">
        <x:f>H21*(1-I21)</x:f>
        <x:v>522900</x:v>
      </x:c>
      <x:c r="K21" s="75" t="n">
        <x:f>IF(Portfolio_Par&gt;0,J21/Portfolio_Par,"")</x:f>
        <x:v>0.00938038174512055</x:v>
      </x:c>
      <x:c r="L21" s="150" t="str">
        <x:v>SYN-OB-0015</x:v>
      </x:c>
    </x:row>
    <x:row r="22" ht="39" customHeight="1">
      <x:c r="A22" s="150"/>
      <x:c r="B22" s="150"/>
      <x:c r="C22" s="154" t="str">
        <x:v>primary_industry</x:v>
      </x:c>
      <x:c r="D22" s="154" t="str">
        <x:v>AAA through CCC-</x:v>
      </x:c>
      <x:c r="E22" s="154" t="str">
        <x:v>Broadline retail</x:v>
      </x:c>
      <x:c r="F22" s="150" t="n">
        <x:v>1</x:v>
      </x:c>
      <x:c r="G22" s="150" t="n">
        <x:v>1</x:v>
      </x:c>
      <x:c r="H22" s="178" t="n">
        <x:v>1182000</x:v>
      </x:c>
      <x:c r="I22" s="163" t="n">
        <x:v>0.17</x:v>
      </x:c>
      <x:c r="J22" s="80" t="n">
        <x:f>H22*(1-I22)</x:f>
        <x:v>981060</x:v>
      </x:c>
      <x:c r="K22" s="75" t="n">
        <x:f>IF(Portfolio_Par&gt;0,J22/Portfolio_Par,"")</x:f>
        <x:v>0.017599382893226177</x:v>
      </x:c>
      <x:c r="L22" s="150" t="str">
        <x:v>SYN-OB-0025</x:v>
      </x:c>
    </x:row>
    <x:row r="23" ht="39" customHeight="1">
      <x:c r="A23" s="150"/>
      <x:c r="B23" s="150"/>
      <x:c r="C23" s="154" t="str">
        <x:v>primary_industry</x:v>
      </x:c>
      <x:c r="D23" s="154" t="str">
        <x:v>AAA through CCC-</x:v>
      </x:c>
      <x:c r="E23" s="154" t="str">
        <x:v>Building Products</x:v>
      </x:c>
      <x:c r="F23" s="150" t="n">
        <x:v>2</x:v>
      </x:c>
      <x:c r="G23" s="150" t="n">
        <x:v>2</x:v>
      </x:c>
      <x:c r="H23" s="178" t="n">
        <x:v>2364000</x:v>
      </x:c>
      <x:c r="I23" s="163" t="n">
        <x:v>0.17</x:v>
      </x:c>
      <x:c r="J23" s="80" t="n">
        <x:f>H23*(1-I23)</x:f>
        <x:v>1962120</x:v>
      </x:c>
      <x:c r="K23" s="75" t="n">
        <x:f>IF(Portfolio_Par&gt;0,J23/Portfolio_Par,"")</x:f>
        <x:v>0.035198765786452355</x:v>
      </x:c>
      <x:c r="L23" s="150" t="str">
        <x:v>SYN-OB-0007, SYN-OB-0034</x:v>
      </x:c>
    </x:row>
    <x:row r="24" ht="39" customHeight="1">
      <x:c r="A24" s="150"/>
      <x:c r="B24" s="150"/>
      <x:c r="C24" s="154" t="str">
        <x:v>primary_industry</x:v>
      </x:c>
      <x:c r="D24" s="154" t="str">
        <x:v>AAA through CCC-</x:v>
      </x:c>
      <x:c r="E24" s="154" t="str">
        <x:v>Capital Markets</x:v>
      </x:c>
      <x:c r="F24" s="150" t="n">
        <x:v>1</x:v>
      </x:c>
      <x:c r="G24" s="150" t="n">
        <x:v>1</x:v>
      </x:c>
      <x:c r="H24" s="178" t="n">
        <x:v>1182000</x:v>
      </x:c>
      <x:c r="I24" s="163" t="n">
        <x:v>0.17</x:v>
      </x:c>
      <x:c r="J24" s="80" t="n">
        <x:f>H24*(1-I24)</x:f>
        <x:v>981060</x:v>
      </x:c>
      <x:c r="K24" s="75" t="n">
        <x:f>IF(Portfolio_Par&gt;0,J24/Portfolio_Par,"")</x:f>
        <x:v>0.017599382893226177</x:v>
      </x:c>
      <x:c r="L24" s="150" t="str">
        <x:v>SYN-OB-0020</x:v>
      </x:c>
    </x:row>
    <x:row r="25" ht="39" customHeight="1">
      <x:c r="A25" s="150"/>
      <x:c r="B25" s="150"/>
      <x:c r="C25" s="154" t="str">
        <x:v>primary_industry</x:v>
      </x:c>
      <x:c r="D25" s="154" t="str">
        <x:v>AAA through CCC-</x:v>
      </x:c>
      <x:c r="E25" s="154" t="str">
        <x:v>Chemicals</x:v>
      </x:c>
      <x:c r="F25" s="150" t="n">
        <x:v>1</x:v>
      </x:c>
      <x:c r="G25" s="150" t="n">
        <x:v>1</x:v>
      </x:c>
      <x:c r="H25" s="178" t="n">
        <x:v>1182000</x:v>
      </x:c>
      <x:c r="I25" s="163" t="n">
        <x:v>0.17</x:v>
      </x:c>
      <x:c r="J25" s="80" t="n">
        <x:f>H25*(1-I25)</x:f>
        <x:v>981060</x:v>
      </x:c>
      <x:c r="K25" s="75" t="n">
        <x:f>IF(Portfolio_Par&gt;0,J25/Portfolio_Par,"")</x:f>
        <x:v>0.017599382893226177</x:v>
      </x:c>
      <x:c r="L25" s="150" t="str">
        <x:v>SYN-OB-0006</x:v>
      </x:c>
    </x:row>
    <x:row r="26" ht="39" customHeight="1">
      <x:c r="A26" s="150"/>
      <x:c r="B26" s="150"/>
      <x:c r="C26" s="154" t="str">
        <x:v>primary_industry</x:v>
      </x:c>
      <x:c r="D26" s="154" t="str">
        <x:v>AAA through CCC-</x:v>
      </x:c>
      <x:c r="E26" s="154" t="str">
        <x:v>Commercial Services &amp; Supplies</x:v>
      </x:c>
      <x:c r="F26" s="150" t="n">
        <x:v>2</x:v>
      </x:c>
      <x:c r="G26" s="150" t="n">
        <x:v>2</x:v>
      </x:c>
      <x:c r="H26" s="178" t="n">
        <x:v>2364000</x:v>
      </x:c>
      <x:c r="I26" s="163" t="n">
        <x:v>0.17</x:v>
      </x:c>
      <x:c r="J26" s="80" t="n">
        <x:f>H26*(1-I26)</x:f>
        <x:v>1962120</x:v>
      </x:c>
      <x:c r="K26" s="75" t="n">
        <x:f>IF(Portfolio_Par&gt;0,J26/Portfolio_Par,"")</x:f>
        <x:v>0.035198765786452355</x:v>
      </x:c>
      <x:c r="L26" s="150" t="str">
        <x:v>SYN-OB-0010, SYN-OB-0011</x:v>
      </x:c>
    </x:row>
    <x:row r="27" ht="39" customHeight="1">
      <x:c r="A27" s="150"/>
      <x:c r="B27" s="150"/>
      <x:c r="C27" s="154" t="str">
        <x:v>primary_industry</x:v>
      </x:c>
      <x:c r="D27" s="154" t="str">
        <x:v>AAA through CCC-</x:v>
      </x:c>
      <x:c r="E27" s="154" t="str">
        <x:v>Construction &amp; Engineering</x:v>
      </x:c>
      <x:c r="F27" s="150" t="n">
        <x:v>1</x:v>
      </x:c>
      <x:c r="G27" s="150" t="n">
        <x:v>1</x:v>
      </x:c>
      <x:c r="H27" s="178" t="n">
        <x:v>630000</x:v>
      </x:c>
      <x:c r="I27" s="163" t="n">
        <x:v>0.17</x:v>
      </x:c>
      <x:c r="J27" s="80" t="n">
        <x:f>H27*(1-I27)</x:f>
        <x:v>522900</x:v>
      </x:c>
      <x:c r="K27" s="75" t="n">
        <x:f>IF(Portfolio_Par&gt;0,J27/Portfolio_Par,"")</x:f>
        <x:v>0.00938038174512055</x:v>
      </x:c>
      <x:c r="L27" s="150" t="str">
        <x:v>SYN-OB-0050</x:v>
      </x:c>
    </x:row>
    <x:row r="28" ht="39" customHeight="1">
      <x:c r="A28" s="150"/>
      <x:c r="B28" s="150"/>
      <x:c r="C28" s="154" t="str">
        <x:v>primary_industry</x:v>
      </x:c>
      <x:c r="D28" s="154" t="str">
        <x:v>AAA through CCC-</x:v>
      </x:c>
      <x:c r="E28" s="154" t="str">
        <x:v>Construction Materials</x:v>
      </x:c>
      <x:c r="F28" s="150" t="n">
        <x:v>1</x:v>
      </x:c>
      <x:c r="G28" s="150" t="n">
        <x:v>1</x:v>
      </x:c>
      <x:c r="H28" s="178" t="n">
        <x:v>1182000</x:v>
      </x:c>
      <x:c r="I28" s="163" t="n">
        <x:v>0.17</x:v>
      </x:c>
      <x:c r="J28" s="80" t="n">
        <x:f>H28*(1-I28)</x:f>
        <x:v>981060</x:v>
      </x:c>
      <x:c r="K28" s="75" t="n">
        <x:f>IF(Portfolio_Par&gt;0,J28/Portfolio_Par,"")</x:f>
        <x:v>0.017599382893226177</x:v>
      </x:c>
      <x:c r="L28" s="150" t="str">
        <x:v>SYN-OB-0013</x:v>
      </x:c>
    </x:row>
    <x:row r="29" ht="39" customHeight="1">
      <x:c r="A29" s="150"/>
      <x:c r="B29" s="150"/>
      <x:c r="C29" s="154" t="str">
        <x:v>primary_industry</x:v>
      </x:c>
      <x:c r="D29" s="154" t="str">
        <x:v>AAA through CCC-</x:v>
      </x:c>
      <x:c r="E29" s="154" t="str">
        <x:v>Containers &amp; Packaging</x:v>
      </x:c>
      <x:c r="F29" s="150" t="n">
        <x:v>1</x:v>
      </x:c>
      <x:c r="G29" s="150" t="n">
        <x:v>1</x:v>
      </x:c>
      <x:c r="H29" s="178" t="n">
        <x:v>1182000</x:v>
      </x:c>
      <x:c r="I29" s="163" t="n">
        <x:v>0.17</x:v>
      </x:c>
      <x:c r="J29" s="80" t="n">
        <x:f>H29*(1-I29)</x:f>
        <x:v>981060</x:v>
      </x:c>
      <x:c r="K29" s="75" t="n">
        <x:f>IF(Portfolio_Par&gt;0,J29/Portfolio_Par,"")</x:f>
        <x:v>0.017599382893226177</x:v>
      </x:c>
      <x:c r="L29" s="150" t="str">
        <x:v>SYN-OB-0023</x:v>
      </x:c>
    </x:row>
    <x:row r="30" ht="39" customHeight="1">
      <x:c r="A30" s="150"/>
      <x:c r="B30" s="150"/>
      <x:c r="C30" s="154" t="str">
        <x:v>primary_industry</x:v>
      </x:c>
      <x:c r="D30" s="154" t="str">
        <x:v>AAA through CCC-</x:v>
      </x:c>
      <x:c r="E30" s="154" t="str">
        <x:v>Diversified Telecommunication Services</x:v>
      </x:c>
      <x:c r="F30" s="150" t="n">
        <x:v>2</x:v>
      </x:c>
      <x:c r="G30" s="150" t="n">
        <x:v>2</x:v>
      </x:c>
      <x:c r="H30" s="178" t="n">
        <x:v>2364000</x:v>
      </x:c>
      <x:c r="I30" s="163" t="n">
        <x:v>0.17</x:v>
      </x:c>
      <x:c r="J30" s="80" t="n">
        <x:f>H30*(1-I30)</x:f>
        <x:v>1962120</x:v>
      </x:c>
      <x:c r="K30" s="75" t="n">
        <x:f>IF(Portfolio_Par&gt;0,J30/Portfolio_Par,"")</x:f>
        <x:v>0.035198765786452355</x:v>
      </x:c>
      <x:c r="L30" s="150" t="str">
        <x:v>SYN-OB-0009, SYN-OB-0047</x:v>
      </x:c>
    </x:row>
    <x:row r="31" ht="39" customHeight="1">
      <x:c r="A31" s="150"/>
      <x:c r="B31" s="150"/>
      <x:c r="C31" s="154" t="str">
        <x:v>primary_industry</x:v>
      </x:c>
      <x:c r="D31" s="154" t="str">
        <x:v>AAA through CCC-</x:v>
      </x:c>
      <x:c r="E31" s="154" t="str">
        <x:v>Electric Utilities</x:v>
      </x:c>
      <x:c r="F31" s="150" t="n">
        <x:v>1</x:v>
      </x:c>
      <x:c r="G31" s="150" t="n">
        <x:v>1</x:v>
      </x:c>
      <x:c r="H31" s="178" t="n">
        <x:v>1182000</x:v>
      </x:c>
      <x:c r="I31" s="163" t="n">
        <x:v>0.17</x:v>
      </x:c>
      <x:c r="J31" s="80" t="n">
        <x:f>H31*(1-I31)</x:f>
        <x:v>981060</x:v>
      </x:c>
      <x:c r="K31" s="75" t="n">
        <x:f>IF(Portfolio_Par&gt;0,J31/Portfolio_Par,"")</x:f>
        <x:v>0.017599382893226177</x:v>
      </x:c>
      <x:c r="L31" s="150" t="str">
        <x:v>SYN-OB-0044</x:v>
      </x:c>
    </x:row>
    <x:row r="32" ht="39" customHeight="1">
      <x:c r="A32" s="150"/>
      <x:c r="B32" s="150"/>
      <x:c r="C32" s="154" t="str">
        <x:v>primary_industry</x:v>
      </x:c>
      <x:c r="D32" s="154" t="str">
        <x:v>AAA through CCC-</x:v>
      </x:c>
      <x:c r="E32" s="154" t="str">
        <x:v>Energy Equipment &amp; Services</x:v>
      </x:c>
      <x:c r="F32" s="150" t="n">
        <x:v>1</x:v>
      </x:c>
      <x:c r="G32" s="150" t="n">
        <x:v>1</x:v>
      </x:c>
      <x:c r="H32" s="178" t="n">
        <x:v>1182000</x:v>
      </x:c>
      <x:c r="I32" s="163" t="n">
        <x:v>0.17</x:v>
      </x:c>
      <x:c r="J32" s="80" t="n">
        <x:f>H32*(1-I32)</x:f>
        <x:v>981060</x:v>
      </x:c>
      <x:c r="K32" s="75" t="n">
        <x:f>IF(Portfolio_Par&gt;0,J32/Portfolio_Par,"")</x:f>
        <x:v>0.017599382893226177</x:v>
      </x:c>
      <x:c r="L32" s="150" t="str">
        <x:v>SYN-OB-0037</x:v>
      </x:c>
    </x:row>
    <x:row r="33" ht="39" customHeight="1">
      <x:c r="A33" s="150"/>
      <x:c r="B33" s="150"/>
      <x:c r="C33" s="154" t="str">
        <x:v>primary_industry</x:v>
      </x:c>
      <x:c r="D33" s="154" t="str">
        <x:v>AAA through CCC-</x:v>
      </x:c>
      <x:c r="E33" s="154" t="str">
        <x:v>Financial services</x:v>
      </x:c>
      <x:c r="F33" s="150" t="n">
        <x:v>3</x:v>
      </x:c>
      <x:c r="G33" s="150" t="n">
        <x:v>3</x:v>
      </x:c>
      <x:c r="H33" s="178" t="n">
        <x:v>2994000</x:v>
      </x:c>
      <x:c r="I33" s="163" t="n">
        <x:v>0.17</x:v>
      </x:c>
      <x:c r="J33" s="80" t="n">
        <x:f>H33*(1-I33)</x:f>
        <x:v>2485020</x:v>
      </x:c>
      <x:c r="K33" s="75" t="n">
        <x:f>IF(Portfolio_Par&gt;0,J33/Portfolio_Par,"")</x:f>
        <x:v>0.0445791475315729</x:v>
      </x:c>
      <x:c r="L33" s="150" t="str">
        <x:v>SYN-OB-0004, SYN-OB-0028, SYN-OB-0048</x:v>
      </x:c>
    </x:row>
    <x:row r="34" ht="39" customHeight="1">
      <x:c r="A34" s="150"/>
      <x:c r="B34" s="150"/>
      <x:c r="C34" s="154" t="str">
        <x:v>primary_industry</x:v>
      </x:c>
      <x:c r="D34" s="154" t="str">
        <x:v>AAA through CCC-</x:v>
      </x:c>
      <x:c r="E34" s="154" t="str">
        <x:v>Gas Utilities</x:v>
      </x:c>
      <x:c r="F34" s="150" t="n">
        <x:v>1</x:v>
      </x:c>
      <x:c r="G34" s="150" t="n">
        <x:v>1</x:v>
      </x:c>
      <x:c r="H34" s="178" t="n">
        <x:v>1182000</x:v>
      </x:c>
      <x:c r="I34" s="163" t="n">
        <x:v>0.17</x:v>
      </x:c>
      <x:c r="J34" s="80" t="n">
        <x:f>H34*(1-I34)</x:f>
        <x:v>981060</x:v>
      </x:c>
      <x:c r="K34" s="75" t="n">
        <x:f>IF(Portfolio_Par&gt;0,J34/Portfolio_Par,"")</x:f>
        <x:v>0.017599382893226177</x:v>
      </x:c>
      <x:c r="L34" s="150" t="str">
        <x:v>SYN-OB-0035</x:v>
      </x:c>
    </x:row>
    <x:row r="35" ht="39" customHeight="1">
      <x:c r="A35" s="150"/>
      <x:c r="B35" s="150"/>
      <x:c r="C35" s="154" t="str">
        <x:v>primary_industry</x:v>
      </x:c>
      <x:c r="D35" s="154" t="str">
        <x:v>AAA through CCC-</x:v>
      </x:c>
      <x:c r="E35" s="154" t="str">
        <x:v>Healthcare Providers &amp; Services</x:v>
      </x:c>
      <x:c r="F35" s="150" t="n">
        <x:v>2</x:v>
      </x:c>
      <x:c r="G35" s="150" t="n">
        <x:v>2</x:v>
      </x:c>
      <x:c r="H35" s="178" t="n">
        <x:v>2364000</x:v>
      </x:c>
      <x:c r="I35" s="163" t="n">
        <x:v>0.17</x:v>
      </x:c>
      <x:c r="J35" s="80" t="n">
        <x:f>H35*(1-I35)</x:f>
        <x:v>1962120</x:v>
      </x:c>
      <x:c r="K35" s="75" t="n">
        <x:f>IF(Portfolio_Par&gt;0,J35/Portfolio_Par,"")</x:f>
        <x:v>0.035198765786452355</x:v>
      </x:c>
      <x:c r="L35" s="150" t="str">
        <x:v>SYN-OB-0005, SYN-OB-0043</x:v>
      </x:c>
    </x:row>
    <x:row r="36" ht="39" customHeight="1">
      <x:c r="A36" s="150"/>
      <x:c r="B36" s="150"/>
      <x:c r="C36" s="154" t="str">
        <x:v>primary_industry</x:v>
      </x:c>
      <x:c r="D36" s="154" t="str">
        <x:v>AAA through CCC-</x:v>
      </x:c>
      <x:c r="E36" s="154" t="str">
        <x:v>Healthcare Technology</x:v>
      </x:c>
      <x:c r="F36" s="150" t="n">
        <x:v>2</x:v>
      </x:c>
      <x:c r="G36" s="150" t="n">
        <x:v>2</x:v>
      </x:c>
      <x:c r="H36" s="178" t="n">
        <x:v>2364000</x:v>
      </x:c>
      <x:c r="I36" s="163" t="n">
        <x:v>0.17</x:v>
      </x:c>
      <x:c r="J36" s="80" t="n">
        <x:f>H36*(1-I36)</x:f>
        <x:v>1962120</x:v>
      </x:c>
      <x:c r="K36" s="75" t="n">
        <x:f>IF(Portfolio_Par&gt;0,J36/Portfolio_Par,"")</x:f>
        <x:v>0.035198765786452355</x:v>
      </x:c>
      <x:c r="L36" s="150" t="str">
        <x:v>SYN-OB-0021, SYN-OB-0033</x:v>
      </x:c>
    </x:row>
    <x:row r="37" ht="39" customHeight="1">
      <x:c r="A37" s="150"/>
      <x:c r="B37" s="150"/>
      <x:c r="C37" s="154" t="str">
        <x:v>primary_industry</x:v>
      </x:c>
      <x:c r="D37" s="154" t="str">
        <x:v>AAA through CCC-</x:v>
      </x:c>
      <x:c r="E37" s="154" t="str">
        <x:v>Hotels, Restaurants &amp; Leisure</x:v>
      </x:c>
      <x:c r="F37" s="150" t="n">
        <x:v>3</x:v>
      </x:c>
      <x:c r="G37" s="150" t="n">
        <x:v>3</x:v>
      </x:c>
      <x:c r="H37" s="178" t="n">
        <x:v>3546000</x:v>
      </x:c>
      <x:c r="I37" s="163" t="n">
        <x:v>0.17</x:v>
      </x:c>
      <x:c r="J37" s="80" t="n">
        <x:f>H37*(1-I37)</x:f>
        <x:v>2943180</x:v>
      </x:c>
      <x:c r="K37" s="75" t="n">
        <x:f>IF(Portfolio_Par&gt;0,J37/Portfolio_Par,"")</x:f>
        <x:v>0.05279814867967853</x:v>
      </x:c>
      <x:c r="L37" s="150" t="str">
        <x:v>SYN-OB-0001, SYN-OB-0014, SYN-OB-0022</x:v>
      </x:c>
    </x:row>
    <x:row r="38" ht="39" customHeight="1">
      <x:c r="A38" s="150"/>
      <x:c r="B38" s="150"/>
      <x:c r="C38" s="154" t="str">
        <x:v>primary_industry</x:v>
      </x:c>
      <x:c r="D38" s="154" t="str">
        <x:v>AAA through CCC-</x:v>
      </x:c>
      <x:c r="E38" s="154" t="str">
        <x:v>Household Products</x:v>
      </x:c>
      <x:c r="F38" s="150" t="n">
        <x:v>1</x:v>
      </x:c>
      <x:c r="G38" s="150" t="n">
        <x:v>1</x:v>
      </x:c>
      <x:c r="H38" s="178" t="n">
        <x:v>1182000</x:v>
      </x:c>
      <x:c r="I38" s="163" t="n">
        <x:v>0.17</x:v>
      </x:c>
      <x:c r="J38" s="80" t="n">
        <x:f>H38*(1-I38)</x:f>
        <x:v>981060</x:v>
      </x:c>
      <x:c r="K38" s="75" t="n">
        <x:f>IF(Portfolio_Par&gt;0,J38/Portfolio_Par,"")</x:f>
        <x:v>0.017599382893226177</x:v>
      </x:c>
      <x:c r="L38" s="150" t="str">
        <x:v>SYN-OB-0026</x:v>
      </x:c>
    </x:row>
    <x:row r="39" ht="39" customHeight="1">
      <x:c r="A39" s="150"/>
      <x:c r="B39" s="150"/>
      <x:c r="C39" s="154" t="str">
        <x:v>primary_industry</x:v>
      </x:c>
      <x:c r="D39" s="154" t="str">
        <x:v>AAA through CCC-</x:v>
      </x:c>
      <x:c r="E39" s="154" t="str">
        <x:v>IT Services</x:v>
      </x:c>
      <x:c r="F39" s="150" t="n">
        <x:v>2</x:v>
      </x:c>
      <x:c r="G39" s="150" t="n">
        <x:v>2</x:v>
      </x:c>
      <x:c r="H39" s="178" t="n">
        <x:v>1768000</x:v>
      </x:c>
      <x:c r="I39" s="163" t="n">
        <x:v>0.17</x:v>
      </x:c>
      <x:c r="J39" s="80" t="n">
        <x:f>H39*(1-I39)</x:f>
        <x:v>1467440</x:v>
      </x:c>
      <x:c r="K39" s="75" t="n">
        <x:f>IF(Portfolio_Par&gt;0,J39/Portfolio_Par,"")</x:f>
        <x:v>0.026324626865671642</x:v>
      </x:c>
      <x:c r="L39" s="150" t="str">
        <x:v>SYN-OB-0041, SYN-OB-0002</x:v>
      </x:c>
    </x:row>
    <x:row r="40" ht="39" customHeight="1">
      <x:c r="A40" s="150"/>
      <x:c r="B40" s="150"/>
      <x:c r="C40" s="154" t="str">
        <x:v>primary_industry</x:v>
      </x:c>
      <x:c r="D40" s="154" t="str">
        <x:v>AAA through CCC-</x:v>
      </x:c>
      <x:c r="E40" s="154" t="str">
        <x:v>Industrial Conglomerates</x:v>
      </x:c>
      <x:c r="F40" s="150" t="n">
        <x:v>5</x:v>
      </x:c>
      <x:c r="G40" s="150" t="n">
        <x:v>5</x:v>
      </x:c>
      <x:c r="H40" s="178" t="n">
        <x:v>5910000</x:v>
      </x:c>
      <x:c r="I40" s="163" t="n">
        <x:v>0.17</x:v>
      </x:c>
      <x:c r="J40" s="80" t="n">
        <x:f>H40*(1-I40)</x:f>
        <x:v>4905300</x:v>
      </x:c>
      <x:c r="K40" s="75" t="n">
        <x:f>IF(Portfolio_Par&gt;0,J40/Portfolio_Par,"")</x:f>
        <x:v>0.08799691446613088</x:v>
      </x:c>
      <x:c r="L40" s="150" t="str">
        <x:v>SYN-OB-0003, SYN-OB-0008, SYN-OB-0012, SYN-OB-0019, SYN-OB-0030</x:v>
      </x:c>
    </x:row>
    <x:row r="41" ht="39" customHeight="1">
      <x:c r="A41" s="150"/>
      <x:c r="B41" s="150"/>
      <x:c r="C41" s="154" t="str">
        <x:v>primary_industry</x:v>
      </x:c>
      <x:c r="D41" s="154" t="str">
        <x:v>AAA through CCC-</x:v>
      </x:c>
      <x:c r="E41" s="154" t="str">
        <x:v>Interactive media and services</x:v>
      </x:c>
      <x:c r="F41" s="150" t="n">
        <x:v>1</x:v>
      </x:c>
      <x:c r="G41" s="150" t="n">
        <x:v>1</x:v>
      </x:c>
      <x:c r="H41" s="178" t="n">
        <x:v>1182000</x:v>
      </x:c>
      <x:c r="I41" s="163" t="n">
        <x:v>0.17</x:v>
      </x:c>
      <x:c r="J41" s="80" t="n">
        <x:f>H41*(1-I41)</x:f>
        <x:v>981060</x:v>
      </x:c>
      <x:c r="K41" s="75" t="n">
        <x:f>IF(Portfolio_Par&gt;0,J41/Portfolio_Par,"")</x:f>
        <x:v>0.017599382893226177</x:v>
      </x:c>
      <x:c r="L41" s="150" t="str">
        <x:v>SYN-OB-0040</x:v>
      </x:c>
    </x:row>
    <x:row r="42" ht="39" customHeight="1">
      <x:c r="A42" s="150"/>
      <x:c r="B42" s="150"/>
      <x:c r="C42" s="154" t="str">
        <x:v>primary_industry</x:v>
      </x:c>
      <x:c r="D42" s="154" t="str">
        <x:v>AAA through CCC-</x:v>
      </x:c>
      <x:c r="E42" s="154" t="str">
        <x:v>Machinery</x:v>
      </x:c>
      <x:c r="F42" s="150" t="n">
        <x:v>1</x:v>
      </x:c>
      <x:c r="G42" s="150" t="n">
        <x:v>1</x:v>
      </x:c>
      <x:c r="H42" s="178" t="n">
        <x:v>1182000</x:v>
      </x:c>
      <x:c r="I42" s="163" t="n">
        <x:v>0.17</x:v>
      </x:c>
      <x:c r="J42" s="80" t="n">
        <x:f>H42*(1-I42)</x:f>
        <x:v>981060</x:v>
      </x:c>
      <x:c r="K42" s="75" t="n">
        <x:f>IF(Portfolio_Par&gt;0,J42/Portfolio_Par,"")</x:f>
        <x:v>0.017599382893226177</x:v>
      </x:c>
      <x:c r="L42" s="150" t="str">
        <x:v>SYN-OB-0036</x:v>
      </x:c>
    </x:row>
    <x:row r="43" ht="39" customHeight="1">
      <x:c r="A43" s="150"/>
      <x:c r="B43" s="150"/>
      <x:c r="C43" s="154" t="str">
        <x:v>primary_industry</x:v>
      </x:c>
      <x:c r="D43" s="154" t="str">
        <x:v>AAA through CCC-</x:v>
      </x:c>
      <x:c r="E43" s="154" t="str">
        <x:v>Passenger airlines</x:v>
      </x:c>
      <x:c r="F43" s="150" t="n">
        <x:v>1</x:v>
      </x:c>
      <x:c r="G43" s="150" t="n">
        <x:v>1</x:v>
      </x:c>
      <x:c r="H43" s="178" t="n">
        <x:v>1182000</x:v>
      </x:c>
      <x:c r="I43" s="163" t="n">
        <x:v>0.17</x:v>
      </x:c>
      <x:c r="J43" s="80" t="n">
        <x:f>H43*(1-I43)</x:f>
        <x:v>981060</x:v>
      </x:c>
      <x:c r="K43" s="75" t="n">
        <x:f>IF(Portfolio_Par&gt;0,J43/Portfolio_Par,"")</x:f>
        <x:v>0.017599382893226177</x:v>
      </x:c>
      <x:c r="L43" s="150" t="str">
        <x:v>SYN-OB-0018</x:v>
      </x:c>
    </x:row>
    <x:row r="44" ht="39" customHeight="1">
      <x:c r="A44" s="150"/>
      <x:c r="B44" s="150"/>
      <x:c r="C44" s="154" t="str">
        <x:v>primary_industry</x:v>
      </x:c>
      <x:c r="D44" s="154" t="str">
        <x:v>AAA through CCC-</x:v>
      </x:c>
      <x:c r="E44" s="154" t="str">
        <x:v>Professional Services</x:v>
      </x:c>
      <x:c r="F44" s="150" t="n">
        <x:v>1</x:v>
      </x:c>
      <x:c r="G44" s="150" t="n">
        <x:v>1</x:v>
      </x:c>
      <x:c r="H44" s="178" t="n">
        <x:v>1182000</x:v>
      </x:c>
      <x:c r="I44" s="163" t="n">
        <x:v>0.17</x:v>
      </x:c>
      <x:c r="J44" s="80" t="n">
        <x:f>H44*(1-I44)</x:f>
        <x:v>981060</x:v>
      </x:c>
      <x:c r="K44" s="75" t="n">
        <x:f>IF(Portfolio_Par&gt;0,J44/Portfolio_Par,"")</x:f>
        <x:v>0.017599382893226177</x:v>
      </x:c>
      <x:c r="L44" s="150" t="str">
        <x:v>SYN-OB-0031</x:v>
      </x:c>
    </x:row>
    <x:row r="45" ht="39" customHeight="1">
      <x:c r="A45" s="150"/>
      <x:c r="B45" s="150"/>
      <x:c r="C45" s="154" t="str">
        <x:v>primary_industry</x:v>
      </x:c>
      <x:c r="D45" s="154" t="str">
        <x:v>AAA through CCC-</x:v>
      </x:c>
      <x:c r="E45" s="154" t="str">
        <x:v>Semiconductors &amp; Semiconductor Equipment</x:v>
      </x:c>
      <x:c r="F45" s="150" t="n">
        <x:v>3</x:v>
      </x:c>
      <x:c r="G45" s="150" t="n">
        <x:v>3</x:v>
      </x:c>
      <x:c r="H45" s="178" t="n">
        <x:v>3546000</x:v>
      </x:c>
      <x:c r="I45" s="163" t="n">
        <x:v>0.17</x:v>
      </x:c>
      <x:c r="J45" s="80" t="n">
        <x:f>H45*(1-I45)</x:f>
        <x:v>2943180</x:v>
      </x:c>
      <x:c r="K45" s="75" t="n">
        <x:f>IF(Portfolio_Par&gt;0,J45/Portfolio_Par,"")</x:f>
        <x:v>0.05279814867967853</x:v>
      </x:c>
      <x:c r="L45" s="150" t="str">
        <x:v>SYN-OB-0029, SYN-OB-0032, SYN-OB-0042</x:v>
      </x:c>
    </x:row>
    <x:row r="46" ht="39" customHeight="1">
      <x:c r="A46" s="150"/>
      <x:c r="B46" s="150"/>
      <x:c r="C46" s="154" t="str">
        <x:v>primary_industry</x:v>
      </x:c>
      <x:c r="D46" s="154" t="str">
        <x:v>AAA through CCC-</x:v>
      </x:c>
      <x:c r="E46" s="154" t="str">
        <x:v>Transportation Infrastructure</x:v>
      </x:c>
      <x:c r="F46" s="150" t="n">
        <x:v>1</x:v>
      </x:c>
      <x:c r="G46" s="150" t="n">
        <x:v>1</x:v>
      </x:c>
      <x:c r="H46" s="178" t="n">
        <x:v>1182000</x:v>
      </x:c>
      <x:c r="I46" s="163" t="n">
        <x:v>0.17</x:v>
      </x:c>
      <x:c r="J46" s="80" t="n">
        <x:f>H46*(1-I46)</x:f>
        <x:v>981060</x:v>
      </x:c>
      <x:c r="K46" s="75" t="n">
        <x:f>IF(Portfolio_Par&gt;0,J46/Portfolio_Par,"")</x:f>
        <x:v>0.017599382893226177</x:v>
      </x:c>
      <x:c r="L46" s="150" t="str">
        <x:v>SYN-OB-0017</x:v>
      </x:c>
    </x:row>
    <x:row r="47" ht="39" customHeight="1">
      <x:c r="A47" s="150"/>
      <x:c r="B47" s="150"/>
      <x:c r="C47" s="154" t="str">
        <x:v>alternative_industry</x:v>
      </x:c>
      <x:c r="D47" s="154" t="str">
        <x:v>AAA through CCC-</x:v>
      </x:c>
      <x:c r="E47" s="154" t="str">
        <x:v>Aerospace &amp; Defense</x:v>
      </x:c>
      <x:c r="F47" s="150" t="n">
        <x:v>4</x:v>
      </x:c>
      <x:c r="G47" s="150" t="n">
        <x:v>4</x:v>
      </x:c>
      <x:c r="H47" s="178" t="n">
        <x:v>4728000</x:v>
      </x:c>
      <x:c r="I47" s="163" t="n">
        <x:v>0.05</x:v>
      </x:c>
      <x:c r="J47" s="80" t="n">
        <x:f>H47*(1-I47)</x:f>
        <x:v>4491600</x:v>
      </x:c>
      <x:c r="K47" s="75" t="n">
        <x:f>IF(Portfolio_Par&gt;0,J47/Portfolio_Par,"")</x:f>
        <x:v>0.08057548794489093</x:v>
      </x:c>
      <x:c r="L47" s="150" t="str">
        <x:v>SYN-OB-0024, SYN-OB-0039, SYN-OB-0045, SYN-OB-0046</x:v>
      </x:c>
    </x:row>
    <x:row r="48" ht="39" customHeight="1">
      <x:c r="A48" s="150"/>
      <x:c r="B48" s="150"/>
      <x:c r="C48" s="154" t="str">
        <x:v>alternative_industry</x:v>
      </x:c>
      <x:c r="D48" s="154" t="str">
        <x:v>AA+ through CCC-</x:v>
      </x:c>
      <x:c r="E48" s="154" t="str">
        <x:v>Aerospace &amp; Defense</x:v>
      </x:c>
      <x:c r="F48" s="150" t="n">
        <x:v>6</x:v>
      </x:c>
      <x:c r="G48" s="150" t="n">
        <x:v>5</x:v>
      </x:c>
      <x:c r="H48" s="178" t="n">
        <x:v>5358000</x:v>
      </x:c>
      <x:c r="I48" s="163" t="n">
        <x:v>0.05</x:v>
      </x:c>
      <x:c r="J48" s="80" t="n">
        <x:f>H48*(1-I48)</x:f>
        <x:v>5090100</x:v>
      </x:c>
      <x:c r="K48" s="75" t="n">
        <x:f>IF(Portfolio_Par&gt;0,J48/Portfolio_Par,"")</x:f>
        <x:v>0.09131206946039036</x:v>
      </x:c>
      <x:c r="L48" s="150" t="str">
        <x:v>SYN-OB-0024, SYN-OB-0039, SYN-OB-0045, SYN-OB-0046, SYN-OB-0027</x:v>
      </x:c>
    </x:row>
    <x:row r="49" ht="39" customHeight="1">
      <x:c r="A49" s="150"/>
      <x:c r="B49" s="150"/>
      <x:c r="C49" s="154" t="str">
        <x:v>alternative_industry</x:v>
      </x:c>
      <x:c r="D49" s="154" t="str">
        <x:v>A+ through CCC-</x:v>
      </x:c>
      <x:c r="E49" s="154" t="str">
        <x:v>Aerospace &amp; Defense</x:v>
      </x:c>
      <x:c r="F49" s="150" t="n">
        <x:v>8</x:v>
      </x:c>
      <x:c r="G49" s="150" t="n">
        <x:v>5</x:v>
      </x:c>
      <x:c r="H49" s="178" t="n">
        <x:v>5358000</x:v>
      </x:c>
      <x:c r="I49" s="163" t="n">
        <x:v>0.05</x:v>
      </x:c>
      <x:c r="J49" s="80" t="n">
        <x:f>H49*(1-I49)</x:f>
        <x:v>5090100</x:v>
      </x:c>
      <x:c r="K49" s="75" t="n">
        <x:f>IF(Portfolio_Par&gt;0,J49/Portfolio_Par,"")</x:f>
        <x:v>0.09131206946039036</x:v>
      </x:c>
      <x:c r="L49" s="150" t="str">
        <x:v>SYN-OB-0024, SYN-OB-0039, SYN-OB-0045, SYN-OB-0046, SYN-OB-0027</x:v>
      </x:c>
    </x:row>
    <x:row r="50" ht="39" customHeight="1">
      <x:c r="A50" s="150"/>
      <x:c r="B50" s="150"/>
      <x:c r="C50" s="154" t="str">
        <x:v>alternative_industry</x:v>
      </x:c>
      <x:c r="D50" s="154" t="str">
        <x:v>BBB+ through CCC-</x:v>
      </x:c>
      <x:c r="E50" s="154" t="str">
        <x:v>Aerospace &amp; Defense</x:v>
      </x:c>
      <x:c r="F50" s="150" t="n">
        <x:v>12</x:v>
      </x:c>
      <x:c r="G50" s="150" t="n">
        <x:v>5</x:v>
      </x:c>
      <x:c r="H50" s="178" t="n">
        <x:v>5358000</x:v>
      </x:c>
      <x:c r="I50" s="163" t="n">
        <x:v>0.05</x:v>
      </x:c>
      <x:c r="J50" s="80" t="n">
        <x:f>H50*(1-I50)</x:f>
        <x:v>5090100</x:v>
      </x:c>
      <x:c r="K50" s="75" t="n">
        <x:f>IF(Portfolio_Par&gt;0,J50/Portfolio_Par,"")</x:f>
        <x:v>0.09131206946039036</x:v>
      </x:c>
      <x:c r="L50" s="150" t="str">
        <x:v>SYN-OB-0024, SYN-OB-0039, SYN-OB-0045, SYN-OB-0046, SYN-OB-0027</x:v>
      </x:c>
    </x:row>
    <x:row r="51" ht="39" customHeight="1">
      <x:c r="A51" s="150"/>
      <x:c r="B51" s="150"/>
      <x:c r="C51" s="154" t="str">
        <x:v>alternative_industry</x:v>
      </x:c>
      <x:c r="D51" s="154" t="str">
        <x:v>BB+ through CCC-</x:v>
      </x:c>
      <x:c r="E51" s="154" t="str">
        <x:v>Aerospace &amp; Defense</x:v>
      </x:c>
      <x:c r="F51" s="150" t="n">
        <x:v>16</x:v>
      </x:c>
      <x:c r="G51" s="150" t="n">
        <x:v>5</x:v>
      </x:c>
      <x:c r="H51" s="178" t="n">
        <x:v>5358000</x:v>
      </x:c>
      <x:c r="I51" s="163" t="n">
        <x:v>0.05</x:v>
      </x:c>
      <x:c r="J51" s="80" t="n">
        <x:f>H51*(1-I51)</x:f>
        <x:v>5090100</x:v>
      </x:c>
      <x:c r="K51" s="75" t="n">
        <x:f>IF(Portfolio_Par&gt;0,J51/Portfolio_Par,"")</x:f>
        <x:v>0.09131206946039036</x:v>
      </x:c>
      <x:c r="L51" s="150" t="str">
        <x:v>SYN-OB-0024, SYN-OB-0039, SYN-OB-0045, SYN-OB-0046, SYN-OB-0027</x:v>
      </x:c>
    </x:row>
    <x:row r="52" ht="39" customHeight="1">
      <x:c r="A52" s="150"/>
      <x:c r="B52" s="150"/>
      <x:c r="C52" s="154" t="str">
        <x:v>alternative_industry</x:v>
      </x:c>
      <x:c r="D52" s="154" t="str">
        <x:v>B+ through CCC-</x:v>
      </x:c>
      <x:c r="E52" s="154" t="str">
        <x:v>Aerospace &amp; Defense</x:v>
      </x:c>
      <x:c r="F52" s="150" t="n">
        <x:v>20</x:v>
      </x:c>
      <x:c r="G52" s="150" t="n">
        <x:v>5</x:v>
      </x:c>
      <x:c r="H52" s="178" t="n">
        <x:v>5358000</x:v>
      </x:c>
      <x:c r="I52" s="163" t="n">
        <x:v>0.05</x:v>
      </x:c>
      <x:c r="J52" s="80" t="n">
        <x:f>H52*(1-I52)</x:f>
        <x:v>5090100</x:v>
      </x:c>
      <x:c r="K52" s="75" t="n">
        <x:f>IF(Portfolio_Par&gt;0,J52/Portfolio_Par,"")</x:f>
        <x:v>0.09131206946039036</x:v>
      </x:c>
      <x:c r="L52" s="150" t="str">
        <x:v>SYN-OB-0024, SYN-OB-0039, SYN-OB-0045, SYN-OB-0046, SYN-OB-0027</x:v>
      </x:c>
    </x:row>
    <x:row r="53" ht="39" customHeight="1">
      <x:c r="A53" s="150"/>
      <x:c r="B53" s="150"/>
      <x:c r="C53" s="154" t="str">
        <x:v>alternative_industry</x:v>
      </x:c>
      <x:c r="D53" s="154" t="str">
        <x:v>CCC+ through CCC-</x:v>
      </x:c>
      <x:c r="E53" s="154" t="str">
        <x:v>Aerospace &amp; Defense</x:v>
      </x:c>
      <x:c r="F53" s="150" t="n">
        <x:v>24</x:v>
      </x:c>
      <x:c r="G53" s="150" t="n">
        <x:v>0</x:v>
      </x:c>
      <x:c r="H53" s="178" t="n">
        <x:v>0</x:v>
      </x:c>
      <x:c r="I53" s="163" t="n">
        <x:v>0.05</x:v>
      </x:c>
      <x:c r="J53" s="80" t="n">
        <x:f>H53*(1-I53)</x:f>
        <x:v>0</x:v>
      </x:c>
      <x:c r="K53" s="75" t="n">
        <x:f>IF(Portfolio_Par&gt;0,J53/Portfolio_Par,"")</x:f>
        <x:v>0</x:v>
      </x:c>
      <x:c r="L53" s="150" t="str"/>
    </x:row>
    <x:row r="54" ht="39" customHeight="1">
      <x:c r="A54" s="150"/>
      <x:c r="B54" s="150"/>
      <x:c r="C54" s="154" t="str">
        <x:v>alternative_industry</x:v>
      </x:c>
      <x:c r="D54" s="154" t="str">
        <x:v>AAA through CCC-</x:v>
      </x:c>
      <x:c r="E54" s="154" t="str">
        <x:v>Auto Components</x:v>
      </x:c>
      <x:c r="F54" s="150" t="n">
        <x:v>4</x:v>
      </x:c>
      <x:c r="G54" s="150" t="n">
        <x:v>1</x:v>
      </x:c>
      <x:c r="H54" s="178" t="n">
        <x:v>630000</x:v>
      </x:c>
      <x:c r="I54" s="163" t="n">
        <x:v>0.05</x:v>
      </x:c>
      <x:c r="J54" s="80" t="n">
        <x:f>H54*(1-I54)</x:f>
        <x:v>598500</x:v>
      </x:c>
      <x:c r="K54" s="75" t="n">
        <x:f>IF(Portfolio_Par&gt;0,J54/Portfolio_Par,"")</x:f>
        <x:v>0.010736581515499426</x:v>
      </x:c>
      <x:c r="L54" s="150" t="str">
        <x:v>SYN-OB-0038</x:v>
      </x:c>
    </x:row>
    <x:row r="55" ht="39" customHeight="1">
      <x:c r="A55" s="150"/>
      <x:c r="B55" s="150"/>
      <x:c r="C55" s="154" t="str">
        <x:v>alternative_industry</x:v>
      </x:c>
      <x:c r="D55" s="154" t="str">
        <x:v>AA+ through CCC-</x:v>
      </x:c>
      <x:c r="E55" s="154" t="str">
        <x:v>Auto Components</x:v>
      </x:c>
      <x:c r="F55" s="150" t="n">
        <x:v>6</x:v>
      </x:c>
      <x:c r="G55" s="150" t="n">
        <x:v>1</x:v>
      </x:c>
      <x:c r="H55" s="178" t="n">
        <x:v>630000</x:v>
      </x:c>
      <x:c r="I55" s="163" t="n">
        <x:v>0.05</x:v>
      </x:c>
      <x:c r="J55" s="80" t="n">
        <x:f>H55*(1-I55)</x:f>
        <x:v>598500</x:v>
      </x:c>
      <x:c r="K55" s="75" t="n">
        <x:f>IF(Portfolio_Par&gt;0,J55/Portfolio_Par,"")</x:f>
        <x:v>0.010736581515499426</x:v>
      </x:c>
      <x:c r="L55" s="150" t="str">
        <x:v>SYN-OB-0038</x:v>
      </x:c>
    </x:row>
    <x:row r="56" ht="39" customHeight="1">
      <x:c r="A56" s="150"/>
      <x:c r="B56" s="150"/>
      <x:c r="C56" s="154" t="str">
        <x:v>alternative_industry</x:v>
      </x:c>
      <x:c r="D56" s="154" t="str">
        <x:v>A+ through CCC-</x:v>
      </x:c>
      <x:c r="E56" s="154" t="str">
        <x:v>Auto Components</x:v>
      </x:c>
      <x:c r="F56" s="150" t="n">
        <x:v>8</x:v>
      </x:c>
      <x:c r="G56" s="150" t="n">
        <x:v>1</x:v>
      </x:c>
      <x:c r="H56" s="178" t="n">
        <x:v>630000</x:v>
      </x:c>
      <x:c r="I56" s="163" t="n">
        <x:v>0.05</x:v>
      </x:c>
      <x:c r="J56" s="80" t="n">
        <x:f>H56*(1-I56)</x:f>
        <x:v>598500</x:v>
      </x:c>
      <x:c r="K56" s="75" t="n">
        <x:f>IF(Portfolio_Par&gt;0,J56/Portfolio_Par,"")</x:f>
        <x:v>0.010736581515499426</x:v>
      </x:c>
      <x:c r="L56" s="150" t="str">
        <x:v>SYN-OB-0038</x:v>
      </x:c>
    </x:row>
    <x:row r="57" ht="39" customHeight="1">
      <x:c r="A57" s="150"/>
      <x:c r="B57" s="150"/>
      <x:c r="C57" s="154" t="str">
        <x:v>alternative_industry</x:v>
      </x:c>
      <x:c r="D57" s="154" t="str">
        <x:v>BBB+ through CCC-</x:v>
      </x:c>
      <x:c r="E57" s="154" t="str">
        <x:v>Auto Components</x:v>
      </x:c>
      <x:c r="F57" s="150" t="n">
        <x:v>12</x:v>
      </x:c>
      <x:c r="G57" s="150" t="n">
        <x:v>1</x:v>
      </x:c>
      <x:c r="H57" s="178" t="n">
        <x:v>630000</x:v>
      </x:c>
      <x:c r="I57" s="163" t="n">
        <x:v>0.05</x:v>
      </x:c>
      <x:c r="J57" s="80" t="n">
        <x:f>H57*(1-I57)</x:f>
        <x:v>598500</x:v>
      </x:c>
      <x:c r="K57" s="75" t="n">
        <x:f>IF(Portfolio_Par&gt;0,J57/Portfolio_Par,"")</x:f>
        <x:v>0.010736581515499426</x:v>
      </x:c>
      <x:c r="L57" s="150" t="str">
        <x:v>SYN-OB-0038</x:v>
      </x:c>
    </x:row>
    <x:row r="58" ht="39" customHeight="1">
      <x:c r="A58" s="150"/>
      <x:c r="B58" s="150"/>
      <x:c r="C58" s="154" t="str">
        <x:v>alternative_industry</x:v>
      </x:c>
      <x:c r="D58" s="154" t="str">
        <x:v>BB+ through CCC-</x:v>
      </x:c>
      <x:c r="E58" s="154" t="str">
        <x:v>Auto Components</x:v>
      </x:c>
      <x:c r="F58" s="150" t="n">
        <x:v>16</x:v>
      </x:c>
      <x:c r="G58" s="150" t="n">
        <x:v>1</x:v>
      </x:c>
      <x:c r="H58" s="178" t="n">
        <x:v>630000</x:v>
      </x:c>
      <x:c r="I58" s="163" t="n">
        <x:v>0.05</x:v>
      </x:c>
      <x:c r="J58" s="80" t="n">
        <x:f>H58*(1-I58)</x:f>
        <x:v>598500</x:v>
      </x:c>
      <x:c r="K58" s="75" t="n">
        <x:f>IF(Portfolio_Par&gt;0,J58/Portfolio_Par,"")</x:f>
        <x:v>0.010736581515499426</x:v>
      </x:c>
      <x:c r="L58" s="150" t="str">
        <x:v>SYN-OB-0038</x:v>
      </x:c>
    </x:row>
    <x:row r="59" ht="39" customHeight="1">
      <x:c r="A59" s="150"/>
      <x:c r="B59" s="150"/>
      <x:c r="C59" s="154" t="str">
        <x:v>alternative_industry</x:v>
      </x:c>
      <x:c r="D59" s="154" t="str">
        <x:v>B+ through CCC-</x:v>
      </x:c>
      <x:c r="E59" s="154" t="str">
        <x:v>Auto Components</x:v>
      </x:c>
      <x:c r="F59" s="150" t="n">
        <x:v>20</x:v>
      </x:c>
      <x:c r="G59" s="150" t="n">
        <x:v>0</x:v>
      </x:c>
      <x:c r="H59" s="178" t="n">
        <x:v>0</x:v>
      </x:c>
      <x:c r="I59" s="163" t="n">
        <x:v>0.05</x:v>
      </x:c>
      <x:c r="J59" s="80" t="n">
        <x:f>H59*(1-I59)</x:f>
        <x:v>0</x:v>
      </x:c>
      <x:c r="K59" s="75" t="n">
        <x:f>IF(Portfolio_Par&gt;0,J59/Portfolio_Par,"")</x:f>
        <x:v>0</x:v>
      </x:c>
      <x:c r="L59" s="150" t="str"/>
    </x:row>
    <x:row r="60" ht="39" customHeight="1">
      <x:c r="A60" s="150"/>
      <x:c r="B60" s="150"/>
      <x:c r="C60" s="154" t="str">
        <x:v>alternative_industry</x:v>
      </x:c>
      <x:c r="D60" s="154" t="str">
        <x:v>CCC+ through CCC-</x:v>
      </x:c>
      <x:c r="E60" s="154" t="str">
        <x:v>Auto Components</x:v>
      </x:c>
      <x:c r="F60" s="150" t="n">
        <x:v>24</x:v>
      </x:c>
      <x:c r="G60" s="150" t="n">
        <x:v>0</x:v>
      </x:c>
      <x:c r="H60" s="178" t="n">
        <x:v>0</x:v>
      </x:c>
      <x:c r="I60" s="163" t="n">
        <x:v>0.05</x:v>
      </x:c>
      <x:c r="J60" s="80" t="n">
        <x:f>H60*(1-I60)</x:f>
        <x:v>0</x:v>
      </x:c>
      <x:c r="K60" s="75" t="n">
        <x:f>IF(Portfolio_Par&gt;0,J60/Portfolio_Par,"")</x:f>
        <x:v>0</x:v>
      </x:c>
      <x:c r="L60" s="150" t="str"/>
    </x:row>
    <x:row r="61" ht="39" customHeight="1">
      <x:c r="A61" s="150"/>
      <x:c r="B61" s="150"/>
      <x:c r="C61" s="154" t="str">
        <x:v>alternative_industry</x:v>
      </x:c>
      <x:c r="D61" s="154" t="str">
        <x:v>AAA through CCC-</x:v>
      </x:c>
      <x:c r="E61" s="154" t="str">
        <x:v>Banks</x:v>
      </x:c>
      <x:c r="F61" s="150" t="n">
        <x:v>4</x:v>
      </x:c>
      <x:c r="G61" s="150" t="n">
        <x:v>2</x:v>
      </x:c>
      <x:c r="H61" s="178" t="n">
        <x:v>2364000</x:v>
      </x:c>
      <x:c r="I61" s="163" t="n">
        <x:v>0.05</x:v>
      </x:c>
      <x:c r="J61" s="80" t="n">
        <x:f>H61*(1-I61)</x:f>
        <x:v>2245800</x:v>
      </x:c>
      <x:c r="K61" s="75" t="n">
        <x:f>IF(Portfolio_Par&gt;0,J61/Portfolio_Par,"")</x:f>
        <x:v>0.040287743972445465</x:v>
      </x:c>
      <x:c r="L61" s="150" t="str">
        <x:v>SYN-OB-0016, SYN-OB-0049</x:v>
      </x:c>
    </x:row>
    <x:row r="62" ht="39" customHeight="1">
      <x:c r="A62" s="150"/>
      <x:c r="B62" s="150"/>
      <x:c r="C62" s="154" t="str">
        <x:v>alternative_industry</x:v>
      </x:c>
      <x:c r="D62" s="154" t="str">
        <x:v>AA+ through CCC-</x:v>
      </x:c>
      <x:c r="E62" s="154" t="str">
        <x:v>Banks</x:v>
      </x:c>
      <x:c r="F62" s="150" t="n">
        <x:v>6</x:v>
      </x:c>
      <x:c r="G62" s="150" t="n">
        <x:v>2</x:v>
      </x:c>
      <x:c r="H62" s="178" t="n">
        <x:v>2364000</x:v>
      </x:c>
      <x:c r="I62" s="163" t="n">
        <x:v>0.05</x:v>
      </x:c>
      <x:c r="J62" s="80" t="n">
        <x:f>H62*(1-I62)</x:f>
        <x:v>2245800</x:v>
      </x:c>
      <x:c r="K62" s="75" t="n">
        <x:f>IF(Portfolio_Par&gt;0,J62/Portfolio_Par,"")</x:f>
        <x:v>0.040287743972445465</x:v>
      </x:c>
      <x:c r="L62" s="150" t="str">
        <x:v>SYN-OB-0016, SYN-OB-0049</x:v>
      </x:c>
    </x:row>
    <x:row r="63" ht="39" customHeight="1">
      <x:c r="A63" s="150"/>
      <x:c r="B63" s="150"/>
      <x:c r="C63" s="154" t="str">
        <x:v>alternative_industry</x:v>
      </x:c>
      <x:c r="D63" s="154" t="str">
        <x:v>A+ through CCC-</x:v>
      </x:c>
      <x:c r="E63" s="154" t="str">
        <x:v>Banks</x:v>
      </x:c>
      <x:c r="F63" s="150" t="n">
        <x:v>8</x:v>
      </x:c>
      <x:c r="G63" s="150" t="n">
        <x:v>2</x:v>
      </x:c>
      <x:c r="H63" s="178" t="n">
        <x:v>2364000</x:v>
      </x:c>
      <x:c r="I63" s="163" t="n">
        <x:v>0.05</x:v>
      </x:c>
      <x:c r="J63" s="80" t="n">
        <x:f>H63*(1-I63)</x:f>
        <x:v>2245800</x:v>
      </x:c>
      <x:c r="K63" s="75" t="n">
        <x:f>IF(Portfolio_Par&gt;0,J63/Portfolio_Par,"")</x:f>
        <x:v>0.040287743972445465</x:v>
      </x:c>
      <x:c r="L63" s="150" t="str">
        <x:v>SYN-OB-0016, SYN-OB-0049</x:v>
      </x:c>
    </x:row>
    <x:row r="64" ht="39" customHeight="1">
      <x:c r="A64" s="150"/>
      <x:c r="B64" s="150"/>
      <x:c r="C64" s="154" t="str">
        <x:v>alternative_industry</x:v>
      </x:c>
      <x:c r="D64" s="154" t="str">
        <x:v>BBB+ through CCC-</x:v>
      </x:c>
      <x:c r="E64" s="154" t="str">
        <x:v>Banks</x:v>
      </x:c>
      <x:c r="F64" s="150" t="n">
        <x:v>12</x:v>
      </x:c>
      <x:c r="G64" s="150" t="n">
        <x:v>2</x:v>
      </x:c>
      <x:c r="H64" s="178" t="n">
        <x:v>2364000</x:v>
      </x:c>
      <x:c r="I64" s="163" t="n">
        <x:v>0.05</x:v>
      </x:c>
      <x:c r="J64" s="80" t="n">
        <x:f>H64*(1-I64)</x:f>
        <x:v>2245800</x:v>
      </x:c>
      <x:c r="K64" s="75" t="n">
        <x:f>IF(Portfolio_Par&gt;0,J64/Portfolio_Par,"")</x:f>
        <x:v>0.040287743972445465</x:v>
      </x:c>
      <x:c r="L64" s="150" t="str">
        <x:v>SYN-OB-0016, SYN-OB-0049</x:v>
      </x:c>
    </x:row>
    <x:row r="65" ht="39" customHeight="1">
      <x:c r="A65" s="150"/>
      <x:c r="B65" s="150"/>
      <x:c r="C65" s="154" t="str">
        <x:v>alternative_industry</x:v>
      </x:c>
      <x:c r="D65" s="154" t="str">
        <x:v>BB+ through CCC-</x:v>
      </x:c>
      <x:c r="E65" s="154" t="str">
        <x:v>Banks</x:v>
      </x:c>
      <x:c r="F65" s="150" t="n">
        <x:v>16</x:v>
      </x:c>
      <x:c r="G65" s="150" t="n">
        <x:v>2</x:v>
      </x:c>
      <x:c r="H65" s="178" t="n">
        <x:v>2364000</x:v>
      </x:c>
      <x:c r="I65" s="163" t="n">
        <x:v>0.05</x:v>
      </x:c>
      <x:c r="J65" s="80" t="n">
        <x:f>H65*(1-I65)</x:f>
        <x:v>2245800</x:v>
      </x:c>
      <x:c r="K65" s="75" t="n">
        <x:f>IF(Portfolio_Par&gt;0,J65/Portfolio_Par,"")</x:f>
        <x:v>0.040287743972445465</x:v>
      </x:c>
      <x:c r="L65" s="150" t="str">
        <x:v>SYN-OB-0016, SYN-OB-0049</x:v>
      </x:c>
    </x:row>
    <x:row r="66" ht="39" customHeight="1">
      <x:c r="A66" s="150"/>
      <x:c r="B66" s="150"/>
      <x:c r="C66" s="154" t="str">
        <x:v>alternative_industry</x:v>
      </x:c>
      <x:c r="D66" s="154" t="str">
        <x:v>B+ through CCC-</x:v>
      </x:c>
      <x:c r="E66" s="154" t="str">
        <x:v>Banks</x:v>
      </x:c>
      <x:c r="F66" s="150" t="n">
        <x:v>20</x:v>
      </x:c>
      <x:c r="G66" s="150" t="n">
        <x:v>0</x:v>
      </x:c>
      <x:c r="H66" s="178" t="n">
        <x:v>0</x:v>
      </x:c>
      <x:c r="I66" s="163" t="n">
        <x:v>0.05</x:v>
      </x:c>
      <x:c r="J66" s="80" t="n">
        <x:f>H66*(1-I66)</x:f>
        <x:v>0</x:v>
      </x:c>
      <x:c r="K66" s="75" t="n">
        <x:f>IF(Portfolio_Par&gt;0,J66/Portfolio_Par,"")</x:f>
        <x:v>0</x:v>
      </x:c>
      <x:c r="L66" s="150" t="str"/>
    </x:row>
    <x:row r="67" ht="39" customHeight="1">
      <x:c r="A67" s="150"/>
      <x:c r="B67" s="150"/>
      <x:c r="C67" s="154" t="str">
        <x:v>alternative_industry</x:v>
      </x:c>
      <x:c r="D67" s="154" t="str">
        <x:v>CCC+ through CCC-</x:v>
      </x:c>
      <x:c r="E67" s="154" t="str">
        <x:v>Banks</x:v>
      </x:c>
      <x:c r="F67" s="150" t="n">
        <x:v>24</x:v>
      </x:c>
      <x:c r="G67" s="150" t="n">
        <x:v>0</x:v>
      </x:c>
      <x:c r="H67" s="178" t="n">
        <x:v>0</x:v>
      </x:c>
      <x:c r="I67" s="163" t="n">
        <x:v>0.05</x:v>
      </x:c>
      <x:c r="J67" s="80" t="n">
        <x:f>H67*(1-I67)</x:f>
        <x:v>0</x:v>
      </x:c>
      <x:c r="K67" s="75" t="n">
        <x:f>IF(Portfolio_Par&gt;0,J67/Portfolio_Par,"")</x:f>
        <x:v>0</x:v>
      </x:c>
      <x:c r="L67" s="150" t="str"/>
    </x:row>
    <x:row r="68" ht="39" customHeight="1">
      <x:c r="A68" s="150"/>
      <x:c r="B68" s="150"/>
      <x:c r="C68" s="154" t="str">
        <x:v>alternative_industry</x:v>
      </x:c>
      <x:c r="D68" s="154" t="str">
        <x:v>AAA through CCC-</x:v>
      </x:c>
      <x:c r="E68" s="154" t="str">
        <x:v>Beverages</x:v>
      </x:c>
      <x:c r="F68" s="150" t="n">
        <x:v>4</x:v>
      </x:c>
      <x:c r="G68" s="150" t="n">
        <x:v>1</x:v>
      </x:c>
      <x:c r="H68" s="178" t="n">
        <x:v>630000</x:v>
      </x:c>
      <x:c r="I68" s="163" t="n">
        <x:v>0.05</x:v>
      </x:c>
      <x:c r="J68" s="80" t="n">
        <x:f>H68*(1-I68)</x:f>
        <x:v>598500</x:v>
      </x:c>
      <x:c r="K68" s="75" t="n">
        <x:f>IF(Portfolio_Par&gt;0,J68/Portfolio_Par,"")</x:f>
        <x:v>0.010736581515499426</x:v>
      </x:c>
      <x:c r="L68" s="150" t="str">
        <x:v>SYN-OB-0015</x:v>
      </x:c>
    </x:row>
    <x:row r="69" ht="39" customHeight="1">
      <x:c r="A69" s="150"/>
      <x:c r="B69" s="150"/>
      <x:c r="C69" s="154" t="str">
        <x:v>alternative_industry</x:v>
      </x:c>
      <x:c r="D69" s="154" t="str">
        <x:v>AA+ through CCC-</x:v>
      </x:c>
      <x:c r="E69" s="154" t="str">
        <x:v>Beverages</x:v>
      </x:c>
      <x:c r="F69" s="150" t="n">
        <x:v>6</x:v>
      </x:c>
      <x:c r="G69" s="150" t="n">
        <x:v>1</x:v>
      </x:c>
      <x:c r="H69" s="178" t="n">
        <x:v>630000</x:v>
      </x:c>
      <x:c r="I69" s="163" t="n">
        <x:v>0.05</x:v>
      </x:c>
      <x:c r="J69" s="80" t="n">
        <x:f>H69*(1-I69)</x:f>
        <x:v>598500</x:v>
      </x:c>
      <x:c r="K69" s="75" t="n">
        <x:f>IF(Portfolio_Par&gt;0,J69/Portfolio_Par,"")</x:f>
        <x:v>0.010736581515499426</x:v>
      </x:c>
      <x:c r="L69" s="150" t="str">
        <x:v>SYN-OB-0015</x:v>
      </x:c>
    </x:row>
    <x:row r="70" ht="39" customHeight="1">
      <x:c r="A70" s="150"/>
      <x:c r="B70" s="150"/>
      <x:c r="C70" s="154" t="str">
        <x:v>alternative_industry</x:v>
      </x:c>
      <x:c r="D70" s="154" t="str">
        <x:v>A+ through CCC-</x:v>
      </x:c>
      <x:c r="E70" s="154" t="str">
        <x:v>Beverages</x:v>
      </x:c>
      <x:c r="F70" s="150" t="n">
        <x:v>8</x:v>
      </x:c>
      <x:c r="G70" s="150" t="n">
        <x:v>1</x:v>
      </x:c>
      <x:c r="H70" s="178" t="n">
        <x:v>630000</x:v>
      </x:c>
      <x:c r="I70" s="163" t="n">
        <x:v>0.05</x:v>
      </x:c>
      <x:c r="J70" s="80" t="n">
        <x:f>H70*(1-I70)</x:f>
        <x:v>598500</x:v>
      </x:c>
      <x:c r="K70" s="75" t="n">
        <x:f>IF(Portfolio_Par&gt;0,J70/Portfolio_Par,"")</x:f>
        <x:v>0.010736581515499426</x:v>
      </x:c>
      <x:c r="L70" s="150" t="str">
        <x:v>SYN-OB-0015</x:v>
      </x:c>
    </x:row>
    <x:row r="71" ht="39" customHeight="1">
      <x:c r="A71" s="150"/>
      <x:c r="B71" s="150"/>
      <x:c r="C71" s="154" t="str">
        <x:v>alternative_industry</x:v>
      </x:c>
      <x:c r="D71" s="154" t="str">
        <x:v>BBB+ through CCC-</x:v>
      </x:c>
      <x:c r="E71" s="154" t="str">
        <x:v>Beverages</x:v>
      </x:c>
      <x:c r="F71" s="150" t="n">
        <x:v>12</x:v>
      </x:c>
      <x:c r="G71" s="150" t="n">
        <x:v>1</x:v>
      </x:c>
      <x:c r="H71" s="178" t="n">
        <x:v>630000</x:v>
      </x:c>
      <x:c r="I71" s="163" t="n">
        <x:v>0.05</x:v>
      </x:c>
      <x:c r="J71" s="80" t="n">
        <x:f>H71*(1-I71)</x:f>
        <x:v>598500</x:v>
      </x:c>
      <x:c r="K71" s="75" t="n">
        <x:f>IF(Portfolio_Par&gt;0,J71/Portfolio_Par,"")</x:f>
        <x:v>0.010736581515499426</x:v>
      </x:c>
      <x:c r="L71" s="150" t="str">
        <x:v>SYN-OB-0015</x:v>
      </x:c>
    </x:row>
    <x:row r="72" ht="39" customHeight="1">
      <x:c r="A72" s="150"/>
      <x:c r="B72" s="150"/>
      <x:c r="C72" s="154" t="str">
        <x:v>alternative_industry</x:v>
      </x:c>
      <x:c r="D72" s="154" t="str">
        <x:v>BB+ through CCC-</x:v>
      </x:c>
      <x:c r="E72" s="154" t="str">
        <x:v>Beverages</x:v>
      </x:c>
      <x:c r="F72" s="150" t="n">
        <x:v>16</x:v>
      </x:c>
      <x:c r="G72" s="150" t="n">
        <x:v>1</x:v>
      </x:c>
      <x:c r="H72" s="178" t="n">
        <x:v>630000</x:v>
      </x:c>
      <x:c r="I72" s="163" t="n">
        <x:v>0.05</x:v>
      </x:c>
      <x:c r="J72" s="80" t="n">
        <x:f>H72*(1-I72)</x:f>
        <x:v>598500</x:v>
      </x:c>
      <x:c r="K72" s="75" t="n">
        <x:f>IF(Portfolio_Par&gt;0,J72/Portfolio_Par,"")</x:f>
        <x:v>0.010736581515499426</x:v>
      </x:c>
      <x:c r="L72" s="150" t="str">
        <x:v>SYN-OB-0015</x:v>
      </x:c>
    </x:row>
    <x:row r="73" ht="39" customHeight="1">
      <x:c r="A73" s="150"/>
      <x:c r="B73" s="150"/>
      <x:c r="C73" s="154" t="str">
        <x:v>alternative_industry</x:v>
      </x:c>
      <x:c r="D73" s="154" t="str">
        <x:v>B+ through CCC-</x:v>
      </x:c>
      <x:c r="E73" s="154" t="str">
        <x:v>Beverages</x:v>
      </x:c>
      <x:c r="F73" s="150" t="n">
        <x:v>20</x:v>
      </x:c>
      <x:c r="G73" s="150" t="n">
        <x:v>0</x:v>
      </x:c>
      <x:c r="H73" s="178" t="n">
        <x:v>0</x:v>
      </x:c>
      <x:c r="I73" s="163" t="n">
        <x:v>0.05</x:v>
      </x:c>
      <x:c r="J73" s="80" t="n">
        <x:f>H73*(1-I73)</x:f>
        <x:v>0</x:v>
      </x:c>
      <x:c r="K73" s="75" t="n">
        <x:f>IF(Portfolio_Par&gt;0,J73/Portfolio_Par,"")</x:f>
        <x:v>0</x:v>
      </x:c>
      <x:c r="L73" s="150" t="str"/>
    </x:row>
    <x:row r="74" ht="39" customHeight="1">
      <x:c r="A74" s="150"/>
      <x:c r="B74" s="150"/>
      <x:c r="C74" s="154" t="str">
        <x:v>alternative_industry</x:v>
      </x:c>
      <x:c r="D74" s="154" t="str">
        <x:v>CCC+ through CCC-</x:v>
      </x:c>
      <x:c r="E74" s="154" t="str">
        <x:v>Beverages</x:v>
      </x:c>
      <x:c r="F74" s="150" t="n">
        <x:v>24</x:v>
      </x:c>
      <x:c r="G74" s="150" t="n">
        <x:v>0</x:v>
      </x:c>
      <x:c r="H74" s="178" t="n">
        <x:v>0</x:v>
      </x:c>
      <x:c r="I74" s="163" t="n">
        <x:v>0.05</x:v>
      </x:c>
      <x:c r="J74" s="80" t="n">
        <x:f>H74*(1-I74)</x:f>
        <x:v>0</x:v>
      </x:c>
      <x:c r="K74" s="75" t="n">
        <x:f>IF(Portfolio_Par&gt;0,J74/Portfolio_Par,"")</x:f>
        <x:v>0</x:v>
      </x:c>
      <x:c r="L74" s="150" t="str"/>
    </x:row>
    <x:row r="75" ht="39" customHeight="1">
      <x:c r="A75" s="150"/>
      <x:c r="B75" s="150"/>
      <x:c r="C75" s="154" t="str">
        <x:v>alternative_industry</x:v>
      </x:c>
      <x:c r="D75" s="154" t="str">
        <x:v>AAA through CCC-</x:v>
      </x:c>
      <x:c r="E75" s="154" t="str">
        <x:v>Broadline retail</x:v>
      </x:c>
      <x:c r="F75" s="150" t="n">
        <x:v>4</x:v>
      </x:c>
      <x:c r="G75" s="150" t="n">
        <x:v>1</x:v>
      </x:c>
      <x:c r="H75" s="178" t="n">
        <x:v>1182000</x:v>
      </x:c>
      <x:c r="I75" s="163" t="n">
        <x:v>0.05</x:v>
      </x:c>
      <x:c r="J75" s="80" t="n">
        <x:f>H75*(1-I75)</x:f>
        <x:v>1122900</x:v>
      </x:c>
      <x:c r="K75" s="75" t="n">
        <x:f>IF(Portfolio_Par&gt;0,J75/Portfolio_Par,"")</x:f>
        <x:v>0.020143871986222733</x:v>
      </x:c>
      <x:c r="L75" s="150" t="str">
        <x:v>SYN-OB-0025</x:v>
      </x:c>
    </x:row>
    <x:row r="76" ht="39" customHeight="1">
      <x:c r="A76" s="150"/>
      <x:c r="B76" s="150"/>
      <x:c r="C76" s="154" t="str">
        <x:v>alternative_industry</x:v>
      </x:c>
      <x:c r="D76" s="154" t="str">
        <x:v>AA+ through CCC-</x:v>
      </x:c>
      <x:c r="E76" s="154" t="str">
        <x:v>Broadline retail</x:v>
      </x:c>
      <x:c r="F76" s="150" t="n">
        <x:v>6</x:v>
      </x:c>
      <x:c r="G76" s="150" t="n">
        <x:v>1</x:v>
      </x:c>
      <x:c r="H76" s="178" t="n">
        <x:v>1182000</x:v>
      </x:c>
      <x:c r="I76" s="163" t="n">
        <x:v>0.05</x:v>
      </x:c>
      <x:c r="J76" s="80" t="n">
        <x:f>H76*(1-I76)</x:f>
        <x:v>1122900</x:v>
      </x:c>
      <x:c r="K76" s="75" t="n">
        <x:f>IF(Portfolio_Par&gt;0,J76/Portfolio_Par,"")</x:f>
        <x:v>0.020143871986222733</x:v>
      </x:c>
      <x:c r="L76" s="150" t="str">
        <x:v>SYN-OB-0025</x:v>
      </x:c>
    </x:row>
    <x:row r="77" ht="39" customHeight="1">
      <x:c r="A77" s="150"/>
      <x:c r="B77" s="150"/>
      <x:c r="C77" s="154" t="str">
        <x:v>alternative_industry</x:v>
      </x:c>
      <x:c r="D77" s="154" t="str">
        <x:v>A+ through CCC-</x:v>
      </x:c>
      <x:c r="E77" s="154" t="str">
        <x:v>Broadline retail</x:v>
      </x:c>
      <x:c r="F77" s="150" t="n">
        <x:v>8</x:v>
      </x:c>
      <x:c r="G77" s="150" t="n">
        <x:v>1</x:v>
      </x:c>
      <x:c r="H77" s="178" t="n">
        <x:v>1182000</x:v>
      </x:c>
      <x:c r="I77" s="163" t="n">
        <x:v>0.05</x:v>
      </x:c>
      <x:c r="J77" s="80" t="n">
        <x:f>H77*(1-I77)</x:f>
        <x:v>1122900</x:v>
      </x:c>
      <x:c r="K77" s="75" t="n">
        <x:f>IF(Portfolio_Par&gt;0,J77/Portfolio_Par,"")</x:f>
        <x:v>0.020143871986222733</x:v>
      </x:c>
      <x:c r="L77" s="150" t="str">
        <x:v>SYN-OB-0025</x:v>
      </x:c>
    </x:row>
    <x:row r="78" ht="39" customHeight="1">
      <x:c r="A78" s="150"/>
      <x:c r="B78" s="150"/>
      <x:c r="C78" s="154" t="str">
        <x:v>alternative_industry</x:v>
      </x:c>
      <x:c r="D78" s="154" t="str">
        <x:v>BBB+ through CCC-</x:v>
      </x:c>
      <x:c r="E78" s="154" t="str">
        <x:v>Broadline retail</x:v>
      </x:c>
      <x:c r="F78" s="150" t="n">
        <x:v>12</x:v>
      </x:c>
      <x:c r="G78" s="150" t="n">
        <x:v>1</x:v>
      </x:c>
      <x:c r="H78" s="178" t="n">
        <x:v>1182000</x:v>
      </x:c>
      <x:c r="I78" s="163" t="n">
        <x:v>0.05</x:v>
      </x:c>
      <x:c r="J78" s="80" t="n">
        <x:f>H78*(1-I78)</x:f>
        <x:v>1122900</x:v>
      </x:c>
      <x:c r="K78" s="75" t="n">
        <x:f>IF(Portfolio_Par&gt;0,J78/Portfolio_Par,"")</x:f>
        <x:v>0.020143871986222733</x:v>
      </x:c>
      <x:c r="L78" s="150" t="str">
        <x:v>SYN-OB-0025</x:v>
      </x:c>
    </x:row>
    <x:row r="79" ht="39" customHeight="1">
      <x:c r="A79" s="150"/>
      <x:c r="B79" s="150"/>
      <x:c r="C79" s="154" t="str">
        <x:v>alternative_industry</x:v>
      </x:c>
      <x:c r="D79" s="154" t="str">
        <x:v>BB+ through CCC-</x:v>
      </x:c>
      <x:c r="E79" s="154" t="str">
        <x:v>Broadline retail</x:v>
      </x:c>
      <x:c r="F79" s="150" t="n">
        <x:v>16</x:v>
      </x:c>
      <x:c r="G79" s="150" t="n">
        <x:v>1</x:v>
      </x:c>
      <x:c r="H79" s="178" t="n">
        <x:v>1182000</x:v>
      </x:c>
      <x:c r="I79" s="163" t="n">
        <x:v>0.05</x:v>
      </x:c>
      <x:c r="J79" s="80" t="n">
        <x:f>H79*(1-I79)</x:f>
        <x:v>1122900</x:v>
      </x:c>
      <x:c r="K79" s="75" t="n">
        <x:f>IF(Portfolio_Par&gt;0,J79/Portfolio_Par,"")</x:f>
        <x:v>0.020143871986222733</x:v>
      </x:c>
      <x:c r="L79" s="150" t="str">
        <x:v>SYN-OB-0025</x:v>
      </x:c>
    </x:row>
    <x:row r="80" ht="39" customHeight="1">
      <x:c r="A80" s="150"/>
      <x:c r="B80" s="150"/>
      <x:c r="C80" s="154" t="str">
        <x:v>alternative_industry</x:v>
      </x:c>
      <x:c r="D80" s="154" t="str">
        <x:v>B+ through CCC-</x:v>
      </x:c>
      <x:c r="E80" s="154" t="str">
        <x:v>Broadline retail</x:v>
      </x:c>
      <x:c r="F80" s="150" t="n">
        <x:v>20</x:v>
      </x:c>
      <x:c r="G80" s="150" t="n">
        <x:v>0</x:v>
      </x:c>
      <x:c r="H80" s="178" t="n">
        <x:v>0</x:v>
      </x:c>
      <x:c r="I80" s="163" t="n">
        <x:v>0.05</x:v>
      </x:c>
      <x:c r="J80" s="80" t="n">
        <x:f>H80*(1-I80)</x:f>
        <x:v>0</x:v>
      </x:c>
      <x:c r="K80" s="75" t="n">
        <x:f>IF(Portfolio_Par&gt;0,J80/Portfolio_Par,"")</x:f>
        <x:v>0</x:v>
      </x:c>
      <x:c r="L80" s="150" t="str"/>
    </x:row>
    <x:row r="81" ht="39" customHeight="1">
      <x:c r="A81" s="150"/>
      <x:c r="B81" s="150"/>
      <x:c r="C81" s="154" t="str">
        <x:v>alternative_industry</x:v>
      </x:c>
      <x:c r="D81" s="154" t="str">
        <x:v>CCC+ through CCC-</x:v>
      </x:c>
      <x:c r="E81" s="154" t="str">
        <x:v>Broadline retail</x:v>
      </x:c>
      <x:c r="F81" s="150" t="n">
        <x:v>24</x:v>
      </x:c>
      <x:c r="G81" s="150" t="n">
        <x:v>0</x:v>
      </x:c>
      <x:c r="H81" s="178" t="n">
        <x:v>0</x:v>
      </x:c>
      <x:c r="I81" s="163" t="n">
        <x:v>0.05</x:v>
      </x:c>
      <x:c r="J81" s="80" t="n">
        <x:f>H81*(1-I81)</x:f>
        <x:v>0</x:v>
      </x:c>
      <x:c r="K81" s="75" t="n">
        <x:f>IF(Portfolio_Par&gt;0,J81/Portfolio_Par,"")</x:f>
        <x:v>0</x:v>
      </x:c>
      <x:c r="L81" s="150" t="str"/>
    </x:row>
    <x:row r="82" ht="39" customHeight="1">
      <x:c r="A82" s="150"/>
      <x:c r="B82" s="150"/>
      <x:c r="C82" s="154" t="str">
        <x:v>alternative_industry</x:v>
      </x:c>
      <x:c r="D82" s="154" t="str">
        <x:v>AAA through CCC-</x:v>
      </x:c>
      <x:c r="E82" s="154" t="str">
        <x:v>Building Products</x:v>
      </x:c>
      <x:c r="F82" s="150" t="n">
        <x:v>4</x:v>
      </x:c>
      <x:c r="G82" s="150" t="n">
        <x:v>2</x:v>
      </x:c>
      <x:c r="H82" s="178" t="n">
        <x:v>2364000</x:v>
      </x:c>
      <x:c r="I82" s="163" t="n">
        <x:v>0.05</x:v>
      </x:c>
      <x:c r="J82" s="80" t="n">
        <x:f>H82*(1-I82)</x:f>
        <x:v>2245800</x:v>
      </x:c>
      <x:c r="K82" s="75" t="n">
        <x:f>IF(Portfolio_Par&gt;0,J82/Portfolio_Par,"")</x:f>
        <x:v>0.040287743972445465</x:v>
      </x:c>
      <x:c r="L82" s="150" t="str">
        <x:v>SYN-OB-0007, SYN-OB-0034</x:v>
      </x:c>
    </x:row>
    <x:row r="83" ht="39" customHeight="1">
      <x:c r="A83" s="150"/>
      <x:c r="B83" s="150"/>
      <x:c r="C83" s="154" t="str">
        <x:v>alternative_industry</x:v>
      </x:c>
      <x:c r="D83" s="154" t="str">
        <x:v>AA+ through CCC-</x:v>
      </x:c>
      <x:c r="E83" s="154" t="str">
        <x:v>Building Products</x:v>
      </x:c>
      <x:c r="F83" s="150" t="n">
        <x:v>6</x:v>
      </x:c>
      <x:c r="G83" s="150" t="n">
        <x:v>2</x:v>
      </x:c>
      <x:c r="H83" s="178" t="n">
        <x:v>2364000</x:v>
      </x:c>
      <x:c r="I83" s="163" t="n">
        <x:v>0.05</x:v>
      </x:c>
      <x:c r="J83" s="80" t="n">
        <x:f>H83*(1-I83)</x:f>
        <x:v>2245800</x:v>
      </x:c>
      <x:c r="K83" s="75" t="n">
        <x:f>IF(Portfolio_Par&gt;0,J83/Portfolio_Par,"")</x:f>
        <x:v>0.040287743972445465</x:v>
      </x:c>
      <x:c r="L83" s="150" t="str">
        <x:v>SYN-OB-0007, SYN-OB-0034</x:v>
      </x:c>
    </x:row>
    <x:row r="84" ht="39" customHeight="1">
      <x:c r="A84" s="150"/>
      <x:c r="B84" s="150"/>
      <x:c r="C84" s="154" t="str">
        <x:v>alternative_industry</x:v>
      </x:c>
      <x:c r="D84" s="154" t="str">
        <x:v>A+ through CCC-</x:v>
      </x:c>
      <x:c r="E84" s="154" t="str">
        <x:v>Building Products</x:v>
      </x:c>
      <x:c r="F84" s="150" t="n">
        <x:v>8</x:v>
      </x:c>
      <x:c r="G84" s="150" t="n">
        <x:v>2</x:v>
      </x:c>
      <x:c r="H84" s="178" t="n">
        <x:v>2364000</x:v>
      </x:c>
      <x:c r="I84" s="163" t="n">
        <x:v>0.05</x:v>
      </x:c>
      <x:c r="J84" s="80" t="n">
        <x:f>H84*(1-I84)</x:f>
        <x:v>2245800</x:v>
      </x:c>
      <x:c r="K84" s="75" t="n">
        <x:f>IF(Portfolio_Par&gt;0,J84/Portfolio_Par,"")</x:f>
        <x:v>0.040287743972445465</x:v>
      </x:c>
      <x:c r="L84" s="150" t="str">
        <x:v>SYN-OB-0007, SYN-OB-0034</x:v>
      </x:c>
    </x:row>
    <x:row r="85" ht="39" customHeight="1">
      <x:c r="A85" s="150"/>
      <x:c r="B85" s="150"/>
      <x:c r="C85" s="154" t="str">
        <x:v>alternative_industry</x:v>
      </x:c>
      <x:c r="D85" s="154" t="str">
        <x:v>BBB+ through CCC-</x:v>
      </x:c>
      <x:c r="E85" s="154" t="str">
        <x:v>Building Products</x:v>
      </x:c>
      <x:c r="F85" s="150" t="n">
        <x:v>12</x:v>
      </x:c>
      <x:c r="G85" s="150" t="n">
        <x:v>2</x:v>
      </x:c>
      <x:c r="H85" s="178" t="n">
        <x:v>2364000</x:v>
      </x:c>
      <x:c r="I85" s="163" t="n">
        <x:v>0.05</x:v>
      </x:c>
      <x:c r="J85" s="80" t="n">
        <x:f>H85*(1-I85)</x:f>
        <x:v>2245800</x:v>
      </x:c>
      <x:c r="K85" s="75" t="n">
        <x:f>IF(Portfolio_Par&gt;0,J85/Portfolio_Par,"")</x:f>
        <x:v>0.040287743972445465</x:v>
      </x:c>
      <x:c r="L85" s="150" t="str">
        <x:v>SYN-OB-0007, SYN-OB-0034</x:v>
      </x:c>
    </x:row>
    <x:row r="86" ht="39" customHeight="1">
      <x:c r="A86" s="150"/>
      <x:c r="B86" s="150"/>
      <x:c r="C86" s="154" t="str">
        <x:v>alternative_industry</x:v>
      </x:c>
      <x:c r="D86" s="154" t="str">
        <x:v>BB+ through CCC-</x:v>
      </x:c>
      <x:c r="E86" s="154" t="str">
        <x:v>Building Products</x:v>
      </x:c>
      <x:c r="F86" s="150" t="n">
        <x:v>16</x:v>
      </x:c>
      <x:c r="G86" s="150" t="n">
        <x:v>2</x:v>
      </x:c>
      <x:c r="H86" s="178" t="n">
        <x:v>2364000</x:v>
      </x:c>
      <x:c r="I86" s="163" t="n">
        <x:v>0.05</x:v>
      </x:c>
      <x:c r="J86" s="80" t="n">
        <x:f>H86*(1-I86)</x:f>
        <x:v>2245800</x:v>
      </x:c>
      <x:c r="K86" s="75" t="n">
        <x:f>IF(Portfolio_Par&gt;0,J86/Portfolio_Par,"")</x:f>
        <x:v>0.040287743972445465</x:v>
      </x:c>
      <x:c r="L86" s="150" t="str">
        <x:v>SYN-OB-0007, SYN-OB-0034</x:v>
      </x:c>
    </x:row>
    <x:row r="87" ht="39" customHeight="1">
      <x:c r="A87" s="150"/>
      <x:c r="B87" s="150"/>
      <x:c r="C87" s="154" t="str">
        <x:v>alternative_industry</x:v>
      </x:c>
      <x:c r="D87" s="154" t="str">
        <x:v>B+ through CCC-</x:v>
      </x:c>
      <x:c r="E87" s="154" t="str">
        <x:v>Building Products</x:v>
      </x:c>
      <x:c r="F87" s="150" t="n">
        <x:v>20</x:v>
      </x:c>
      <x:c r="G87" s="150" t="n">
        <x:v>2</x:v>
      </x:c>
      <x:c r="H87" s="178" t="n">
        <x:v>2364000</x:v>
      </x:c>
      <x:c r="I87" s="163" t="n">
        <x:v>0.05</x:v>
      </x:c>
      <x:c r="J87" s="80" t="n">
        <x:f>H87*(1-I87)</x:f>
        <x:v>2245800</x:v>
      </x:c>
      <x:c r="K87" s="75" t="n">
        <x:f>IF(Portfolio_Par&gt;0,J87/Portfolio_Par,"")</x:f>
        <x:v>0.040287743972445465</x:v>
      </x:c>
      <x:c r="L87" s="150" t="str">
        <x:v>SYN-OB-0007, SYN-OB-0034</x:v>
      </x:c>
    </x:row>
    <x:row r="88" ht="39" customHeight="1">
      <x:c r="A88" s="150"/>
      <x:c r="B88" s="150"/>
      <x:c r="C88" s="154" t="str">
        <x:v>alternative_industry</x:v>
      </x:c>
      <x:c r="D88" s="154" t="str">
        <x:v>CCC+ through CCC-</x:v>
      </x:c>
      <x:c r="E88" s="154" t="str">
        <x:v>Building Products</x:v>
      </x:c>
      <x:c r="F88" s="150" t="n">
        <x:v>24</x:v>
      </x:c>
      <x:c r="G88" s="150" t="n">
        <x:v>0</x:v>
      </x:c>
      <x:c r="H88" s="178" t="n">
        <x:v>0</x:v>
      </x:c>
      <x:c r="I88" s="163" t="n">
        <x:v>0.05</x:v>
      </x:c>
      <x:c r="J88" s="80" t="n">
        <x:f>H88*(1-I88)</x:f>
        <x:v>0</x:v>
      </x:c>
      <x:c r="K88" s="75" t="n">
        <x:f>IF(Portfolio_Par&gt;0,J88/Portfolio_Par,"")</x:f>
        <x:v>0</x:v>
      </x:c>
      <x:c r="L88" s="150" t="str"/>
    </x:row>
    <x:row r="89" ht="39" customHeight="1">
      <x:c r="A89" s="150"/>
      <x:c r="B89" s="150"/>
      <x:c r="C89" s="154" t="str">
        <x:v>alternative_industry</x:v>
      </x:c>
      <x:c r="D89" s="154" t="str">
        <x:v>AAA through CCC-</x:v>
      </x:c>
      <x:c r="E89" s="154" t="str">
        <x:v>Capital Markets</x:v>
      </x:c>
      <x:c r="F89" s="150" t="n">
        <x:v>4</x:v>
      </x:c>
      <x:c r="G89" s="150" t="n">
        <x:v>1</x:v>
      </x:c>
      <x:c r="H89" s="178" t="n">
        <x:v>1182000</x:v>
      </x:c>
      <x:c r="I89" s="163" t="n">
        <x:v>0.05</x:v>
      </x:c>
      <x:c r="J89" s="80" t="n">
        <x:f>H89*(1-I89)</x:f>
        <x:v>1122900</x:v>
      </x:c>
      <x:c r="K89" s="75" t="n">
        <x:f>IF(Portfolio_Par&gt;0,J89/Portfolio_Par,"")</x:f>
        <x:v>0.020143871986222733</x:v>
      </x:c>
      <x:c r="L89" s="150" t="str">
        <x:v>SYN-OB-0020</x:v>
      </x:c>
    </x:row>
    <x:row r="90" ht="39" customHeight="1">
      <x:c r="A90" s="150"/>
      <x:c r="B90" s="150"/>
      <x:c r="C90" s="154" t="str">
        <x:v>alternative_industry</x:v>
      </x:c>
      <x:c r="D90" s="154" t="str">
        <x:v>AA+ through CCC-</x:v>
      </x:c>
      <x:c r="E90" s="154" t="str">
        <x:v>Capital Markets</x:v>
      </x:c>
      <x:c r="F90" s="150" t="n">
        <x:v>6</x:v>
      </x:c>
      <x:c r="G90" s="150" t="n">
        <x:v>1</x:v>
      </x:c>
      <x:c r="H90" s="178" t="n">
        <x:v>1182000</x:v>
      </x:c>
      <x:c r="I90" s="163" t="n">
        <x:v>0.05</x:v>
      </x:c>
      <x:c r="J90" s="80" t="n">
        <x:f>H90*(1-I90)</x:f>
        <x:v>1122900</x:v>
      </x:c>
      <x:c r="K90" s="75" t="n">
        <x:f>IF(Portfolio_Par&gt;0,J90/Portfolio_Par,"")</x:f>
        <x:v>0.020143871986222733</x:v>
      </x:c>
      <x:c r="L90" s="150" t="str">
        <x:v>SYN-OB-0020</x:v>
      </x:c>
    </x:row>
    <x:row r="91" ht="39" customHeight="1">
      <x:c r="A91" s="150"/>
      <x:c r="B91" s="150"/>
      <x:c r="C91" s="154" t="str">
        <x:v>alternative_industry</x:v>
      </x:c>
      <x:c r="D91" s="154" t="str">
        <x:v>A+ through CCC-</x:v>
      </x:c>
      <x:c r="E91" s="154" t="str">
        <x:v>Capital Markets</x:v>
      </x:c>
      <x:c r="F91" s="150" t="n">
        <x:v>8</x:v>
      </x:c>
      <x:c r="G91" s="150" t="n">
        <x:v>1</x:v>
      </x:c>
      <x:c r="H91" s="178" t="n">
        <x:v>1182000</x:v>
      </x:c>
      <x:c r="I91" s="163" t="n">
        <x:v>0.05</x:v>
      </x:c>
      <x:c r="J91" s="80" t="n">
        <x:f>H91*(1-I91)</x:f>
        <x:v>1122900</x:v>
      </x:c>
      <x:c r="K91" s="75" t="n">
        <x:f>IF(Portfolio_Par&gt;0,J91/Portfolio_Par,"")</x:f>
        <x:v>0.020143871986222733</x:v>
      </x:c>
      <x:c r="L91" s="150" t="str">
        <x:v>SYN-OB-0020</x:v>
      </x:c>
    </x:row>
    <x:row r="92" ht="39" customHeight="1">
      <x:c r="A92" s="150"/>
      <x:c r="B92" s="150"/>
      <x:c r="C92" s="154" t="str">
        <x:v>alternative_industry</x:v>
      </x:c>
      <x:c r="D92" s="154" t="str">
        <x:v>BBB+ through CCC-</x:v>
      </x:c>
      <x:c r="E92" s="154" t="str">
        <x:v>Capital Markets</x:v>
      </x:c>
      <x:c r="F92" s="150" t="n">
        <x:v>12</x:v>
      </x:c>
      <x:c r="G92" s="150" t="n">
        <x:v>1</x:v>
      </x:c>
      <x:c r="H92" s="178" t="n">
        <x:v>1182000</x:v>
      </x:c>
      <x:c r="I92" s="163" t="n">
        <x:v>0.05</x:v>
      </x:c>
      <x:c r="J92" s="80" t="n">
        <x:f>H92*(1-I92)</x:f>
        <x:v>1122900</x:v>
      </x:c>
      <x:c r="K92" s="75" t="n">
        <x:f>IF(Portfolio_Par&gt;0,J92/Portfolio_Par,"")</x:f>
        <x:v>0.020143871986222733</x:v>
      </x:c>
      <x:c r="L92" s="150" t="str">
        <x:v>SYN-OB-0020</x:v>
      </x:c>
    </x:row>
    <x:row r="93" ht="39" customHeight="1">
      <x:c r="A93" s="150"/>
      <x:c r="B93" s="150"/>
      <x:c r="C93" s="154" t="str">
        <x:v>alternative_industry</x:v>
      </x:c>
      <x:c r="D93" s="154" t="str">
        <x:v>BB+ through CCC-</x:v>
      </x:c>
      <x:c r="E93" s="154" t="str">
        <x:v>Capital Markets</x:v>
      </x:c>
      <x:c r="F93" s="150" t="n">
        <x:v>16</x:v>
      </x:c>
      <x:c r="G93" s="150" t="n">
        <x:v>0</x:v>
      </x:c>
      <x:c r="H93" s="178" t="n">
        <x:v>0</x:v>
      </x:c>
      <x:c r="I93" s="163" t="n">
        <x:v>0.05</x:v>
      </x:c>
      <x:c r="J93" s="80" t="n">
        <x:f>H93*(1-I93)</x:f>
        <x:v>0</x:v>
      </x:c>
      <x:c r="K93" s="75" t="n">
        <x:f>IF(Portfolio_Par&gt;0,J93/Portfolio_Par,"")</x:f>
        <x:v>0</x:v>
      </x:c>
      <x:c r="L93" s="150" t="str"/>
    </x:row>
    <x:row r="94" ht="39" customHeight="1">
      <x:c r="A94" s="150"/>
      <x:c r="B94" s="150"/>
      <x:c r="C94" s="154" t="str">
        <x:v>alternative_industry</x:v>
      </x:c>
      <x:c r="D94" s="154" t="str">
        <x:v>B+ through CCC-</x:v>
      </x:c>
      <x:c r="E94" s="154" t="str">
        <x:v>Capital Markets</x:v>
      </x:c>
      <x:c r="F94" s="150" t="n">
        <x:v>20</x:v>
      </x:c>
      <x:c r="G94" s="150" t="n">
        <x:v>0</x:v>
      </x:c>
      <x:c r="H94" s="178" t="n">
        <x:v>0</x:v>
      </x:c>
      <x:c r="I94" s="163" t="n">
        <x:v>0.05</x:v>
      </x:c>
      <x:c r="J94" s="80" t="n">
        <x:f>H94*(1-I94)</x:f>
        <x:v>0</x:v>
      </x:c>
      <x:c r="K94" s="75" t="n">
        <x:f>IF(Portfolio_Par&gt;0,J94/Portfolio_Par,"")</x:f>
        <x:v>0</x:v>
      </x:c>
      <x:c r="L94" s="150" t="str"/>
    </x:row>
    <x:row r="95" ht="39" customHeight="1">
      <x:c r="A95" s="150"/>
      <x:c r="B95" s="150"/>
      <x:c r="C95" s="154" t="str">
        <x:v>alternative_industry</x:v>
      </x:c>
      <x:c r="D95" s="154" t="str">
        <x:v>CCC+ through CCC-</x:v>
      </x:c>
      <x:c r="E95" s="154" t="str">
        <x:v>Capital Markets</x:v>
      </x:c>
      <x:c r="F95" s="150" t="n">
        <x:v>24</x:v>
      </x:c>
      <x:c r="G95" s="150" t="n">
        <x:v>0</x:v>
      </x:c>
      <x:c r="H95" s="178" t="n">
        <x:v>0</x:v>
      </x:c>
      <x:c r="I95" s="163" t="n">
        <x:v>0.05</x:v>
      </x:c>
      <x:c r="J95" s="80" t="n">
        <x:f>H95*(1-I95)</x:f>
        <x:v>0</x:v>
      </x:c>
      <x:c r="K95" s="75" t="n">
        <x:f>IF(Portfolio_Par&gt;0,J95/Portfolio_Par,"")</x:f>
        <x:v>0</x:v>
      </x:c>
      <x:c r="L95" s="150" t="str"/>
    </x:row>
    <x:row r="96" ht="39" customHeight="1">
      <x:c r="A96" s="150"/>
      <x:c r="B96" s="150"/>
      <x:c r="C96" s="154" t="str">
        <x:v>alternative_industry</x:v>
      </x:c>
      <x:c r="D96" s="154" t="str">
        <x:v>AAA through CCC-</x:v>
      </x:c>
      <x:c r="E96" s="154" t="str">
        <x:v>Chemicals</x:v>
      </x:c>
      <x:c r="F96" s="150" t="n">
        <x:v>4</x:v>
      </x:c>
      <x:c r="G96" s="150" t="n">
        <x:v>1</x:v>
      </x:c>
      <x:c r="H96" s="178" t="n">
        <x:v>1182000</x:v>
      </x:c>
      <x:c r="I96" s="163" t="n">
        <x:v>0.05</x:v>
      </x:c>
      <x:c r="J96" s="80" t="n">
        <x:f>H96*(1-I96)</x:f>
        <x:v>1122900</x:v>
      </x:c>
      <x:c r="K96" s="75" t="n">
        <x:f>IF(Portfolio_Par&gt;0,J96/Portfolio_Par,"")</x:f>
        <x:v>0.020143871986222733</x:v>
      </x:c>
      <x:c r="L96" s="150" t="str">
        <x:v>SYN-OB-0006</x:v>
      </x:c>
    </x:row>
    <x:row r="97" ht="39" customHeight="1">
      <x:c r="A97" s="150"/>
      <x:c r="B97" s="150"/>
      <x:c r="C97" s="154" t="str">
        <x:v>alternative_industry</x:v>
      </x:c>
      <x:c r="D97" s="154" t="str">
        <x:v>AA+ through CCC-</x:v>
      </x:c>
      <x:c r="E97" s="154" t="str">
        <x:v>Chemicals</x:v>
      </x:c>
      <x:c r="F97" s="150" t="n">
        <x:v>6</x:v>
      </x:c>
      <x:c r="G97" s="150" t="n">
        <x:v>1</x:v>
      </x:c>
      <x:c r="H97" s="178" t="n">
        <x:v>1182000</x:v>
      </x:c>
      <x:c r="I97" s="163" t="n">
        <x:v>0.05</x:v>
      </x:c>
      <x:c r="J97" s="80" t="n">
        <x:f>H97*(1-I97)</x:f>
        <x:v>1122900</x:v>
      </x:c>
      <x:c r="K97" s="75" t="n">
        <x:f>IF(Portfolio_Par&gt;0,J97/Portfolio_Par,"")</x:f>
        <x:v>0.020143871986222733</x:v>
      </x:c>
      <x:c r="L97" s="150" t="str">
        <x:v>SYN-OB-0006</x:v>
      </x:c>
    </x:row>
    <x:row r="98" ht="39" customHeight="1">
      <x:c r="A98" s="150"/>
      <x:c r="B98" s="150"/>
      <x:c r="C98" s="154" t="str">
        <x:v>alternative_industry</x:v>
      </x:c>
      <x:c r="D98" s="154" t="str">
        <x:v>A+ through CCC-</x:v>
      </x:c>
      <x:c r="E98" s="154" t="str">
        <x:v>Chemicals</x:v>
      </x:c>
      <x:c r="F98" s="150" t="n">
        <x:v>8</x:v>
      </x:c>
      <x:c r="G98" s="150" t="n">
        <x:v>1</x:v>
      </x:c>
      <x:c r="H98" s="178" t="n">
        <x:v>1182000</x:v>
      </x:c>
      <x:c r="I98" s="163" t="n">
        <x:v>0.05</x:v>
      </x:c>
      <x:c r="J98" s="80" t="n">
        <x:f>H98*(1-I98)</x:f>
        <x:v>1122900</x:v>
      </x:c>
      <x:c r="K98" s="75" t="n">
        <x:f>IF(Portfolio_Par&gt;0,J98/Portfolio_Par,"")</x:f>
        <x:v>0.020143871986222733</x:v>
      </x:c>
      <x:c r="L98" s="150" t="str">
        <x:v>SYN-OB-0006</x:v>
      </x:c>
    </x:row>
    <x:row r="99" ht="39" customHeight="1">
      <x:c r="A99" s="150"/>
      <x:c r="B99" s="150"/>
      <x:c r="C99" s="154" t="str">
        <x:v>alternative_industry</x:v>
      </x:c>
      <x:c r="D99" s="154" t="str">
        <x:v>BBB+ through CCC-</x:v>
      </x:c>
      <x:c r="E99" s="154" t="str">
        <x:v>Chemicals</x:v>
      </x:c>
      <x:c r="F99" s="150" t="n">
        <x:v>12</x:v>
      </x:c>
      <x:c r="G99" s="150" t="n">
        <x:v>1</x:v>
      </x:c>
      <x:c r="H99" s="178" t="n">
        <x:v>1182000</x:v>
      </x:c>
      <x:c r="I99" s="163" t="n">
        <x:v>0.05</x:v>
      </x:c>
      <x:c r="J99" s="80" t="n">
        <x:f>H99*(1-I99)</x:f>
        <x:v>1122900</x:v>
      </x:c>
      <x:c r="K99" s="75" t="n">
        <x:f>IF(Portfolio_Par&gt;0,J99/Portfolio_Par,"")</x:f>
        <x:v>0.020143871986222733</x:v>
      </x:c>
      <x:c r="L99" s="150" t="str">
        <x:v>SYN-OB-0006</x:v>
      </x:c>
    </x:row>
    <x:row r="100" ht="39" customHeight="1">
      <x:c r="A100" s="150"/>
      <x:c r="B100" s="150"/>
      <x:c r="C100" s="154" t="str">
        <x:v>alternative_industry</x:v>
      </x:c>
      <x:c r="D100" s="154" t="str">
        <x:v>BB+ through CCC-</x:v>
      </x:c>
      <x:c r="E100" s="154" t="str">
        <x:v>Chemicals</x:v>
      </x:c>
      <x:c r="F100" s="150" t="n">
        <x:v>16</x:v>
      </x:c>
      <x:c r="G100" s="150" t="n">
        <x:v>1</x:v>
      </x:c>
      <x:c r="H100" s="178" t="n">
        <x:v>1182000</x:v>
      </x:c>
      <x:c r="I100" s="163" t="n">
        <x:v>0.05</x:v>
      </x:c>
      <x:c r="J100" s="80" t="n">
        <x:f>H100*(1-I100)</x:f>
        <x:v>1122900</x:v>
      </x:c>
      <x:c r="K100" s="75" t="n">
        <x:f>IF(Portfolio_Par&gt;0,J100/Portfolio_Par,"")</x:f>
        <x:v>0.020143871986222733</x:v>
      </x:c>
      <x:c r="L100" s="150" t="str">
        <x:v>SYN-OB-0006</x:v>
      </x:c>
    </x:row>
    <x:row r="101" ht="39" customHeight="1">
      <x:c r="A101" s="150"/>
      <x:c r="B101" s="150"/>
      <x:c r="C101" s="154" t="str">
        <x:v>alternative_industry</x:v>
      </x:c>
      <x:c r="D101" s="154" t="str">
        <x:v>B+ through CCC-</x:v>
      </x:c>
      <x:c r="E101" s="154" t="str">
        <x:v>Chemicals</x:v>
      </x:c>
      <x:c r="F101" s="150" t="n">
        <x:v>20</x:v>
      </x:c>
      <x:c r="G101" s="150" t="n">
        <x:v>1</x:v>
      </x:c>
      <x:c r="H101" s="178" t="n">
        <x:v>1182000</x:v>
      </x:c>
      <x:c r="I101" s="163" t="n">
        <x:v>0.05</x:v>
      </x:c>
      <x:c r="J101" s="80" t="n">
        <x:f>H101*(1-I101)</x:f>
        <x:v>1122900</x:v>
      </x:c>
      <x:c r="K101" s="75" t="n">
        <x:f>IF(Portfolio_Par&gt;0,J101/Portfolio_Par,"")</x:f>
        <x:v>0.020143871986222733</x:v>
      </x:c>
      <x:c r="L101" s="150" t="str">
        <x:v>SYN-OB-0006</x:v>
      </x:c>
    </x:row>
    <x:row r="102" ht="39" customHeight="1">
      <x:c r="A102" s="150"/>
      <x:c r="B102" s="150"/>
      <x:c r="C102" s="154" t="str">
        <x:v>alternative_industry</x:v>
      </x:c>
      <x:c r="D102" s="154" t="str">
        <x:v>CCC+ through CCC-</x:v>
      </x:c>
      <x:c r="E102" s="154" t="str">
        <x:v>Chemicals</x:v>
      </x:c>
      <x:c r="F102" s="150" t="n">
        <x:v>24</x:v>
      </x:c>
      <x:c r="G102" s="150" t="n">
        <x:v>0</x:v>
      </x:c>
      <x:c r="H102" s="178" t="n">
        <x:v>0</x:v>
      </x:c>
      <x:c r="I102" s="163" t="n">
        <x:v>0.05</x:v>
      </x:c>
      <x:c r="J102" s="80" t="n">
        <x:f>H102*(1-I102)</x:f>
        <x:v>0</x:v>
      </x:c>
      <x:c r="K102" s="75" t="n">
        <x:f>IF(Portfolio_Par&gt;0,J102/Portfolio_Par,"")</x:f>
        <x:v>0</x:v>
      </x:c>
      <x:c r="L102" s="150" t="str"/>
    </x:row>
    <x:row r="103" ht="39" customHeight="1">
      <x:c r="A103" s="150"/>
      <x:c r="B103" s="150"/>
      <x:c r="C103" s="154" t="str">
        <x:v>alternative_industry</x:v>
      </x:c>
      <x:c r="D103" s="154" t="str">
        <x:v>AAA through CCC-</x:v>
      </x:c>
      <x:c r="E103" s="154" t="str">
        <x:v>Commercial Services &amp; Supplies</x:v>
      </x:c>
      <x:c r="F103" s="150" t="n">
        <x:v>4</x:v>
      </x:c>
      <x:c r="G103" s="150" t="n">
        <x:v>2</x:v>
      </x:c>
      <x:c r="H103" s="178" t="n">
        <x:v>2364000</x:v>
      </x:c>
      <x:c r="I103" s="163" t="n">
        <x:v>0.05</x:v>
      </x:c>
      <x:c r="J103" s="80" t="n">
        <x:f>H103*(1-I103)</x:f>
        <x:v>2245800</x:v>
      </x:c>
      <x:c r="K103" s="75" t="n">
        <x:f>IF(Portfolio_Par&gt;0,J103/Portfolio_Par,"")</x:f>
        <x:v>0.040287743972445465</x:v>
      </x:c>
      <x:c r="L103" s="150" t="str">
        <x:v>SYN-OB-0010, SYN-OB-0011</x:v>
      </x:c>
    </x:row>
    <x:row r="104" ht="39" customHeight="1">
      <x:c r="A104" s="150"/>
      <x:c r="B104" s="150"/>
      <x:c r="C104" s="154" t="str">
        <x:v>alternative_industry</x:v>
      </x:c>
      <x:c r="D104" s="154" t="str">
        <x:v>AA+ through CCC-</x:v>
      </x:c>
      <x:c r="E104" s="154" t="str">
        <x:v>Commercial Services &amp; Supplies</x:v>
      </x:c>
      <x:c r="F104" s="150" t="n">
        <x:v>6</x:v>
      </x:c>
      <x:c r="G104" s="150" t="n">
        <x:v>2</x:v>
      </x:c>
      <x:c r="H104" s="178" t="n">
        <x:v>2364000</x:v>
      </x:c>
      <x:c r="I104" s="163" t="n">
        <x:v>0.05</x:v>
      </x:c>
      <x:c r="J104" s="80" t="n">
        <x:f>H104*(1-I104)</x:f>
        <x:v>2245800</x:v>
      </x:c>
      <x:c r="K104" s="75" t="n">
        <x:f>IF(Portfolio_Par&gt;0,J104/Portfolio_Par,"")</x:f>
        <x:v>0.040287743972445465</x:v>
      </x:c>
      <x:c r="L104" s="150" t="str">
        <x:v>SYN-OB-0010, SYN-OB-0011</x:v>
      </x:c>
    </x:row>
    <x:row r="105" ht="39" customHeight="1">
      <x:c r="A105" s="150"/>
      <x:c r="B105" s="150"/>
      <x:c r="C105" s="154" t="str">
        <x:v>alternative_industry</x:v>
      </x:c>
      <x:c r="D105" s="154" t="str">
        <x:v>A+ through CCC-</x:v>
      </x:c>
      <x:c r="E105" s="154" t="str">
        <x:v>Commercial Services &amp; Supplies</x:v>
      </x:c>
      <x:c r="F105" s="150" t="n">
        <x:v>8</x:v>
      </x:c>
      <x:c r="G105" s="150" t="n">
        <x:v>2</x:v>
      </x:c>
      <x:c r="H105" s="178" t="n">
        <x:v>2364000</x:v>
      </x:c>
      <x:c r="I105" s="163" t="n">
        <x:v>0.05</x:v>
      </x:c>
      <x:c r="J105" s="80" t="n">
        <x:f>H105*(1-I105)</x:f>
        <x:v>2245800</x:v>
      </x:c>
      <x:c r="K105" s="75" t="n">
        <x:f>IF(Portfolio_Par&gt;0,J105/Portfolio_Par,"")</x:f>
        <x:v>0.040287743972445465</x:v>
      </x:c>
      <x:c r="L105" s="150" t="str">
        <x:v>SYN-OB-0010, SYN-OB-0011</x:v>
      </x:c>
    </x:row>
    <x:row r="106" ht="39" customHeight="1">
      <x:c r="A106" s="150"/>
      <x:c r="B106" s="150"/>
      <x:c r="C106" s="154" t="str">
        <x:v>alternative_industry</x:v>
      </x:c>
      <x:c r="D106" s="154" t="str">
        <x:v>BBB+ through CCC-</x:v>
      </x:c>
      <x:c r="E106" s="154" t="str">
        <x:v>Commercial Services &amp; Supplies</x:v>
      </x:c>
      <x:c r="F106" s="150" t="n">
        <x:v>12</x:v>
      </x:c>
      <x:c r="G106" s="150" t="n">
        <x:v>2</x:v>
      </x:c>
      <x:c r="H106" s="178" t="n">
        <x:v>2364000</x:v>
      </x:c>
      <x:c r="I106" s="163" t="n">
        <x:v>0.05</x:v>
      </x:c>
      <x:c r="J106" s="80" t="n">
        <x:f>H106*(1-I106)</x:f>
        <x:v>2245800</x:v>
      </x:c>
      <x:c r="K106" s="75" t="n">
        <x:f>IF(Portfolio_Par&gt;0,J106/Portfolio_Par,"")</x:f>
        <x:v>0.040287743972445465</x:v>
      </x:c>
      <x:c r="L106" s="150" t="str">
        <x:v>SYN-OB-0010, SYN-OB-0011</x:v>
      </x:c>
    </x:row>
    <x:row r="107" ht="39" customHeight="1">
      <x:c r="A107" s="150"/>
      <x:c r="B107" s="150"/>
      <x:c r="C107" s="154" t="str">
        <x:v>alternative_industry</x:v>
      </x:c>
      <x:c r="D107" s="154" t="str">
        <x:v>BB+ through CCC-</x:v>
      </x:c>
      <x:c r="E107" s="154" t="str">
        <x:v>Commercial Services &amp; Supplies</x:v>
      </x:c>
      <x:c r="F107" s="150" t="n">
        <x:v>16</x:v>
      </x:c>
      <x:c r="G107" s="150" t="n">
        <x:v>2</x:v>
      </x:c>
      <x:c r="H107" s="178" t="n">
        <x:v>2364000</x:v>
      </x:c>
      <x:c r="I107" s="163" t="n">
        <x:v>0.05</x:v>
      </x:c>
      <x:c r="J107" s="80" t="n">
        <x:f>H107*(1-I107)</x:f>
        <x:v>2245800</x:v>
      </x:c>
      <x:c r="K107" s="75" t="n">
        <x:f>IF(Portfolio_Par&gt;0,J107/Portfolio_Par,"")</x:f>
        <x:v>0.040287743972445465</x:v>
      </x:c>
      <x:c r="L107" s="150" t="str">
        <x:v>SYN-OB-0010, SYN-OB-0011</x:v>
      </x:c>
    </x:row>
    <x:row r="108" ht="39" customHeight="1">
      <x:c r="A108" s="150"/>
      <x:c r="B108" s="150"/>
      <x:c r="C108" s="154" t="str">
        <x:v>alternative_industry</x:v>
      </x:c>
      <x:c r="D108" s="154" t="str">
        <x:v>B+ through CCC-</x:v>
      </x:c>
      <x:c r="E108" s="154" t="str">
        <x:v>Commercial Services &amp; Supplies</x:v>
      </x:c>
      <x:c r="F108" s="150" t="n">
        <x:v>20</x:v>
      </x:c>
      <x:c r="G108" s="150" t="n">
        <x:v>1</x:v>
      </x:c>
      <x:c r="H108" s="178" t="n">
        <x:v>1182000</x:v>
      </x:c>
      <x:c r="I108" s="163" t="n">
        <x:v>0.05</x:v>
      </x:c>
      <x:c r="J108" s="80" t="n">
        <x:f>H108*(1-I108)</x:f>
        <x:v>1122900</x:v>
      </x:c>
      <x:c r="K108" s="75" t="n">
        <x:f>IF(Portfolio_Par&gt;0,J108/Portfolio_Par,"")</x:f>
        <x:v>0.020143871986222733</x:v>
      </x:c>
      <x:c r="L108" s="150" t="str">
        <x:v>SYN-OB-0011</x:v>
      </x:c>
    </x:row>
    <x:row r="109" ht="39" customHeight="1">
      <x:c r="A109" s="150"/>
      <x:c r="B109" s="150"/>
      <x:c r="C109" s="154" t="str">
        <x:v>alternative_industry</x:v>
      </x:c>
      <x:c r="D109" s="154" t="str">
        <x:v>CCC+ through CCC-</x:v>
      </x:c>
      <x:c r="E109" s="154" t="str">
        <x:v>Commercial Services &amp; Supplies</x:v>
      </x:c>
      <x:c r="F109" s="150" t="n">
        <x:v>24</x:v>
      </x:c>
      <x:c r="G109" s="150" t="n">
        <x:v>0</x:v>
      </x:c>
      <x:c r="H109" s="178" t="n">
        <x:v>0</x:v>
      </x:c>
      <x:c r="I109" s="163" t="n">
        <x:v>0.05</x:v>
      </x:c>
      <x:c r="J109" s="80" t="n">
        <x:f>H109*(1-I109)</x:f>
        <x:v>0</x:v>
      </x:c>
      <x:c r="K109" s="75" t="n">
        <x:f>IF(Portfolio_Par&gt;0,J109/Portfolio_Par,"")</x:f>
        <x:v>0</x:v>
      </x:c>
      <x:c r="L109" s="150" t="str"/>
    </x:row>
    <x:row r="110" ht="39" customHeight="1">
      <x:c r="A110" s="150"/>
      <x:c r="B110" s="150"/>
      <x:c r="C110" s="154" t="str">
        <x:v>alternative_industry</x:v>
      </x:c>
      <x:c r="D110" s="154" t="str">
        <x:v>AAA through CCC-</x:v>
      </x:c>
      <x:c r="E110" s="154" t="str">
        <x:v>Construction &amp; Engineering</x:v>
      </x:c>
      <x:c r="F110" s="150" t="n">
        <x:v>4</x:v>
      </x:c>
      <x:c r="G110" s="150" t="n">
        <x:v>1</x:v>
      </x:c>
      <x:c r="H110" s="178" t="n">
        <x:v>630000</x:v>
      </x:c>
      <x:c r="I110" s="163" t="n">
        <x:v>0.05</x:v>
      </x:c>
      <x:c r="J110" s="80" t="n">
        <x:f>H110*(1-I110)</x:f>
        <x:v>598500</x:v>
      </x:c>
      <x:c r="K110" s="75" t="n">
        <x:f>IF(Portfolio_Par&gt;0,J110/Portfolio_Par,"")</x:f>
        <x:v>0.010736581515499426</x:v>
      </x:c>
      <x:c r="L110" s="150" t="str">
        <x:v>SYN-OB-0050</x:v>
      </x:c>
    </x:row>
    <x:row r="111" ht="39" customHeight="1">
      <x:c r="A111" s="150"/>
      <x:c r="B111" s="150"/>
      <x:c r="C111" s="154" t="str">
        <x:v>alternative_industry</x:v>
      </x:c>
      <x:c r="D111" s="154" t="str">
        <x:v>AA+ through CCC-</x:v>
      </x:c>
      <x:c r="E111" s="154" t="str">
        <x:v>Construction &amp; Engineering</x:v>
      </x:c>
      <x:c r="F111" s="150" t="n">
        <x:v>6</x:v>
      </x:c>
      <x:c r="G111" s="150" t="n">
        <x:v>1</x:v>
      </x:c>
      <x:c r="H111" s="178" t="n">
        <x:v>630000</x:v>
      </x:c>
      <x:c r="I111" s="163" t="n">
        <x:v>0.05</x:v>
      </x:c>
      <x:c r="J111" s="80" t="n">
        <x:f>H111*(1-I111)</x:f>
        <x:v>598500</x:v>
      </x:c>
      <x:c r="K111" s="75" t="n">
        <x:f>IF(Portfolio_Par&gt;0,J111/Portfolio_Par,"")</x:f>
        <x:v>0.010736581515499426</x:v>
      </x:c>
      <x:c r="L111" s="150" t="str">
        <x:v>SYN-OB-0050</x:v>
      </x:c>
    </x:row>
    <x:row r="112" ht="39" customHeight="1">
      <x:c r="A112" s="150"/>
      <x:c r="B112" s="150"/>
      <x:c r="C112" s="154" t="str">
        <x:v>alternative_industry</x:v>
      </x:c>
      <x:c r="D112" s="154" t="str">
        <x:v>A+ through CCC-</x:v>
      </x:c>
      <x:c r="E112" s="154" t="str">
        <x:v>Construction &amp; Engineering</x:v>
      </x:c>
      <x:c r="F112" s="150" t="n">
        <x:v>8</x:v>
      </x:c>
      <x:c r="G112" s="150" t="n">
        <x:v>1</x:v>
      </x:c>
      <x:c r="H112" s="178" t="n">
        <x:v>630000</x:v>
      </x:c>
      <x:c r="I112" s="163" t="n">
        <x:v>0.05</x:v>
      </x:c>
      <x:c r="J112" s="80" t="n">
        <x:f>H112*(1-I112)</x:f>
        <x:v>598500</x:v>
      </x:c>
      <x:c r="K112" s="75" t="n">
        <x:f>IF(Portfolio_Par&gt;0,J112/Portfolio_Par,"")</x:f>
        <x:v>0.010736581515499426</x:v>
      </x:c>
      <x:c r="L112" s="150" t="str">
        <x:v>SYN-OB-0050</x:v>
      </x:c>
    </x:row>
    <x:row r="113" ht="39" customHeight="1">
      <x:c r="A113" s="150"/>
      <x:c r="B113" s="150"/>
      <x:c r="C113" s="154" t="str">
        <x:v>alternative_industry</x:v>
      </x:c>
      <x:c r="D113" s="154" t="str">
        <x:v>BBB+ through CCC-</x:v>
      </x:c>
      <x:c r="E113" s="154" t="str">
        <x:v>Construction &amp; Engineering</x:v>
      </x:c>
      <x:c r="F113" s="150" t="n">
        <x:v>12</x:v>
      </x:c>
      <x:c r="G113" s="150" t="n">
        <x:v>1</x:v>
      </x:c>
      <x:c r="H113" s="178" t="n">
        <x:v>630000</x:v>
      </x:c>
      <x:c r="I113" s="163" t="n">
        <x:v>0.05</x:v>
      </x:c>
      <x:c r="J113" s="80" t="n">
        <x:f>H113*(1-I113)</x:f>
        <x:v>598500</x:v>
      </x:c>
      <x:c r="K113" s="75" t="n">
        <x:f>IF(Portfolio_Par&gt;0,J113/Portfolio_Par,"")</x:f>
        <x:v>0.010736581515499426</x:v>
      </x:c>
      <x:c r="L113" s="150" t="str">
        <x:v>SYN-OB-0050</x:v>
      </x:c>
    </x:row>
    <x:row r="114" ht="39" customHeight="1">
      <x:c r="A114" s="150"/>
      <x:c r="B114" s="150"/>
      <x:c r="C114" s="154" t="str">
        <x:v>alternative_industry</x:v>
      </x:c>
      <x:c r="D114" s="154" t="str">
        <x:v>BB+ through CCC-</x:v>
      </x:c>
      <x:c r="E114" s="154" t="str">
        <x:v>Construction &amp; Engineering</x:v>
      </x:c>
      <x:c r="F114" s="150" t="n">
        <x:v>16</x:v>
      </x:c>
      <x:c r="G114" s="150" t="n">
        <x:v>1</x:v>
      </x:c>
      <x:c r="H114" s="178" t="n">
        <x:v>630000</x:v>
      </x:c>
      <x:c r="I114" s="163" t="n">
        <x:v>0.05</x:v>
      </x:c>
      <x:c r="J114" s="80" t="n">
        <x:f>H114*(1-I114)</x:f>
        <x:v>598500</x:v>
      </x:c>
      <x:c r="K114" s="75" t="n">
        <x:f>IF(Portfolio_Par&gt;0,J114/Portfolio_Par,"")</x:f>
        <x:v>0.010736581515499426</x:v>
      </x:c>
      <x:c r="L114" s="150" t="str">
        <x:v>SYN-OB-0050</x:v>
      </x:c>
    </x:row>
    <x:row r="115" ht="39" customHeight="1">
      <x:c r="A115" s="150"/>
      <x:c r="B115" s="150"/>
      <x:c r="C115" s="154" t="str">
        <x:v>alternative_industry</x:v>
      </x:c>
      <x:c r="D115" s="154" t="str">
        <x:v>B+ through CCC-</x:v>
      </x:c>
      <x:c r="E115" s="154" t="str">
        <x:v>Construction &amp; Engineering</x:v>
      </x:c>
      <x:c r="F115" s="150" t="n">
        <x:v>20</x:v>
      </x:c>
      <x:c r="G115" s="150" t="n">
        <x:v>0</x:v>
      </x:c>
      <x:c r="H115" s="178" t="n">
        <x:v>0</x:v>
      </x:c>
      <x:c r="I115" s="163" t="n">
        <x:v>0.05</x:v>
      </x:c>
      <x:c r="J115" s="80" t="n">
        <x:f>H115*(1-I115)</x:f>
        <x:v>0</x:v>
      </x:c>
      <x:c r="K115" s="75" t="n">
        <x:f>IF(Portfolio_Par&gt;0,J115/Portfolio_Par,"")</x:f>
        <x:v>0</x:v>
      </x:c>
      <x:c r="L115" s="150" t="str"/>
    </x:row>
    <x:row r="116" ht="39" customHeight="1">
      <x:c r="A116" s="150"/>
      <x:c r="B116" s="150"/>
      <x:c r="C116" s="154" t="str">
        <x:v>alternative_industry</x:v>
      </x:c>
      <x:c r="D116" s="154" t="str">
        <x:v>CCC+ through CCC-</x:v>
      </x:c>
      <x:c r="E116" s="154" t="str">
        <x:v>Construction &amp; Engineering</x:v>
      </x:c>
      <x:c r="F116" s="150" t="n">
        <x:v>24</x:v>
      </x:c>
      <x:c r="G116" s="150" t="n">
        <x:v>0</x:v>
      </x:c>
      <x:c r="H116" s="178" t="n">
        <x:v>0</x:v>
      </x:c>
      <x:c r="I116" s="163" t="n">
        <x:v>0.05</x:v>
      </x:c>
      <x:c r="J116" s="80" t="n">
        <x:f>H116*(1-I116)</x:f>
        <x:v>0</x:v>
      </x:c>
      <x:c r="K116" s="75" t="n">
        <x:f>IF(Portfolio_Par&gt;0,J116/Portfolio_Par,"")</x:f>
        <x:v>0</x:v>
      </x:c>
      <x:c r="L116" s="150" t="str"/>
    </x:row>
    <x:row r="117" ht="39" customHeight="1">
      <x:c r="A117" s="150"/>
      <x:c r="B117" s="150"/>
      <x:c r="C117" s="154" t="str">
        <x:v>alternative_industry</x:v>
      </x:c>
      <x:c r="D117" s="154" t="str">
        <x:v>AAA through CCC-</x:v>
      </x:c>
      <x:c r="E117" s="154" t="str">
        <x:v>Construction Materials</x:v>
      </x:c>
      <x:c r="F117" s="150" t="n">
        <x:v>4</x:v>
      </x:c>
      <x:c r="G117" s="150" t="n">
        <x:v>1</x:v>
      </x:c>
      <x:c r="H117" s="178" t="n">
        <x:v>1182000</x:v>
      </x:c>
      <x:c r="I117" s="163" t="n">
        <x:v>0.05</x:v>
      </x:c>
      <x:c r="J117" s="80" t="n">
        <x:f>H117*(1-I117)</x:f>
        <x:v>1122900</x:v>
      </x:c>
      <x:c r="K117" s="75" t="n">
        <x:f>IF(Portfolio_Par&gt;0,J117/Portfolio_Par,"")</x:f>
        <x:v>0.020143871986222733</x:v>
      </x:c>
      <x:c r="L117" s="150" t="str">
        <x:v>SYN-OB-0013</x:v>
      </x:c>
    </x:row>
    <x:row r="118" ht="39" customHeight="1">
      <x:c r="A118" s="150"/>
      <x:c r="B118" s="150"/>
      <x:c r="C118" s="154" t="str">
        <x:v>alternative_industry</x:v>
      </x:c>
      <x:c r="D118" s="154" t="str">
        <x:v>AA+ through CCC-</x:v>
      </x:c>
      <x:c r="E118" s="154" t="str">
        <x:v>Construction Materials</x:v>
      </x:c>
      <x:c r="F118" s="150" t="n">
        <x:v>6</x:v>
      </x:c>
      <x:c r="G118" s="150" t="n">
        <x:v>1</x:v>
      </x:c>
      <x:c r="H118" s="178" t="n">
        <x:v>1182000</x:v>
      </x:c>
      <x:c r="I118" s="163" t="n">
        <x:v>0.05</x:v>
      </x:c>
      <x:c r="J118" s="80" t="n">
        <x:f>H118*(1-I118)</x:f>
        <x:v>1122900</x:v>
      </x:c>
      <x:c r="K118" s="75" t="n">
        <x:f>IF(Portfolio_Par&gt;0,J118/Portfolio_Par,"")</x:f>
        <x:v>0.020143871986222733</x:v>
      </x:c>
      <x:c r="L118" s="150" t="str">
        <x:v>SYN-OB-0013</x:v>
      </x:c>
    </x:row>
    <x:row r="119" ht="39" customHeight="1">
      <x:c r="A119" s="150"/>
      <x:c r="B119" s="150"/>
      <x:c r="C119" s="154" t="str">
        <x:v>alternative_industry</x:v>
      </x:c>
      <x:c r="D119" s="154" t="str">
        <x:v>A+ through CCC-</x:v>
      </x:c>
      <x:c r="E119" s="154" t="str">
        <x:v>Construction Materials</x:v>
      </x:c>
      <x:c r="F119" s="150" t="n">
        <x:v>8</x:v>
      </x:c>
      <x:c r="G119" s="150" t="n">
        <x:v>1</x:v>
      </x:c>
      <x:c r="H119" s="178" t="n">
        <x:v>1182000</x:v>
      </x:c>
      <x:c r="I119" s="163" t="n">
        <x:v>0.05</x:v>
      </x:c>
      <x:c r="J119" s="80" t="n">
        <x:f>H119*(1-I119)</x:f>
        <x:v>1122900</x:v>
      </x:c>
      <x:c r="K119" s="75" t="n">
        <x:f>IF(Portfolio_Par&gt;0,J119/Portfolio_Par,"")</x:f>
        <x:v>0.020143871986222733</x:v>
      </x:c>
      <x:c r="L119" s="150" t="str">
        <x:v>SYN-OB-0013</x:v>
      </x:c>
    </x:row>
    <x:row r="120" ht="39" customHeight="1">
      <x:c r="A120" s="150"/>
      <x:c r="B120" s="150"/>
      <x:c r="C120" s="154" t="str">
        <x:v>alternative_industry</x:v>
      </x:c>
      <x:c r="D120" s="154" t="str">
        <x:v>BBB+ through CCC-</x:v>
      </x:c>
      <x:c r="E120" s="154" t="str">
        <x:v>Construction Materials</x:v>
      </x:c>
      <x:c r="F120" s="150" t="n">
        <x:v>12</x:v>
      </x:c>
      <x:c r="G120" s="150" t="n">
        <x:v>1</x:v>
      </x:c>
      <x:c r="H120" s="178" t="n">
        <x:v>1182000</x:v>
      </x:c>
      <x:c r="I120" s="163" t="n">
        <x:v>0.05</x:v>
      </x:c>
      <x:c r="J120" s="80" t="n">
        <x:f>H120*(1-I120)</x:f>
        <x:v>1122900</x:v>
      </x:c>
      <x:c r="K120" s="75" t="n">
        <x:f>IF(Portfolio_Par&gt;0,J120/Portfolio_Par,"")</x:f>
        <x:v>0.020143871986222733</x:v>
      </x:c>
      <x:c r="L120" s="150" t="str">
        <x:v>SYN-OB-0013</x:v>
      </x:c>
    </x:row>
    <x:row r="121" ht="39" customHeight="1">
      <x:c r="A121" s="150"/>
      <x:c r="B121" s="150"/>
      <x:c r="C121" s="154" t="str">
        <x:v>alternative_industry</x:v>
      </x:c>
      <x:c r="D121" s="154" t="str">
        <x:v>BB+ through CCC-</x:v>
      </x:c>
      <x:c r="E121" s="154" t="str">
        <x:v>Construction Materials</x:v>
      </x:c>
      <x:c r="F121" s="150" t="n">
        <x:v>16</x:v>
      </x:c>
      <x:c r="G121" s="150" t="n">
        <x:v>1</x:v>
      </x:c>
      <x:c r="H121" s="178" t="n">
        <x:v>1182000</x:v>
      </x:c>
      <x:c r="I121" s="163" t="n">
        <x:v>0.05</x:v>
      </x:c>
      <x:c r="J121" s="80" t="n">
        <x:f>H121*(1-I121)</x:f>
        <x:v>1122900</x:v>
      </x:c>
      <x:c r="K121" s="75" t="n">
        <x:f>IF(Portfolio_Par&gt;0,J121/Portfolio_Par,"")</x:f>
        <x:v>0.020143871986222733</x:v>
      </x:c>
      <x:c r="L121" s="150" t="str">
        <x:v>SYN-OB-0013</x:v>
      </x:c>
    </x:row>
    <x:row r="122" ht="39" customHeight="1">
      <x:c r="A122" s="150"/>
      <x:c r="B122" s="150"/>
      <x:c r="C122" s="154" t="str">
        <x:v>alternative_industry</x:v>
      </x:c>
      <x:c r="D122" s="154" t="str">
        <x:v>B+ through CCC-</x:v>
      </x:c>
      <x:c r="E122" s="154" t="str">
        <x:v>Construction Materials</x:v>
      </x:c>
      <x:c r="F122" s="150" t="n">
        <x:v>20</x:v>
      </x:c>
      <x:c r="G122" s="150" t="n">
        <x:v>0</x:v>
      </x:c>
      <x:c r="H122" s="178" t="n">
        <x:v>0</x:v>
      </x:c>
      <x:c r="I122" s="163" t="n">
        <x:v>0.05</x:v>
      </x:c>
      <x:c r="J122" s="80" t="n">
        <x:f>H122*(1-I122)</x:f>
        <x:v>0</x:v>
      </x:c>
      <x:c r="K122" s="75" t="n">
        <x:f>IF(Portfolio_Par&gt;0,J122/Portfolio_Par,"")</x:f>
        <x:v>0</x:v>
      </x:c>
      <x:c r="L122" s="150" t="str"/>
    </x:row>
    <x:row r="123" ht="39" customHeight="1">
      <x:c r="A123" s="150"/>
      <x:c r="B123" s="150"/>
      <x:c r="C123" s="154" t="str">
        <x:v>alternative_industry</x:v>
      </x:c>
      <x:c r="D123" s="154" t="str">
        <x:v>CCC+ through CCC-</x:v>
      </x:c>
      <x:c r="E123" s="154" t="str">
        <x:v>Construction Materials</x:v>
      </x:c>
      <x:c r="F123" s="150" t="n">
        <x:v>24</x:v>
      </x:c>
      <x:c r="G123" s="150" t="n">
        <x:v>0</x:v>
      </x:c>
      <x:c r="H123" s="178" t="n">
        <x:v>0</x:v>
      </x:c>
      <x:c r="I123" s="163" t="n">
        <x:v>0.05</x:v>
      </x:c>
      <x:c r="J123" s="80" t="n">
        <x:f>H123*(1-I123)</x:f>
        <x:v>0</x:v>
      </x:c>
      <x:c r="K123" s="75" t="n">
        <x:f>IF(Portfolio_Par&gt;0,J123/Portfolio_Par,"")</x:f>
        <x:v>0</x:v>
      </x:c>
      <x:c r="L123" s="150" t="str"/>
    </x:row>
    <x:row r="124" ht="39" customHeight="1">
      <x:c r="A124" s="150"/>
      <x:c r="B124" s="150"/>
      <x:c r="C124" s="154" t="str">
        <x:v>alternative_industry</x:v>
      </x:c>
      <x:c r="D124" s="154" t="str">
        <x:v>AAA through CCC-</x:v>
      </x:c>
      <x:c r="E124" s="154" t="str">
        <x:v>Containers &amp; Packaging</x:v>
      </x:c>
      <x:c r="F124" s="150" t="n">
        <x:v>4</x:v>
      </x:c>
      <x:c r="G124" s="150" t="n">
        <x:v>1</x:v>
      </x:c>
      <x:c r="H124" s="178" t="n">
        <x:v>1182000</x:v>
      </x:c>
      <x:c r="I124" s="163" t="n">
        <x:v>0.05</x:v>
      </x:c>
      <x:c r="J124" s="80" t="n">
        <x:f>H124*(1-I124)</x:f>
        <x:v>1122900</x:v>
      </x:c>
      <x:c r="K124" s="75" t="n">
        <x:f>IF(Portfolio_Par&gt;0,J124/Portfolio_Par,"")</x:f>
        <x:v>0.020143871986222733</x:v>
      </x:c>
      <x:c r="L124" s="150" t="str">
        <x:v>SYN-OB-0023</x:v>
      </x:c>
    </x:row>
    <x:row r="125" ht="39" customHeight="1">
      <x:c r="A125" s="150"/>
      <x:c r="B125" s="150"/>
      <x:c r="C125" s="154" t="str">
        <x:v>alternative_industry</x:v>
      </x:c>
      <x:c r="D125" s="154" t="str">
        <x:v>AA+ through CCC-</x:v>
      </x:c>
      <x:c r="E125" s="154" t="str">
        <x:v>Containers &amp; Packaging</x:v>
      </x:c>
      <x:c r="F125" s="150" t="n">
        <x:v>6</x:v>
      </x:c>
      <x:c r="G125" s="150" t="n">
        <x:v>1</x:v>
      </x:c>
      <x:c r="H125" s="178" t="n">
        <x:v>1182000</x:v>
      </x:c>
      <x:c r="I125" s="163" t="n">
        <x:v>0.05</x:v>
      </x:c>
      <x:c r="J125" s="80" t="n">
        <x:f>H125*(1-I125)</x:f>
        <x:v>1122900</x:v>
      </x:c>
      <x:c r="K125" s="75" t="n">
        <x:f>IF(Portfolio_Par&gt;0,J125/Portfolio_Par,"")</x:f>
        <x:v>0.020143871986222733</x:v>
      </x:c>
      <x:c r="L125" s="150" t="str">
        <x:v>SYN-OB-0023</x:v>
      </x:c>
    </x:row>
    <x:row r="126" ht="39" customHeight="1">
      <x:c r="A126" s="150"/>
      <x:c r="B126" s="150"/>
      <x:c r="C126" s="154" t="str">
        <x:v>alternative_industry</x:v>
      </x:c>
      <x:c r="D126" s="154" t="str">
        <x:v>A+ through CCC-</x:v>
      </x:c>
      <x:c r="E126" s="154" t="str">
        <x:v>Containers &amp; Packaging</x:v>
      </x:c>
      <x:c r="F126" s="150" t="n">
        <x:v>8</x:v>
      </x:c>
      <x:c r="G126" s="150" t="n">
        <x:v>1</x:v>
      </x:c>
      <x:c r="H126" s="178" t="n">
        <x:v>1182000</x:v>
      </x:c>
      <x:c r="I126" s="163" t="n">
        <x:v>0.05</x:v>
      </x:c>
      <x:c r="J126" s="80" t="n">
        <x:f>H126*(1-I126)</x:f>
        <x:v>1122900</x:v>
      </x:c>
      <x:c r="K126" s="75" t="n">
        <x:f>IF(Portfolio_Par&gt;0,J126/Portfolio_Par,"")</x:f>
        <x:v>0.020143871986222733</x:v>
      </x:c>
      <x:c r="L126" s="150" t="str">
        <x:v>SYN-OB-0023</x:v>
      </x:c>
    </x:row>
    <x:row r="127" ht="39" customHeight="1">
      <x:c r="A127" s="150"/>
      <x:c r="B127" s="150"/>
      <x:c r="C127" s="154" t="str">
        <x:v>alternative_industry</x:v>
      </x:c>
      <x:c r="D127" s="154" t="str">
        <x:v>BBB+ through CCC-</x:v>
      </x:c>
      <x:c r="E127" s="154" t="str">
        <x:v>Containers &amp; Packaging</x:v>
      </x:c>
      <x:c r="F127" s="150" t="n">
        <x:v>12</x:v>
      </x:c>
      <x:c r="G127" s="150" t="n">
        <x:v>1</x:v>
      </x:c>
      <x:c r="H127" s="178" t="n">
        <x:v>1182000</x:v>
      </x:c>
      <x:c r="I127" s="163" t="n">
        <x:v>0.05</x:v>
      </x:c>
      <x:c r="J127" s="80" t="n">
        <x:f>H127*(1-I127)</x:f>
        <x:v>1122900</x:v>
      </x:c>
      <x:c r="K127" s="75" t="n">
        <x:f>IF(Portfolio_Par&gt;0,J127/Portfolio_Par,"")</x:f>
        <x:v>0.020143871986222733</x:v>
      </x:c>
      <x:c r="L127" s="150" t="str">
        <x:v>SYN-OB-0023</x:v>
      </x:c>
    </x:row>
    <x:row r="128" ht="39" customHeight="1">
      <x:c r="A128" s="150"/>
      <x:c r="B128" s="150"/>
      <x:c r="C128" s="154" t="str">
        <x:v>alternative_industry</x:v>
      </x:c>
      <x:c r="D128" s="154" t="str">
        <x:v>BB+ through CCC-</x:v>
      </x:c>
      <x:c r="E128" s="154" t="str">
        <x:v>Containers &amp; Packaging</x:v>
      </x:c>
      <x:c r="F128" s="150" t="n">
        <x:v>16</x:v>
      </x:c>
      <x:c r="G128" s="150" t="n">
        <x:v>1</x:v>
      </x:c>
      <x:c r="H128" s="178" t="n">
        <x:v>1182000</x:v>
      </x:c>
      <x:c r="I128" s="163" t="n">
        <x:v>0.05</x:v>
      </x:c>
      <x:c r="J128" s="80" t="n">
        <x:f>H128*(1-I128)</x:f>
        <x:v>1122900</x:v>
      </x:c>
      <x:c r="K128" s="75" t="n">
        <x:f>IF(Portfolio_Par&gt;0,J128/Portfolio_Par,"")</x:f>
        <x:v>0.020143871986222733</x:v>
      </x:c>
      <x:c r="L128" s="150" t="str">
        <x:v>SYN-OB-0023</x:v>
      </x:c>
    </x:row>
    <x:row r="129" ht="39" customHeight="1">
      <x:c r="A129" s="150"/>
      <x:c r="B129" s="150"/>
      <x:c r="C129" s="154" t="str">
        <x:v>alternative_industry</x:v>
      </x:c>
      <x:c r="D129" s="154" t="str">
        <x:v>B+ through CCC-</x:v>
      </x:c>
      <x:c r="E129" s="154" t="str">
        <x:v>Containers &amp; Packaging</x:v>
      </x:c>
      <x:c r="F129" s="150" t="n">
        <x:v>20</x:v>
      </x:c>
      <x:c r="G129" s="150" t="n">
        <x:v>1</x:v>
      </x:c>
      <x:c r="H129" s="178" t="n">
        <x:v>1182000</x:v>
      </x:c>
      <x:c r="I129" s="163" t="n">
        <x:v>0.05</x:v>
      </x:c>
      <x:c r="J129" s="80" t="n">
        <x:f>H129*(1-I129)</x:f>
        <x:v>1122900</x:v>
      </x:c>
      <x:c r="K129" s="75" t="n">
        <x:f>IF(Portfolio_Par&gt;0,J129/Portfolio_Par,"")</x:f>
        <x:v>0.020143871986222733</x:v>
      </x:c>
      <x:c r="L129" s="150" t="str">
        <x:v>SYN-OB-0023</x:v>
      </x:c>
    </x:row>
    <x:row r="130" ht="39" customHeight="1">
      <x:c r="A130" s="150"/>
      <x:c r="B130" s="150"/>
      <x:c r="C130" s="154" t="str">
        <x:v>alternative_industry</x:v>
      </x:c>
      <x:c r="D130" s="154" t="str">
        <x:v>CCC+ through CCC-</x:v>
      </x:c>
      <x:c r="E130" s="154" t="str">
        <x:v>Containers &amp; Packaging</x:v>
      </x:c>
      <x:c r="F130" s="150" t="n">
        <x:v>24</x:v>
      </x:c>
      <x:c r="G130" s="150" t="n">
        <x:v>0</x:v>
      </x:c>
      <x:c r="H130" s="178" t="n">
        <x:v>0</x:v>
      </x:c>
      <x:c r="I130" s="163" t="n">
        <x:v>0.05</x:v>
      </x:c>
      <x:c r="J130" s="80" t="n">
        <x:f>H130*(1-I130)</x:f>
        <x:v>0</x:v>
      </x:c>
      <x:c r="K130" s="75" t="n">
        <x:f>IF(Portfolio_Par&gt;0,J130/Portfolio_Par,"")</x:f>
        <x:v>0</x:v>
      </x:c>
      <x:c r="L130" s="150" t="str"/>
    </x:row>
    <x:row r="131" ht="39" customHeight="1">
      <x:c r="A131" s="150"/>
      <x:c r="B131" s="150"/>
      <x:c r="C131" s="154" t="str">
        <x:v>alternative_industry</x:v>
      </x:c>
      <x:c r="D131" s="154" t="str">
        <x:v>AAA through CCC-</x:v>
      </x:c>
      <x:c r="E131" s="154" t="str">
        <x:v>Diversified Telecommunication Services</x:v>
      </x:c>
      <x:c r="F131" s="150" t="n">
        <x:v>4</x:v>
      </x:c>
      <x:c r="G131" s="150" t="n">
        <x:v>2</x:v>
      </x:c>
      <x:c r="H131" s="178" t="n">
        <x:v>2364000</x:v>
      </x:c>
      <x:c r="I131" s="163" t="n">
        <x:v>0.05</x:v>
      </x:c>
      <x:c r="J131" s="80" t="n">
        <x:f>H131*(1-I131)</x:f>
        <x:v>2245800</x:v>
      </x:c>
      <x:c r="K131" s="75" t="n">
        <x:f>IF(Portfolio_Par&gt;0,J131/Portfolio_Par,"")</x:f>
        <x:v>0.040287743972445465</x:v>
      </x:c>
      <x:c r="L131" s="150" t="str">
        <x:v>SYN-OB-0009, SYN-OB-0047</x:v>
      </x:c>
    </x:row>
    <x:row r="132" ht="39" customHeight="1">
      <x:c r="A132" s="150"/>
      <x:c r="B132" s="150"/>
      <x:c r="C132" s="154" t="str">
        <x:v>alternative_industry</x:v>
      </x:c>
      <x:c r="D132" s="154" t="str">
        <x:v>AA+ through CCC-</x:v>
      </x:c>
      <x:c r="E132" s="154" t="str">
        <x:v>Diversified Telecommunication Services</x:v>
      </x:c>
      <x:c r="F132" s="150" t="n">
        <x:v>6</x:v>
      </x:c>
      <x:c r="G132" s="150" t="n">
        <x:v>2</x:v>
      </x:c>
      <x:c r="H132" s="178" t="n">
        <x:v>2364000</x:v>
      </x:c>
      <x:c r="I132" s="163" t="n">
        <x:v>0.05</x:v>
      </x:c>
      <x:c r="J132" s="80" t="n">
        <x:f>H132*(1-I132)</x:f>
        <x:v>2245800</x:v>
      </x:c>
      <x:c r="K132" s="75" t="n">
        <x:f>IF(Portfolio_Par&gt;0,J132/Portfolio_Par,"")</x:f>
        <x:v>0.040287743972445465</x:v>
      </x:c>
      <x:c r="L132" s="150" t="str">
        <x:v>SYN-OB-0009, SYN-OB-0047</x:v>
      </x:c>
    </x:row>
    <x:row r="133" ht="39" customHeight="1">
      <x:c r="A133" s="150"/>
      <x:c r="B133" s="150"/>
      <x:c r="C133" s="154" t="str">
        <x:v>alternative_industry</x:v>
      </x:c>
      <x:c r="D133" s="154" t="str">
        <x:v>A+ through CCC-</x:v>
      </x:c>
      <x:c r="E133" s="154" t="str">
        <x:v>Diversified Telecommunication Services</x:v>
      </x:c>
      <x:c r="F133" s="150" t="n">
        <x:v>8</x:v>
      </x:c>
      <x:c r="G133" s="150" t="n">
        <x:v>2</x:v>
      </x:c>
      <x:c r="H133" s="178" t="n">
        <x:v>2364000</x:v>
      </x:c>
      <x:c r="I133" s="163" t="n">
        <x:v>0.05</x:v>
      </x:c>
      <x:c r="J133" s="80" t="n">
        <x:f>H133*(1-I133)</x:f>
        <x:v>2245800</x:v>
      </x:c>
      <x:c r="K133" s="75" t="n">
        <x:f>IF(Portfolio_Par&gt;0,J133/Portfolio_Par,"")</x:f>
        <x:v>0.040287743972445465</x:v>
      </x:c>
      <x:c r="L133" s="150" t="str">
        <x:v>SYN-OB-0009, SYN-OB-0047</x:v>
      </x:c>
    </x:row>
    <x:row r="134" ht="39" customHeight="1">
      <x:c r="A134" s="150"/>
      <x:c r="B134" s="150"/>
      <x:c r="C134" s="154" t="str">
        <x:v>alternative_industry</x:v>
      </x:c>
      <x:c r="D134" s="154" t="str">
        <x:v>BBB+ through CCC-</x:v>
      </x:c>
      <x:c r="E134" s="154" t="str">
        <x:v>Diversified Telecommunication Services</x:v>
      </x:c>
      <x:c r="F134" s="150" t="n">
        <x:v>12</x:v>
      </x:c>
      <x:c r="G134" s="150" t="n">
        <x:v>2</x:v>
      </x:c>
      <x:c r="H134" s="178" t="n">
        <x:v>2364000</x:v>
      </x:c>
      <x:c r="I134" s="163" t="n">
        <x:v>0.05</x:v>
      </x:c>
      <x:c r="J134" s="80" t="n">
        <x:f>H134*(1-I134)</x:f>
        <x:v>2245800</x:v>
      </x:c>
      <x:c r="K134" s="75" t="n">
        <x:f>IF(Portfolio_Par&gt;0,J134/Portfolio_Par,"")</x:f>
        <x:v>0.040287743972445465</x:v>
      </x:c>
      <x:c r="L134" s="150" t="str">
        <x:v>SYN-OB-0009, SYN-OB-0047</x:v>
      </x:c>
    </x:row>
    <x:row r="135" ht="39" customHeight="1">
      <x:c r="A135" s="150"/>
      <x:c r="B135" s="150"/>
      <x:c r="C135" s="154" t="str">
        <x:v>alternative_industry</x:v>
      </x:c>
      <x:c r="D135" s="154" t="str">
        <x:v>BB+ through CCC-</x:v>
      </x:c>
      <x:c r="E135" s="154" t="str">
        <x:v>Diversified Telecommunication Services</x:v>
      </x:c>
      <x:c r="F135" s="150" t="n">
        <x:v>16</x:v>
      </x:c>
      <x:c r="G135" s="150" t="n">
        <x:v>2</x:v>
      </x:c>
      <x:c r="H135" s="178" t="n">
        <x:v>2364000</x:v>
      </x:c>
      <x:c r="I135" s="163" t="n">
        <x:v>0.05</x:v>
      </x:c>
      <x:c r="J135" s="80" t="n">
        <x:f>H135*(1-I135)</x:f>
        <x:v>2245800</x:v>
      </x:c>
      <x:c r="K135" s="75" t="n">
        <x:f>IF(Portfolio_Par&gt;0,J135/Portfolio_Par,"")</x:f>
        <x:v>0.040287743972445465</x:v>
      </x:c>
      <x:c r="L135" s="150" t="str">
        <x:v>SYN-OB-0009, SYN-OB-0047</x:v>
      </x:c>
    </x:row>
    <x:row r="136" ht="39" customHeight="1">
      <x:c r="A136" s="150"/>
      <x:c r="B136" s="150"/>
      <x:c r="C136" s="154" t="str">
        <x:v>alternative_industry</x:v>
      </x:c>
      <x:c r="D136" s="154" t="str">
        <x:v>B+ through CCC-</x:v>
      </x:c>
      <x:c r="E136" s="154" t="str">
        <x:v>Diversified Telecommunication Services</x:v>
      </x:c>
      <x:c r="F136" s="150" t="n">
        <x:v>20</x:v>
      </x:c>
      <x:c r="G136" s="150" t="n">
        <x:v>1</x:v>
      </x:c>
      <x:c r="H136" s="178" t="n">
        <x:v>1182000</x:v>
      </x:c>
      <x:c r="I136" s="163" t="n">
        <x:v>0.05</x:v>
      </x:c>
      <x:c r="J136" s="80" t="n">
        <x:f>H136*(1-I136)</x:f>
        <x:v>1122900</x:v>
      </x:c>
      <x:c r="K136" s="75" t="n">
        <x:f>IF(Portfolio_Par&gt;0,J136/Portfolio_Par,"")</x:f>
        <x:v>0.020143871986222733</x:v>
      </x:c>
      <x:c r="L136" s="150" t="str">
        <x:v>SYN-OB-0047</x:v>
      </x:c>
    </x:row>
    <x:row r="137" ht="39" customHeight="1">
      <x:c r="A137" s="150"/>
      <x:c r="B137" s="150"/>
      <x:c r="C137" s="154" t="str">
        <x:v>alternative_industry</x:v>
      </x:c>
      <x:c r="D137" s="154" t="str">
        <x:v>CCC+ through CCC-</x:v>
      </x:c>
      <x:c r="E137" s="154" t="str">
        <x:v>Diversified Telecommunication Services</x:v>
      </x:c>
      <x:c r="F137" s="150" t="n">
        <x:v>24</x:v>
      </x:c>
      <x:c r="G137" s="150" t="n">
        <x:v>0</x:v>
      </x:c>
      <x:c r="H137" s="178" t="n">
        <x:v>0</x:v>
      </x:c>
      <x:c r="I137" s="163" t="n">
        <x:v>0.05</x:v>
      </x:c>
      <x:c r="J137" s="80" t="n">
        <x:f>H137*(1-I137)</x:f>
        <x:v>0</x:v>
      </x:c>
      <x:c r="K137" s="75" t="n">
        <x:f>IF(Portfolio_Par&gt;0,J137/Portfolio_Par,"")</x:f>
        <x:v>0</x:v>
      </x:c>
      <x:c r="L137" s="150" t="str"/>
    </x:row>
    <x:row r="138" ht="39" customHeight="1">
      <x:c r="A138" s="150"/>
      <x:c r="B138" s="150"/>
      <x:c r="C138" s="154" t="str">
        <x:v>alternative_industry</x:v>
      </x:c>
      <x:c r="D138" s="154" t="str">
        <x:v>AAA through CCC-</x:v>
      </x:c>
      <x:c r="E138" s="154" t="str">
        <x:v>Electric Utilities</x:v>
      </x:c>
      <x:c r="F138" s="150" t="n">
        <x:v>4</x:v>
      </x:c>
      <x:c r="G138" s="150" t="n">
        <x:v>1</x:v>
      </x:c>
      <x:c r="H138" s="178" t="n">
        <x:v>1182000</x:v>
      </x:c>
      <x:c r="I138" s="163" t="n">
        <x:v>0.05</x:v>
      </x:c>
      <x:c r="J138" s="80" t="n">
        <x:f>H138*(1-I138)</x:f>
        <x:v>1122900</x:v>
      </x:c>
      <x:c r="K138" s="75" t="n">
        <x:f>IF(Portfolio_Par&gt;0,J138/Portfolio_Par,"")</x:f>
        <x:v>0.020143871986222733</x:v>
      </x:c>
      <x:c r="L138" s="150" t="str">
        <x:v>SYN-OB-0044</x:v>
      </x:c>
    </x:row>
    <x:row r="139" ht="39" customHeight="1">
      <x:c r="A139" s="150"/>
      <x:c r="B139" s="150"/>
      <x:c r="C139" s="154" t="str">
        <x:v>alternative_industry</x:v>
      </x:c>
      <x:c r="D139" s="154" t="str">
        <x:v>AA+ through CCC-</x:v>
      </x:c>
      <x:c r="E139" s="154" t="str">
        <x:v>Electric Utilities</x:v>
      </x:c>
      <x:c r="F139" s="150" t="n">
        <x:v>6</x:v>
      </x:c>
      <x:c r="G139" s="150" t="n">
        <x:v>1</x:v>
      </x:c>
      <x:c r="H139" s="178" t="n">
        <x:v>1182000</x:v>
      </x:c>
      <x:c r="I139" s="163" t="n">
        <x:v>0.05</x:v>
      </x:c>
      <x:c r="J139" s="80" t="n">
        <x:f>H139*(1-I139)</x:f>
        <x:v>1122900</x:v>
      </x:c>
      <x:c r="K139" s="75" t="n">
        <x:f>IF(Portfolio_Par&gt;0,J139/Portfolio_Par,"")</x:f>
        <x:v>0.020143871986222733</x:v>
      </x:c>
      <x:c r="L139" s="150" t="str">
        <x:v>SYN-OB-0044</x:v>
      </x:c>
    </x:row>
    <x:row r="140" ht="39" customHeight="1">
      <x:c r="A140" s="150"/>
      <x:c r="B140" s="150"/>
      <x:c r="C140" s="154" t="str">
        <x:v>alternative_industry</x:v>
      </x:c>
      <x:c r="D140" s="154" t="str">
        <x:v>A+ through CCC-</x:v>
      </x:c>
      <x:c r="E140" s="154" t="str">
        <x:v>Electric Utilities</x:v>
      </x:c>
      <x:c r="F140" s="150" t="n">
        <x:v>8</x:v>
      </x:c>
      <x:c r="G140" s="150" t="n">
        <x:v>1</x:v>
      </x:c>
      <x:c r="H140" s="178" t="n">
        <x:v>1182000</x:v>
      </x:c>
      <x:c r="I140" s="163" t="n">
        <x:v>0.05</x:v>
      </x:c>
      <x:c r="J140" s="80" t="n">
        <x:f>H140*(1-I140)</x:f>
        <x:v>1122900</x:v>
      </x:c>
      <x:c r="K140" s="75" t="n">
        <x:f>IF(Portfolio_Par&gt;0,J140/Portfolio_Par,"")</x:f>
        <x:v>0.020143871986222733</x:v>
      </x:c>
      <x:c r="L140" s="150" t="str">
        <x:v>SYN-OB-0044</x:v>
      </x:c>
    </x:row>
    <x:row r="141" ht="39" customHeight="1">
      <x:c r="A141" s="150"/>
      <x:c r="B141" s="150"/>
      <x:c r="C141" s="154" t="str">
        <x:v>alternative_industry</x:v>
      </x:c>
      <x:c r="D141" s="154" t="str">
        <x:v>BBB+ through CCC-</x:v>
      </x:c>
      <x:c r="E141" s="154" t="str">
        <x:v>Electric Utilities</x:v>
      </x:c>
      <x:c r="F141" s="150" t="n">
        <x:v>12</x:v>
      </x:c>
      <x:c r="G141" s="150" t="n">
        <x:v>1</x:v>
      </x:c>
      <x:c r="H141" s="178" t="n">
        <x:v>1182000</x:v>
      </x:c>
      <x:c r="I141" s="163" t="n">
        <x:v>0.05</x:v>
      </x:c>
      <x:c r="J141" s="80" t="n">
        <x:f>H141*(1-I141)</x:f>
        <x:v>1122900</x:v>
      </x:c>
      <x:c r="K141" s="75" t="n">
        <x:f>IF(Portfolio_Par&gt;0,J141/Portfolio_Par,"")</x:f>
        <x:v>0.020143871986222733</x:v>
      </x:c>
      <x:c r="L141" s="150" t="str">
        <x:v>SYN-OB-0044</x:v>
      </x:c>
    </x:row>
    <x:row r="142" ht="39" customHeight="1">
      <x:c r="A142" s="150"/>
      <x:c r="B142" s="150"/>
      <x:c r="C142" s="154" t="str">
        <x:v>alternative_industry</x:v>
      </x:c>
      <x:c r="D142" s="154" t="str">
        <x:v>BB+ through CCC-</x:v>
      </x:c>
      <x:c r="E142" s="154" t="str">
        <x:v>Electric Utilities</x:v>
      </x:c>
      <x:c r="F142" s="150" t="n">
        <x:v>16</x:v>
      </x:c>
      <x:c r="G142" s="150" t="n">
        <x:v>1</x:v>
      </x:c>
      <x:c r="H142" s="178" t="n">
        <x:v>1182000</x:v>
      </x:c>
      <x:c r="I142" s="163" t="n">
        <x:v>0.05</x:v>
      </x:c>
      <x:c r="J142" s="80" t="n">
        <x:f>H142*(1-I142)</x:f>
        <x:v>1122900</x:v>
      </x:c>
      <x:c r="K142" s="75" t="n">
        <x:f>IF(Portfolio_Par&gt;0,J142/Portfolio_Par,"")</x:f>
        <x:v>0.020143871986222733</x:v>
      </x:c>
      <x:c r="L142" s="150" t="str">
        <x:v>SYN-OB-0044</x:v>
      </x:c>
    </x:row>
    <x:row r="143" ht="39" customHeight="1">
      <x:c r="A143" s="150"/>
      <x:c r="B143" s="150"/>
      <x:c r="C143" s="154" t="str">
        <x:v>alternative_industry</x:v>
      </x:c>
      <x:c r="D143" s="154" t="str">
        <x:v>B+ through CCC-</x:v>
      </x:c>
      <x:c r="E143" s="154" t="str">
        <x:v>Electric Utilities</x:v>
      </x:c>
      <x:c r="F143" s="150" t="n">
        <x:v>20</x:v>
      </x:c>
      <x:c r="G143" s="150" t="n">
        <x:v>1</x:v>
      </x:c>
      <x:c r="H143" s="178" t="n">
        <x:v>1182000</x:v>
      </x:c>
      <x:c r="I143" s="163" t="n">
        <x:v>0.05</x:v>
      </x:c>
      <x:c r="J143" s="80" t="n">
        <x:f>H143*(1-I143)</x:f>
        <x:v>1122900</x:v>
      </x:c>
      <x:c r="K143" s="75" t="n">
        <x:f>IF(Portfolio_Par&gt;0,J143/Portfolio_Par,"")</x:f>
        <x:v>0.020143871986222733</x:v>
      </x:c>
      <x:c r="L143" s="150" t="str">
        <x:v>SYN-OB-0044</x:v>
      </x:c>
    </x:row>
    <x:row r="144" ht="39" customHeight="1">
      <x:c r="A144" s="150"/>
      <x:c r="B144" s="150"/>
      <x:c r="C144" s="154" t="str">
        <x:v>alternative_industry</x:v>
      </x:c>
      <x:c r="D144" s="154" t="str">
        <x:v>CCC+ through CCC-</x:v>
      </x:c>
      <x:c r="E144" s="154" t="str">
        <x:v>Electric Utilities</x:v>
      </x:c>
      <x:c r="F144" s="150" t="n">
        <x:v>24</x:v>
      </x:c>
      <x:c r="G144" s="150" t="n">
        <x:v>0</x:v>
      </x:c>
      <x:c r="H144" s="178" t="n">
        <x:v>0</x:v>
      </x:c>
      <x:c r="I144" s="163" t="n">
        <x:v>0.05</x:v>
      </x:c>
      <x:c r="J144" s="80" t="n">
        <x:f>H144*(1-I144)</x:f>
        <x:v>0</x:v>
      </x:c>
      <x:c r="K144" s="75" t="n">
        <x:f>IF(Portfolio_Par&gt;0,J144/Portfolio_Par,"")</x:f>
        <x:v>0</x:v>
      </x:c>
      <x:c r="L144" s="150" t="str"/>
    </x:row>
    <x:row r="145" ht="39" customHeight="1">
      <x:c r="A145" s="150"/>
      <x:c r="B145" s="150"/>
      <x:c r="C145" s="154" t="str">
        <x:v>alternative_industry</x:v>
      </x:c>
      <x:c r="D145" s="154" t="str">
        <x:v>AAA through CCC-</x:v>
      </x:c>
      <x:c r="E145" s="154" t="str">
        <x:v>Energy Equipment &amp; Services</x:v>
      </x:c>
      <x:c r="F145" s="150" t="n">
        <x:v>4</x:v>
      </x:c>
      <x:c r="G145" s="150" t="n">
        <x:v>1</x:v>
      </x:c>
      <x:c r="H145" s="178" t="n">
        <x:v>1182000</x:v>
      </x:c>
      <x:c r="I145" s="163" t="n">
        <x:v>0.05</x:v>
      </x:c>
      <x:c r="J145" s="80" t="n">
        <x:f>H145*(1-I145)</x:f>
        <x:v>1122900</x:v>
      </x:c>
      <x:c r="K145" s="75" t="n">
        <x:f>IF(Portfolio_Par&gt;0,J145/Portfolio_Par,"")</x:f>
        <x:v>0.020143871986222733</x:v>
      </x:c>
      <x:c r="L145" s="150" t="str">
        <x:v>SYN-OB-0037</x:v>
      </x:c>
    </x:row>
    <x:row r="146" ht="39" customHeight="1">
      <x:c r="A146" s="150"/>
      <x:c r="B146" s="150"/>
      <x:c r="C146" s="154" t="str">
        <x:v>alternative_industry</x:v>
      </x:c>
      <x:c r="D146" s="154" t="str">
        <x:v>AA+ through CCC-</x:v>
      </x:c>
      <x:c r="E146" s="154" t="str">
        <x:v>Energy Equipment &amp; Services</x:v>
      </x:c>
      <x:c r="F146" s="150" t="n">
        <x:v>6</x:v>
      </x:c>
      <x:c r="G146" s="150" t="n">
        <x:v>1</x:v>
      </x:c>
      <x:c r="H146" s="178" t="n">
        <x:v>1182000</x:v>
      </x:c>
      <x:c r="I146" s="163" t="n">
        <x:v>0.05</x:v>
      </x:c>
      <x:c r="J146" s="80" t="n">
        <x:f>H146*(1-I146)</x:f>
        <x:v>1122900</x:v>
      </x:c>
      <x:c r="K146" s="75" t="n">
        <x:f>IF(Portfolio_Par&gt;0,J146/Portfolio_Par,"")</x:f>
        <x:v>0.020143871986222733</x:v>
      </x:c>
      <x:c r="L146" s="150" t="str">
        <x:v>SYN-OB-0037</x:v>
      </x:c>
    </x:row>
    <x:row r="147" ht="39" customHeight="1">
      <x:c r="A147" s="150"/>
      <x:c r="B147" s="150"/>
      <x:c r="C147" s="154" t="str">
        <x:v>alternative_industry</x:v>
      </x:c>
      <x:c r="D147" s="154" t="str">
        <x:v>A+ through CCC-</x:v>
      </x:c>
      <x:c r="E147" s="154" t="str">
        <x:v>Energy Equipment &amp; Services</x:v>
      </x:c>
      <x:c r="F147" s="150" t="n">
        <x:v>8</x:v>
      </x:c>
      <x:c r="G147" s="150" t="n">
        <x:v>1</x:v>
      </x:c>
      <x:c r="H147" s="178" t="n">
        <x:v>1182000</x:v>
      </x:c>
      <x:c r="I147" s="163" t="n">
        <x:v>0.05</x:v>
      </x:c>
      <x:c r="J147" s="80" t="n">
        <x:f>H147*(1-I147)</x:f>
        <x:v>1122900</x:v>
      </x:c>
      <x:c r="K147" s="75" t="n">
        <x:f>IF(Portfolio_Par&gt;0,J147/Portfolio_Par,"")</x:f>
        <x:v>0.020143871986222733</x:v>
      </x:c>
      <x:c r="L147" s="150" t="str">
        <x:v>SYN-OB-0037</x:v>
      </x:c>
    </x:row>
    <x:row r="148" ht="39" customHeight="1">
      <x:c r="A148" s="150"/>
      <x:c r="B148" s="150"/>
      <x:c r="C148" s="154" t="str">
        <x:v>alternative_industry</x:v>
      </x:c>
      <x:c r="D148" s="154" t="str">
        <x:v>BBB+ through CCC-</x:v>
      </x:c>
      <x:c r="E148" s="154" t="str">
        <x:v>Energy Equipment &amp; Services</x:v>
      </x:c>
      <x:c r="F148" s="150" t="n">
        <x:v>12</x:v>
      </x:c>
      <x:c r="G148" s="150" t="n">
        <x:v>1</x:v>
      </x:c>
      <x:c r="H148" s="178" t="n">
        <x:v>1182000</x:v>
      </x:c>
      <x:c r="I148" s="163" t="n">
        <x:v>0.05</x:v>
      </x:c>
      <x:c r="J148" s="80" t="n">
        <x:f>H148*(1-I148)</x:f>
        <x:v>1122900</x:v>
      </x:c>
      <x:c r="K148" s="75" t="n">
        <x:f>IF(Portfolio_Par&gt;0,J148/Portfolio_Par,"")</x:f>
        <x:v>0.020143871986222733</x:v>
      </x:c>
      <x:c r="L148" s="150" t="str">
        <x:v>SYN-OB-0037</x:v>
      </x:c>
    </x:row>
    <x:row r="149" ht="39" customHeight="1">
      <x:c r="A149" s="150"/>
      <x:c r="B149" s="150"/>
      <x:c r="C149" s="154" t="str">
        <x:v>alternative_industry</x:v>
      </x:c>
      <x:c r="D149" s="154" t="str">
        <x:v>BB+ through CCC-</x:v>
      </x:c>
      <x:c r="E149" s="154" t="str">
        <x:v>Energy Equipment &amp; Services</x:v>
      </x:c>
      <x:c r="F149" s="150" t="n">
        <x:v>16</x:v>
      </x:c>
      <x:c r="G149" s="150" t="n">
        <x:v>1</x:v>
      </x:c>
      <x:c r="H149" s="178" t="n">
        <x:v>1182000</x:v>
      </x:c>
      <x:c r="I149" s="163" t="n">
        <x:v>0.05</x:v>
      </x:c>
      <x:c r="J149" s="80" t="n">
        <x:f>H149*(1-I149)</x:f>
        <x:v>1122900</x:v>
      </x:c>
      <x:c r="K149" s="75" t="n">
        <x:f>IF(Portfolio_Par&gt;0,J149/Portfolio_Par,"")</x:f>
        <x:v>0.020143871986222733</x:v>
      </x:c>
      <x:c r="L149" s="150" t="str">
        <x:v>SYN-OB-0037</x:v>
      </x:c>
    </x:row>
    <x:row r="150" ht="39" customHeight="1">
      <x:c r="A150" s="150"/>
      <x:c r="B150" s="150"/>
      <x:c r="C150" s="154" t="str">
        <x:v>alternative_industry</x:v>
      </x:c>
      <x:c r="D150" s="154" t="str">
        <x:v>B+ through CCC-</x:v>
      </x:c>
      <x:c r="E150" s="154" t="str">
        <x:v>Energy Equipment &amp; Services</x:v>
      </x:c>
      <x:c r="F150" s="150" t="n">
        <x:v>20</x:v>
      </x:c>
      <x:c r="G150" s="150" t="n">
        <x:v>1</x:v>
      </x:c>
      <x:c r="H150" s="178" t="n">
        <x:v>1182000</x:v>
      </x:c>
      <x:c r="I150" s="163" t="n">
        <x:v>0.05</x:v>
      </x:c>
      <x:c r="J150" s="80" t="n">
        <x:f>H150*(1-I150)</x:f>
        <x:v>1122900</x:v>
      </x:c>
      <x:c r="K150" s="75" t="n">
        <x:f>IF(Portfolio_Par&gt;0,J150/Portfolio_Par,"")</x:f>
        <x:v>0.020143871986222733</x:v>
      </x:c>
      <x:c r="L150" s="150" t="str">
        <x:v>SYN-OB-0037</x:v>
      </x:c>
    </x:row>
    <x:row r="151" ht="39" customHeight="1">
      <x:c r="A151" s="150"/>
      <x:c r="B151" s="150"/>
      <x:c r="C151" s="154" t="str">
        <x:v>alternative_industry</x:v>
      </x:c>
      <x:c r="D151" s="154" t="str">
        <x:v>CCC+ through CCC-</x:v>
      </x:c>
      <x:c r="E151" s="154" t="str">
        <x:v>Energy Equipment &amp; Services</x:v>
      </x:c>
      <x:c r="F151" s="150" t="n">
        <x:v>24</x:v>
      </x:c>
      <x:c r="G151" s="150" t="n">
        <x:v>0</x:v>
      </x:c>
      <x:c r="H151" s="178" t="n">
        <x:v>0</x:v>
      </x:c>
      <x:c r="I151" s="163" t="n">
        <x:v>0.05</x:v>
      </x:c>
      <x:c r="J151" s="80" t="n">
        <x:f>H151*(1-I151)</x:f>
        <x:v>0</x:v>
      </x:c>
      <x:c r="K151" s="75" t="n">
        <x:f>IF(Portfolio_Par&gt;0,J151/Portfolio_Par,"")</x:f>
        <x:v>0</x:v>
      </x:c>
      <x:c r="L151" s="150" t="str"/>
    </x:row>
    <x:row r="152" ht="39" customHeight="1">
      <x:c r="A152" s="150"/>
      <x:c r="B152" s="150"/>
      <x:c r="C152" s="154" t="str">
        <x:v>alternative_industry</x:v>
      </x:c>
      <x:c r="D152" s="154" t="str">
        <x:v>AAA through CCC-</x:v>
      </x:c>
      <x:c r="E152" s="154" t="str">
        <x:v>Financial services</x:v>
      </x:c>
      <x:c r="F152" s="150" t="n">
        <x:v>4</x:v>
      </x:c>
      <x:c r="G152" s="150" t="n">
        <x:v>3</x:v>
      </x:c>
      <x:c r="H152" s="178" t="n">
        <x:v>2994000</x:v>
      </x:c>
      <x:c r="I152" s="163" t="n">
        <x:v>0.05</x:v>
      </x:c>
      <x:c r="J152" s="80" t="n">
        <x:f>H152*(1-I152)</x:f>
        <x:v>2844300</x:v>
      </x:c>
      <x:c r="K152" s="75" t="n">
        <x:f>IF(Portfolio_Par&gt;0,J152/Portfolio_Par,"")</x:f>
        <x:v>0.05102432548794489</x:v>
      </x:c>
      <x:c r="L152" s="150" t="str">
        <x:v>SYN-OB-0004, SYN-OB-0028, SYN-OB-0048</x:v>
      </x:c>
    </x:row>
    <x:row r="153" ht="39" customHeight="1">
      <x:c r="A153" s="150"/>
      <x:c r="B153" s="150"/>
      <x:c r="C153" s="154" t="str">
        <x:v>alternative_industry</x:v>
      </x:c>
      <x:c r="D153" s="154" t="str">
        <x:v>AA+ through CCC-</x:v>
      </x:c>
      <x:c r="E153" s="154" t="str">
        <x:v>Financial services</x:v>
      </x:c>
      <x:c r="F153" s="150" t="n">
        <x:v>6</x:v>
      </x:c>
      <x:c r="G153" s="150" t="n">
        <x:v>3</x:v>
      </x:c>
      <x:c r="H153" s="178" t="n">
        <x:v>2994000</x:v>
      </x:c>
      <x:c r="I153" s="163" t="n">
        <x:v>0.05</x:v>
      </x:c>
      <x:c r="J153" s="80" t="n">
        <x:f>H153*(1-I153)</x:f>
        <x:v>2844300</x:v>
      </x:c>
      <x:c r="K153" s="75" t="n">
        <x:f>IF(Portfolio_Par&gt;0,J153/Portfolio_Par,"")</x:f>
        <x:v>0.05102432548794489</x:v>
      </x:c>
      <x:c r="L153" s="150" t="str">
        <x:v>SYN-OB-0004, SYN-OB-0028, SYN-OB-0048</x:v>
      </x:c>
    </x:row>
    <x:row r="154" ht="39" customHeight="1">
      <x:c r="A154" s="150"/>
      <x:c r="B154" s="150"/>
      <x:c r="C154" s="154" t="str">
        <x:v>alternative_industry</x:v>
      </x:c>
      <x:c r="D154" s="154" t="str">
        <x:v>A+ through CCC-</x:v>
      </x:c>
      <x:c r="E154" s="154" t="str">
        <x:v>Financial services</x:v>
      </x:c>
      <x:c r="F154" s="150" t="n">
        <x:v>8</x:v>
      </x:c>
      <x:c r="G154" s="150" t="n">
        <x:v>3</x:v>
      </x:c>
      <x:c r="H154" s="178" t="n">
        <x:v>2994000</x:v>
      </x:c>
      <x:c r="I154" s="163" t="n">
        <x:v>0.05</x:v>
      </x:c>
      <x:c r="J154" s="80" t="n">
        <x:f>H154*(1-I154)</x:f>
        <x:v>2844300</x:v>
      </x:c>
      <x:c r="K154" s="75" t="n">
        <x:f>IF(Portfolio_Par&gt;0,J154/Portfolio_Par,"")</x:f>
        <x:v>0.05102432548794489</x:v>
      </x:c>
      <x:c r="L154" s="150" t="str">
        <x:v>SYN-OB-0004, SYN-OB-0028, SYN-OB-0048</x:v>
      </x:c>
    </x:row>
    <x:row r="155" ht="39" customHeight="1">
      <x:c r="A155" s="150"/>
      <x:c r="B155" s="150"/>
      <x:c r="C155" s="154" t="str">
        <x:v>alternative_industry</x:v>
      </x:c>
      <x:c r="D155" s="154" t="str">
        <x:v>BBB+ through CCC-</x:v>
      </x:c>
      <x:c r="E155" s="154" t="str">
        <x:v>Financial services</x:v>
      </x:c>
      <x:c r="F155" s="150" t="n">
        <x:v>12</x:v>
      </x:c>
      <x:c r="G155" s="150" t="n">
        <x:v>3</x:v>
      </x:c>
      <x:c r="H155" s="178" t="n">
        <x:v>2994000</x:v>
      </x:c>
      <x:c r="I155" s="163" t="n">
        <x:v>0.05</x:v>
      </x:c>
      <x:c r="J155" s="80" t="n">
        <x:f>H155*(1-I155)</x:f>
        <x:v>2844300</x:v>
      </x:c>
      <x:c r="K155" s="75" t="n">
        <x:f>IF(Portfolio_Par&gt;0,J155/Portfolio_Par,"")</x:f>
        <x:v>0.05102432548794489</x:v>
      </x:c>
      <x:c r="L155" s="150" t="str">
        <x:v>SYN-OB-0004, SYN-OB-0028, SYN-OB-0048</x:v>
      </x:c>
    </x:row>
    <x:row r="156" ht="39" customHeight="1">
      <x:c r="A156" s="150"/>
      <x:c r="B156" s="150"/>
      <x:c r="C156" s="154" t="str">
        <x:v>alternative_industry</x:v>
      </x:c>
      <x:c r="D156" s="154" t="str">
        <x:v>BB+ through CCC-</x:v>
      </x:c>
      <x:c r="E156" s="154" t="str">
        <x:v>Financial services</x:v>
      </x:c>
      <x:c r="F156" s="150" t="n">
        <x:v>16</x:v>
      </x:c>
      <x:c r="G156" s="150" t="n">
        <x:v>2</x:v>
      </x:c>
      <x:c r="H156" s="178" t="n">
        <x:v>2364000</x:v>
      </x:c>
      <x:c r="I156" s="163" t="n">
        <x:v>0.05</x:v>
      </x:c>
      <x:c r="J156" s="80" t="n">
        <x:f>H156*(1-I156)</x:f>
        <x:v>2245800</x:v>
      </x:c>
      <x:c r="K156" s="75" t="n">
        <x:f>IF(Portfolio_Par&gt;0,J156/Portfolio_Par,"")</x:f>
        <x:v>0.040287743972445465</x:v>
      </x:c>
      <x:c r="L156" s="150" t="str">
        <x:v>SYN-OB-0004, SYN-OB-0028</x:v>
      </x:c>
    </x:row>
    <x:row r="157" ht="39" customHeight="1">
      <x:c r="A157" s="150"/>
      <x:c r="B157" s="150"/>
      <x:c r="C157" s="154" t="str">
        <x:v>alternative_industry</x:v>
      </x:c>
      <x:c r="D157" s="154" t="str">
        <x:v>B+ through CCC-</x:v>
      </x:c>
      <x:c r="E157" s="154" t="str">
        <x:v>Financial services</x:v>
      </x:c>
      <x:c r="F157" s="150" t="n">
        <x:v>20</x:v>
      </x:c>
      <x:c r="G157" s="150" t="n">
        <x:v>2</x:v>
      </x:c>
      <x:c r="H157" s="178" t="n">
        <x:v>2364000</x:v>
      </x:c>
      <x:c r="I157" s="163" t="n">
        <x:v>0.05</x:v>
      </x:c>
      <x:c r="J157" s="80" t="n">
        <x:f>H157*(1-I157)</x:f>
        <x:v>2245800</x:v>
      </x:c>
      <x:c r="K157" s="75" t="n">
        <x:f>IF(Portfolio_Par&gt;0,J157/Portfolio_Par,"")</x:f>
        <x:v>0.040287743972445465</x:v>
      </x:c>
      <x:c r="L157" s="150" t="str">
        <x:v>SYN-OB-0004, SYN-OB-0028</x:v>
      </x:c>
    </x:row>
    <x:row r="158" ht="39" customHeight="1">
      <x:c r="A158" s="150"/>
      <x:c r="B158" s="150"/>
      <x:c r="C158" s="154" t="str">
        <x:v>alternative_industry</x:v>
      </x:c>
      <x:c r="D158" s="154" t="str">
        <x:v>CCC+ through CCC-</x:v>
      </x:c>
      <x:c r="E158" s="154" t="str">
        <x:v>Financial services</x:v>
      </x:c>
      <x:c r="F158" s="150" t="n">
        <x:v>24</x:v>
      </x:c>
      <x:c r="G158" s="150" t="n">
        <x:v>0</x:v>
      </x:c>
      <x:c r="H158" s="178" t="n">
        <x:v>0</x:v>
      </x:c>
      <x:c r="I158" s="163" t="n">
        <x:v>0.05</x:v>
      </x:c>
      <x:c r="J158" s="80" t="n">
        <x:f>H158*(1-I158)</x:f>
        <x:v>0</x:v>
      </x:c>
      <x:c r="K158" s="75" t="n">
        <x:f>IF(Portfolio_Par&gt;0,J158/Portfolio_Par,"")</x:f>
        <x:v>0</x:v>
      </x:c>
      <x:c r="L158" s="150" t="str"/>
    </x:row>
    <x:row r="159" ht="39" customHeight="1">
      <x:c r="A159" s="150"/>
      <x:c r="B159" s="150"/>
      <x:c r="C159" s="154" t="str">
        <x:v>alternative_industry</x:v>
      </x:c>
      <x:c r="D159" s="154" t="str">
        <x:v>AAA through CCC-</x:v>
      </x:c>
      <x:c r="E159" s="154" t="str">
        <x:v>Gas Utilities</x:v>
      </x:c>
      <x:c r="F159" s="150" t="n">
        <x:v>4</x:v>
      </x:c>
      <x:c r="G159" s="150" t="n">
        <x:v>1</x:v>
      </x:c>
      <x:c r="H159" s="178" t="n">
        <x:v>1182000</x:v>
      </x:c>
      <x:c r="I159" s="163" t="n">
        <x:v>0.05</x:v>
      </x:c>
      <x:c r="J159" s="80" t="n">
        <x:f>H159*(1-I159)</x:f>
        <x:v>1122900</x:v>
      </x:c>
      <x:c r="K159" s="75" t="n">
        <x:f>IF(Portfolio_Par&gt;0,J159/Portfolio_Par,"")</x:f>
        <x:v>0.020143871986222733</x:v>
      </x:c>
      <x:c r="L159" s="150" t="str">
        <x:v>SYN-OB-0035</x:v>
      </x:c>
    </x:row>
    <x:row r="160" ht="39" customHeight="1">
      <x:c r="A160" s="150"/>
      <x:c r="B160" s="150"/>
      <x:c r="C160" s="154" t="str">
        <x:v>alternative_industry</x:v>
      </x:c>
      <x:c r="D160" s="154" t="str">
        <x:v>AA+ through CCC-</x:v>
      </x:c>
      <x:c r="E160" s="154" t="str">
        <x:v>Gas Utilities</x:v>
      </x:c>
      <x:c r="F160" s="150" t="n">
        <x:v>6</x:v>
      </x:c>
      <x:c r="G160" s="150" t="n">
        <x:v>1</x:v>
      </x:c>
      <x:c r="H160" s="178" t="n">
        <x:v>1182000</x:v>
      </x:c>
      <x:c r="I160" s="163" t="n">
        <x:v>0.05</x:v>
      </x:c>
      <x:c r="J160" s="80" t="n">
        <x:f>H160*(1-I160)</x:f>
        <x:v>1122900</x:v>
      </x:c>
      <x:c r="K160" s="75" t="n">
        <x:f>IF(Portfolio_Par&gt;0,J160/Portfolio_Par,"")</x:f>
        <x:v>0.020143871986222733</x:v>
      </x:c>
      <x:c r="L160" s="150" t="str">
        <x:v>SYN-OB-0035</x:v>
      </x:c>
    </x:row>
    <x:row r="161" ht="39" customHeight="1">
      <x:c r="A161" s="150"/>
      <x:c r="B161" s="150"/>
      <x:c r="C161" s="154" t="str">
        <x:v>alternative_industry</x:v>
      </x:c>
      <x:c r="D161" s="154" t="str">
        <x:v>A+ through CCC-</x:v>
      </x:c>
      <x:c r="E161" s="154" t="str">
        <x:v>Gas Utilities</x:v>
      </x:c>
      <x:c r="F161" s="150" t="n">
        <x:v>8</x:v>
      </x:c>
      <x:c r="G161" s="150" t="n">
        <x:v>1</x:v>
      </x:c>
      <x:c r="H161" s="178" t="n">
        <x:v>1182000</x:v>
      </x:c>
      <x:c r="I161" s="163" t="n">
        <x:v>0.05</x:v>
      </x:c>
      <x:c r="J161" s="80" t="n">
        <x:f>H161*(1-I161)</x:f>
        <x:v>1122900</x:v>
      </x:c>
      <x:c r="K161" s="75" t="n">
        <x:f>IF(Portfolio_Par&gt;0,J161/Portfolio_Par,"")</x:f>
        <x:v>0.020143871986222733</x:v>
      </x:c>
      <x:c r="L161" s="150" t="str">
        <x:v>SYN-OB-0035</x:v>
      </x:c>
    </x:row>
    <x:row r="162" ht="39" customHeight="1">
      <x:c r="A162" s="150"/>
      <x:c r="B162" s="150"/>
      <x:c r="C162" s="154" t="str">
        <x:v>alternative_industry</x:v>
      </x:c>
      <x:c r="D162" s="154" t="str">
        <x:v>BBB+ through CCC-</x:v>
      </x:c>
      <x:c r="E162" s="154" t="str">
        <x:v>Gas Utilities</x:v>
      </x:c>
      <x:c r="F162" s="150" t="n">
        <x:v>12</x:v>
      </x:c>
      <x:c r="G162" s="150" t="n">
        <x:v>1</x:v>
      </x:c>
      <x:c r="H162" s="178" t="n">
        <x:v>1182000</x:v>
      </x:c>
      <x:c r="I162" s="163" t="n">
        <x:v>0.05</x:v>
      </x:c>
      <x:c r="J162" s="80" t="n">
        <x:f>H162*(1-I162)</x:f>
        <x:v>1122900</x:v>
      </x:c>
      <x:c r="K162" s="75" t="n">
        <x:f>IF(Portfolio_Par&gt;0,J162/Portfolio_Par,"")</x:f>
        <x:v>0.020143871986222733</x:v>
      </x:c>
      <x:c r="L162" s="150" t="str">
        <x:v>SYN-OB-0035</x:v>
      </x:c>
    </x:row>
    <x:row r="163" ht="39" customHeight="1">
      <x:c r="A163" s="150"/>
      <x:c r="B163" s="150"/>
      <x:c r="C163" s="154" t="str">
        <x:v>alternative_industry</x:v>
      </x:c>
      <x:c r="D163" s="154" t="str">
        <x:v>BB+ through CCC-</x:v>
      </x:c>
      <x:c r="E163" s="154" t="str">
        <x:v>Gas Utilities</x:v>
      </x:c>
      <x:c r="F163" s="150" t="n">
        <x:v>16</x:v>
      </x:c>
      <x:c r="G163" s="150" t="n">
        <x:v>1</x:v>
      </x:c>
      <x:c r="H163" s="178" t="n">
        <x:v>1182000</x:v>
      </x:c>
      <x:c r="I163" s="163" t="n">
        <x:v>0.05</x:v>
      </x:c>
      <x:c r="J163" s="80" t="n">
        <x:f>H163*(1-I163)</x:f>
        <x:v>1122900</x:v>
      </x:c>
      <x:c r="K163" s="75" t="n">
        <x:f>IF(Portfolio_Par&gt;0,J163/Portfolio_Par,"")</x:f>
        <x:v>0.020143871986222733</x:v>
      </x:c>
      <x:c r="L163" s="150" t="str">
        <x:v>SYN-OB-0035</x:v>
      </x:c>
    </x:row>
    <x:row r="164" ht="39" customHeight="1">
      <x:c r="A164" s="150"/>
      <x:c r="B164" s="150"/>
      <x:c r="C164" s="154" t="str">
        <x:v>alternative_industry</x:v>
      </x:c>
      <x:c r="D164" s="154" t="str">
        <x:v>B+ through CCC-</x:v>
      </x:c>
      <x:c r="E164" s="154" t="str">
        <x:v>Gas Utilities</x:v>
      </x:c>
      <x:c r="F164" s="150" t="n">
        <x:v>20</x:v>
      </x:c>
      <x:c r="G164" s="150" t="n">
        <x:v>0</x:v>
      </x:c>
      <x:c r="H164" s="178" t="n">
        <x:v>0</x:v>
      </x:c>
      <x:c r="I164" s="163" t="n">
        <x:v>0.05</x:v>
      </x:c>
      <x:c r="J164" s="80" t="n">
        <x:f>H164*(1-I164)</x:f>
        <x:v>0</x:v>
      </x:c>
      <x:c r="K164" s="75" t="n">
        <x:f>IF(Portfolio_Par&gt;0,J164/Portfolio_Par,"")</x:f>
        <x:v>0</x:v>
      </x:c>
      <x:c r="L164" s="150" t="str"/>
    </x:row>
    <x:row r="165" ht="39" customHeight="1">
      <x:c r="A165" s="150"/>
      <x:c r="B165" s="150"/>
      <x:c r="C165" s="154" t="str">
        <x:v>alternative_industry</x:v>
      </x:c>
      <x:c r="D165" s="154" t="str">
        <x:v>CCC+ through CCC-</x:v>
      </x:c>
      <x:c r="E165" s="154" t="str">
        <x:v>Gas Utilities</x:v>
      </x:c>
      <x:c r="F165" s="150" t="n">
        <x:v>24</x:v>
      </x:c>
      <x:c r="G165" s="150" t="n">
        <x:v>0</x:v>
      </x:c>
      <x:c r="H165" s="178" t="n">
        <x:v>0</x:v>
      </x:c>
      <x:c r="I165" s="163" t="n">
        <x:v>0.05</x:v>
      </x:c>
      <x:c r="J165" s="80" t="n">
        <x:f>H165*(1-I165)</x:f>
        <x:v>0</x:v>
      </x:c>
      <x:c r="K165" s="75" t="n">
        <x:f>IF(Portfolio_Par&gt;0,J165/Portfolio_Par,"")</x:f>
        <x:v>0</x:v>
      </x:c>
      <x:c r="L165" s="150" t="str"/>
    </x:row>
    <x:row r="166" ht="39" customHeight="1">
      <x:c r="A166" s="150"/>
      <x:c r="B166" s="150"/>
      <x:c r="C166" s="154" t="str">
        <x:v>alternative_industry</x:v>
      </x:c>
      <x:c r="D166" s="154" t="str">
        <x:v>AAA through CCC-</x:v>
      </x:c>
      <x:c r="E166" s="154" t="str">
        <x:v>Healthcare Providers &amp; Services</x:v>
      </x:c>
      <x:c r="F166" s="150" t="n">
        <x:v>4</x:v>
      </x:c>
      <x:c r="G166" s="150" t="n">
        <x:v>2</x:v>
      </x:c>
      <x:c r="H166" s="178" t="n">
        <x:v>2364000</x:v>
      </x:c>
      <x:c r="I166" s="163" t="n">
        <x:v>0.05</x:v>
      </x:c>
      <x:c r="J166" s="80" t="n">
        <x:f>H166*(1-I166)</x:f>
        <x:v>2245800</x:v>
      </x:c>
      <x:c r="K166" s="75" t="n">
        <x:f>IF(Portfolio_Par&gt;0,J166/Portfolio_Par,"")</x:f>
        <x:v>0.040287743972445465</x:v>
      </x:c>
      <x:c r="L166" s="150" t="str">
        <x:v>SYN-OB-0005, SYN-OB-0043</x:v>
      </x:c>
    </x:row>
    <x:row r="167" ht="39" customHeight="1">
      <x:c r="A167" s="150"/>
      <x:c r="B167" s="150"/>
      <x:c r="C167" s="154" t="str">
        <x:v>alternative_industry</x:v>
      </x:c>
      <x:c r="D167" s="154" t="str">
        <x:v>AA+ through CCC-</x:v>
      </x:c>
      <x:c r="E167" s="154" t="str">
        <x:v>Healthcare Providers &amp; Services</x:v>
      </x:c>
      <x:c r="F167" s="150" t="n">
        <x:v>6</x:v>
      </x:c>
      <x:c r="G167" s="150" t="n">
        <x:v>2</x:v>
      </x:c>
      <x:c r="H167" s="178" t="n">
        <x:v>2364000</x:v>
      </x:c>
      <x:c r="I167" s="163" t="n">
        <x:v>0.05</x:v>
      </x:c>
      <x:c r="J167" s="80" t="n">
        <x:f>H167*(1-I167)</x:f>
        <x:v>2245800</x:v>
      </x:c>
      <x:c r="K167" s="75" t="n">
        <x:f>IF(Portfolio_Par&gt;0,J167/Portfolio_Par,"")</x:f>
        <x:v>0.040287743972445465</x:v>
      </x:c>
      <x:c r="L167" s="150" t="str">
        <x:v>SYN-OB-0005, SYN-OB-0043</x:v>
      </x:c>
    </x:row>
    <x:row r="168" ht="39" customHeight="1">
      <x:c r="A168" s="150"/>
      <x:c r="B168" s="150"/>
      <x:c r="C168" s="154" t="str">
        <x:v>alternative_industry</x:v>
      </x:c>
      <x:c r="D168" s="154" t="str">
        <x:v>A+ through CCC-</x:v>
      </x:c>
      <x:c r="E168" s="154" t="str">
        <x:v>Healthcare Providers &amp; Services</x:v>
      </x:c>
      <x:c r="F168" s="150" t="n">
        <x:v>8</x:v>
      </x:c>
      <x:c r="G168" s="150" t="n">
        <x:v>2</x:v>
      </x:c>
      <x:c r="H168" s="178" t="n">
        <x:v>2364000</x:v>
      </x:c>
      <x:c r="I168" s="163" t="n">
        <x:v>0.05</x:v>
      </x:c>
      <x:c r="J168" s="80" t="n">
        <x:f>H168*(1-I168)</x:f>
        <x:v>2245800</x:v>
      </x:c>
      <x:c r="K168" s="75" t="n">
        <x:f>IF(Portfolio_Par&gt;0,J168/Portfolio_Par,"")</x:f>
        <x:v>0.040287743972445465</x:v>
      </x:c>
      <x:c r="L168" s="150" t="str">
        <x:v>SYN-OB-0005, SYN-OB-0043</x:v>
      </x:c>
    </x:row>
    <x:row r="169" ht="39" customHeight="1">
      <x:c r="A169" s="150"/>
      <x:c r="B169" s="150"/>
      <x:c r="C169" s="154" t="str">
        <x:v>alternative_industry</x:v>
      </x:c>
      <x:c r="D169" s="154" t="str">
        <x:v>BBB+ through CCC-</x:v>
      </x:c>
      <x:c r="E169" s="154" t="str">
        <x:v>Healthcare Providers &amp; Services</x:v>
      </x:c>
      <x:c r="F169" s="150" t="n">
        <x:v>12</x:v>
      </x:c>
      <x:c r="G169" s="150" t="n">
        <x:v>2</x:v>
      </x:c>
      <x:c r="H169" s="178" t="n">
        <x:v>2364000</x:v>
      </x:c>
      <x:c r="I169" s="163" t="n">
        <x:v>0.05</x:v>
      </x:c>
      <x:c r="J169" s="80" t="n">
        <x:f>H169*(1-I169)</x:f>
        <x:v>2245800</x:v>
      </x:c>
      <x:c r="K169" s="75" t="n">
        <x:f>IF(Portfolio_Par&gt;0,J169/Portfolio_Par,"")</x:f>
        <x:v>0.040287743972445465</x:v>
      </x:c>
      <x:c r="L169" s="150" t="str">
        <x:v>SYN-OB-0005, SYN-OB-0043</x:v>
      </x:c>
    </x:row>
    <x:row r="170" ht="39" customHeight="1">
      <x:c r="A170" s="150"/>
      <x:c r="B170" s="150"/>
      <x:c r="C170" s="154" t="str">
        <x:v>alternative_industry</x:v>
      </x:c>
      <x:c r="D170" s="154" t="str">
        <x:v>BB+ through CCC-</x:v>
      </x:c>
      <x:c r="E170" s="154" t="str">
        <x:v>Healthcare Providers &amp; Services</x:v>
      </x:c>
      <x:c r="F170" s="150" t="n">
        <x:v>16</x:v>
      </x:c>
      <x:c r="G170" s="150" t="n">
        <x:v>2</x:v>
      </x:c>
      <x:c r="H170" s="178" t="n">
        <x:v>2364000</x:v>
      </x:c>
      <x:c r="I170" s="163" t="n">
        <x:v>0.05</x:v>
      </x:c>
      <x:c r="J170" s="80" t="n">
        <x:f>H170*(1-I170)</x:f>
        <x:v>2245800</x:v>
      </x:c>
      <x:c r="K170" s="75" t="n">
        <x:f>IF(Portfolio_Par&gt;0,J170/Portfolio_Par,"")</x:f>
        <x:v>0.040287743972445465</x:v>
      </x:c>
      <x:c r="L170" s="150" t="str">
        <x:v>SYN-OB-0005, SYN-OB-0043</x:v>
      </x:c>
    </x:row>
    <x:row r="171" ht="39" customHeight="1">
      <x:c r="A171" s="150"/>
      <x:c r="B171" s="150"/>
      <x:c r="C171" s="154" t="str">
        <x:v>alternative_industry</x:v>
      </x:c>
      <x:c r="D171" s="154" t="str">
        <x:v>B+ through CCC-</x:v>
      </x:c>
      <x:c r="E171" s="154" t="str">
        <x:v>Healthcare Providers &amp; Services</x:v>
      </x:c>
      <x:c r="F171" s="150" t="n">
        <x:v>20</x:v>
      </x:c>
      <x:c r="G171" s="150" t="n">
        <x:v>2</x:v>
      </x:c>
      <x:c r="H171" s="178" t="n">
        <x:v>2364000</x:v>
      </x:c>
      <x:c r="I171" s="163" t="n">
        <x:v>0.05</x:v>
      </x:c>
      <x:c r="J171" s="80" t="n">
        <x:f>H171*(1-I171)</x:f>
        <x:v>2245800</x:v>
      </x:c>
      <x:c r="K171" s="75" t="n">
        <x:f>IF(Portfolio_Par&gt;0,J171/Portfolio_Par,"")</x:f>
        <x:v>0.040287743972445465</x:v>
      </x:c>
      <x:c r="L171" s="150" t="str">
        <x:v>SYN-OB-0005, SYN-OB-0043</x:v>
      </x:c>
    </x:row>
    <x:row r="172" ht="39" customHeight="1">
      <x:c r="A172" s="150"/>
      <x:c r="B172" s="150"/>
      <x:c r="C172" s="154" t="str">
        <x:v>alternative_industry</x:v>
      </x:c>
      <x:c r="D172" s="154" t="str">
        <x:v>CCC+ through CCC-</x:v>
      </x:c>
      <x:c r="E172" s="154" t="str">
        <x:v>Healthcare Providers &amp; Services</x:v>
      </x:c>
      <x:c r="F172" s="150" t="n">
        <x:v>24</x:v>
      </x:c>
      <x:c r="G172" s="150" t="n">
        <x:v>0</x:v>
      </x:c>
      <x:c r="H172" s="178" t="n">
        <x:v>0</x:v>
      </x:c>
      <x:c r="I172" s="163" t="n">
        <x:v>0.05</x:v>
      </x:c>
      <x:c r="J172" s="80" t="n">
        <x:f>H172*(1-I172)</x:f>
        <x:v>0</x:v>
      </x:c>
      <x:c r="K172" s="75" t="n">
        <x:f>IF(Portfolio_Par&gt;0,J172/Portfolio_Par,"")</x:f>
        <x:v>0</x:v>
      </x:c>
      <x:c r="L172" s="150" t="str"/>
    </x:row>
    <x:row r="173" ht="39" customHeight="1">
      <x:c r="A173" s="150"/>
      <x:c r="B173" s="150"/>
      <x:c r="C173" s="154" t="str">
        <x:v>alternative_industry</x:v>
      </x:c>
      <x:c r="D173" s="154" t="str">
        <x:v>AAA through CCC-</x:v>
      </x:c>
      <x:c r="E173" s="154" t="str">
        <x:v>Healthcare Technology</x:v>
      </x:c>
      <x:c r="F173" s="150" t="n">
        <x:v>4</x:v>
      </x:c>
      <x:c r="G173" s="150" t="n">
        <x:v>2</x:v>
      </x:c>
      <x:c r="H173" s="178" t="n">
        <x:v>2364000</x:v>
      </x:c>
      <x:c r="I173" s="163" t="n">
        <x:v>0.05</x:v>
      </x:c>
      <x:c r="J173" s="80" t="n">
        <x:f>H173*(1-I173)</x:f>
        <x:v>2245800</x:v>
      </x:c>
      <x:c r="K173" s="75" t="n">
        <x:f>IF(Portfolio_Par&gt;0,J173/Portfolio_Par,"")</x:f>
        <x:v>0.040287743972445465</x:v>
      </x:c>
      <x:c r="L173" s="150" t="str">
        <x:v>SYN-OB-0021, SYN-OB-0033</x:v>
      </x:c>
    </x:row>
    <x:row r="174" ht="39" customHeight="1">
      <x:c r="A174" s="150"/>
      <x:c r="B174" s="150"/>
      <x:c r="C174" s="154" t="str">
        <x:v>alternative_industry</x:v>
      </x:c>
      <x:c r="D174" s="154" t="str">
        <x:v>AA+ through CCC-</x:v>
      </x:c>
      <x:c r="E174" s="154" t="str">
        <x:v>Healthcare Technology</x:v>
      </x:c>
      <x:c r="F174" s="150" t="n">
        <x:v>6</x:v>
      </x:c>
      <x:c r="G174" s="150" t="n">
        <x:v>2</x:v>
      </x:c>
      <x:c r="H174" s="178" t="n">
        <x:v>2364000</x:v>
      </x:c>
      <x:c r="I174" s="163" t="n">
        <x:v>0.05</x:v>
      </x:c>
      <x:c r="J174" s="80" t="n">
        <x:f>H174*(1-I174)</x:f>
        <x:v>2245800</x:v>
      </x:c>
      <x:c r="K174" s="75" t="n">
        <x:f>IF(Portfolio_Par&gt;0,J174/Portfolio_Par,"")</x:f>
        <x:v>0.040287743972445465</x:v>
      </x:c>
      <x:c r="L174" s="150" t="str">
        <x:v>SYN-OB-0021, SYN-OB-0033</x:v>
      </x:c>
    </x:row>
    <x:row r="175" ht="39" customHeight="1">
      <x:c r="A175" s="150"/>
      <x:c r="B175" s="150"/>
      <x:c r="C175" s="154" t="str">
        <x:v>alternative_industry</x:v>
      </x:c>
      <x:c r="D175" s="154" t="str">
        <x:v>A+ through CCC-</x:v>
      </x:c>
      <x:c r="E175" s="154" t="str">
        <x:v>Healthcare Technology</x:v>
      </x:c>
      <x:c r="F175" s="150" t="n">
        <x:v>8</x:v>
      </x:c>
      <x:c r="G175" s="150" t="n">
        <x:v>2</x:v>
      </x:c>
      <x:c r="H175" s="178" t="n">
        <x:v>2364000</x:v>
      </x:c>
      <x:c r="I175" s="163" t="n">
        <x:v>0.05</x:v>
      </x:c>
      <x:c r="J175" s="80" t="n">
        <x:f>H175*(1-I175)</x:f>
        <x:v>2245800</x:v>
      </x:c>
      <x:c r="K175" s="75" t="n">
        <x:f>IF(Portfolio_Par&gt;0,J175/Portfolio_Par,"")</x:f>
        <x:v>0.040287743972445465</x:v>
      </x:c>
      <x:c r="L175" s="150" t="str">
        <x:v>SYN-OB-0021, SYN-OB-0033</x:v>
      </x:c>
    </x:row>
    <x:row r="176" ht="39" customHeight="1">
      <x:c r="A176" s="150"/>
      <x:c r="B176" s="150"/>
      <x:c r="C176" s="154" t="str">
        <x:v>alternative_industry</x:v>
      </x:c>
      <x:c r="D176" s="154" t="str">
        <x:v>BBB+ through CCC-</x:v>
      </x:c>
      <x:c r="E176" s="154" t="str">
        <x:v>Healthcare Technology</x:v>
      </x:c>
      <x:c r="F176" s="150" t="n">
        <x:v>12</x:v>
      </x:c>
      <x:c r="G176" s="150" t="n">
        <x:v>2</x:v>
      </x:c>
      <x:c r="H176" s="178" t="n">
        <x:v>2364000</x:v>
      </x:c>
      <x:c r="I176" s="163" t="n">
        <x:v>0.05</x:v>
      </x:c>
      <x:c r="J176" s="80" t="n">
        <x:f>H176*(1-I176)</x:f>
        <x:v>2245800</x:v>
      </x:c>
      <x:c r="K176" s="75" t="n">
        <x:f>IF(Portfolio_Par&gt;0,J176/Portfolio_Par,"")</x:f>
        <x:v>0.040287743972445465</x:v>
      </x:c>
      <x:c r="L176" s="150" t="str">
        <x:v>SYN-OB-0021, SYN-OB-0033</x:v>
      </x:c>
    </x:row>
    <x:row r="177" ht="39" customHeight="1">
      <x:c r="A177" s="150"/>
      <x:c r="B177" s="150"/>
      <x:c r="C177" s="154" t="str">
        <x:v>alternative_industry</x:v>
      </x:c>
      <x:c r="D177" s="154" t="str">
        <x:v>BB+ through CCC-</x:v>
      </x:c>
      <x:c r="E177" s="154" t="str">
        <x:v>Healthcare Technology</x:v>
      </x:c>
      <x:c r="F177" s="150" t="n">
        <x:v>16</x:v>
      </x:c>
      <x:c r="G177" s="150" t="n">
        <x:v>2</x:v>
      </x:c>
      <x:c r="H177" s="178" t="n">
        <x:v>2364000</x:v>
      </x:c>
      <x:c r="I177" s="163" t="n">
        <x:v>0.05</x:v>
      </x:c>
      <x:c r="J177" s="80" t="n">
        <x:f>H177*(1-I177)</x:f>
        <x:v>2245800</x:v>
      </x:c>
      <x:c r="K177" s="75" t="n">
        <x:f>IF(Portfolio_Par&gt;0,J177/Portfolio_Par,"")</x:f>
        <x:v>0.040287743972445465</x:v>
      </x:c>
      <x:c r="L177" s="150" t="str">
        <x:v>SYN-OB-0021, SYN-OB-0033</x:v>
      </x:c>
    </x:row>
    <x:row r="178" ht="39" customHeight="1">
      <x:c r="A178" s="150"/>
      <x:c r="B178" s="150"/>
      <x:c r="C178" s="154" t="str">
        <x:v>alternative_industry</x:v>
      </x:c>
      <x:c r="D178" s="154" t="str">
        <x:v>B+ through CCC-</x:v>
      </x:c>
      <x:c r="E178" s="154" t="str">
        <x:v>Healthcare Technology</x:v>
      </x:c>
      <x:c r="F178" s="150" t="n">
        <x:v>20</x:v>
      </x:c>
      <x:c r="G178" s="150" t="n">
        <x:v>1</x:v>
      </x:c>
      <x:c r="H178" s="178" t="n">
        <x:v>1182000</x:v>
      </x:c>
      <x:c r="I178" s="163" t="n">
        <x:v>0.05</x:v>
      </x:c>
      <x:c r="J178" s="80" t="n">
        <x:f>H178*(1-I178)</x:f>
        <x:v>1122900</x:v>
      </x:c>
      <x:c r="K178" s="75" t="n">
        <x:f>IF(Portfolio_Par&gt;0,J178/Portfolio_Par,"")</x:f>
        <x:v>0.020143871986222733</x:v>
      </x:c>
      <x:c r="L178" s="150" t="str">
        <x:v>SYN-OB-0033</x:v>
      </x:c>
    </x:row>
    <x:row r="179" ht="39" customHeight="1">
      <x:c r="A179" s="150"/>
      <x:c r="B179" s="150"/>
      <x:c r="C179" s="154" t="str">
        <x:v>alternative_industry</x:v>
      </x:c>
      <x:c r="D179" s="154" t="str">
        <x:v>CCC+ through CCC-</x:v>
      </x:c>
      <x:c r="E179" s="154" t="str">
        <x:v>Healthcare Technology</x:v>
      </x:c>
      <x:c r="F179" s="150" t="n">
        <x:v>24</x:v>
      </x:c>
      <x:c r="G179" s="150" t="n">
        <x:v>0</x:v>
      </x:c>
      <x:c r="H179" s="178" t="n">
        <x:v>0</x:v>
      </x:c>
      <x:c r="I179" s="163" t="n">
        <x:v>0.05</x:v>
      </x:c>
      <x:c r="J179" s="80" t="n">
        <x:f>H179*(1-I179)</x:f>
        <x:v>0</x:v>
      </x:c>
      <x:c r="K179" s="75" t="n">
        <x:f>IF(Portfolio_Par&gt;0,J179/Portfolio_Par,"")</x:f>
        <x:v>0</x:v>
      </x:c>
      <x:c r="L179" s="150" t="str"/>
    </x:row>
    <x:row r="180" ht="39" customHeight="1">
      <x:c r="A180" s="150"/>
      <x:c r="B180" s="150"/>
      <x:c r="C180" s="154" t="str">
        <x:v>alternative_industry</x:v>
      </x:c>
      <x:c r="D180" s="154" t="str">
        <x:v>AAA through CCC-</x:v>
      </x:c>
      <x:c r="E180" s="154" t="str">
        <x:v>Hotels, Restaurants &amp; Leisure</x:v>
      </x:c>
      <x:c r="F180" s="150" t="n">
        <x:v>4</x:v>
      </x:c>
      <x:c r="G180" s="150" t="n">
        <x:v>3</x:v>
      </x:c>
      <x:c r="H180" s="178" t="n">
        <x:v>3546000</x:v>
      </x:c>
      <x:c r="I180" s="163" t="n">
        <x:v>0.05</x:v>
      </x:c>
      <x:c r="J180" s="80" t="n">
        <x:f>H180*(1-I180)</x:f>
        <x:v>3368700</x:v>
      </x:c>
      <x:c r="K180" s="75" t="n">
        <x:f>IF(Portfolio_Par&gt;0,J180/Portfolio_Par,"")</x:f>
        <x:v>0.060431615958668194</x:v>
      </x:c>
      <x:c r="L180" s="150" t="str">
        <x:v>SYN-OB-0001, SYN-OB-0014, SYN-OB-0022</x:v>
      </x:c>
    </x:row>
    <x:row r="181" ht="39" customHeight="1">
      <x:c r="A181" s="150"/>
      <x:c r="B181" s="150"/>
      <x:c r="C181" s="154" t="str">
        <x:v>alternative_industry</x:v>
      </x:c>
      <x:c r="D181" s="154" t="str">
        <x:v>AA+ through CCC-</x:v>
      </x:c>
      <x:c r="E181" s="154" t="str">
        <x:v>Hotels, Restaurants &amp; Leisure</x:v>
      </x:c>
      <x:c r="F181" s="150" t="n">
        <x:v>6</x:v>
      </x:c>
      <x:c r="G181" s="150" t="n">
        <x:v>3</x:v>
      </x:c>
      <x:c r="H181" s="178" t="n">
        <x:v>3546000</x:v>
      </x:c>
      <x:c r="I181" s="163" t="n">
        <x:v>0.05</x:v>
      </x:c>
      <x:c r="J181" s="80" t="n">
        <x:f>H181*(1-I181)</x:f>
        <x:v>3368700</x:v>
      </x:c>
      <x:c r="K181" s="75" t="n">
        <x:f>IF(Portfolio_Par&gt;0,J181/Portfolio_Par,"")</x:f>
        <x:v>0.060431615958668194</x:v>
      </x:c>
      <x:c r="L181" s="150" t="str">
        <x:v>SYN-OB-0001, SYN-OB-0014, SYN-OB-0022</x:v>
      </x:c>
    </x:row>
    <x:row r="182" ht="39" customHeight="1">
      <x:c r="A182" s="150"/>
      <x:c r="B182" s="150"/>
      <x:c r="C182" s="154" t="str">
        <x:v>alternative_industry</x:v>
      </x:c>
      <x:c r="D182" s="154" t="str">
        <x:v>A+ through CCC-</x:v>
      </x:c>
      <x:c r="E182" s="154" t="str">
        <x:v>Hotels, Restaurants &amp; Leisure</x:v>
      </x:c>
      <x:c r="F182" s="150" t="n">
        <x:v>8</x:v>
      </x:c>
      <x:c r="G182" s="150" t="n">
        <x:v>3</x:v>
      </x:c>
      <x:c r="H182" s="178" t="n">
        <x:v>3546000</x:v>
      </x:c>
      <x:c r="I182" s="163" t="n">
        <x:v>0.05</x:v>
      </x:c>
      <x:c r="J182" s="80" t="n">
        <x:f>H182*(1-I182)</x:f>
        <x:v>3368700</x:v>
      </x:c>
      <x:c r="K182" s="75" t="n">
        <x:f>IF(Portfolio_Par&gt;0,J182/Portfolio_Par,"")</x:f>
        <x:v>0.060431615958668194</x:v>
      </x:c>
      <x:c r="L182" s="150" t="str">
        <x:v>SYN-OB-0001, SYN-OB-0014, SYN-OB-0022</x:v>
      </x:c>
    </x:row>
    <x:row r="183" ht="39" customHeight="1">
      <x:c r="A183" s="150"/>
      <x:c r="B183" s="150"/>
      <x:c r="C183" s="154" t="str">
        <x:v>alternative_industry</x:v>
      </x:c>
      <x:c r="D183" s="154" t="str">
        <x:v>BBB+ through CCC-</x:v>
      </x:c>
      <x:c r="E183" s="154" t="str">
        <x:v>Hotels, Restaurants &amp; Leisure</x:v>
      </x:c>
      <x:c r="F183" s="150" t="n">
        <x:v>12</x:v>
      </x:c>
      <x:c r="G183" s="150" t="n">
        <x:v>3</x:v>
      </x:c>
      <x:c r="H183" s="178" t="n">
        <x:v>3546000</x:v>
      </x:c>
      <x:c r="I183" s="163" t="n">
        <x:v>0.05</x:v>
      </x:c>
      <x:c r="J183" s="80" t="n">
        <x:f>H183*(1-I183)</x:f>
        <x:v>3368700</x:v>
      </x:c>
      <x:c r="K183" s="75" t="n">
        <x:f>IF(Portfolio_Par&gt;0,J183/Portfolio_Par,"")</x:f>
        <x:v>0.060431615958668194</x:v>
      </x:c>
      <x:c r="L183" s="150" t="str">
        <x:v>SYN-OB-0001, SYN-OB-0014, SYN-OB-0022</x:v>
      </x:c>
    </x:row>
    <x:row r="184" ht="39" customHeight="1">
      <x:c r="A184" s="150"/>
      <x:c r="B184" s="150"/>
      <x:c r="C184" s="154" t="str">
        <x:v>alternative_industry</x:v>
      </x:c>
      <x:c r="D184" s="154" t="str">
        <x:v>BB+ through CCC-</x:v>
      </x:c>
      <x:c r="E184" s="154" t="str">
        <x:v>Hotels, Restaurants &amp; Leisure</x:v>
      </x:c>
      <x:c r="F184" s="150" t="n">
        <x:v>16</x:v>
      </x:c>
      <x:c r="G184" s="150" t="n">
        <x:v>3</x:v>
      </x:c>
      <x:c r="H184" s="178" t="n">
        <x:v>3546000</x:v>
      </x:c>
      <x:c r="I184" s="163" t="n">
        <x:v>0.05</x:v>
      </x:c>
      <x:c r="J184" s="80" t="n">
        <x:f>H184*(1-I184)</x:f>
        <x:v>3368700</x:v>
      </x:c>
      <x:c r="K184" s="75" t="n">
        <x:f>IF(Portfolio_Par&gt;0,J184/Portfolio_Par,"")</x:f>
        <x:v>0.060431615958668194</x:v>
      </x:c>
      <x:c r="L184" s="150" t="str">
        <x:v>SYN-OB-0001, SYN-OB-0014, SYN-OB-0022</x:v>
      </x:c>
    </x:row>
    <x:row r="185" ht="39" customHeight="1">
      <x:c r="A185" s="150"/>
      <x:c r="B185" s="150"/>
      <x:c r="C185" s="154" t="str">
        <x:v>alternative_industry</x:v>
      </x:c>
      <x:c r="D185" s="154" t="str">
        <x:v>B+ through CCC-</x:v>
      </x:c>
      <x:c r="E185" s="154" t="str">
        <x:v>Hotels, Restaurants &amp; Leisure</x:v>
      </x:c>
      <x:c r="F185" s="150" t="n">
        <x:v>20</x:v>
      </x:c>
      <x:c r="G185" s="150" t="n">
        <x:v>1</x:v>
      </x:c>
      <x:c r="H185" s="178" t="n">
        <x:v>1182000</x:v>
      </x:c>
      <x:c r="I185" s="163" t="n">
        <x:v>0.05</x:v>
      </x:c>
      <x:c r="J185" s="80" t="n">
        <x:f>H185*(1-I185)</x:f>
        <x:v>1122900</x:v>
      </x:c>
      <x:c r="K185" s="75" t="n">
        <x:f>IF(Portfolio_Par&gt;0,J185/Portfolio_Par,"")</x:f>
        <x:v>0.020143871986222733</x:v>
      </x:c>
      <x:c r="L185" s="150" t="str">
        <x:v>SYN-OB-0022</x:v>
      </x:c>
    </x:row>
    <x:row r="186" ht="39" customHeight="1">
      <x:c r="A186" s="150"/>
      <x:c r="B186" s="150"/>
      <x:c r="C186" s="154" t="str">
        <x:v>alternative_industry</x:v>
      </x:c>
      <x:c r="D186" s="154" t="str">
        <x:v>CCC+ through CCC-</x:v>
      </x:c>
      <x:c r="E186" s="154" t="str">
        <x:v>Hotels, Restaurants &amp; Leisure</x:v>
      </x:c>
      <x:c r="F186" s="150" t="n">
        <x:v>24</x:v>
      </x:c>
      <x:c r="G186" s="150" t="n">
        <x:v>0</x:v>
      </x:c>
      <x:c r="H186" s="178" t="n">
        <x:v>0</x:v>
      </x:c>
      <x:c r="I186" s="163" t="n">
        <x:v>0.05</x:v>
      </x:c>
      <x:c r="J186" s="80" t="n">
        <x:f>H186*(1-I186)</x:f>
        <x:v>0</x:v>
      </x:c>
      <x:c r="K186" s="75" t="n">
        <x:f>IF(Portfolio_Par&gt;0,J186/Portfolio_Par,"")</x:f>
        <x:v>0</x:v>
      </x:c>
      <x:c r="L186" s="150" t="str"/>
    </x:row>
    <x:row r="187" ht="39" customHeight="1">
      <x:c r="A187" s="150"/>
      <x:c r="B187" s="150"/>
      <x:c r="C187" s="154" t="str">
        <x:v>alternative_industry</x:v>
      </x:c>
      <x:c r="D187" s="154" t="str">
        <x:v>AAA through CCC-</x:v>
      </x:c>
      <x:c r="E187" s="154" t="str">
        <x:v>Household Products</x:v>
      </x:c>
      <x:c r="F187" s="150" t="n">
        <x:v>4</x:v>
      </x:c>
      <x:c r="G187" s="150" t="n">
        <x:v>1</x:v>
      </x:c>
      <x:c r="H187" s="178" t="n">
        <x:v>1182000</x:v>
      </x:c>
      <x:c r="I187" s="163" t="n">
        <x:v>0.05</x:v>
      </x:c>
      <x:c r="J187" s="80" t="n">
        <x:f>H187*(1-I187)</x:f>
        <x:v>1122900</x:v>
      </x:c>
      <x:c r="K187" s="75" t="n">
        <x:f>IF(Portfolio_Par&gt;0,J187/Portfolio_Par,"")</x:f>
        <x:v>0.020143871986222733</x:v>
      </x:c>
      <x:c r="L187" s="150" t="str">
        <x:v>SYN-OB-0026</x:v>
      </x:c>
    </x:row>
    <x:row r="188" ht="39" customHeight="1">
      <x:c r="A188" s="150"/>
      <x:c r="B188" s="150"/>
      <x:c r="C188" s="154" t="str">
        <x:v>alternative_industry</x:v>
      </x:c>
      <x:c r="D188" s="154" t="str">
        <x:v>AA+ through CCC-</x:v>
      </x:c>
      <x:c r="E188" s="154" t="str">
        <x:v>Household Products</x:v>
      </x:c>
      <x:c r="F188" s="150" t="n">
        <x:v>6</x:v>
      </x:c>
      <x:c r="G188" s="150" t="n">
        <x:v>1</x:v>
      </x:c>
      <x:c r="H188" s="178" t="n">
        <x:v>1182000</x:v>
      </x:c>
      <x:c r="I188" s="163" t="n">
        <x:v>0.05</x:v>
      </x:c>
      <x:c r="J188" s="80" t="n">
        <x:f>H188*(1-I188)</x:f>
        <x:v>1122900</x:v>
      </x:c>
      <x:c r="K188" s="75" t="n">
        <x:f>IF(Portfolio_Par&gt;0,J188/Portfolio_Par,"")</x:f>
        <x:v>0.020143871986222733</x:v>
      </x:c>
      <x:c r="L188" s="150" t="str">
        <x:v>SYN-OB-0026</x:v>
      </x:c>
    </x:row>
    <x:row r="189" ht="39" customHeight="1">
      <x:c r="A189" s="150"/>
      <x:c r="B189" s="150"/>
      <x:c r="C189" s="154" t="str">
        <x:v>alternative_industry</x:v>
      </x:c>
      <x:c r="D189" s="154" t="str">
        <x:v>A+ through CCC-</x:v>
      </x:c>
      <x:c r="E189" s="154" t="str">
        <x:v>Household Products</x:v>
      </x:c>
      <x:c r="F189" s="150" t="n">
        <x:v>8</x:v>
      </x:c>
      <x:c r="G189" s="150" t="n">
        <x:v>1</x:v>
      </x:c>
      <x:c r="H189" s="178" t="n">
        <x:v>1182000</x:v>
      </x:c>
      <x:c r="I189" s="163" t="n">
        <x:v>0.05</x:v>
      </x:c>
      <x:c r="J189" s="80" t="n">
        <x:f>H189*(1-I189)</x:f>
        <x:v>1122900</x:v>
      </x:c>
      <x:c r="K189" s="75" t="n">
        <x:f>IF(Portfolio_Par&gt;0,J189/Portfolio_Par,"")</x:f>
        <x:v>0.020143871986222733</x:v>
      </x:c>
      <x:c r="L189" s="150" t="str">
        <x:v>SYN-OB-0026</x:v>
      </x:c>
    </x:row>
    <x:row r="190" ht="39" customHeight="1">
      <x:c r="A190" s="150"/>
      <x:c r="B190" s="150"/>
      <x:c r="C190" s="154" t="str">
        <x:v>alternative_industry</x:v>
      </x:c>
      <x:c r="D190" s="154" t="str">
        <x:v>BBB+ through CCC-</x:v>
      </x:c>
      <x:c r="E190" s="154" t="str">
        <x:v>Household Products</x:v>
      </x:c>
      <x:c r="F190" s="150" t="n">
        <x:v>12</x:v>
      </x:c>
      <x:c r="G190" s="150" t="n">
        <x:v>1</x:v>
      </x:c>
      <x:c r="H190" s="178" t="n">
        <x:v>1182000</x:v>
      </x:c>
      <x:c r="I190" s="163" t="n">
        <x:v>0.05</x:v>
      </x:c>
      <x:c r="J190" s="80" t="n">
        <x:f>H190*(1-I190)</x:f>
        <x:v>1122900</x:v>
      </x:c>
      <x:c r="K190" s="75" t="n">
        <x:f>IF(Portfolio_Par&gt;0,J190/Portfolio_Par,"")</x:f>
        <x:v>0.020143871986222733</x:v>
      </x:c>
      <x:c r="L190" s="150" t="str">
        <x:v>SYN-OB-0026</x:v>
      </x:c>
    </x:row>
    <x:row r="191" ht="39" customHeight="1">
      <x:c r="A191" s="150"/>
      <x:c r="B191" s="150"/>
      <x:c r="C191" s="154" t="str">
        <x:v>alternative_industry</x:v>
      </x:c>
      <x:c r="D191" s="154" t="str">
        <x:v>BB+ through CCC-</x:v>
      </x:c>
      <x:c r="E191" s="154" t="str">
        <x:v>Household Products</x:v>
      </x:c>
      <x:c r="F191" s="150" t="n">
        <x:v>16</x:v>
      </x:c>
      <x:c r="G191" s="150" t="n">
        <x:v>1</x:v>
      </x:c>
      <x:c r="H191" s="178" t="n">
        <x:v>1182000</x:v>
      </x:c>
      <x:c r="I191" s="163" t="n">
        <x:v>0.05</x:v>
      </x:c>
      <x:c r="J191" s="80" t="n">
        <x:f>H191*(1-I191)</x:f>
        <x:v>1122900</x:v>
      </x:c>
      <x:c r="K191" s="75" t="n">
        <x:f>IF(Portfolio_Par&gt;0,J191/Portfolio_Par,"")</x:f>
        <x:v>0.020143871986222733</x:v>
      </x:c>
      <x:c r="L191" s="150" t="str">
        <x:v>SYN-OB-0026</x:v>
      </x:c>
    </x:row>
    <x:row r="192" ht="39" customHeight="1">
      <x:c r="A192" s="150"/>
      <x:c r="B192" s="150"/>
      <x:c r="C192" s="154" t="str">
        <x:v>alternative_industry</x:v>
      </x:c>
      <x:c r="D192" s="154" t="str">
        <x:v>B+ through CCC-</x:v>
      </x:c>
      <x:c r="E192" s="154" t="str">
        <x:v>Household Products</x:v>
      </x:c>
      <x:c r="F192" s="150" t="n">
        <x:v>20</x:v>
      </x:c>
      <x:c r="G192" s="150" t="n">
        <x:v>0</x:v>
      </x:c>
      <x:c r="H192" s="178" t="n">
        <x:v>0</x:v>
      </x:c>
      <x:c r="I192" s="163" t="n">
        <x:v>0.05</x:v>
      </x:c>
      <x:c r="J192" s="80" t="n">
        <x:f>H192*(1-I192)</x:f>
        <x:v>0</x:v>
      </x:c>
      <x:c r="K192" s="75" t="n">
        <x:f>IF(Portfolio_Par&gt;0,J192/Portfolio_Par,"")</x:f>
        <x:v>0</x:v>
      </x:c>
      <x:c r="L192" s="150" t="str"/>
    </x:row>
    <x:row r="193" ht="39" customHeight="1">
      <x:c r="A193" s="150"/>
      <x:c r="B193" s="150"/>
      <x:c r="C193" s="154" t="str">
        <x:v>alternative_industry</x:v>
      </x:c>
      <x:c r="D193" s="154" t="str">
        <x:v>CCC+ through CCC-</x:v>
      </x:c>
      <x:c r="E193" s="154" t="str">
        <x:v>Household Products</x:v>
      </x:c>
      <x:c r="F193" s="150" t="n">
        <x:v>24</x:v>
      </x:c>
      <x:c r="G193" s="150" t="n">
        <x:v>0</x:v>
      </x:c>
      <x:c r="H193" s="178" t="n">
        <x:v>0</x:v>
      </x:c>
      <x:c r="I193" s="163" t="n">
        <x:v>0.05</x:v>
      </x:c>
      <x:c r="J193" s="80" t="n">
        <x:f>H193*(1-I193)</x:f>
        <x:v>0</x:v>
      </x:c>
      <x:c r="K193" s="75" t="n">
        <x:f>IF(Portfolio_Par&gt;0,J193/Portfolio_Par,"")</x:f>
        <x:v>0</x:v>
      </x:c>
      <x:c r="L193" s="150" t="str"/>
    </x:row>
    <x:row r="194" ht="39" customHeight="1">
      <x:c r="A194" s="150"/>
      <x:c r="B194" s="150"/>
      <x:c r="C194" s="154" t="str">
        <x:v>alternative_industry</x:v>
      </x:c>
      <x:c r="D194" s="154" t="str">
        <x:v>AAA through CCC-</x:v>
      </x:c>
      <x:c r="E194" s="154" t="str">
        <x:v>IT Services</x:v>
      </x:c>
      <x:c r="F194" s="150" t="n">
        <x:v>4</x:v>
      </x:c>
      <x:c r="G194" s="150" t="n">
        <x:v>2</x:v>
      </x:c>
      <x:c r="H194" s="178" t="n">
        <x:v>1768000</x:v>
      </x:c>
      <x:c r="I194" s="163" t="n">
        <x:v>0.05</x:v>
      </x:c>
      <x:c r="J194" s="80" t="n">
        <x:f>H194*(1-I194)</x:f>
        <x:v>1679600</x:v>
      </x:c>
      <x:c r="K194" s="75" t="n">
        <x:f>IF(Portfolio_Par&gt;0,J194/Portfolio_Par,"")</x:f>
        <x:v>0.030130597014925372</x:v>
      </x:c>
      <x:c r="L194" s="150" t="str">
        <x:v>SYN-OB-0041, SYN-OB-0002</x:v>
      </x:c>
    </x:row>
    <x:row r="195" ht="39" customHeight="1">
      <x:c r="A195" s="150"/>
      <x:c r="B195" s="150"/>
      <x:c r="C195" s="154" t="str">
        <x:v>alternative_industry</x:v>
      </x:c>
      <x:c r="D195" s="154" t="str">
        <x:v>AA+ through CCC-</x:v>
      </x:c>
      <x:c r="E195" s="154" t="str">
        <x:v>IT Services</x:v>
      </x:c>
      <x:c r="F195" s="150" t="n">
        <x:v>6</x:v>
      </x:c>
      <x:c r="G195" s="150" t="n">
        <x:v>2</x:v>
      </x:c>
      <x:c r="H195" s="178" t="n">
        <x:v>1768000</x:v>
      </x:c>
      <x:c r="I195" s="163" t="n">
        <x:v>0.05</x:v>
      </x:c>
      <x:c r="J195" s="80" t="n">
        <x:f>H195*(1-I195)</x:f>
        <x:v>1679600</x:v>
      </x:c>
      <x:c r="K195" s="75" t="n">
        <x:f>IF(Portfolio_Par&gt;0,J195/Portfolio_Par,"")</x:f>
        <x:v>0.030130597014925372</x:v>
      </x:c>
      <x:c r="L195" s="150" t="str">
        <x:v>SYN-OB-0041, SYN-OB-0002</x:v>
      </x:c>
    </x:row>
    <x:row r="196" ht="39" customHeight="1">
      <x:c r="A196" s="150"/>
      <x:c r="B196" s="150"/>
      <x:c r="C196" s="154" t="str">
        <x:v>alternative_industry</x:v>
      </x:c>
      <x:c r="D196" s="154" t="str">
        <x:v>A+ through CCC-</x:v>
      </x:c>
      <x:c r="E196" s="154" t="str">
        <x:v>IT Services</x:v>
      </x:c>
      <x:c r="F196" s="150" t="n">
        <x:v>8</x:v>
      </x:c>
      <x:c r="G196" s="150" t="n">
        <x:v>2</x:v>
      </x:c>
      <x:c r="H196" s="178" t="n">
        <x:v>1768000</x:v>
      </x:c>
      <x:c r="I196" s="163" t="n">
        <x:v>0.05</x:v>
      </x:c>
      <x:c r="J196" s="80" t="n">
        <x:f>H196*(1-I196)</x:f>
        <x:v>1679600</x:v>
      </x:c>
      <x:c r="K196" s="75" t="n">
        <x:f>IF(Portfolio_Par&gt;0,J196/Portfolio_Par,"")</x:f>
        <x:v>0.030130597014925372</x:v>
      </x:c>
      <x:c r="L196" s="150" t="str">
        <x:v>SYN-OB-0041, SYN-OB-0002</x:v>
      </x:c>
    </x:row>
    <x:row r="197" ht="39" customHeight="1">
      <x:c r="A197" s="150"/>
      <x:c r="B197" s="150"/>
      <x:c r="C197" s="154" t="str">
        <x:v>alternative_industry</x:v>
      </x:c>
      <x:c r="D197" s="154" t="str">
        <x:v>BBB+ through CCC-</x:v>
      </x:c>
      <x:c r="E197" s="154" t="str">
        <x:v>IT Services</x:v>
      </x:c>
      <x:c r="F197" s="150" t="n">
        <x:v>12</x:v>
      </x:c>
      <x:c r="G197" s="150" t="n">
        <x:v>2</x:v>
      </x:c>
      <x:c r="H197" s="178" t="n">
        <x:v>1768000</x:v>
      </x:c>
      <x:c r="I197" s="163" t="n">
        <x:v>0.05</x:v>
      </x:c>
      <x:c r="J197" s="80" t="n">
        <x:f>H197*(1-I197)</x:f>
        <x:v>1679600</x:v>
      </x:c>
      <x:c r="K197" s="75" t="n">
        <x:f>IF(Portfolio_Par&gt;0,J197/Portfolio_Par,"")</x:f>
        <x:v>0.030130597014925372</x:v>
      </x:c>
      <x:c r="L197" s="150" t="str">
        <x:v>SYN-OB-0041, SYN-OB-0002</x:v>
      </x:c>
    </x:row>
    <x:row r="198" ht="39" customHeight="1">
      <x:c r="A198" s="150"/>
      <x:c r="B198" s="150"/>
      <x:c r="C198" s="154" t="str">
        <x:v>alternative_industry</x:v>
      </x:c>
      <x:c r="D198" s="154" t="str">
        <x:v>BB+ through CCC-</x:v>
      </x:c>
      <x:c r="E198" s="154" t="str">
        <x:v>IT Services</x:v>
      </x:c>
      <x:c r="F198" s="150" t="n">
        <x:v>16</x:v>
      </x:c>
      <x:c r="G198" s="150" t="n">
        <x:v>1</x:v>
      </x:c>
      <x:c r="H198" s="178" t="n">
        <x:v>1182000</x:v>
      </x:c>
      <x:c r="I198" s="163" t="n">
        <x:v>0.05</x:v>
      </x:c>
      <x:c r="J198" s="80" t="n">
        <x:f>H198*(1-I198)</x:f>
        <x:v>1122900</x:v>
      </x:c>
      <x:c r="K198" s="75" t="n">
        <x:f>IF(Portfolio_Par&gt;0,J198/Portfolio_Par,"")</x:f>
        <x:v>0.020143871986222733</x:v>
      </x:c>
      <x:c r="L198" s="150" t="str">
        <x:v>SYN-OB-0041</x:v>
      </x:c>
    </x:row>
    <x:row r="199" ht="39" customHeight="1">
      <x:c r="A199" s="150"/>
      <x:c r="B199" s="150"/>
      <x:c r="C199" s="154" t="str">
        <x:v>alternative_industry</x:v>
      </x:c>
      <x:c r="D199" s="154" t="str">
        <x:v>B+ through CCC-</x:v>
      </x:c>
      <x:c r="E199" s="154" t="str">
        <x:v>IT Services</x:v>
      </x:c>
      <x:c r="F199" s="150" t="n">
        <x:v>20</x:v>
      </x:c>
      <x:c r="G199" s="150" t="n">
        <x:v>1</x:v>
      </x:c>
      <x:c r="H199" s="178" t="n">
        <x:v>1182000</x:v>
      </x:c>
      <x:c r="I199" s="163" t="n">
        <x:v>0.05</x:v>
      </x:c>
      <x:c r="J199" s="80" t="n">
        <x:f>H199*(1-I199)</x:f>
        <x:v>1122900</x:v>
      </x:c>
      <x:c r="K199" s="75" t="n">
        <x:f>IF(Portfolio_Par&gt;0,J199/Portfolio_Par,"")</x:f>
        <x:v>0.020143871986222733</x:v>
      </x:c>
      <x:c r="L199" s="150" t="str">
        <x:v>SYN-OB-0041</x:v>
      </x:c>
    </x:row>
    <x:row r="200" ht="39" customHeight="1">
      <x:c r="A200" s="150"/>
      <x:c r="B200" s="150"/>
      <x:c r="C200" s="154" t="str">
        <x:v>alternative_industry</x:v>
      </x:c>
      <x:c r="D200" s="154" t="str">
        <x:v>CCC+ through CCC-</x:v>
      </x:c>
      <x:c r="E200" s="154" t="str">
        <x:v>IT Services</x:v>
      </x:c>
      <x:c r="F200" s="150" t="n">
        <x:v>24</x:v>
      </x:c>
      <x:c r="G200" s="150" t="n">
        <x:v>0</x:v>
      </x:c>
      <x:c r="H200" s="178" t="n">
        <x:v>0</x:v>
      </x:c>
      <x:c r="I200" s="163" t="n">
        <x:v>0.05</x:v>
      </x:c>
      <x:c r="J200" s="80" t="n">
        <x:f>H200*(1-I200)</x:f>
        <x:v>0</x:v>
      </x:c>
      <x:c r="K200" s="75" t="n">
        <x:f>IF(Portfolio_Par&gt;0,J200/Portfolio_Par,"")</x:f>
        <x:v>0</x:v>
      </x:c>
      <x:c r="L200" s="150" t="str"/>
    </x:row>
    <x:row r="201" ht="39" customHeight="1">
      <x:c r="A201" s="150"/>
      <x:c r="B201" s="150"/>
      <x:c r="C201" s="154" t="str">
        <x:v>alternative_industry</x:v>
      </x:c>
      <x:c r="D201" s="154" t="str">
        <x:v>AAA through CCC-</x:v>
      </x:c>
      <x:c r="E201" s="154" t="str">
        <x:v>Industrial Conglomerates</x:v>
      </x:c>
      <x:c r="F201" s="150" t="n">
        <x:v>4</x:v>
      </x:c>
      <x:c r="G201" s="150" t="n">
        <x:v>4</x:v>
      </x:c>
      <x:c r="H201" s="178" t="n">
        <x:v>4728000</x:v>
      </x:c>
      <x:c r="I201" s="163" t="n">
        <x:v>0.05</x:v>
      </x:c>
      <x:c r="J201" s="80" t="n">
        <x:f>H201*(1-I201)</x:f>
        <x:v>4491600</x:v>
      </x:c>
      <x:c r="K201" s="75" t="n">
        <x:f>IF(Portfolio_Par&gt;0,J201/Portfolio_Par,"")</x:f>
        <x:v>0.08057548794489093</x:v>
      </x:c>
      <x:c r="L201" s="150" t="str">
        <x:v>SYN-OB-0003, SYN-OB-0008, SYN-OB-0012, SYN-OB-0019</x:v>
      </x:c>
    </x:row>
    <x:row r="202" ht="39" customHeight="1">
      <x:c r="A202" s="150"/>
      <x:c r="B202" s="150"/>
      <x:c r="C202" s="154" t="str">
        <x:v>alternative_industry</x:v>
      </x:c>
      <x:c r="D202" s="154" t="str">
        <x:v>AA+ through CCC-</x:v>
      </x:c>
      <x:c r="E202" s="154" t="str">
        <x:v>Industrial Conglomerates</x:v>
      </x:c>
      <x:c r="F202" s="150" t="n">
        <x:v>6</x:v>
      </x:c>
      <x:c r="G202" s="150" t="n">
        <x:v>5</x:v>
      </x:c>
      <x:c r="H202" s="178" t="n">
        <x:v>5910000</x:v>
      </x:c>
      <x:c r="I202" s="163" t="n">
        <x:v>0.05</x:v>
      </x:c>
      <x:c r="J202" s="80" t="n">
        <x:f>H202*(1-I202)</x:f>
        <x:v>5614500</x:v>
      </x:c>
      <x:c r="K202" s="75" t="n">
        <x:f>IF(Portfolio_Par&gt;0,J202/Portfolio_Par,"")</x:f>
        <x:v>0.10071935993111367</x:v>
      </x:c>
      <x:c r="L202" s="150" t="str">
        <x:v>SYN-OB-0003, SYN-OB-0008, SYN-OB-0012, SYN-OB-0019, SYN-OB-0030</x:v>
      </x:c>
    </x:row>
    <x:row r="203" ht="39" customHeight="1">
      <x:c r="A203" s="150"/>
      <x:c r="B203" s="150"/>
      <x:c r="C203" s="154" t="str">
        <x:v>alternative_industry</x:v>
      </x:c>
      <x:c r="D203" s="154" t="str">
        <x:v>A+ through CCC-</x:v>
      </x:c>
      <x:c r="E203" s="154" t="str">
        <x:v>Industrial Conglomerates</x:v>
      </x:c>
      <x:c r="F203" s="150" t="n">
        <x:v>8</x:v>
      </x:c>
      <x:c r="G203" s="150" t="n">
        <x:v>5</x:v>
      </x:c>
      <x:c r="H203" s="178" t="n">
        <x:v>5910000</x:v>
      </x:c>
      <x:c r="I203" s="163" t="n">
        <x:v>0.05</x:v>
      </x:c>
      <x:c r="J203" s="80" t="n">
        <x:f>H203*(1-I203)</x:f>
        <x:v>5614500</x:v>
      </x:c>
      <x:c r="K203" s="75" t="n">
        <x:f>IF(Portfolio_Par&gt;0,J203/Portfolio_Par,"")</x:f>
        <x:v>0.10071935993111367</x:v>
      </x:c>
      <x:c r="L203" s="150" t="str">
        <x:v>SYN-OB-0003, SYN-OB-0008, SYN-OB-0012, SYN-OB-0019, SYN-OB-0030</x:v>
      </x:c>
    </x:row>
    <x:row r="204" ht="39" customHeight="1">
      <x:c r="A204" s="150"/>
      <x:c r="B204" s="150"/>
      <x:c r="C204" s="154" t="str">
        <x:v>alternative_industry</x:v>
      </x:c>
      <x:c r="D204" s="154" t="str">
        <x:v>BBB+ through CCC-</x:v>
      </x:c>
      <x:c r="E204" s="154" t="str">
        <x:v>Industrial Conglomerates</x:v>
      </x:c>
      <x:c r="F204" s="150" t="n">
        <x:v>12</x:v>
      </x:c>
      <x:c r="G204" s="150" t="n">
        <x:v>5</x:v>
      </x:c>
      <x:c r="H204" s="178" t="n">
        <x:v>5910000</x:v>
      </x:c>
      <x:c r="I204" s="163" t="n">
        <x:v>0.05</x:v>
      </x:c>
      <x:c r="J204" s="80" t="n">
        <x:f>H204*(1-I204)</x:f>
        <x:v>5614500</x:v>
      </x:c>
      <x:c r="K204" s="75" t="n">
        <x:f>IF(Portfolio_Par&gt;0,J204/Portfolio_Par,"")</x:f>
        <x:v>0.10071935993111367</x:v>
      </x:c>
      <x:c r="L204" s="150" t="str">
        <x:v>SYN-OB-0003, SYN-OB-0008, SYN-OB-0012, SYN-OB-0019, SYN-OB-0030</x:v>
      </x:c>
    </x:row>
    <x:row r="205" ht="39" customHeight="1">
      <x:c r="A205" s="150"/>
      <x:c r="B205" s="150"/>
      <x:c r="C205" s="154" t="str">
        <x:v>alternative_industry</x:v>
      </x:c>
      <x:c r="D205" s="154" t="str">
        <x:v>BB+ through CCC-</x:v>
      </x:c>
      <x:c r="E205" s="154" t="str">
        <x:v>Industrial Conglomerates</x:v>
      </x:c>
      <x:c r="F205" s="150" t="n">
        <x:v>16</x:v>
      </x:c>
      <x:c r="G205" s="150" t="n">
        <x:v>5</x:v>
      </x:c>
      <x:c r="H205" s="178" t="n">
        <x:v>5910000</x:v>
      </x:c>
      <x:c r="I205" s="163" t="n">
        <x:v>0.05</x:v>
      </x:c>
      <x:c r="J205" s="80" t="n">
        <x:f>H205*(1-I205)</x:f>
        <x:v>5614500</x:v>
      </x:c>
      <x:c r="K205" s="75" t="n">
        <x:f>IF(Portfolio_Par&gt;0,J205/Portfolio_Par,"")</x:f>
        <x:v>0.10071935993111367</x:v>
      </x:c>
      <x:c r="L205" s="150" t="str">
        <x:v>SYN-OB-0003, SYN-OB-0008, SYN-OB-0012, SYN-OB-0019, SYN-OB-0030</x:v>
      </x:c>
    </x:row>
    <x:row r="206" ht="39" customHeight="1">
      <x:c r="A206" s="150"/>
      <x:c r="B206" s="150"/>
      <x:c r="C206" s="154" t="str">
        <x:v>alternative_industry</x:v>
      </x:c>
      <x:c r="D206" s="154" t="str">
        <x:v>B+ through CCC-</x:v>
      </x:c>
      <x:c r="E206" s="154" t="str">
        <x:v>Industrial Conglomerates</x:v>
      </x:c>
      <x:c r="F206" s="150" t="n">
        <x:v>20</x:v>
      </x:c>
      <x:c r="G206" s="150" t="n">
        <x:v>4</x:v>
      </x:c>
      <x:c r="H206" s="178" t="n">
        <x:v>4728000</x:v>
      </x:c>
      <x:c r="I206" s="163" t="n">
        <x:v>0.05</x:v>
      </x:c>
      <x:c r="J206" s="80" t="n">
        <x:f>H206*(1-I206)</x:f>
        <x:v>4491600</x:v>
      </x:c>
      <x:c r="K206" s="75" t="n">
        <x:f>IF(Portfolio_Par&gt;0,J206/Portfolio_Par,"")</x:f>
        <x:v>0.08057548794489093</x:v>
      </x:c>
      <x:c r="L206" s="150" t="str">
        <x:v>SYN-OB-0003, SYN-OB-0008, SYN-OB-0012, SYN-OB-0030</x:v>
      </x:c>
    </x:row>
    <x:row r="207" ht="39" customHeight="1">
      <x:c r="A207" s="150"/>
      <x:c r="B207" s="150"/>
      <x:c r="C207" s="154" t="str">
        <x:v>alternative_industry</x:v>
      </x:c>
      <x:c r="D207" s="154" t="str">
        <x:v>CCC+ through CCC-</x:v>
      </x:c>
      <x:c r="E207" s="154" t="str">
        <x:v>Industrial Conglomerates</x:v>
      </x:c>
      <x:c r="F207" s="150" t="n">
        <x:v>24</x:v>
      </x:c>
      <x:c r="G207" s="150" t="n">
        <x:v>0</x:v>
      </x:c>
      <x:c r="H207" s="178" t="n">
        <x:v>0</x:v>
      </x:c>
      <x:c r="I207" s="163" t="n">
        <x:v>0.05</x:v>
      </x:c>
      <x:c r="J207" s="80" t="n">
        <x:f>H207*(1-I207)</x:f>
        <x:v>0</x:v>
      </x:c>
      <x:c r="K207" s="75" t="n">
        <x:f>IF(Portfolio_Par&gt;0,J207/Portfolio_Par,"")</x:f>
        <x:v>0</x:v>
      </x:c>
      <x:c r="L207" s="150" t="str"/>
    </x:row>
    <x:row r="208" ht="39" customHeight="1">
      <x:c r="A208" s="150"/>
      <x:c r="B208" s="150"/>
      <x:c r="C208" s="154" t="str">
        <x:v>alternative_industry</x:v>
      </x:c>
      <x:c r="D208" s="154" t="str">
        <x:v>AAA through CCC-</x:v>
      </x:c>
      <x:c r="E208" s="154" t="str">
        <x:v>Interactive media and services</x:v>
      </x:c>
      <x:c r="F208" s="150" t="n">
        <x:v>4</x:v>
      </x:c>
      <x:c r="G208" s="150" t="n">
        <x:v>1</x:v>
      </x:c>
      <x:c r="H208" s="178" t="n">
        <x:v>1182000</x:v>
      </x:c>
      <x:c r="I208" s="163" t="n">
        <x:v>0.05</x:v>
      </x:c>
      <x:c r="J208" s="80" t="n">
        <x:f>H208*(1-I208)</x:f>
        <x:v>1122900</x:v>
      </x:c>
      <x:c r="K208" s="75" t="n">
        <x:f>IF(Portfolio_Par&gt;0,J208/Portfolio_Par,"")</x:f>
        <x:v>0.020143871986222733</x:v>
      </x:c>
      <x:c r="L208" s="150" t="str">
        <x:v>SYN-OB-0040</x:v>
      </x:c>
    </x:row>
    <x:row r="209" ht="39" customHeight="1">
      <x:c r="A209" s="150"/>
      <x:c r="B209" s="150"/>
      <x:c r="C209" s="154" t="str">
        <x:v>alternative_industry</x:v>
      </x:c>
      <x:c r="D209" s="154" t="str">
        <x:v>AA+ through CCC-</x:v>
      </x:c>
      <x:c r="E209" s="154" t="str">
        <x:v>Interactive media and services</x:v>
      </x:c>
      <x:c r="F209" s="150" t="n">
        <x:v>6</x:v>
      </x:c>
      <x:c r="G209" s="150" t="n">
        <x:v>1</x:v>
      </x:c>
      <x:c r="H209" s="178" t="n">
        <x:v>1182000</x:v>
      </x:c>
      <x:c r="I209" s="163" t="n">
        <x:v>0.05</x:v>
      </x:c>
      <x:c r="J209" s="80" t="n">
        <x:f>H209*(1-I209)</x:f>
        <x:v>1122900</x:v>
      </x:c>
      <x:c r="K209" s="75" t="n">
        <x:f>IF(Portfolio_Par&gt;0,J209/Portfolio_Par,"")</x:f>
        <x:v>0.020143871986222733</x:v>
      </x:c>
      <x:c r="L209" s="150" t="str">
        <x:v>SYN-OB-0040</x:v>
      </x:c>
    </x:row>
    <x:row r="210" ht="39" customHeight="1">
      <x:c r="A210" s="150"/>
      <x:c r="B210" s="150"/>
      <x:c r="C210" s="154" t="str">
        <x:v>alternative_industry</x:v>
      </x:c>
      <x:c r="D210" s="154" t="str">
        <x:v>A+ through CCC-</x:v>
      </x:c>
      <x:c r="E210" s="154" t="str">
        <x:v>Interactive media and services</x:v>
      </x:c>
      <x:c r="F210" s="150" t="n">
        <x:v>8</x:v>
      </x:c>
      <x:c r="G210" s="150" t="n">
        <x:v>1</x:v>
      </x:c>
      <x:c r="H210" s="178" t="n">
        <x:v>1182000</x:v>
      </x:c>
      <x:c r="I210" s="163" t="n">
        <x:v>0.05</x:v>
      </x:c>
      <x:c r="J210" s="80" t="n">
        <x:f>H210*(1-I210)</x:f>
        <x:v>1122900</x:v>
      </x:c>
      <x:c r="K210" s="75" t="n">
        <x:f>IF(Portfolio_Par&gt;0,J210/Portfolio_Par,"")</x:f>
        <x:v>0.020143871986222733</x:v>
      </x:c>
      <x:c r="L210" s="150" t="str">
        <x:v>SYN-OB-0040</x:v>
      </x:c>
    </x:row>
    <x:row r="211" ht="39" customHeight="1">
      <x:c r="A211" s="150"/>
      <x:c r="B211" s="150"/>
      <x:c r="C211" s="154" t="str">
        <x:v>alternative_industry</x:v>
      </x:c>
      <x:c r="D211" s="154" t="str">
        <x:v>BBB+ through CCC-</x:v>
      </x:c>
      <x:c r="E211" s="154" t="str">
        <x:v>Interactive media and services</x:v>
      </x:c>
      <x:c r="F211" s="150" t="n">
        <x:v>12</x:v>
      </x:c>
      <x:c r="G211" s="150" t="n">
        <x:v>1</x:v>
      </x:c>
      <x:c r="H211" s="178" t="n">
        <x:v>1182000</x:v>
      </x:c>
      <x:c r="I211" s="163" t="n">
        <x:v>0.05</x:v>
      </x:c>
      <x:c r="J211" s="80" t="n">
        <x:f>H211*(1-I211)</x:f>
        <x:v>1122900</x:v>
      </x:c>
      <x:c r="K211" s="75" t="n">
        <x:f>IF(Portfolio_Par&gt;0,J211/Portfolio_Par,"")</x:f>
        <x:v>0.020143871986222733</x:v>
      </x:c>
      <x:c r="L211" s="150" t="str">
        <x:v>SYN-OB-0040</x:v>
      </x:c>
    </x:row>
    <x:row r="212" ht="39" customHeight="1">
      <x:c r="A212" s="150"/>
      <x:c r="B212" s="150"/>
      <x:c r="C212" s="154" t="str">
        <x:v>alternative_industry</x:v>
      </x:c>
      <x:c r="D212" s="154" t="str">
        <x:v>BB+ through CCC-</x:v>
      </x:c>
      <x:c r="E212" s="154" t="str">
        <x:v>Interactive media and services</x:v>
      </x:c>
      <x:c r="F212" s="150" t="n">
        <x:v>16</x:v>
      </x:c>
      <x:c r="G212" s="150" t="n">
        <x:v>1</x:v>
      </x:c>
      <x:c r="H212" s="178" t="n">
        <x:v>1182000</x:v>
      </x:c>
      <x:c r="I212" s="163" t="n">
        <x:v>0.05</x:v>
      </x:c>
      <x:c r="J212" s="80" t="n">
        <x:f>H212*(1-I212)</x:f>
        <x:v>1122900</x:v>
      </x:c>
      <x:c r="K212" s="75" t="n">
        <x:f>IF(Portfolio_Par&gt;0,J212/Portfolio_Par,"")</x:f>
        <x:v>0.020143871986222733</x:v>
      </x:c>
      <x:c r="L212" s="150" t="str">
        <x:v>SYN-OB-0040</x:v>
      </x:c>
    </x:row>
    <x:row r="213" ht="39" customHeight="1">
      <x:c r="A213" s="150"/>
      <x:c r="B213" s="150"/>
      <x:c r="C213" s="154" t="str">
        <x:v>alternative_industry</x:v>
      </x:c>
      <x:c r="D213" s="154" t="str">
        <x:v>B+ through CCC-</x:v>
      </x:c>
      <x:c r="E213" s="154" t="str">
        <x:v>Interactive media and services</x:v>
      </x:c>
      <x:c r="F213" s="150" t="n">
        <x:v>20</x:v>
      </x:c>
      <x:c r="G213" s="150" t="n">
        <x:v>0</x:v>
      </x:c>
      <x:c r="H213" s="178" t="n">
        <x:v>0</x:v>
      </x:c>
      <x:c r="I213" s="163" t="n">
        <x:v>0.05</x:v>
      </x:c>
      <x:c r="J213" s="80" t="n">
        <x:f>H213*(1-I213)</x:f>
        <x:v>0</x:v>
      </x:c>
      <x:c r="K213" s="75" t="n">
        <x:f>IF(Portfolio_Par&gt;0,J213/Portfolio_Par,"")</x:f>
        <x:v>0</x:v>
      </x:c>
      <x:c r="L213" s="150" t="str"/>
    </x:row>
    <x:row r="214" ht="39" customHeight="1">
      <x:c r="A214" s="150"/>
      <x:c r="B214" s="150"/>
      <x:c r="C214" s="154" t="str">
        <x:v>alternative_industry</x:v>
      </x:c>
      <x:c r="D214" s="154" t="str">
        <x:v>CCC+ through CCC-</x:v>
      </x:c>
      <x:c r="E214" s="154" t="str">
        <x:v>Interactive media and services</x:v>
      </x:c>
      <x:c r="F214" s="150" t="n">
        <x:v>24</x:v>
      </x:c>
      <x:c r="G214" s="150" t="n">
        <x:v>0</x:v>
      </x:c>
      <x:c r="H214" s="178" t="n">
        <x:v>0</x:v>
      </x:c>
      <x:c r="I214" s="163" t="n">
        <x:v>0.05</x:v>
      </x:c>
      <x:c r="J214" s="80" t="n">
        <x:f>H214*(1-I214)</x:f>
        <x:v>0</x:v>
      </x:c>
      <x:c r="K214" s="75" t="n">
        <x:f>IF(Portfolio_Par&gt;0,J214/Portfolio_Par,"")</x:f>
        <x:v>0</x:v>
      </x:c>
      <x:c r="L214" s="150" t="str"/>
    </x:row>
    <x:row r="215" ht="39" customHeight="1">
      <x:c r="A215" s="150"/>
      <x:c r="B215" s="150"/>
      <x:c r="C215" s="154" t="str">
        <x:v>alternative_industry</x:v>
      </x:c>
      <x:c r="D215" s="154" t="str">
        <x:v>AAA through CCC-</x:v>
      </x:c>
      <x:c r="E215" s="154" t="str">
        <x:v>Machinery</x:v>
      </x:c>
      <x:c r="F215" s="150" t="n">
        <x:v>4</x:v>
      </x:c>
      <x:c r="G215" s="150" t="n">
        <x:v>1</x:v>
      </x:c>
      <x:c r="H215" s="178" t="n">
        <x:v>1182000</x:v>
      </x:c>
      <x:c r="I215" s="163" t="n">
        <x:v>0.05</x:v>
      </x:c>
      <x:c r="J215" s="80" t="n">
        <x:f>H215*(1-I215)</x:f>
        <x:v>1122900</x:v>
      </x:c>
      <x:c r="K215" s="75" t="n">
        <x:f>IF(Portfolio_Par&gt;0,J215/Portfolio_Par,"")</x:f>
        <x:v>0.020143871986222733</x:v>
      </x:c>
      <x:c r="L215" s="150" t="str">
        <x:v>SYN-OB-0036</x:v>
      </x:c>
    </x:row>
    <x:row r="216" ht="39" customHeight="1">
      <x:c r="A216" s="150"/>
      <x:c r="B216" s="150"/>
      <x:c r="C216" s="154" t="str">
        <x:v>alternative_industry</x:v>
      </x:c>
      <x:c r="D216" s="154" t="str">
        <x:v>AA+ through CCC-</x:v>
      </x:c>
      <x:c r="E216" s="154" t="str">
        <x:v>Machinery</x:v>
      </x:c>
      <x:c r="F216" s="150" t="n">
        <x:v>6</x:v>
      </x:c>
      <x:c r="G216" s="150" t="n">
        <x:v>1</x:v>
      </x:c>
      <x:c r="H216" s="178" t="n">
        <x:v>1182000</x:v>
      </x:c>
      <x:c r="I216" s="163" t="n">
        <x:v>0.05</x:v>
      </x:c>
      <x:c r="J216" s="80" t="n">
        <x:f>H216*(1-I216)</x:f>
        <x:v>1122900</x:v>
      </x:c>
      <x:c r="K216" s="75" t="n">
        <x:f>IF(Portfolio_Par&gt;0,J216/Portfolio_Par,"")</x:f>
        <x:v>0.020143871986222733</x:v>
      </x:c>
      <x:c r="L216" s="150" t="str">
        <x:v>SYN-OB-0036</x:v>
      </x:c>
    </x:row>
    <x:row r="217" ht="39" customHeight="1">
      <x:c r="A217" s="150"/>
      <x:c r="B217" s="150"/>
      <x:c r="C217" s="154" t="str">
        <x:v>alternative_industry</x:v>
      </x:c>
      <x:c r="D217" s="154" t="str">
        <x:v>A+ through CCC-</x:v>
      </x:c>
      <x:c r="E217" s="154" t="str">
        <x:v>Machinery</x:v>
      </x:c>
      <x:c r="F217" s="150" t="n">
        <x:v>8</x:v>
      </x:c>
      <x:c r="G217" s="150" t="n">
        <x:v>1</x:v>
      </x:c>
      <x:c r="H217" s="178" t="n">
        <x:v>1182000</x:v>
      </x:c>
      <x:c r="I217" s="163" t="n">
        <x:v>0.05</x:v>
      </x:c>
      <x:c r="J217" s="80" t="n">
        <x:f>H217*(1-I217)</x:f>
        <x:v>1122900</x:v>
      </x:c>
      <x:c r="K217" s="75" t="n">
        <x:f>IF(Portfolio_Par&gt;0,J217/Portfolio_Par,"")</x:f>
        <x:v>0.020143871986222733</x:v>
      </x:c>
      <x:c r="L217" s="150" t="str">
        <x:v>SYN-OB-0036</x:v>
      </x:c>
    </x:row>
    <x:row r="218" ht="39" customHeight="1">
      <x:c r="A218" s="150"/>
      <x:c r="B218" s="150"/>
      <x:c r="C218" s="154" t="str">
        <x:v>alternative_industry</x:v>
      </x:c>
      <x:c r="D218" s="154" t="str">
        <x:v>BBB+ through CCC-</x:v>
      </x:c>
      <x:c r="E218" s="154" t="str">
        <x:v>Machinery</x:v>
      </x:c>
      <x:c r="F218" s="150" t="n">
        <x:v>12</x:v>
      </x:c>
      <x:c r="G218" s="150" t="n">
        <x:v>1</x:v>
      </x:c>
      <x:c r="H218" s="178" t="n">
        <x:v>1182000</x:v>
      </x:c>
      <x:c r="I218" s="163" t="n">
        <x:v>0.05</x:v>
      </x:c>
      <x:c r="J218" s="80" t="n">
        <x:f>H218*(1-I218)</x:f>
        <x:v>1122900</x:v>
      </x:c>
      <x:c r="K218" s="75" t="n">
        <x:f>IF(Portfolio_Par&gt;0,J218/Portfolio_Par,"")</x:f>
        <x:v>0.020143871986222733</x:v>
      </x:c>
      <x:c r="L218" s="150" t="str">
        <x:v>SYN-OB-0036</x:v>
      </x:c>
    </x:row>
    <x:row r="219" ht="39" customHeight="1">
      <x:c r="A219" s="150"/>
      <x:c r="B219" s="150"/>
      <x:c r="C219" s="154" t="str">
        <x:v>alternative_industry</x:v>
      </x:c>
      <x:c r="D219" s="154" t="str">
        <x:v>BB+ through CCC-</x:v>
      </x:c>
      <x:c r="E219" s="154" t="str">
        <x:v>Machinery</x:v>
      </x:c>
      <x:c r="F219" s="150" t="n">
        <x:v>16</x:v>
      </x:c>
      <x:c r="G219" s="150" t="n">
        <x:v>1</x:v>
      </x:c>
      <x:c r="H219" s="178" t="n">
        <x:v>1182000</x:v>
      </x:c>
      <x:c r="I219" s="163" t="n">
        <x:v>0.05</x:v>
      </x:c>
      <x:c r="J219" s="80" t="n">
        <x:f>H219*(1-I219)</x:f>
        <x:v>1122900</x:v>
      </x:c>
      <x:c r="K219" s="75" t="n">
        <x:f>IF(Portfolio_Par&gt;0,J219/Portfolio_Par,"")</x:f>
        <x:v>0.020143871986222733</x:v>
      </x:c>
      <x:c r="L219" s="150" t="str">
        <x:v>SYN-OB-0036</x:v>
      </x:c>
    </x:row>
    <x:row r="220" ht="39" customHeight="1">
      <x:c r="A220" s="150"/>
      <x:c r="B220" s="150"/>
      <x:c r="C220" s="154" t="str">
        <x:v>alternative_industry</x:v>
      </x:c>
      <x:c r="D220" s="154" t="str">
        <x:v>B+ through CCC-</x:v>
      </x:c>
      <x:c r="E220" s="154" t="str">
        <x:v>Machinery</x:v>
      </x:c>
      <x:c r="F220" s="150" t="n">
        <x:v>20</x:v>
      </x:c>
      <x:c r="G220" s="150" t="n">
        <x:v>1</x:v>
      </x:c>
      <x:c r="H220" s="178" t="n">
        <x:v>1182000</x:v>
      </x:c>
      <x:c r="I220" s="163" t="n">
        <x:v>0.05</x:v>
      </x:c>
      <x:c r="J220" s="80" t="n">
        <x:f>H220*(1-I220)</x:f>
        <x:v>1122900</x:v>
      </x:c>
      <x:c r="K220" s="75" t="n">
        <x:f>IF(Portfolio_Par&gt;0,J220/Portfolio_Par,"")</x:f>
        <x:v>0.020143871986222733</x:v>
      </x:c>
      <x:c r="L220" s="150" t="str">
        <x:v>SYN-OB-0036</x:v>
      </x:c>
    </x:row>
    <x:row r="221" ht="39" customHeight="1">
      <x:c r="A221" s="150"/>
      <x:c r="B221" s="150"/>
      <x:c r="C221" s="154" t="str">
        <x:v>alternative_industry</x:v>
      </x:c>
      <x:c r="D221" s="154" t="str">
        <x:v>CCC+ through CCC-</x:v>
      </x:c>
      <x:c r="E221" s="154" t="str">
        <x:v>Machinery</x:v>
      </x:c>
      <x:c r="F221" s="150" t="n">
        <x:v>24</x:v>
      </x:c>
      <x:c r="G221" s="150" t="n">
        <x:v>0</x:v>
      </x:c>
      <x:c r="H221" s="178" t="n">
        <x:v>0</x:v>
      </x:c>
      <x:c r="I221" s="163" t="n">
        <x:v>0.05</x:v>
      </x:c>
      <x:c r="J221" s="80" t="n">
        <x:f>H221*(1-I221)</x:f>
        <x:v>0</x:v>
      </x:c>
      <x:c r="K221" s="75" t="n">
        <x:f>IF(Portfolio_Par&gt;0,J221/Portfolio_Par,"")</x:f>
        <x:v>0</x:v>
      </x:c>
      <x:c r="L221" s="150" t="str"/>
    </x:row>
    <x:row r="222" ht="39" customHeight="1">
      <x:c r="A222" s="150"/>
      <x:c r="B222" s="150"/>
      <x:c r="C222" s="154" t="str">
        <x:v>alternative_industry</x:v>
      </x:c>
      <x:c r="D222" s="154" t="str">
        <x:v>AAA through CCC-</x:v>
      </x:c>
      <x:c r="E222" s="154" t="str">
        <x:v>Passenger airlines</x:v>
      </x:c>
      <x:c r="F222" s="150" t="n">
        <x:v>4</x:v>
      </x:c>
      <x:c r="G222" s="150" t="n">
        <x:v>1</x:v>
      </x:c>
      <x:c r="H222" s="178" t="n">
        <x:v>1182000</x:v>
      </x:c>
      <x:c r="I222" s="163" t="n">
        <x:v>0.05</x:v>
      </x:c>
      <x:c r="J222" s="80" t="n">
        <x:f>H222*(1-I222)</x:f>
        <x:v>1122900</x:v>
      </x:c>
      <x:c r="K222" s="75" t="n">
        <x:f>IF(Portfolio_Par&gt;0,J222/Portfolio_Par,"")</x:f>
        <x:v>0.020143871986222733</x:v>
      </x:c>
      <x:c r="L222" s="150" t="str">
        <x:v>SYN-OB-0018</x:v>
      </x:c>
    </x:row>
    <x:row r="223" ht="39" customHeight="1">
      <x:c r="A223" s="150"/>
      <x:c r="B223" s="150"/>
      <x:c r="C223" s="154" t="str">
        <x:v>alternative_industry</x:v>
      </x:c>
      <x:c r="D223" s="154" t="str">
        <x:v>AA+ through CCC-</x:v>
      </x:c>
      <x:c r="E223" s="154" t="str">
        <x:v>Passenger airlines</x:v>
      </x:c>
      <x:c r="F223" s="150" t="n">
        <x:v>6</x:v>
      </x:c>
      <x:c r="G223" s="150" t="n">
        <x:v>1</x:v>
      </x:c>
      <x:c r="H223" s="178" t="n">
        <x:v>1182000</x:v>
      </x:c>
      <x:c r="I223" s="163" t="n">
        <x:v>0.05</x:v>
      </x:c>
      <x:c r="J223" s="80" t="n">
        <x:f>H223*(1-I223)</x:f>
        <x:v>1122900</x:v>
      </x:c>
      <x:c r="K223" s="75" t="n">
        <x:f>IF(Portfolio_Par&gt;0,J223/Portfolio_Par,"")</x:f>
        <x:v>0.020143871986222733</x:v>
      </x:c>
      <x:c r="L223" s="150" t="str">
        <x:v>SYN-OB-0018</x:v>
      </x:c>
    </x:row>
    <x:row r="224" ht="39" customHeight="1">
      <x:c r="A224" s="150"/>
      <x:c r="B224" s="150"/>
      <x:c r="C224" s="154" t="str">
        <x:v>alternative_industry</x:v>
      </x:c>
      <x:c r="D224" s="154" t="str">
        <x:v>A+ through CCC-</x:v>
      </x:c>
      <x:c r="E224" s="154" t="str">
        <x:v>Passenger airlines</x:v>
      </x:c>
      <x:c r="F224" s="150" t="n">
        <x:v>8</x:v>
      </x:c>
      <x:c r="G224" s="150" t="n">
        <x:v>1</x:v>
      </x:c>
      <x:c r="H224" s="178" t="n">
        <x:v>1182000</x:v>
      </x:c>
      <x:c r="I224" s="163" t="n">
        <x:v>0.05</x:v>
      </x:c>
      <x:c r="J224" s="80" t="n">
        <x:f>H224*(1-I224)</x:f>
        <x:v>1122900</x:v>
      </x:c>
      <x:c r="K224" s="75" t="n">
        <x:f>IF(Portfolio_Par&gt;0,J224/Portfolio_Par,"")</x:f>
        <x:v>0.020143871986222733</x:v>
      </x:c>
      <x:c r="L224" s="150" t="str">
        <x:v>SYN-OB-0018</x:v>
      </x:c>
    </x:row>
    <x:row r="225" ht="39" customHeight="1">
      <x:c r="A225" s="150"/>
      <x:c r="B225" s="150"/>
      <x:c r="C225" s="154" t="str">
        <x:v>alternative_industry</x:v>
      </x:c>
      <x:c r="D225" s="154" t="str">
        <x:v>BBB+ through CCC-</x:v>
      </x:c>
      <x:c r="E225" s="154" t="str">
        <x:v>Passenger airlines</x:v>
      </x:c>
      <x:c r="F225" s="150" t="n">
        <x:v>12</x:v>
      </x:c>
      <x:c r="G225" s="150" t="n">
        <x:v>1</x:v>
      </x:c>
      <x:c r="H225" s="178" t="n">
        <x:v>1182000</x:v>
      </x:c>
      <x:c r="I225" s="163" t="n">
        <x:v>0.05</x:v>
      </x:c>
      <x:c r="J225" s="80" t="n">
        <x:f>H225*(1-I225)</x:f>
        <x:v>1122900</x:v>
      </x:c>
      <x:c r="K225" s="75" t="n">
        <x:f>IF(Portfolio_Par&gt;0,J225/Portfolio_Par,"")</x:f>
        <x:v>0.020143871986222733</x:v>
      </x:c>
      <x:c r="L225" s="150" t="str">
        <x:v>SYN-OB-0018</x:v>
      </x:c>
    </x:row>
    <x:row r="226" ht="39" customHeight="1">
      <x:c r="A226" s="150"/>
      <x:c r="B226" s="150"/>
      <x:c r="C226" s="154" t="str">
        <x:v>alternative_industry</x:v>
      </x:c>
      <x:c r="D226" s="154" t="str">
        <x:v>BB+ through CCC-</x:v>
      </x:c>
      <x:c r="E226" s="154" t="str">
        <x:v>Passenger airlines</x:v>
      </x:c>
      <x:c r="F226" s="150" t="n">
        <x:v>16</x:v>
      </x:c>
      <x:c r="G226" s="150" t="n">
        <x:v>1</x:v>
      </x:c>
      <x:c r="H226" s="178" t="n">
        <x:v>1182000</x:v>
      </x:c>
      <x:c r="I226" s="163" t="n">
        <x:v>0.05</x:v>
      </x:c>
      <x:c r="J226" s="80" t="n">
        <x:f>H226*(1-I226)</x:f>
        <x:v>1122900</x:v>
      </x:c>
      <x:c r="K226" s="75" t="n">
        <x:f>IF(Portfolio_Par&gt;0,J226/Portfolio_Par,"")</x:f>
        <x:v>0.020143871986222733</x:v>
      </x:c>
      <x:c r="L226" s="150" t="str">
        <x:v>SYN-OB-0018</x:v>
      </x:c>
    </x:row>
    <x:row r="227" ht="39" customHeight="1">
      <x:c r="A227" s="150"/>
      <x:c r="B227" s="150"/>
      <x:c r="C227" s="154" t="str">
        <x:v>alternative_industry</x:v>
      </x:c>
      <x:c r="D227" s="154" t="str">
        <x:v>B+ through CCC-</x:v>
      </x:c>
      <x:c r="E227" s="154" t="str">
        <x:v>Passenger airlines</x:v>
      </x:c>
      <x:c r="F227" s="150" t="n">
        <x:v>20</x:v>
      </x:c>
      <x:c r="G227" s="150" t="n">
        <x:v>1</x:v>
      </x:c>
      <x:c r="H227" s="178" t="n">
        <x:v>1182000</x:v>
      </x:c>
      <x:c r="I227" s="163" t="n">
        <x:v>0.05</x:v>
      </x:c>
      <x:c r="J227" s="80" t="n">
        <x:f>H227*(1-I227)</x:f>
        <x:v>1122900</x:v>
      </x:c>
      <x:c r="K227" s="75" t="n">
        <x:f>IF(Portfolio_Par&gt;0,J227/Portfolio_Par,"")</x:f>
        <x:v>0.020143871986222733</x:v>
      </x:c>
      <x:c r="L227" s="150" t="str">
        <x:v>SYN-OB-0018</x:v>
      </x:c>
    </x:row>
    <x:row r="228" ht="39" customHeight="1">
      <x:c r="A228" s="150"/>
      <x:c r="B228" s="150"/>
      <x:c r="C228" s="154" t="str">
        <x:v>alternative_industry</x:v>
      </x:c>
      <x:c r="D228" s="154" t="str">
        <x:v>CCC+ through CCC-</x:v>
      </x:c>
      <x:c r="E228" s="154" t="str">
        <x:v>Passenger airlines</x:v>
      </x:c>
      <x:c r="F228" s="150" t="n">
        <x:v>24</x:v>
      </x:c>
      <x:c r="G228" s="150" t="n">
        <x:v>0</x:v>
      </x:c>
      <x:c r="H228" s="178" t="n">
        <x:v>0</x:v>
      </x:c>
      <x:c r="I228" s="163" t="n">
        <x:v>0.05</x:v>
      </x:c>
      <x:c r="J228" s="80" t="n">
        <x:f>H228*(1-I228)</x:f>
        <x:v>0</x:v>
      </x:c>
      <x:c r="K228" s="75" t="n">
        <x:f>IF(Portfolio_Par&gt;0,J228/Portfolio_Par,"")</x:f>
        <x:v>0</x:v>
      </x:c>
      <x:c r="L228" s="150" t="str"/>
    </x:row>
    <x:row r="229" ht="39" customHeight="1">
      <x:c r="A229" s="150"/>
      <x:c r="B229" s="150"/>
      <x:c r="C229" s="154" t="str">
        <x:v>alternative_industry</x:v>
      </x:c>
      <x:c r="D229" s="154" t="str">
        <x:v>AAA through CCC-</x:v>
      </x:c>
      <x:c r="E229" s="154" t="str">
        <x:v>Professional Services</x:v>
      </x:c>
      <x:c r="F229" s="150" t="n">
        <x:v>4</x:v>
      </x:c>
      <x:c r="G229" s="150" t="n">
        <x:v>1</x:v>
      </x:c>
      <x:c r="H229" s="178" t="n">
        <x:v>1182000</x:v>
      </x:c>
      <x:c r="I229" s="163" t="n">
        <x:v>0.05</x:v>
      </x:c>
      <x:c r="J229" s="80" t="n">
        <x:f>H229*(1-I229)</x:f>
        <x:v>1122900</x:v>
      </x:c>
      <x:c r="K229" s="75" t="n">
        <x:f>IF(Portfolio_Par&gt;0,J229/Portfolio_Par,"")</x:f>
        <x:v>0.020143871986222733</x:v>
      </x:c>
      <x:c r="L229" s="150" t="str">
        <x:v>SYN-OB-0031</x:v>
      </x:c>
    </x:row>
    <x:row r="230" ht="39" customHeight="1">
      <x:c r="A230" s="150"/>
      <x:c r="B230" s="150"/>
      <x:c r="C230" s="154" t="str">
        <x:v>alternative_industry</x:v>
      </x:c>
      <x:c r="D230" s="154" t="str">
        <x:v>AA+ through CCC-</x:v>
      </x:c>
      <x:c r="E230" s="154" t="str">
        <x:v>Professional Services</x:v>
      </x:c>
      <x:c r="F230" s="150" t="n">
        <x:v>6</x:v>
      </x:c>
      <x:c r="G230" s="150" t="n">
        <x:v>1</x:v>
      </x:c>
      <x:c r="H230" s="178" t="n">
        <x:v>1182000</x:v>
      </x:c>
      <x:c r="I230" s="163" t="n">
        <x:v>0.05</x:v>
      </x:c>
      <x:c r="J230" s="80" t="n">
        <x:f>H230*(1-I230)</x:f>
        <x:v>1122900</x:v>
      </x:c>
      <x:c r="K230" s="75" t="n">
        <x:f>IF(Portfolio_Par&gt;0,J230/Portfolio_Par,"")</x:f>
        <x:v>0.020143871986222733</x:v>
      </x:c>
      <x:c r="L230" s="150" t="str">
        <x:v>SYN-OB-0031</x:v>
      </x:c>
    </x:row>
    <x:row r="231" ht="39" customHeight="1">
      <x:c r="A231" s="150"/>
      <x:c r="B231" s="150"/>
      <x:c r="C231" s="154" t="str">
        <x:v>alternative_industry</x:v>
      </x:c>
      <x:c r="D231" s="154" t="str">
        <x:v>A+ through CCC-</x:v>
      </x:c>
      <x:c r="E231" s="154" t="str">
        <x:v>Professional Services</x:v>
      </x:c>
      <x:c r="F231" s="150" t="n">
        <x:v>8</x:v>
      </x:c>
      <x:c r="G231" s="150" t="n">
        <x:v>1</x:v>
      </x:c>
      <x:c r="H231" s="178" t="n">
        <x:v>1182000</x:v>
      </x:c>
      <x:c r="I231" s="163" t="n">
        <x:v>0.05</x:v>
      </x:c>
      <x:c r="J231" s="80" t="n">
        <x:f>H231*(1-I231)</x:f>
        <x:v>1122900</x:v>
      </x:c>
      <x:c r="K231" s="75" t="n">
        <x:f>IF(Portfolio_Par&gt;0,J231/Portfolio_Par,"")</x:f>
        <x:v>0.020143871986222733</x:v>
      </x:c>
      <x:c r="L231" s="150" t="str">
        <x:v>SYN-OB-0031</x:v>
      </x:c>
    </x:row>
    <x:row r="232" ht="39" customHeight="1">
      <x:c r="A232" s="150"/>
      <x:c r="B232" s="150"/>
      <x:c r="C232" s="154" t="str">
        <x:v>alternative_industry</x:v>
      </x:c>
      <x:c r="D232" s="154" t="str">
        <x:v>BBB+ through CCC-</x:v>
      </x:c>
      <x:c r="E232" s="154" t="str">
        <x:v>Professional Services</x:v>
      </x:c>
      <x:c r="F232" s="150" t="n">
        <x:v>12</x:v>
      </x:c>
      <x:c r="G232" s="150" t="n">
        <x:v>1</x:v>
      </x:c>
      <x:c r="H232" s="178" t="n">
        <x:v>1182000</x:v>
      </x:c>
      <x:c r="I232" s="163" t="n">
        <x:v>0.05</x:v>
      </x:c>
      <x:c r="J232" s="80" t="n">
        <x:f>H232*(1-I232)</x:f>
        <x:v>1122900</x:v>
      </x:c>
      <x:c r="K232" s="75" t="n">
        <x:f>IF(Portfolio_Par&gt;0,J232/Portfolio_Par,"")</x:f>
        <x:v>0.020143871986222733</x:v>
      </x:c>
      <x:c r="L232" s="150" t="str">
        <x:v>SYN-OB-0031</x:v>
      </x:c>
    </x:row>
    <x:row r="233" ht="39" customHeight="1">
      <x:c r="A233" s="150"/>
      <x:c r="B233" s="150"/>
      <x:c r="C233" s="154" t="str">
        <x:v>alternative_industry</x:v>
      </x:c>
      <x:c r="D233" s="154" t="str">
        <x:v>BB+ through CCC-</x:v>
      </x:c>
      <x:c r="E233" s="154" t="str">
        <x:v>Professional Services</x:v>
      </x:c>
      <x:c r="F233" s="150" t="n">
        <x:v>16</x:v>
      </x:c>
      <x:c r="G233" s="150" t="n">
        <x:v>1</x:v>
      </x:c>
      <x:c r="H233" s="178" t="n">
        <x:v>1182000</x:v>
      </x:c>
      <x:c r="I233" s="163" t="n">
        <x:v>0.05</x:v>
      </x:c>
      <x:c r="J233" s="80" t="n">
        <x:f>H233*(1-I233)</x:f>
        <x:v>1122900</x:v>
      </x:c>
      <x:c r="K233" s="75" t="n">
        <x:f>IF(Portfolio_Par&gt;0,J233/Portfolio_Par,"")</x:f>
        <x:v>0.020143871986222733</x:v>
      </x:c>
      <x:c r="L233" s="150" t="str">
        <x:v>SYN-OB-0031</x:v>
      </x:c>
    </x:row>
    <x:row r="234" ht="39" customHeight="1">
      <x:c r="A234" s="150"/>
      <x:c r="B234" s="150"/>
      <x:c r="C234" s="154" t="str">
        <x:v>alternative_industry</x:v>
      </x:c>
      <x:c r="D234" s="154" t="str">
        <x:v>B+ through CCC-</x:v>
      </x:c>
      <x:c r="E234" s="154" t="str">
        <x:v>Professional Services</x:v>
      </x:c>
      <x:c r="F234" s="150" t="n">
        <x:v>20</x:v>
      </x:c>
      <x:c r="G234" s="150" t="n">
        <x:v>1</x:v>
      </x:c>
      <x:c r="H234" s="178" t="n">
        <x:v>1182000</x:v>
      </x:c>
      <x:c r="I234" s="163" t="n">
        <x:v>0.05</x:v>
      </x:c>
      <x:c r="J234" s="80" t="n">
        <x:f>H234*(1-I234)</x:f>
        <x:v>1122900</x:v>
      </x:c>
      <x:c r="K234" s="75" t="n">
        <x:f>IF(Portfolio_Par&gt;0,J234/Portfolio_Par,"")</x:f>
        <x:v>0.020143871986222733</x:v>
      </x:c>
      <x:c r="L234" s="150" t="str">
        <x:v>SYN-OB-0031</x:v>
      </x:c>
    </x:row>
    <x:row r="235" ht="39" customHeight="1">
      <x:c r="A235" s="150"/>
      <x:c r="B235" s="150"/>
      <x:c r="C235" s="154" t="str">
        <x:v>alternative_industry</x:v>
      </x:c>
      <x:c r="D235" s="154" t="str">
        <x:v>CCC+ through CCC-</x:v>
      </x:c>
      <x:c r="E235" s="154" t="str">
        <x:v>Professional Services</x:v>
      </x:c>
      <x:c r="F235" s="150" t="n">
        <x:v>24</x:v>
      </x:c>
      <x:c r="G235" s="150" t="n">
        <x:v>0</x:v>
      </x:c>
      <x:c r="H235" s="178" t="n">
        <x:v>0</x:v>
      </x:c>
      <x:c r="I235" s="163" t="n">
        <x:v>0.05</x:v>
      </x:c>
      <x:c r="J235" s="80" t="n">
        <x:f>H235*(1-I235)</x:f>
        <x:v>0</x:v>
      </x:c>
      <x:c r="K235" s="75" t="n">
        <x:f>IF(Portfolio_Par&gt;0,J235/Portfolio_Par,"")</x:f>
        <x:v>0</x:v>
      </x:c>
      <x:c r="L235" s="150" t="str"/>
    </x:row>
    <x:row r="236" ht="39" customHeight="1">
      <x:c r="A236" s="150"/>
      <x:c r="B236" s="150"/>
      <x:c r="C236" s="154" t="str">
        <x:v>alternative_industry</x:v>
      </x:c>
      <x:c r="D236" s="154" t="str">
        <x:v>AAA through CCC-</x:v>
      </x:c>
      <x:c r="E236" s="154" t="str">
        <x:v>Semiconductors &amp; Semiconductor Equipment</x:v>
      </x:c>
      <x:c r="F236" s="150" t="n">
        <x:v>4</x:v>
      </x:c>
      <x:c r="G236" s="150" t="n">
        <x:v>3</x:v>
      </x:c>
      <x:c r="H236" s="178" t="n">
        <x:v>3546000</x:v>
      </x:c>
      <x:c r="I236" s="163" t="n">
        <x:v>0.05</x:v>
      </x:c>
      <x:c r="J236" s="80" t="n">
        <x:f>H236*(1-I236)</x:f>
        <x:v>3368700</x:v>
      </x:c>
      <x:c r="K236" s="75" t="n">
        <x:f>IF(Portfolio_Par&gt;0,J236/Portfolio_Par,"")</x:f>
        <x:v>0.060431615958668194</x:v>
      </x:c>
      <x:c r="L236" s="150" t="str">
        <x:v>SYN-OB-0029, SYN-OB-0032, SYN-OB-0042</x:v>
      </x:c>
    </x:row>
    <x:row r="237" ht="39" customHeight="1">
      <x:c r="A237" s="150"/>
      <x:c r="B237" s="150"/>
      <x:c r="C237" s="154" t="str">
        <x:v>alternative_industry</x:v>
      </x:c>
      <x:c r="D237" s="154" t="str">
        <x:v>AA+ through CCC-</x:v>
      </x:c>
      <x:c r="E237" s="154" t="str">
        <x:v>Semiconductors &amp; Semiconductor Equipment</x:v>
      </x:c>
      <x:c r="F237" s="150" t="n">
        <x:v>6</x:v>
      </x:c>
      <x:c r="G237" s="150" t="n">
        <x:v>3</x:v>
      </x:c>
      <x:c r="H237" s="178" t="n">
        <x:v>3546000</x:v>
      </x:c>
      <x:c r="I237" s="163" t="n">
        <x:v>0.05</x:v>
      </x:c>
      <x:c r="J237" s="80" t="n">
        <x:f>H237*(1-I237)</x:f>
        <x:v>3368700</x:v>
      </x:c>
      <x:c r="K237" s="75" t="n">
        <x:f>IF(Portfolio_Par&gt;0,J237/Portfolio_Par,"")</x:f>
        <x:v>0.060431615958668194</x:v>
      </x:c>
      <x:c r="L237" s="150" t="str">
        <x:v>SYN-OB-0029, SYN-OB-0032, SYN-OB-0042</x:v>
      </x:c>
    </x:row>
    <x:row r="238" ht="39" customHeight="1">
      <x:c r="A238" s="150"/>
      <x:c r="B238" s="150"/>
      <x:c r="C238" s="154" t="str">
        <x:v>alternative_industry</x:v>
      </x:c>
      <x:c r="D238" s="154" t="str">
        <x:v>A+ through CCC-</x:v>
      </x:c>
      <x:c r="E238" s="154" t="str">
        <x:v>Semiconductors &amp; Semiconductor Equipment</x:v>
      </x:c>
      <x:c r="F238" s="150" t="n">
        <x:v>8</x:v>
      </x:c>
      <x:c r="G238" s="150" t="n">
        <x:v>3</x:v>
      </x:c>
      <x:c r="H238" s="178" t="n">
        <x:v>3546000</x:v>
      </x:c>
      <x:c r="I238" s="163" t="n">
        <x:v>0.05</x:v>
      </x:c>
      <x:c r="J238" s="80" t="n">
        <x:f>H238*(1-I238)</x:f>
        <x:v>3368700</x:v>
      </x:c>
      <x:c r="K238" s="75" t="n">
        <x:f>IF(Portfolio_Par&gt;0,J238/Portfolio_Par,"")</x:f>
        <x:v>0.060431615958668194</x:v>
      </x:c>
      <x:c r="L238" s="150" t="str">
        <x:v>SYN-OB-0029, SYN-OB-0032, SYN-OB-0042</x:v>
      </x:c>
    </x:row>
    <x:row r="239" ht="39" customHeight="1">
      <x:c r="A239" s="150"/>
      <x:c r="B239" s="150"/>
      <x:c r="C239" s="154" t="str">
        <x:v>alternative_industry</x:v>
      </x:c>
      <x:c r="D239" s="154" t="str">
        <x:v>BBB+ through CCC-</x:v>
      </x:c>
      <x:c r="E239" s="154" t="str">
        <x:v>Semiconductors &amp; Semiconductor Equipment</x:v>
      </x:c>
      <x:c r="F239" s="150" t="n">
        <x:v>12</x:v>
      </x:c>
      <x:c r="G239" s="150" t="n">
        <x:v>3</x:v>
      </x:c>
      <x:c r="H239" s="178" t="n">
        <x:v>3546000</x:v>
      </x:c>
      <x:c r="I239" s="163" t="n">
        <x:v>0.05</x:v>
      </x:c>
      <x:c r="J239" s="80" t="n">
        <x:f>H239*(1-I239)</x:f>
        <x:v>3368700</x:v>
      </x:c>
      <x:c r="K239" s="75" t="n">
        <x:f>IF(Portfolio_Par&gt;0,J239/Portfolio_Par,"")</x:f>
        <x:v>0.060431615958668194</x:v>
      </x:c>
      <x:c r="L239" s="150" t="str">
        <x:v>SYN-OB-0029, SYN-OB-0032, SYN-OB-0042</x:v>
      </x:c>
    </x:row>
    <x:row r="240" ht="39" customHeight="1">
      <x:c r="A240" s="150"/>
      <x:c r="B240" s="150"/>
      <x:c r="C240" s="154" t="str">
        <x:v>alternative_industry</x:v>
      </x:c>
      <x:c r="D240" s="154" t="str">
        <x:v>BB+ through CCC-</x:v>
      </x:c>
      <x:c r="E240" s="154" t="str">
        <x:v>Semiconductors &amp; Semiconductor Equipment</x:v>
      </x:c>
      <x:c r="F240" s="150" t="n">
        <x:v>16</x:v>
      </x:c>
      <x:c r="G240" s="150" t="n">
        <x:v>3</x:v>
      </x:c>
      <x:c r="H240" s="178" t="n">
        <x:v>3546000</x:v>
      </x:c>
      <x:c r="I240" s="163" t="n">
        <x:v>0.05</x:v>
      </x:c>
      <x:c r="J240" s="80" t="n">
        <x:f>H240*(1-I240)</x:f>
        <x:v>3368700</x:v>
      </x:c>
      <x:c r="K240" s="75" t="n">
        <x:f>IF(Portfolio_Par&gt;0,J240/Portfolio_Par,"")</x:f>
        <x:v>0.060431615958668194</x:v>
      </x:c>
      <x:c r="L240" s="150" t="str">
        <x:v>SYN-OB-0029, SYN-OB-0032, SYN-OB-0042</x:v>
      </x:c>
    </x:row>
    <x:row r="241" ht="39" customHeight="1">
      <x:c r="A241" s="150"/>
      <x:c r="B241" s="150"/>
      <x:c r="C241" s="154" t="str">
        <x:v>alternative_industry</x:v>
      </x:c>
      <x:c r="D241" s="154" t="str">
        <x:v>B+ through CCC-</x:v>
      </x:c>
      <x:c r="E241" s="154" t="str">
        <x:v>Semiconductors &amp; Semiconductor Equipment</x:v>
      </x:c>
      <x:c r="F241" s="150" t="n">
        <x:v>20</x:v>
      </x:c>
      <x:c r="G241" s="150" t="n">
        <x:v>3</x:v>
      </x:c>
      <x:c r="H241" s="178" t="n">
        <x:v>3546000</x:v>
      </x:c>
      <x:c r="I241" s="163" t="n">
        <x:v>0.05</x:v>
      </x:c>
      <x:c r="J241" s="80" t="n">
        <x:f>H241*(1-I241)</x:f>
        <x:v>3368700</x:v>
      </x:c>
      <x:c r="K241" s="75" t="n">
        <x:f>IF(Portfolio_Par&gt;0,J241/Portfolio_Par,"")</x:f>
        <x:v>0.060431615958668194</x:v>
      </x:c>
      <x:c r="L241" s="150" t="str">
        <x:v>SYN-OB-0029, SYN-OB-0032, SYN-OB-0042</x:v>
      </x:c>
    </x:row>
    <x:row r="242" ht="39" customHeight="1">
      <x:c r="A242" s="150"/>
      <x:c r="B242" s="150"/>
      <x:c r="C242" s="154" t="str">
        <x:v>alternative_industry</x:v>
      </x:c>
      <x:c r="D242" s="154" t="str">
        <x:v>CCC+ through CCC-</x:v>
      </x:c>
      <x:c r="E242" s="154" t="str">
        <x:v>Semiconductors &amp; Semiconductor Equipment</x:v>
      </x:c>
      <x:c r="F242" s="150" t="n">
        <x:v>24</x:v>
      </x:c>
      <x:c r="G242" s="150" t="n">
        <x:v>0</x:v>
      </x:c>
      <x:c r="H242" s="178" t="n">
        <x:v>0</x:v>
      </x:c>
      <x:c r="I242" s="163" t="n">
        <x:v>0.05</x:v>
      </x:c>
      <x:c r="J242" s="80" t="n">
        <x:f>H242*(1-I242)</x:f>
        <x:v>0</x:v>
      </x:c>
      <x:c r="K242" s="75" t="n">
        <x:f>IF(Portfolio_Par&gt;0,J242/Portfolio_Par,"")</x:f>
        <x:v>0</x:v>
      </x:c>
      <x:c r="L242" s="150" t="str"/>
    </x:row>
    <x:row r="243" ht="39" customHeight="1">
      <x:c r="A243" s="150"/>
      <x:c r="B243" s="150"/>
      <x:c r="C243" s="154" t="str">
        <x:v>alternative_industry</x:v>
      </x:c>
      <x:c r="D243" s="154" t="str">
        <x:v>AAA through CCC-</x:v>
      </x:c>
      <x:c r="E243" s="154" t="str">
        <x:v>Transportation Infrastructure</x:v>
      </x:c>
      <x:c r="F243" s="150" t="n">
        <x:v>4</x:v>
      </x:c>
      <x:c r="G243" s="150" t="n">
        <x:v>1</x:v>
      </x:c>
      <x:c r="H243" s="178" t="n">
        <x:v>1182000</x:v>
      </x:c>
      <x:c r="I243" s="163" t="n">
        <x:v>0.05</x:v>
      </x:c>
      <x:c r="J243" s="80" t="n">
        <x:f>H243*(1-I243)</x:f>
        <x:v>1122900</x:v>
      </x:c>
      <x:c r="K243" s="75" t="n">
        <x:f>IF(Portfolio_Par&gt;0,J243/Portfolio_Par,"")</x:f>
        <x:v>0.020143871986222733</x:v>
      </x:c>
      <x:c r="L243" s="150" t="str">
        <x:v>SYN-OB-0017</x:v>
      </x:c>
    </x:row>
    <x:row r="244" ht="39" customHeight="1">
      <x:c r="A244" s="150"/>
      <x:c r="B244" s="150"/>
      <x:c r="C244" s="154" t="str">
        <x:v>alternative_industry</x:v>
      </x:c>
      <x:c r="D244" s="154" t="str">
        <x:v>AA+ through CCC-</x:v>
      </x:c>
      <x:c r="E244" s="154" t="str">
        <x:v>Transportation Infrastructure</x:v>
      </x:c>
      <x:c r="F244" s="150" t="n">
        <x:v>6</x:v>
      </x:c>
      <x:c r="G244" s="150" t="n">
        <x:v>1</x:v>
      </x:c>
      <x:c r="H244" s="178" t="n">
        <x:v>1182000</x:v>
      </x:c>
      <x:c r="I244" s="163" t="n">
        <x:v>0.05</x:v>
      </x:c>
      <x:c r="J244" s="80" t="n">
        <x:f>H244*(1-I244)</x:f>
        <x:v>1122900</x:v>
      </x:c>
      <x:c r="K244" s="75" t="n">
        <x:f>IF(Portfolio_Par&gt;0,J244/Portfolio_Par,"")</x:f>
        <x:v>0.020143871986222733</x:v>
      </x:c>
      <x:c r="L244" s="150" t="str">
        <x:v>SYN-OB-0017</x:v>
      </x:c>
    </x:row>
    <x:row r="245" ht="39" customHeight="1">
      <x:c r="A245" s="150"/>
      <x:c r="B245" s="150"/>
      <x:c r="C245" s="154" t="str">
        <x:v>alternative_industry</x:v>
      </x:c>
      <x:c r="D245" s="154" t="str">
        <x:v>A+ through CCC-</x:v>
      </x:c>
      <x:c r="E245" s="154" t="str">
        <x:v>Transportation Infrastructure</x:v>
      </x:c>
      <x:c r="F245" s="150" t="n">
        <x:v>8</x:v>
      </x:c>
      <x:c r="G245" s="150" t="n">
        <x:v>1</x:v>
      </x:c>
      <x:c r="H245" s="178" t="n">
        <x:v>1182000</x:v>
      </x:c>
      <x:c r="I245" s="163" t="n">
        <x:v>0.05</x:v>
      </x:c>
      <x:c r="J245" s="80" t="n">
        <x:f>H245*(1-I245)</x:f>
        <x:v>1122900</x:v>
      </x:c>
      <x:c r="K245" s="75" t="n">
        <x:f>IF(Portfolio_Par&gt;0,J245/Portfolio_Par,"")</x:f>
        <x:v>0.020143871986222733</x:v>
      </x:c>
      <x:c r="L245" s="150" t="str">
        <x:v>SYN-OB-0017</x:v>
      </x:c>
    </x:row>
    <x:row r="246" ht="39" customHeight="1">
      <x:c r="A246" s="150"/>
      <x:c r="B246" s="150"/>
      <x:c r="C246" s="154" t="str">
        <x:v>alternative_industry</x:v>
      </x:c>
      <x:c r="D246" s="154" t="str">
        <x:v>BBB+ through CCC-</x:v>
      </x:c>
      <x:c r="E246" s="154" t="str">
        <x:v>Transportation Infrastructure</x:v>
      </x:c>
      <x:c r="F246" s="150" t="n">
        <x:v>12</x:v>
      </x:c>
      <x:c r="G246" s="150" t="n">
        <x:v>1</x:v>
      </x:c>
      <x:c r="H246" s="178" t="n">
        <x:v>1182000</x:v>
      </x:c>
      <x:c r="I246" s="163" t="n">
        <x:v>0.05</x:v>
      </x:c>
      <x:c r="J246" s="80" t="n">
        <x:f>H246*(1-I246)</x:f>
        <x:v>1122900</x:v>
      </x:c>
      <x:c r="K246" s="75" t="n">
        <x:f>IF(Portfolio_Par&gt;0,J246/Portfolio_Par,"")</x:f>
        <x:v>0.020143871986222733</x:v>
      </x:c>
      <x:c r="L246" s="150" t="str">
        <x:v>SYN-OB-0017</x:v>
      </x:c>
    </x:row>
    <x:row r="247" ht="39" customHeight="1">
      <x:c r="A247" s="150"/>
      <x:c r="B247" s="150"/>
      <x:c r="C247" s="154" t="str">
        <x:v>alternative_industry</x:v>
      </x:c>
      <x:c r="D247" s="154" t="str">
        <x:v>BB+ through CCC-</x:v>
      </x:c>
      <x:c r="E247" s="154" t="str">
        <x:v>Transportation Infrastructure</x:v>
      </x:c>
      <x:c r="F247" s="150" t="n">
        <x:v>16</x:v>
      </x:c>
      <x:c r="G247" s="150" t="n">
        <x:v>1</x:v>
      </x:c>
      <x:c r="H247" s="178" t="n">
        <x:v>1182000</x:v>
      </x:c>
      <x:c r="I247" s="163" t="n">
        <x:v>0.05</x:v>
      </x:c>
      <x:c r="J247" s="80" t="n">
        <x:f>H247*(1-I247)</x:f>
        <x:v>1122900</x:v>
      </x:c>
      <x:c r="K247" s="75" t="n">
        <x:f>IF(Portfolio_Par&gt;0,J247/Portfolio_Par,"")</x:f>
        <x:v>0.020143871986222733</x:v>
      </x:c>
      <x:c r="L247" s="150" t="str">
        <x:v>SYN-OB-0017</x:v>
      </x:c>
    </x:row>
    <x:row r="248" ht="39" customHeight="1">
      <x:c r="A248" s="150"/>
      <x:c r="B248" s="150"/>
      <x:c r="C248" s="154" t="str">
        <x:v>alternative_industry</x:v>
      </x:c>
      <x:c r="D248" s="154" t="str">
        <x:v>B+ through CCC-</x:v>
      </x:c>
      <x:c r="E248" s="154" t="str">
        <x:v>Transportation Infrastructure</x:v>
      </x:c>
      <x:c r="F248" s="150" t="n">
        <x:v>20</x:v>
      </x:c>
      <x:c r="G248" s="150" t="n">
        <x:v>1</x:v>
      </x:c>
      <x:c r="H248" s="178" t="n">
        <x:v>1182000</x:v>
      </x:c>
      <x:c r="I248" s="163" t="n">
        <x:v>0.05</x:v>
      </x:c>
      <x:c r="J248" s="80" t="n">
        <x:f>H248*(1-I248)</x:f>
        <x:v>1122900</x:v>
      </x:c>
      <x:c r="K248" s="75" t="n">
        <x:f>IF(Portfolio_Par&gt;0,J248/Portfolio_Par,"")</x:f>
        <x:v>0.020143871986222733</x:v>
      </x:c>
      <x:c r="L248" s="150" t="str">
        <x:v>SYN-OB-0017</x:v>
      </x:c>
    </x:row>
    <x:row r="249" ht="39" customHeight="1">
      <x:c r="A249" s="150"/>
      <x:c r="B249" s="150"/>
      <x:c r="C249" s="154" t="str">
        <x:v>alternative_industry</x:v>
      </x:c>
      <x:c r="D249" s="154" t="str">
        <x:v>CCC+ through CCC-</x:v>
      </x:c>
      <x:c r="E249" s="154" t="str">
        <x:v>Transportation Infrastructure</x:v>
      </x:c>
      <x:c r="F249" s="150" t="n">
        <x:v>24</x:v>
      </x:c>
      <x:c r="G249" s="150" t="n">
        <x:v>0</x:v>
      </x:c>
      <x:c r="H249" s="178" t="n">
        <x:v>0</x:v>
      </x:c>
      <x:c r="I249" s="163" t="n">
        <x:v>0.05</x:v>
      </x:c>
      <x:c r="J249" s="80" t="n">
        <x:f>H249*(1-I249)</x:f>
        <x:v>0</x:v>
      </x:c>
      <x:c r="K249" s="75" t="n">
        <x:f>IF(Portfolio_Par&gt;0,J249/Portfolio_Par,"")</x:f>
        <x:v>0</x:v>
      </x:c>
      <x:c r="L249" s="15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859A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27" hidden="0" customWidth="1"/>
    <x:col min="6" max="6" width="20" hidden="0" customWidth="1"/>
    <x:col min="7" max="7" width="34" hidden="0" customWidth="1"/>
    <x:col min="8" max="8" width="9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>
      <x:c r="A1" s="115" t="str">
        <x:v>Fitch source / assumptions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  <x:c r="U1" s="150"/>
      <x:c r="V1" s="150"/>
      <x:c r="W1" s="150"/>
      <x:c r="X1" s="150"/>
    </x:row>
    <x:row r="2">
      <x:c r="A2" s="64" t="str">
        <x:v>Fitch Facility Inputs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  <x:c r="X2" s="150"/>
    </x:row>
    <x:row r="3">
      <x:c r="A3" s="150" t="str">
        <x:v>CSV source fields: edit the Fitch CSV and rerun with --fitch-inputs. Excel changes here are not imported by --assumptions-from.</x:v>
      </x:c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  <x:c r="T3" s="150"/>
      <x:c r="U3" s="150"/>
      <x:c r="V3" s="150"/>
      <x:c r="W3" s="150"/>
      <x:c r="X3" s="150"/>
    </x:row>
    <x:row r="4">
      <x:c r="A4" s="150" t="str">
        <x:v>Development proxies are labelled by row. Blank recovery or industry is missing information, not a zero assumption.</x:v>
      </x:c>
      <x:c r="B4" s="150"/>
      <x:c r="C4" s="150"/>
      <x:c r="D4" s="150"/>
      <x:c r="E4" s="150"/>
      <x:c r="F4" s="150"/>
      <x:c r="G4" s="150"/>
      <x:c r="H4" s="150"/>
      <x:c r="I4" s="150"/>
      <x:c r="J4" s="150"/>
      <x:c r="K4" s="150"/>
      <x:c r="L4" s="150"/>
      <x:c r="M4" s="150"/>
      <x:c r="N4" s="150"/>
      <x:c r="O4" s="150"/>
      <x:c r="P4" s="150"/>
      <x:c r="Q4" s="150"/>
      <x:c r="R4" s="150"/>
      <x:c r="S4" s="150"/>
      <x:c r="T4" s="150"/>
      <x:c r="U4" s="150"/>
      <x:c r="V4" s="150"/>
      <x:c r="W4" s="150"/>
      <x:c r="X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  <x:c r="T6" s="150"/>
      <x:c r="U6" s="150"/>
      <x:c r="V6" s="150"/>
      <x:c r="W6" s="150"/>
      <x:c r="X6" s="150"/>
    </x:row>
    <x:row r="7" ht="38" customHeight="1">
      <x:c r="A7" s="7" t="str">
        <x:v>Facility ID</x:v>
      </x:c>
      <x:c r="B7" s="7" t="str">
        <x:v>Par (shared)</x:v>
      </x:c>
      <x:c r="C7" s="7" t="str">
        <x:v>Fitch IDR input</x:v>
      </x:c>
      <x:c r="D7" s="7" t="str">
        <x:v>Rating basis</x:v>
      </x:c>
      <x:c r="E7" s="7" t="str">
        <x:v>Fitch industry</x:v>
      </x:c>
      <x:c r="F7" s="7" t="str">
        <x:v>Fitch recovery</x:v>
      </x:c>
      <x:c r="G7" s="7" t="str">
        <x:v>Recovery basis</x:v>
      </x:c>
      <x:c r="H7" s="7" t="str">
        <x:v>Source reference</x:v>
      </x:c>
      <x:c r="I7" s="7" t="str">
        <x:v>Fitch rating factor</x:v>
      </x:c>
      <x:c r="J7" s="7" t="str">
        <x:v>Par × factor</x:v>
      </x:c>
      <x:c r="K7" s="7" t="str">
        <x:v>Par × recovery</x:v>
      </x:c>
      <x:c r="L7" s="7" t="str">
        <x:v>Missing rating par</x:v>
      </x:c>
      <x:c r="M7" s="7" t="str">
        <x:v>Missing recovery par</x:v>
      </x:c>
      <x:c r="N7" s="7" t="str">
        <x:v>Changed cells</x:v>
      </x:c>
      <x:c r="O7" s="7" t="str">
        <x:v>Missing industry par</x:v>
      </x:c>
      <x:c r="P7" s="150"/>
      <x:c r="Q7" s="7" t="str">
        <x:v>Run ID</x:v>
      </x:c>
      <x:c r="R7" s="7" t="str">
        <x:v>Run par</x:v>
      </x:c>
      <x:c r="S7" s="7" t="str">
        <x:v>Run IDR</x:v>
      </x:c>
      <x:c r="T7" s="7" t="str">
        <x:v>Run rating basis</x:v>
      </x:c>
      <x:c r="U7" s="7" t="str">
        <x:v>Run industry</x:v>
      </x:c>
      <x:c r="V7" s="7" t="str">
        <x:v>Run recovery</x:v>
      </x:c>
      <x:c r="W7" s="7" t="str">
        <x:v>Run recovery basis</x:v>
      </x:c>
      <x:c r="X7" s="7" t="str">
        <x:v>Run reference</x:v>
      </x:c>
    </x:row>
    <x:row r="8" ht="107" customHeight="1">
      <x:c r="A8" s="179" t="str">
        <x:v>SYN-LN-00001</x:v>
      </x:c>
      <x:c r="B8" s="180" t="n">
        <x:f>IF(A8="","",SUMIF('Portfolio Inputs'!A8:A59,A8,'Portfolio Inputs'!D8:D59))</x:f>
        <x:v>1182000</x:v>
      </x:c>
      <x:c r="C8" s="179" t="str">
        <x:v>BB-</x:v>
      </x:c>
      <x:c r="D8" s="181" t="str">
        <x:v>development_proxy</x:v>
      </x:c>
      <x:c r="E8" s="181" t="str"/>
      <x:c r="F8" s="182" t="n">
        <x:v>0.75</x:v>
      </x:c>
      <x:c r="G8" s="181" t="str">
        <x:v>development_assumption</x:v>
      </x:c>
      <x:c r="H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" s="183" t="n">
        <x:f>IF(AND(C8&lt;&gt;"",OR(D8="public_fitch_idr",D8="reviewed_appendix5_equivalent",D8="development_proxy"),H8&lt;&gt;""),VLOOKUP(C8,Fitch_WARF_Factors,2,FALSE),"")</x:f>
        <x:v>15.733</x:v>
      </x:c>
      <x:c r="J8" s="184" t="n">
        <x:f>IF(ISNUMBER(I8),B8*I8,0)</x:f>
        <x:v>18596406</x:v>
      </x:c>
      <x:c r="K8" s="184" t="n">
        <x:f>IF(AND(A8&lt;&gt;"",M8=0),B8*F8,0)</x:f>
        <x:v>886500</x:v>
      </x:c>
      <x:c r="L8" s="184" t="n">
        <x:f>IF(A8="",0,IF(ISNUMBER(I8),0,B8))</x:f>
        <x:v>0</x:v>
      </x:c>
      <x:c r="M8" s="185" t="n">
        <x:f>IF(A8="",0,IF(AND(ISNUMBER(F8),F8&gt;=0,F8&lt;=1,OR(G8="fitch_issue_recovery_estimate",G8="fitch_issue_recovery_rating",G8="reviewed_bbsf_fallback",G8="development_assumption"),H8&lt;&gt;""),0,B8))</x:f>
        <x:v>0</x:v>
      </x:c>
      <x:c r="N8" s="186" t="n">
        <x:f>IF(A8=Q8,0,1)+IF(B8=R8,0,1)+IF(C8=S8,0,1)+IF(D8=T8,0,1)+IF(E8=U8,0,1)+IF(F8=V8,0,1)+IF(G8=W8,0,1)+IF(H8=X8,0,1)</x:f>
        <x:v>0</x:v>
      </x:c>
      <x:c r="O8" s="186" t="n">
        <x:f>IF(A8="",0,IF(E8="",B8,0))</x:f>
        <x:v>1182000</x:v>
      </x:c>
      <x:c r="P8" s="187"/>
      <x:c r="Q8" s="179" t="str">
        <x:v>SYN-LN-00001</x:v>
      </x:c>
      <x:c r="R8" s="179" t="n">
        <x:v>1182000</x:v>
      </x:c>
      <x:c r="S8" s="179" t="str">
        <x:v>BB-</x:v>
      </x:c>
      <x:c r="T8" s="179" t="str">
        <x:v>development_proxy</x:v>
      </x:c>
      <x:c r="U8" s="179" t="str"/>
      <x:c r="V8" s="179" t="n">
        <x:v>0.75</x:v>
      </x:c>
      <x:c r="W8" s="179" t="str">
        <x:v>development_assumption</x:v>
      </x:c>
      <x:c r="X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" ht="107" customHeight="1">
      <x:c r="A9" s="179" t="str">
        <x:v>SYN-LN-00002</x:v>
      </x:c>
      <x:c r="B9" s="180" t="n">
        <x:f>IF(A9="","",SUMIF('Portfolio Inputs'!A8:A59,A9,'Portfolio Inputs'!D8:D59))</x:f>
        <x:v>586000</x:v>
      </x:c>
      <x:c r="C9" s="179" t="str">
        <x:v>BBB</x:v>
      </x:c>
      <x:c r="D9" s="181" t="str">
        <x:v>development_proxy</x:v>
      </x:c>
      <x:c r="E9" s="181" t="str"/>
      <x:c r="F9" s="182"/>
      <x:c r="G9" s="181" t="str"/>
      <x:c r="H9" s="181" t="str">
        <x:v>FICTIONAL DEVELOPMENT: copied S&amp;P symbol as Fitch IDR-equivalency proxy; no Fitch rating or Appendix 5 review.</x:v>
      </x:c>
      <x:c r="I9" s="183" t="n">
        <x:f>IF(AND(C9&lt;&gt;"",OR(D9="public_fitch_idr",D9="reviewed_appendix5_equivalent",D9="development_proxy"),H9&lt;&gt;""),VLOOKUP(C9,Fitch_WARF_Factors,2,FALSE),"")</x:f>
        <x:v>3.162</x:v>
      </x:c>
      <x:c r="J9" s="184" t="n">
        <x:f>IF(ISNUMBER(I9),B9*I9,0)</x:f>
        <x:v>1852932</x:v>
      </x:c>
      <x:c r="K9" s="184" t="n">
        <x:f>IF(AND(A9&lt;&gt;"",M9=0),B9*F9,0)</x:f>
        <x:v>0</x:v>
      </x:c>
      <x:c r="L9" s="184" t="n">
        <x:f>IF(A9="",0,IF(ISNUMBER(I9),0,B9))</x:f>
        <x:v>0</x:v>
      </x:c>
      <x:c r="M9" s="185" t="n">
        <x:f>IF(A9="",0,IF(AND(ISNUMBER(F9),F9&gt;=0,F9&lt;=1,OR(G9="fitch_issue_recovery_estimate",G9="fitch_issue_recovery_rating",G9="reviewed_bbsf_fallback",G9="development_assumption"),H9&lt;&gt;""),0,B9))</x:f>
        <x:v>586000</x:v>
      </x:c>
      <x:c r="N9" s="186" t="n">
        <x:f>IF(A9=Q9,0,1)+IF(B9=R9,0,1)+IF(C9=S9,0,1)+IF(D9=T9,0,1)+IF(E9=U9,0,1)+IF(F9=V9,0,1)+IF(G9=W9,0,1)+IF(H9=X9,0,1)</x:f>
        <x:v>0</x:v>
      </x:c>
      <x:c r="O9" s="186" t="n">
        <x:f>IF(A9="",0,IF(E9="",B9,0))</x:f>
        <x:v>586000</x:v>
      </x:c>
      <x:c r="P9" s="187"/>
      <x:c r="Q9" s="179" t="str">
        <x:v>SYN-LN-00002</x:v>
      </x:c>
      <x:c r="R9" s="179" t="n">
        <x:v>586000</x:v>
      </x:c>
      <x:c r="S9" s="179" t="str">
        <x:v>BBB</x:v>
      </x:c>
      <x:c r="T9" s="179" t="str">
        <x:v>development_proxy</x:v>
      </x:c>
      <x:c r="U9" s="179" t="str"/>
      <x:c r="V9" s="179"/>
      <x:c r="W9" s="179" t="str"/>
      <x:c r="X9" s="179" t="str">
        <x:v>FICTIONAL DEVELOPMENT: copied S&amp;P symbol as Fitch IDR-equivalency proxy; no Fitch rating or Appendix 5 review.</x:v>
      </x:c>
    </x:row>
    <x:row r="10" ht="107" customHeight="1">
      <x:c r="A10" s="179" t="str">
        <x:v>SYN-LN-00003</x:v>
      </x:c>
      <x:c r="B10" s="180" t="n">
        <x:f>IF(A10="","",SUMIF('Portfolio Inputs'!A8:A59,A10,'Portfolio Inputs'!D8:D59))</x:f>
        <x:v>1182000</x:v>
      </x:c>
      <x:c r="C10" s="179" t="str">
        <x:v>B</x:v>
      </x:c>
      <x:c r="D10" s="181" t="str">
        <x:v>development_proxy</x:v>
      </x:c>
      <x:c r="E10" s="181" t="str"/>
      <x:c r="F10" s="182" t="n">
        <x:v>0.75</x:v>
      </x:c>
      <x:c r="G10" s="181" t="str">
        <x:v>development_assumption</x:v>
      </x:c>
      <x:c r="H1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" s="183" t="n">
        <x:f>IF(AND(C10&lt;&gt;"",OR(D10="public_fitch_idr",D10="reviewed_appendix5_equivalent",D10="development_proxy"),H10&lt;&gt;""),VLOOKUP(C10,Fitch_WARF_Factors,2,FALSE),"")</x:f>
        <x:v>23.671</x:v>
      </x:c>
      <x:c r="J10" s="184" t="n">
        <x:f>IF(ISNUMBER(I10),B10*I10,0)</x:f>
        <x:v>27979122</x:v>
      </x:c>
      <x:c r="K10" s="184" t="n">
        <x:f>IF(AND(A10&lt;&gt;"",M10=0),B10*F10,0)</x:f>
        <x:v>886500</x:v>
      </x:c>
      <x:c r="L10" s="184" t="n">
        <x:f>IF(A10="",0,IF(ISNUMBER(I10),0,B10))</x:f>
        <x:v>0</x:v>
      </x:c>
      <x:c r="M10" s="185" t="n">
        <x:f>IF(A10="",0,IF(AND(ISNUMBER(F10),F10&gt;=0,F10&lt;=1,OR(G10="fitch_issue_recovery_estimate",G10="fitch_issue_recovery_rating",G10="reviewed_bbsf_fallback",G10="development_assumption"),H10&lt;&gt;""),0,B10))</x:f>
        <x:v>0</x:v>
      </x:c>
      <x:c r="N10" s="186" t="n">
        <x:f>IF(A10=Q10,0,1)+IF(B10=R10,0,1)+IF(C10=S10,0,1)+IF(D10=T10,0,1)+IF(E10=U10,0,1)+IF(F10=V10,0,1)+IF(G10=W10,0,1)+IF(H10=X10,0,1)</x:f>
        <x:v>0</x:v>
      </x:c>
      <x:c r="O10" s="186" t="n">
        <x:f>IF(A10="",0,IF(E10="",B10,0))</x:f>
        <x:v>1182000</x:v>
      </x:c>
      <x:c r="P10" s="187"/>
      <x:c r="Q10" s="179" t="str">
        <x:v>SYN-LN-00003</x:v>
      </x:c>
      <x:c r="R10" s="179" t="n">
        <x:v>1182000</x:v>
      </x:c>
      <x:c r="S10" s="179" t="str">
        <x:v>B</x:v>
      </x:c>
      <x:c r="T10" s="179" t="str">
        <x:v>development_proxy</x:v>
      </x:c>
      <x:c r="U10" s="179" t="str"/>
      <x:c r="V10" s="179" t="n">
        <x:v>0.75</x:v>
      </x:c>
      <x:c r="W10" s="179" t="str">
        <x:v>development_assumption</x:v>
      </x:c>
      <x:c r="X1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" ht="107" customHeight="1">
      <x:c r="A11" s="179" t="str">
        <x:v>SYN-LN-00004</x:v>
      </x:c>
      <x:c r="B11" s="180" t="n">
        <x:f>IF(A11="","",SUMIF('Portfolio Inputs'!A8:A59,A11,'Portfolio Inputs'!D8:D59))</x:f>
        <x:v>1182000</x:v>
      </x:c>
      <x:c r="C11" s="179" t="str">
        <x:v>B-</x:v>
      </x:c>
      <x:c r="D11" s="181" t="str">
        <x:v>development_proxy</x:v>
      </x:c>
      <x:c r="E11" s="181" t="str"/>
      <x:c r="F11" s="182" t="n">
        <x:v>0.75</x:v>
      </x:c>
      <x:c r="G11" s="181" t="str">
        <x:v>development_assumption</x:v>
      </x:c>
      <x:c r="H1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" s="183" t="n">
        <x:f>IF(AND(C11&lt;&gt;"",OR(D11="public_fitch_idr",D11="reviewed_appendix5_equivalent",D11="development_proxy"),H11&lt;&gt;""),VLOOKUP(C11,Fitch_WARF_Factors,2,FALSE),"")</x:f>
        <x:v>32.221</x:v>
      </x:c>
      <x:c r="J11" s="184" t="n">
        <x:f>IF(ISNUMBER(I11),B11*I11,0)</x:f>
        <x:v>38085221.99999999</x:v>
      </x:c>
      <x:c r="K11" s="184" t="n">
        <x:f>IF(AND(A11&lt;&gt;"",M11=0),B11*F11,0)</x:f>
        <x:v>886500</x:v>
      </x:c>
      <x:c r="L11" s="184" t="n">
        <x:f>IF(A11="",0,IF(ISNUMBER(I11),0,B11))</x:f>
        <x:v>0</x:v>
      </x:c>
      <x:c r="M11" s="185" t="n">
        <x:f>IF(A11="",0,IF(AND(ISNUMBER(F11),F11&gt;=0,F11&lt;=1,OR(G11="fitch_issue_recovery_estimate",G11="fitch_issue_recovery_rating",G11="reviewed_bbsf_fallback",G11="development_assumption"),H11&lt;&gt;""),0,B11))</x:f>
        <x:v>0</x:v>
      </x:c>
      <x:c r="N11" s="186" t="n">
        <x:f>IF(A11=Q11,0,1)+IF(B11=R11,0,1)+IF(C11=S11,0,1)+IF(D11=T11,0,1)+IF(E11=U11,0,1)+IF(F11=V11,0,1)+IF(G11=W11,0,1)+IF(H11=X11,0,1)</x:f>
        <x:v>0</x:v>
      </x:c>
      <x:c r="O11" s="186" t="n">
        <x:f>IF(A11="",0,IF(E11="",B11,0))</x:f>
        <x:v>1182000</x:v>
      </x:c>
      <x:c r="P11" s="187"/>
      <x:c r="Q11" s="179" t="str">
        <x:v>SYN-LN-00004</x:v>
      </x:c>
      <x:c r="R11" s="179" t="n">
        <x:v>1182000</x:v>
      </x:c>
      <x:c r="S11" s="179" t="str">
        <x:v>B-</x:v>
      </x:c>
      <x:c r="T11" s="179" t="str">
        <x:v>development_proxy</x:v>
      </x:c>
      <x:c r="U11" s="179" t="str"/>
      <x:c r="V11" s="179" t="n">
        <x:v>0.75</x:v>
      </x:c>
      <x:c r="W11" s="179" t="str">
        <x:v>development_assumption</x:v>
      </x:c>
      <x:c r="X1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" ht="107" customHeight="1">
      <x:c r="A12" s="179" t="str">
        <x:v>SYN-LN-00005</x:v>
      </x:c>
      <x:c r="B12" s="180" t="n">
        <x:f>IF(A12="","",SUMIF('Portfolio Inputs'!A8:A59,A12,'Portfolio Inputs'!D8:D59))</x:f>
        <x:v>1182000</x:v>
      </x:c>
      <x:c r="C12" s="179" t="str">
        <x:v>B</x:v>
      </x:c>
      <x:c r="D12" s="181" t="str">
        <x:v>development_proxy</x:v>
      </x:c>
      <x:c r="E12" s="181" t="str"/>
      <x:c r="F12" s="182" t="n">
        <x:v>0.75</x:v>
      </x:c>
      <x:c r="G12" s="181" t="str">
        <x:v>development_assumption</x:v>
      </x:c>
      <x:c r="H1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" s="183" t="n">
        <x:f>IF(AND(C12&lt;&gt;"",OR(D12="public_fitch_idr",D12="reviewed_appendix5_equivalent",D12="development_proxy"),H12&lt;&gt;""),VLOOKUP(C12,Fitch_WARF_Factors,2,FALSE),"")</x:f>
        <x:v>23.671</x:v>
      </x:c>
      <x:c r="J12" s="184" t="n">
        <x:f>IF(ISNUMBER(I12),B12*I12,0)</x:f>
        <x:v>27979122</x:v>
      </x:c>
      <x:c r="K12" s="184" t="n">
        <x:f>IF(AND(A12&lt;&gt;"",M12=0),B12*F12,0)</x:f>
        <x:v>886500</x:v>
      </x:c>
      <x:c r="L12" s="184" t="n">
        <x:f>IF(A12="",0,IF(ISNUMBER(I12),0,B12))</x:f>
        <x:v>0</x:v>
      </x:c>
      <x:c r="M12" s="185" t="n">
        <x:f>IF(A12="",0,IF(AND(ISNUMBER(F12),F12&gt;=0,F12&lt;=1,OR(G12="fitch_issue_recovery_estimate",G12="fitch_issue_recovery_rating",G12="reviewed_bbsf_fallback",G12="development_assumption"),H12&lt;&gt;""),0,B12))</x:f>
        <x:v>0</x:v>
      </x:c>
      <x:c r="N12" s="186" t="n">
        <x:f>IF(A12=Q12,0,1)+IF(B12=R12,0,1)+IF(C12=S12,0,1)+IF(D12=T12,0,1)+IF(E12=U12,0,1)+IF(F12=V12,0,1)+IF(G12=W12,0,1)+IF(H12=X12,0,1)</x:f>
        <x:v>0</x:v>
      </x:c>
      <x:c r="O12" s="186" t="n">
        <x:f>IF(A12="",0,IF(E12="",B12,0))</x:f>
        <x:v>1182000</x:v>
      </x:c>
      <x:c r="P12" s="187"/>
      <x:c r="Q12" s="179" t="str">
        <x:v>SYN-LN-00005</x:v>
      </x:c>
      <x:c r="R12" s="179" t="n">
        <x:v>1182000</x:v>
      </x:c>
      <x:c r="S12" s="179" t="str">
        <x:v>B</x:v>
      </x:c>
      <x:c r="T12" s="179" t="str">
        <x:v>development_proxy</x:v>
      </x:c>
      <x:c r="U12" s="179" t="str"/>
      <x:c r="V12" s="179" t="n">
        <x:v>0.75</x:v>
      </x:c>
      <x:c r="W12" s="179" t="str">
        <x:v>development_assumption</x:v>
      </x:c>
      <x:c r="X1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" ht="107" customHeight="1">
      <x:c r="A13" s="179" t="str">
        <x:v>SYN-LN-00006</x:v>
      </x:c>
      <x:c r="B13" s="180" t="n">
        <x:f>IF(A13="","",SUMIF('Portfolio Inputs'!A8:A59,A13,'Portfolio Inputs'!D8:D59))</x:f>
        <x:v>1182000</x:v>
      </x:c>
      <x:c r="C13" s="179" t="str">
        <x:v>B</x:v>
      </x:c>
      <x:c r="D13" s="181" t="str">
        <x:v>development_proxy</x:v>
      </x:c>
      <x:c r="E13" s="181" t="str"/>
      <x:c r="F13" s="182" t="n">
        <x:v>0.75</x:v>
      </x:c>
      <x:c r="G13" s="181" t="str">
        <x:v>development_assumption</x:v>
      </x:c>
      <x:c r="H1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" s="183" t="n">
        <x:f>IF(AND(C13&lt;&gt;"",OR(D13="public_fitch_idr",D13="reviewed_appendix5_equivalent",D13="development_proxy"),H13&lt;&gt;""),VLOOKUP(C13,Fitch_WARF_Factors,2,FALSE),"")</x:f>
        <x:v>23.671</x:v>
      </x:c>
      <x:c r="J13" s="184" t="n">
        <x:f>IF(ISNUMBER(I13),B13*I13,0)</x:f>
        <x:v>27979122</x:v>
      </x:c>
      <x:c r="K13" s="184" t="n">
        <x:f>IF(AND(A13&lt;&gt;"",M13=0),B13*F13,0)</x:f>
        <x:v>886500</x:v>
      </x:c>
      <x:c r="L13" s="184" t="n">
        <x:f>IF(A13="",0,IF(ISNUMBER(I13),0,B13))</x:f>
        <x:v>0</x:v>
      </x:c>
      <x:c r="M13" s="185" t="n">
        <x:f>IF(A13="",0,IF(AND(ISNUMBER(F13),F13&gt;=0,F13&lt;=1,OR(G13="fitch_issue_recovery_estimate",G13="fitch_issue_recovery_rating",G13="reviewed_bbsf_fallback",G13="development_assumption"),H13&lt;&gt;""),0,B13))</x:f>
        <x:v>0</x:v>
      </x:c>
      <x:c r="N13" s="186" t="n">
        <x:f>IF(A13=Q13,0,1)+IF(B13=R13,0,1)+IF(C13=S13,0,1)+IF(D13=T13,0,1)+IF(E13=U13,0,1)+IF(F13=V13,0,1)+IF(G13=W13,0,1)+IF(H13=X13,0,1)</x:f>
        <x:v>0</x:v>
      </x:c>
      <x:c r="O13" s="186" t="n">
        <x:f>IF(A13="",0,IF(E13="",B13,0))</x:f>
        <x:v>1182000</x:v>
      </x:c>
      <x:c r="P13" s="187"/>
      <x:c r="Q13" s="179" t="str">
        <x:v>SYN-LN-00006</x:v>
      </x:c>
      <x:c r="R13" s="179" t="n">
        <x:v>1182000</x:v>
      </x:c>
      <x:c r="S13" s="179" t="str">
        <x:v>B</x:v>
      </x:c>
      <x:c r="T13" s="179" t="str">
        <x:v>development_proxy</x:v>
      </x:c>
      <x:c r="U13" s="179" t="str"/>
      <x:c r="V13" s="179" t="n">
        <x:v>0.75</x:v>
      </x:c>
      <x:c r="W13" s="179" t="str">
        <x:v>development_assumption</x:v>
      </x:c>
      <x:c r="X1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" ht="107" customHeight="1">
      <x:c r="A14" s="179" t="str">
        <x:v>SYN-LN-00007</x:v>
      </x:c>
      <x:c r="B14" s="180" t="n">
        <x:f>IF(A14="","",SUMIF('Portfolio Inputs'!A8:A59,A14,'Portfolio Inputs'!D8:D59))</x:f>
        <x:v>1182000</x:v>
      </x:c>
      <x:c r="C14" s="179" t="str">
        <x:v>B</x:v>
      </x:c>
      <x:c r="D14" s="181" t="str">
        <x:v>development_proxy</x:v>
      </x:c>
      <x:c r="E14" s="181" t="str"/>
      <x:c r="F14" s="182" t="n">
        <x:v>0.75</x:v>
      </x:c>
      <x:c r="G14" s="181" t="str">
        <x:v>development_assumption</x:v>
      </x:c>
      <x:c r="H1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" s="183" t="n">
        <x:f>IF(AND(C14&lt;&gt;"",OR(D14="public_fitch_idr",D14="reviewed_appendix5_equivalent",D14="development_proxy"),H14&lt;&gt;""),VLOOKUP(C14,Fitch_WARF_Factors,2,FALSE),"")</x:f>
        <x:v>23.671</x:v>
      </x:c>
      <x:c r="J14" s="184" t="n">
        <x:f>IF(ISNUMBER(I14),B14*I14,0)</x:f>
        <x:v>27979122</x:v>
      </x:c>
      <x:c r="K14" s="184" t="n">
        <x:f>IF(AND(A14&lt;&gt;"",M14=0),B14*F14,0)</x:f>
        <x:v>886500</x:v>
      </x:c>
      <x:c r="L14" s="184" t="n">
        <x:f>IF(A14="",0,IF(ISNUMBER(I14),0,B14))</x:f>
        <x:v>0</x:v>
      </x:c>
      <x:c r="M14" s="185" t="n">
        <x:f>IF(A14="",0,IF(AND(ISNUMBER(F14),F14&gt;=0,F14&lt;=1,OR(G14="fitch_issue_recovery_estimate",G14="fitch_issue_recovery_rating",G14="reviewed_bbsf_fallback",G14="development_assumption"),H14&lt;&gt;""),0,B14))</x:f>
        <x:v>0</x:v>
      </x:c>
      <x:c r="N14" s="186" t="n">
        <x:f>IF(A14=Q14,0,1)+IF(B14=R14,0,1)+IF(C14=S14,0,1)+IF(D14=T14,0,1)+IF(E14=U14,0,1)+IF(F14=V14,0,1)+IF(G14=W14,0,1)+IF(H14=X14,0,1)</x:f>
        <x:v>0</x:v>
      </x:c>
      <x:c r="O14" s="186" t="n">
        <x:f>IF(A14="",0,IF(E14="",B14,0))</x:f>
        <x:v>1182000</x:v>
      </x:c>
      <x:c r="P14" s="187"/>
      <x:c r="Q14" s="179" t="str">
        <x:v>SYN-LN-00007</x:v>
      </x:c>
      <x:c r="R14" s="179" t="n">
        <x:v>1182000</x:v>
      </x:c>
      <x:c r="S14" s="179" t="str">
        <x:v>B</x:v>
      </x:c>
      <x:c r="T14" s="179" t="str">
        <x:v>development_proxy</x:v>
      </x:c>
      <x:c r="U14" s="179" t="str"/>
      <x:c r="V14" s="179" t="n">
        <x:v>0.75</x:v>
      </x:c>
      <x:c r="W14" s="179" t="str">
        <x:v>development_assumption</x:v>
      </x:c>
      <x:c r="X1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" ht="107" customHeight="1">
      <x:c r="A15" s="179" t="str">
        <x:v>SYN-LN-00008</x:v>
      </x:c>
      <x:c r="B15" s="180" t="n">
        <x:f>IF(A15="","",SUMIF('Portfolio Inputs'!A8:A59,A15,'Portfolio Inputs'!D8:D59))</x:f>
        <x:v>1182000</x:v>
      </x:c>
      <x:c r="C15" s="179" t="str">
        <x:v>B+</x:v>
      </x:c>
      <x:c r="D15" s="181" t="str">
        <x:v>development_proxy</x:v>
      </x:c>
      <x:c r="E15" s="181" t="str"/>
      <x:c r="F15" s="182" t="n">
        <x:v>0.75</x:v>
      </x:c>
      <x:c r="G15" s="181" t="str">
        <x:v>development_assumption</x:v>
      </x:c>
      <x:c r="H1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" s="183" t="n">
        <x:f>IF(AND(C15&lt;&gt;"",OR(D15="public_fitch_idr",D15="reviewed_appendix5_equivalent",D15="development_proxy"),H15&lt;&gt;""),VLOOKUP(C15,Fitch_WARF_Factors,2,FALSE),"")</x:f>
        <x:v>19.627</x:v>
      </x:c>
      <x:c r="J15" s="184" t="n">
        <x:f>IF(ISNUMBER(I15),B15*I15,0)</x:f>
        <x:v>23199114</x:v>
      </x:c>
      <x:c r="K15" s="184" t="n">
        <x:f>IF(AND(A15&lt;&gt;"",M15=0),B15*F15,0)</x:f>
        <x:v>886500</x:v>
      </x:c>
      <x:c r="L15" s="184" t="n">
        <x:f>IF(A15="",0,IF(ISNUMBER(I15),0,B15))</x:f>
        <x:v>0</x:v>
      </x:c>
      <x:c r="M15" s="185" t="n">
        <x:f>IF(A15="",0,IF(AND(ISNUMBER(F15),F15&gt;=0,F15&lt;=1,OR(G15="fitch_issue_recovery_estimate",G15="fitch_issue_recovery_rating",G15="reviewed_bbsf_fallback",G15="development_assumption"),H15&lt;&gt;""),0,B15))</x:f>
        <x:v>0</x:v>
      </x:c>
      <x:c r="N15" s="186" t="n">
        <x:f>IF(A15=Q15,0,1)+IF(B15=R15,0,1)+IF(C15=S15,0,1)+IF(D15=T15,0,1)+IF(E15=U15,0,1)+IF(F15=V15,0,1)+IF(G15=W15,0,1)+IF(H15=X15,0,1)</x:f>
        <x:v>0</x:v>
      </x:c>
      <x:c r="O15" s="186" t="n">
        <x:f>IF(A15="",0,IF(E15="",B15,0))</x:f>
        <x:v>1182000</x:v>
      </x:c>
      <x:c r="P15" s="187"/>
      <x:c r="Q15" s="179" t="str">
        <x:v>SYN-LN-00008</x:v>
      </x:c>
      <x:c r="R15" s="179" t="n">
        <x:v>1182000</x:v>
      </x:c>
      <x:c r="S15" s="179" t="str">
        <x:v>B+</x:v>
      </x:c>
      <x:c r="T15" s="179" t="str">
        <x:v>development_proxy</x:v>
      </x:c>
      <x:c r="U15" s="179" t="str"/>
      <x:c r="V15" s="179" t="n">
        <x:v>0.75</x:v>
      </x:c>
      <x:c r="W15" s="179" t="str">
        <x:v>development_assumption</x:v>
      </x:c>
      <x:c r="X1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" ht="107" customHeight="1">
      <x:c r="A16" s="179" t="str">
        <x:v>SYN-LN-00009</x:v>
      </x:c>
      <x:c r="B16" s="180" t="n">
        <x:f>IF(A16="","",SUMIF('Portfolio Inputs'!A8:A59,A16,'Portfolio Inputs'!D8:D59))</x:f>
        <x:v>1182000</x:v>
      </x:c>
      <x:c r="C16" s="179" t="str">
        <x:v>BB-</x:v>
      </x:c>
      <x:c r="D16" s="181" t="str">
        <x:v>development_proxy</x:v>
      </x:c>
      <x:c r="E16" s="181" t="str"/>
      <x:c r="F16" s="182" t="n">
        <x:v>0.75</x:v>
      </x:c>
      <x:c r="G16" s="181" t="str">
        <x:v>development_assumption</x:v>
      </x:c>
      <x:c r="H1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" s="183" t="n">
        <x:f>IF(AND(C16&lt;&gt;"",OR(D16="public_fitch_idr",D16="reviewed_appendix5_equivalent",D16="development_proxy"),H16&lt;&gt;""),VLOOKUP(C16,Fitch_WARF_Factors,2,FALSE),"")</x:f>
        <x:v>15.733</x:v>
      </x:c>
      <x:c r="J16" s="184" t="n">
        <x:f>IF(ISNUMBER(I16),B16*I16,0)</x:f>
        <x:v>18596406</x:v>
      </x:c>
      <x:c r="K16" s="184" t="n">
        <x:f>IF(AND(A16&lt;&gt;"",M16=0),B16*F16,0)</x:f>
        <x:v>886500</x:v>
      </x:c>
      <x:c r="L16" s="184" t="n">
        <x:f>IF(A16="",0,IF(ISNUMBER(I16),0,B16))</x:f>
        <x:v>0</x:v>
      </x:c>
      <x:c r="M16" s="185" t="n">
        <x:f>IF(A16="",0,IF(AND(ISNUMBER(F16),F16&gt;=0,F16&lt;=1,OR(G16="fitch_issue_recovery_estimate",G16="fitch_issue_recovery_rating",G16="reviewed_bbsf_fallback",G16="development_assumption"),H16&lt;&gt;""),0,B16))</x:f>
        <x:v>0</x:v>
      </x:c>
      <x:c r="N16" s="186" t="n">
        <x:f>IF(A16=Q16,0,1)+IF(B16=R16,0,1)+IF(C16=S16,0,1)+IF(D16=T16,0,1)+IF(E16=U16,0,1)+IF(F16=V16,0,1)+IF(G16=W16,0,1)+IF(H16=X16,0,1)</x:f>
        <x:v>0</x:v>
      </x:c>
      <x:c r="O16" s="186" t="n">
        <x:f>IF(A16="",0,IF(E16="",B16,0))</x:f>
        <x:v>1182000</x:v>
      </x:c>
      <x:c r="P16" s="187"/>
      <x:c r="Q16" s="179" t="str">
        <x:v>SYN-LN-00009</x:v>
      </x:c>
      <x:c r="R16" s="179" t="n">
        <x:v>1182000</x:v>
      </x:c>
      <x:c r="S16" s="179" t="str">
        <x:v>BB-</x:v>
      </x:c>
      <x:c r="T16" s="179" t="str">
        <x:v>development_proxy</x:v>
      </x:c>
      <x:c r="U16" s="179" t="str"/>
      <x:c r="V16" s="179" t="n">
        <x:v>0.75</x:v>
      </x:c>
      <x:c r="W16" s="179" t="str">
        <x:v>development_assumption</x:v>
      </x:c>
      <x:c r="X1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" ht="107" customHeight="1">
      <x:c r="A17" s="179" t="str">
        <x:v>SYN-LN-00010</x:v>
      </x:c>
      <x:c r="B17" s="180" t="n">
        <x:f>IF(A17="","",SUMIF('Portfolio Inputs'!A8:A59,A17,'Portfolio Inputs'!D8:D59))</x:f>
        <x:v>1182000</x:v>
      </x:c>
      <x:c r="C17" s="179" t="str">
        <x:v>BB</x:v>
      </x:c>
      <x:c r="D17" s="181" t="str">
        <x:v>development_proxy</x:v>
      </x:c>
      <x:c r="E17" s="181" t="str"/>
      <x:c r="F17" s="182" t="n">
        <x:v>0.75</x:v>
      </x:c>
      <x:c r="G17" s="181" t="str">
        <x:v>development_assumption</x:v>
      </x:c>
      <x:c r="H1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" s="183" t="n">
        <x:f>IF(AND(C17&lt;&gt;"",OR(D17="public_fitch_idr",D17="reviewed_appendix5_equivalent",D17="development_proxy"),H17&lt;&gt;""),VLOOKUP(C17,Fitch_WARF_Factors,2,FALSE),"")</x:f>
        <x:v>11.844</x:v>
      </x:c>
      <x:c r="J17" s="184" t="n">
        <x:f>IF(ISNUMBER(I17),B17*I17,0)</x:f>
        <x:v>13999608</x:v>
      </x:c>
      <x:c r="K17" s="184" t="n">
        <x:f>IF(AND(A17&lt;&gt;"",M17=0),B17*F17,0)</x:f>
        <x:v>886500</x:v>
      </x:c>
      <x:c r="L17" s="184" t="n">
        <x:f>IF(A17="",0,IF(ISNUMBER(I17),0,B17))</x:f>
        <x:v>0</x:v>
      </x:c>
      <x:c r="M17" s="185" t="n">
        <x:f>IF(A17="",0,IF(AND(ISNUMBER(F17),F17&gt;=0,F17&lt;=1,OR(G17="fitch_issue_recovery_estimate",G17="fitch_issue_recovery_rating",G17="reviewed_bbsf_fallback",G17="development_assumption"),H17&lt;&gt;""),0,B17))</x:f>
        <x:v>0</x:v>
      </x:c>
      <x:c r="N17" s="186" t="n">
        <x:f>IF(A17=Q17,0,1)+IF(B17=R17,0,1)+IF(C17=S17,0,1)+IF(D17=T17,0,1)+IF(E17=U17,0,1)+IF(F17=V17,0,1)+IF(G17=W17,0,1)+IF(H17=X17,0,1)</x:f>
        <x:v>0</x:v>
      </x:c>
      <x:c r="O17" s="186" t="n">
        <x:f>IF(A17="",0,IF(E17="",B17,0))</x:f>
        <x:v>1182000</x:v>
      </x:c>
      <x:c r="P17" s="187"/>
      <x:c r="Q17" s="179" t="str">
        <x:v>SYN-LN-00010</x:v>
      </x:c>
      <x:c r="R17" s="179" t="n">
        <x:v>1182000</x:v>
      </x:c>
      <x:c r="S17" s="179" t="str">
        <x:v>BB</x:v>
      </x:c>
      <x:c r="T17" s="179" t="str">
        <x:v>development_proxy</x:v>
      </x:c>
      <x:c r="U17" s="179" t="str"/>
      <x:c r="V17" s="179" t="n">
        <x:v>0.75</x:v>
      </x:c>
      <x:c r="W17" s="179" t="str">
        <x:v>development_assumption</x:v>
      </x:c>
      <x:c r="X1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" ht="107" customHeight="1">
      <x:c r="A18" s="179" t="str">
        <x:v>SYN-LN-00011</x:v>
      </x:c>
      <x:c r="B18" s="180" t="n">
        <x:f>IF(A18="","",SUMIF('Portfolio Inputs'!A8:A59,A18,'Portfolio Inputs'!D8:D59))</x:f>
        <x:v>570000</x:v>
      </x:c>
      <x:c r="C18" s="179" t="str">
        <x:v>B+</x:v>
      </x:c>
      <x:c r="D18" s="181" t="str">
        <x:v>development_proxy</x:v>
      </x:c>
      <x:c r="E18" s="181" t="str"/>
      <x:c r="F18" s="182" t="n">
        <x:v>0.75</x:v>
      </x:c>
      <x:c r="G18" s="181" t="str">
        <x:v>development_assumption</x:v>
      </x:c>
      <x:c r="H1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" s="183" t="n">
        <x:f>IF(AND(C18&lt;&gt;"",OR(D18="public_fitch_idr",D18="reviewed_appendix5_equivalent",D18="development_proxy"),H18&lt;&gt;""),VLOOKUP(C18,Fitch_WARF_Factors,2,FALSE),"")</x:f>
        <x:v>19.627</x:v>
      </x:c>
      <x:c r="J18" s="184" t="n">
        <x:f>IF(ISNUMBER(I18),B18*I18,0)</x:f>
        <x:v>11187390</x:v>
      </x:c>
      <x:c r="K18" s="184" t="n">
        <x:f>IF(AND(A18&lt;&gt;"",M18=0),B18*F18,0)</x:f>
        <x:v>427500</x:v>
      </x:c>
      <x:c r="L18" s="184" t="n">
        <x:f>IF(A18="",0,IF(ISNUMBER(I18),0,B18))</x:f>
        <x:v>0</x:v>
      </x:c>
      <x:c r="M18" s="185" t="n">
        <x:f>IF(A18="",0,IF(AND(ISNUMBER(F18),F18&gt;=0,F18&lt;=1,OR(G18="fitch_issue_recovery_estimate",G18="fitch_issue_recovery_rating",G18="reviewed_bbsf_fallback",G18="development_assumption"),H18&lt;&gt;""),0,B18))</x:f>
        <x:v>0</x:v>
      </x:c>
      <x:c r="N18" s="186" t="n">
        <x:f>IF(A18=Q18,0,1)+IF(B18=R18,0,1)+IF(C18=S18,0,1)+IF(D18=T18,0,1)+IF(E18=U18,0,1)+IF(F18=V18,0,1)+IF(G18=W18,0,1)+IF(H18=X18,0,1)</x:f>
        <x:v>0</x:v>
      </x:c>
      <x:c r="O18" s="186" t="n">
        <x:f>IF(A18="",0,IF(E18="",B18,0))</x:f>
        <x:v>570000</x:v>
      </x:c>
      <x:c r="P18" s="187"/>
      <x:c r="Q18" s="179" t="str">
        <x:v>SYN-LN-00011</x:v>
      </x:c>
      <x:c r="R18" s="179" t="n">
        <x:v>570000</x:v>
      </x:c>
      <x:c r="S18" s="179" t="str">
        <x:v>B+</x:v>
      </x:c>
      <x:c r="T18" s="179" t="str">
        <x:v>development_proxy</x:v>
      </x:c>
      <x:c r="U18" s="179" t="str"/>
      <x:c r="V18" s="179" t="n">
        <x:v>0.75</x:v>
      </x:c>
      <x:c r="W18" s="179" t="str">
        <x:v>development_assumption</x:v>
      </x:c>
      <x:c r="X1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" ht="107" customHeight="1">
      <x:c r="A19" s="179" t="str">
        <x:v>SYN-LN-00012</x:v>
      </x:c>
      <x:c r="B19" s="180" t="n">
        <x:f>IF(A19="","",SUMIF('Portfolio Inputs'!A8:A59,A19,'Portfolio Inputs'!D8:D59))</x:f>
        <x:v>612000</x:v>
      </x:c>
      <x:c r="C19" s="179" t="str">
        <x:v>B+</x:v>
      </x:c>
      <x:c r="D19" s="181" t="str">
        <x:v>development_proxy</x:v>
      </x:c>
      <x:c r="E19" s="181" t="str"/>
      <x:c r="F19" s="182" t="n">
        <x:v>0.75</x:v>
      </x:c>
      <x:c r="G19" s="181" t="str">
        <x:v>development_assumption</x:v>
      </x:c>
      <x:c r="H1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" s="183" t="n">
        <x:f>IF(AND(C19&lt;&gt;"",OR(D19="public_fitch_idr",D19="reviewed_appendix5_equivalent",D19="development_proxy"),H19&lt;&gt;""),VLOOKUP(C19,Fitch_WARF_Factors,2,FALSE),"")</x:f>
        <x:v>19.627</x:v>
      </x:c>
      <x:c r="J19" s="184" t="n">
        <x:f>IF(ISNUMBER(I19),B19*I19,0)</x:f>
        <x:v>12011724</x:v>
      </x:c>
      <x:c r="K19" s="184" t="n">
        <x:f>IF(AND(A19&lt;&gt;"",M19=0),B19*F19,0)</x:f>
        <x:v>459000</x:v>
      </x:c>
      <x:c r="L19" s="184" t="n">
        <x:f>IF(A19="",0,IF(ISNUMBER(I19),0,B19))</x:f>
        <x:v>0</x:v>
      </x:c>
      <x:c r="M19" s="185" t="n">
        <x:f>IF(A19="",0,IF(AND(ISNUMBER(F19),F19&gt;=0,F19&lt;=1,OR(G19="fitch_issue_recovery_estimate",G19="fitch_issue_recovery_rating",G19="reviewed_bbsf_fallback",G19="development_assumption"),H19&lt;&gt;""),0,B19))</x:f>
        <x:v>0</x:v>
      </x:c>
      <x:c r="N19" s="186" t="n">
        <x:f>IF(A19=Q19,0,1)+IF(B19=R19,0,1)+IF(C19=S19,0,1)+IF(D19=T19,0,1)+IF(E19=U19,0,1)+IF(F19=V19,0,1)+IF(G19=W19,0,1)+IF(H19=X19,0,1)</x:f>
        <x:v>0</x:v>
      </x:c>
      <x:c r="O19" s="186" t="n">
        <x:f>IF(A19="",0,IF(E19="",B19,0))</x:f>
        <x:v>612000</x:v>
      </x:c>
      <x:c r="P19" s="187"/>
      <x:c r="Q19" s="179" t="str">
        <x:v>SYN-LN-00012</x:v>
      </x:c>
      <x:c r="R19" s="179" t="n">
        <x:v>612000</x:v>
      </x:c>
      <x:c r="S19" s="179" t="str">
        <x:v>B+</x:v>
      </x:c>
      <x:c r="T19" s="179" t="str">
        <x:v>development_proxy</x:v>
      </x:c>
      <x:c r="U19" s="179" t="str"/>
      <x:c r="V19" s="179" t="n">
        <x:v>0.75</x:v>
      </x:c>
      <x:c r="W19" s="179" t="str">
        <x:v>development_assumption</x:v>
      </x:c>
      <x:c r="X1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" ht="107" customHeight="1">
      <x:c r="A20" s="179" t="str">
        <x:v>SYN-LN-00013</x:v>
      </x:c>
      <x:c r="B20" s="180" t="n">
        <x:f>IF(A20="","",SUMIF('Portfolio Inputs'!A8:A59,A20,'Portfolio Inputs'!D8:D59))</x:f>
        <x:v>650000</x:v>
      </x:c>
      <x:c r="C20" s="179" t="str">
        <x:v>B+</x:v>
      </x:c>
      <x:c r="D20" s="181" t="str">
        <x:v>development_proxy</x:v>
      </x:c>
      <x:c r="E20" s="181" t="str"/>
      <x:c r="F20" s="182" t="n">
        <x:v>0.75</x:v>
      </x:c>
      <x:c r="G20" s="181" t="str">
        <x:v>development_assumption</x:v>
      </x:c>
      <x:c r="H2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" s="183" t="n">
        <x:f>IF(AND(C20&lt;&gt;"",OR(D20="public_fitch_idr",D20="reviewed_appendix5_equivalent",D20="development_proxy"),H20&lt;&gt;""),VLOOKUP(C20,Fitch_WARF_Factors,2,FALSE),"")</x:f>
        <x:v>19.627</x:v>
      </x:c>
      <x:c r="J20" s="184" t="n">
        <x:f>IF(ISNUMBER(I20),B20*I20,0)</x:f>
        <x:v>12757550</x:v>
      </x:c>
      <x:c r="K20" s="184" t="n">
        <x:f>IF(AND(A20&lt;&gt;"",M20=0),B20*F20,0)</x:f>
        <x:v>487500</x:v>
      </x:c>
      <x:c r="L20" s="184" t="n">
        <x:f>IF(A20="",0,IF(ISNUMBER(I20),0,B20))</x:f>
        <x:v>0</x:v>
      </x:c>
      <x:c r="M20" s="185" t="n">
        <x:f>IF(A20="",0,IF(AND(ISNUMBER(F20),F20&gt;=0,F20&lt;=1,OR(G20="fitch_issue_recovery_estimate",G20="fitch_issue_recovery_rating",G20="reviewed_bbsf_fallback",G20="development_assumption"),H20&lt;&gt;""),0,B20))</x:f>
        <x:v>0</x:v>
      </x:c>
      <x:c r="N20" s="186" t="n">
        <x:f>IF(A20=Q20,0,1)+IF(B20=R20,0,1)+IF(C20=S20,0,1)+IF(D20=T20,0,1)+IF(E20=U20,0,1)+IF(F20=V20,0,1)+IF(G20=W20,0,1)+IF(H20=X20,0,1)</x:f>
        <x:v>0</x:v>
      </x:c>
      <x:c r="O20" s="186" t="n">
        <x:f>IF(A20="",0,IF(E20="",B20,0))</x:f>
        <x:v>650000</x:v>
      </x:c>
      <x:c r="P20" s="187"/>
      <x:c r="Q20" s="179" t="str">
        <x:v>SYN-LN-00013</x:v>
      </x:c>
      <x:c r="R20" s="179" t="n">
        <x:v>650000</x:v>
      </x:c>
      <x:c r="S20" s="179" t="str">
        <x:v>B+</x:v>
      </x:c>
      <x:c r="T20" s="179" t="str">
        <x:v>development_proxy</x:v>
      </x:c>
      <x:c r="U20" s="179" t="str"/>
      <x:c r="V20" s="179" t="n">
        <x:v>0.75</x:v>
      </x:c>
      <x:c r="W20" s="179" t="str">
        <x:v>development_assumption</x:v>
      </x:c>
      <x:c r="X2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" ht="107" customHeight="1">
      <x:c r="A21" s="179" t="str">
        <x:v>SYN-LN-00014</x:v>
      </x:c>
      <x:c r="B21" s="180" t="n">
        <x:f>IF(A21="","",SUMIF('Portfolio Inputs'!A8:A59,A21,'Portfolio Inputs'!D8:D59))</x:f>
        <x:v>532000</x:v>
      </x:c>
      <x:c r="C21" s="179" t="str">
        <x:v>B+</x:v>
      </x:c>
      <x:c r="D21" s="181" t="str">
        <x:v>development_proxy</x:v>
      </x:c>
      <x:c r="E21" s="181" t="str"/>
      <x:c r="F21" s="182" t="n">
        <x:v>0.75</x:v>
      </x:c>
      <x:c r="G21" s="181" t="str">
        <x:v>development_assumption</x:v>
      </x:c>
      <x:c r="H2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" s="183" t="n">
        <x:f>IF(AND(C21&lt;&gt;"",OR(D21="public_fitch_idr",D21="reviewed_appendix5_equivalent",D21="development_proxy"),H21&lt;&gt;""),VLOOKUP(C21,Fitch_WARF_Factors,2,FALSE),"")</x:f>
        <x:v>19.627</x:v>
      </x:c>
      <x:c r="J21" s="184" t="n">
        <x:f>IF(ISNUMBER(I21),B21*I21,0)</x:f>
        <x:v>10441564</x:v>
      </x:c>
      <x:c r="K21" s="184" t="n">
        <x:f>IF(AND(A21&lt;&gt;"",M21=0),B21*F21,0)</x:f>
        <x:v>399000</x:v>
      </x:c>
      <x:c r="L21" s="184" t="n">
        <x:f>IF(A21="",0,IF(ISNUMBER(I21),0,B21))</x:f>
        <x:v>0</x:v>
      </x:c>
      <x:c r="M21" s="185" t="n">
        <x:f>IF(A21="",0,IF(AND(ISNUMBER(F21),F21&gt;=0,F21&lt;=1,OR(G21="fitch_issue_recovery_estimate",G21="fitch_issue_recovery_rating",G21="reviewed_bbsf_fallback",G21="development_assumption"),H21&lt;&gt;""),0,B21))</x:f>
        <x:v>0</x:v>
      </x:c>
      <x:c r="N21" s="186" t="n">
        <x:f>IF(A21=Q21,0,1)+IF(B21=R21,0,1)+IF(C21=S21,0,1)+IF(D21=T21,0,1)+IF(E21=U21,0,1)+IF(F21=V21,0,1)+IF(G21=W21,0,1)+IF(H21=X21,0,1)</x:f>
        <x:v>0</x:v>
      </x:c>
      <x:c r="O21" s="186" t="n">
        <x:f>IF(A21="",0,IF(E21="",B21,0))</x:f>
        <x:v>532000</x:v>
      </x:c>
      <x:c r="P21" s="187"/>
      <x:c r="Q21" s="179" t="str">
        <x:v>SYN-LN-00014</x:v>
      </x:c>
      <x:c r="R21" s="179" t="n">
        <x:v>532000</x:v>
      </x:c>
      <x:c r="S21" s="179" t="str">
        <x:v>B+</x:v>
      </x:c>
      <x:c r="T21" s="179" t="str">
        <x:v>development_proxy</x:v>
      </x:c>
      <x:c r="U21" s="179" t="str"/>
      <x:c r="V21" s="179" t="n">
        <x:v>0.75</x:v>
      </x:c>
      <x:c r="W21" s="179" t="str">
        <x:v>development_assumption</x:v>
      </x:c>
      <x:c r="X2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" ht="107" customHeight="1">
      <x:c r="A22" s="179" t="str">
        <x:v>SYN-LN-00015</x:v>
      </x:c>
      <x:c r="B22" s="180" t="n">
        <x:f>IF(A22="","",SUMIF('Portfolio Inputs'!A8:A59,A22,'Portfolio Inputs'!D8:D59))</x:f>
        <x:v>1182000</x:v>
      </x:c>
      <x:c r="C22" s="179" t="str">
        <x:v>BB</x:v>
      </x:c>
      <x:c r="D22" s="181" t="str">
        <x:v>development_proxy</x:v>
      </x:c>
      <x:c r="E22" s="181" t="str"/>
      <x:c r="F22" s="182" t="n">
        <x:v>0.75</x:v>
      </x:c>
      <x:c r="G22" s="181" t="str">
        <x:v>development_assumption</x:v>
      </x:c>
      <x:c r="H2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" s="183" t="n">
        <x:f>IF(AND(C22&lt;&gt;"",OR(D22="public_fitch_idr",D22="reviewed_appendix5_equivalent",D22="development_proxy"),H22&lt;&gt;""),VLOOKUP(C22,Fitch_WARF_Factors,2,FALSE),"")</x:f>
        <x:v>11.844</x:v>
      </x:c>
      <x:c r="J22" s="184" t="n">
        <x:f>IF(ISNUMBER(I22),B22*I22,0)</x:f>
        <x:v>13999608</x:v>
      </x:c>
      <x:c r="K22" s="184" t="n">
        <x:f>IF(AND(A22&lt;&gt;"",M22=0),B22*F22,0)</x:f>
        <x:v>886500</x:v>
      </x:c>
      <x:c r="L22" s="184" t="n">
        <x:f>IF(A22="",0,IF(ISNUMBER(I22),0,B22))</x:f>
        <x:v>0</x:v>
      </x:c>
      <x:c r="M22" s="185" t="n">
        <x:f>IF(A22="",0,IF(AND(ISNUMBER(F22),F22&gt;=0,F22&lt;=1,OR(G22="fitch_issue_recovery_estimate",G22="fitch_issue_recovery_rating",G22="reviewed_bbsf_fallback",G22="development_assumption"),H22&lt;&gt;""),0,B22))</x:f>
        <x:v>0</x:v>
      </x:c>
      <x:c r="N22" s="186" t="n">
        <x:f>IF(A22=Q22,0,1)+IF(B22=R22,0,1)+IF(C22=S22,0,1)+IF(D22=T22,0,1)+IF(E22=U22,0,1)+IF(F22=V22,0,1)+IF(G22=W22,0,1)+IF(H22=X22,0,1)</x:f>
        <x:v>0</x:v>
      </x:c>
      <x:c r="O22" s="186" t="n">
        <x:f>IF(A22="",0,IF(E22="",B22,0))</x:f>
        <x:v>1182000</x:v>
      </x:c>
      <x:c r="P22" s="187"/>
      <x:c r="Q22" s="179" t="str">
        <x:v>SYN-LN-00015</x:v>
      </x:c>
      <x:c r="R22" s="179" t="n">
        <x:v>1182000</x:v>
      </x:c>
      <x:c r="S22" s="179" t="str">
        <x:v>BB</x:v>
      </x:c>
      <x:c r="T22" s="179" t="str">
        <x:v>development_proxy</x:v>
      </x:c>
      <x:c r="U22" s="179" t="str"/>
      <x:c r="V22" s="179" t="n">
        <x:v>0.75</x:v>
      </x:c>
      <x:c r="W22" s="179" t="str">
        <x:v>development_assumption</x:v>
      </x:c>
      <x:c r="X2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" ht="107" customHeight="1">
      <x:c r="A23" s="179" t="str">
        <x:v>SYN-LN-00016</x:v>
      </x:c>
      <x:c r="B23" s="180" t="n">
        <x:f>IF(A23="","",SUMIF('Portfolio Inputs'!A8:A59,A23,'Portfolio Inputs'!D8:D59))</x:f>
        <x:v>1182000</x:v>
      </x:c>
      <x:c r="C23" s="179" t="str">
        <x:v>BB-</x:v>
      </x:c>
      <x:c r="D23" s="181" t="str">
        <x:v>development_proxy</x:v>
      </x:c>
      <x:c r="E23" s="181" t="str"/>
      <x:c r="F23" s="182" t="n">
        <x:v>0.75</x:v>
      </x:c>
      <x:c r="G23" s="181" t="str">
        <x:v>development_assumption</x:v>
      </x:c>
      <x:c r="H2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" s="183" t="n">
        <x:f>IF(AND(C23&lt;&gt;"",OR(D23="public_fitch_idr",D23="reviewed_appendix5_equivalent",D23="development_proxy"),H23&lt;&gt;""),VLOOKUP(C23,Fitch_WARF_Factors,2,FALSE),"")</x:f>
        <x:v>15.733</x:v>
      </x:c>
      <x:c r="J23" s="184" t="n">
        <x:f>IF(ISNUMBER(I23),B23*I23,0)</x:f>
        <x:v>18596406</x:v>
      </x:c>
      <x:c r="K23" s="184" t="n">
        <x:f>IF(AND(A23&lt;&gt;"",M23=0),B23*F23,0)</x:f>
        <x:v>886500</x:v>
      </x:c>
      <x:c r="L23" s="184" t="n">
        <x:f>IF(A23="",0,IF(ISNUMBER(I23),0,B23))</x:f>
        <x:v>0</x:v>
      </x:c>
      <x:c r="M23" s="185" t="n">
        <x:f>IF(A23="",0,IF(AND(ISNUMBER(F23),F23&gt;=0,F23&lt;=1,OR(G23="fitch_issue_recovery_estimate",G23="fitch_issue_recovery_rating",G23="reviewed_bbsf_fallback",G23="development_assumption"),H23&lt;&gt;""),0,B23))</x:f>
        <x:v>0</x:v>
      </x:c>
      <x:c r="N23" s="186" t="n">
        <x:f>IF(A23=Q23,0,1)+IF(B23=R23,0,1)+IF(C23=S23,0,1)+IF(D23=T23,0,1)+IF(E23=U23,0,1)+IF(F23=V23,0,1)+IF(G23=W23,0,1)+IF(H23=X23,0,1)</x:f>
        <x:v>0</x:v>
      </x:c>
      <x:c r="O23" s="186" t="n">
        <x:f>IF(A23="",0,IF(E23="",B23,0))</x:f>
        <x:v>1182000</x:v>
      </x:c>
      <x:c r="P23" s="187"/>
      <x:c r="Q23" s="179" t="str">
        <x:v>SYN-LN-00016</x:v>
      </x:c>
      <x:c r="R23" s="179" t="n">
        <x:v>1182000</x:v>
      </x:c>
      <x:c r="S23" s="179" t="str">
        <x:v>BB-</x:v>
      </x:c>
      <x:c r="T23" s="179" t="str">
        <x:v>development_proxy</x:v>
      </x:c>
      <x:c r="U23" s="179" t="str"/>
      <x:c r="V23" s="179" t="n">
        <x:v>0.75</x:v>
      </x:c>
      <x:c r="W23" s="179" t="str">
        <x:v>development_assumption</x:v>
      </x:c>
      <x:c r="X2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" ht="107" customHeight="1">
      <x:c r="A24" s="179" t="str">
        <x:v>SYN-LN-00017</x:v>
      </x:c>
      <x:c r="B24" s="180" t="n">
        <x:f>IF(A24="","",SUMIF('Portfolio Inputs'!A8:A59,A24,'Portfolio Inputs'!D8:D59))</x:f>
        <x:v>630000</x:v>
      </x:c>
      <x:c r="C24" s="179" t="str">
        <x:v>BB-</x:v>
      </x:c>
      <x:c r="D24" s="181" t="str">
        <x:v>development_proxy</x:v>
      </x:c>
      <x:c r="E24" s="181" t="str"/>
      <x:c r="F24" s="182"/>
      <x:c r="G24" s="181" t="str"/>
      <x:c r="H24" s="181" t="str">
        <x:v>FICTIONAL DEVELOPMENT: copied S&amp;P symbol as Fitch IDR-equivalency proxy; no Fitch rating or Appendix 5 review.</x:v>
      </x:c>
      <x:c r="I24" s="183" t="n">
        <x:f>IF(AND(C24&lt;&gt;"",OR(D24="public_fitch_idr",D24="reviewed_appendix5_equivalent",D24="development_proxy"),H24&lt;&gt;""),VLOOKUP(C24,Fitch_WARF_Factors,2,FALSE),"")</x:f>
        <x:v>15.733</x:v>
      </x:c>
      <x:c r="J24" s="184" t="n">
        <x:f>IF(ISNUMBER(I24),B24*I24,0)</x:f>
        <x:v>9911790</x:v>
      </x:c>
      <x:c r="K24" s="184" t="n">
        <x:f>IF(AND(A24&lt;&gt;"",M24=0),B24*F24,0)</x:f>
        <x:v>0</x:v>
      </x:c>
      <x:c r="L24" s="184" t="n">
        <x:f>IF(A24="",0,IF(ISNUMBER(I24),0,B24))</x:f>
        <x:v>0</x:v>
      </x:c>
      <x:c r="M24" s="185" t="n">
        <x:f>IF(A24="",0,IF(AND(ISNUMBER(F24),F24&gt;=0,F24&lt;=1,OR(G24="fitch_issue_recovery_estimate",G24="fitch_issue_recovery_rating",G24="reviewed_bbsf_fallback",G24="development_assumption"),H24&lt;&gt;""),0,B24))</x:f>
        <x:v>630000</x:v>
      </x:c>
      <x:c r="N24" s="186" t="n">
        <x:f>IF(A24=Q24,0,1)+IF(B24=R24,0,1)+IF(C24=S24,0,1)+IF(D24=T24,0,1)+IF(E24=U24,0,1)+IF(F24=V24,0,1)+IF(G24=W24,0,1)+IF(H24=X24,0,1)</x:f>
        <x:v>0</x:v>
      </x:c>
      <x:c r="O24" s="186" t="n">
        <x:f>IF(A24="",0,IF(E24="",B24,0))</x:f>
        <x:v>630000</x:v>
      </x:c>
      <x:c r="P24" s="187"/>
      <x:c r="Q24" s="179" t="str">
        <x:v>SYN-LN-00017</x:v>
      </x:c>
      <x:c r="R24" s="179" t="n">
        <x:v>630000</x:v>
      </x:c>
      <x:c r="S24" s="179" t="str">
        <x:v>BB-</x:v>
      </x:c>
      <x:c r="T24" s="179" t="str">
        <x:v>development_proxy</x:v>
      </x:c>
      <x:c r="U24" s="179" t="str"/>
      <x:c r="V24" s="179"/>
      <x:c r="W24" s="179" t="str"/>
      <x:c r="X24" s="179" t="str">
        <x:v>FICTIONAL DEVELOPMENT: copied S&amp;P symbol as Fitch IDR-equivalency proxy; no Fitch rating or Appendix 5 review.</x:v>
      </x:c>
    </x:row>
    <x:row r="25" ht="107" customHeight="1">
      <x:c r="A25" s="179" t="str">
        <x:v>SYN-LN-00018</x:v>
      </x:c>
      <x:c r="B25" s="180" t="n">
        <x:f>IF(A25="","",SUMIF('Portfolio Inputs'!A8:A59,A25,'Portfolio Inputs'!D8:D59))</x:f>
        <x:v>1182000</x:v>
      </x:c>
      <x:c r="C25" s="179" t="str">
        <x:v>BB</x:v>
      </x:c>
      <x:c r="D25" s="181" t="str">
        <x:v>development_proxy</x:v>
      </x:c>
      <x:c r="E25" s="181" t="str"/>
      <x:c r="F25" s="182" t="n">
        <x:v>0.75</x:v>
      </x:c>
      <x:c r="G25" s="181" t="str">
        <x:v>development_assumption</x:v>
      </x:c>
      <x:c r="H2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" s="183" t="n">
        <x:f>IF(AND(C25&lt;&gt;"",OR(D25="public_fitch_idr",D25="reviewed_appendix5_equivalent",D25="development_proxy"),H25&lt;&gt;""),VLOOKUP(C25,Fitch_WARF_Factors,2,FALSE),"")</x:f>
        <x:v>11.844</x:v>
      </x:c>
      <x:c r="J25" s="184" t="n">
        <x:f>IF(ISNUMBER(I25),B25*I25,0)</x:f>
        <x:v>13999608</x:v>
      </x:c>
      <x:c r="K25" s="184" t="n">
        <x:f>IF(AND(A25&lt;&gt;"",M25=0),B25*F25,0)</x:f>
        <x:v>886500</x:v>
      </x:c>
      <x:c r="L25" s="184" t="n">
        <x:f>IF(A25="",0,IF(ISNUMBER(I25),0,B25))</x:f>
        <x:v>0</x:v>
      </x:c>
      <x:c r="M25" s="185" t="n">
        <x:f>IF(A25="",0,IF(AND(ISNUMBER(F25),F25&gt;=0,F25&lt;=1,OR(G25="fitch_issue_recovery_estimate",G25="fitch_issue_recovery_rating",G25="reviewed_bbsf_fallback",G25="development_assumption"),H25&lt;&gt;""),0,B25))</x:f>
        <x:v>0</x:v>
      </x:c>
      <x:c r="N25" s="186" t="n">
        <x:f>IF(A25=Q25,0,1)+IF(B25=R25,0,1)+IF(C25=S25,0,1)+IF(D25=T25,0,1)+IF(E25=U25,0,1)+IF(F25=V25,0,1)+IF(G25=W25,0,1)+IF(H25=X25,0,1)</x:f>
        <x:v>0</x:v>
      </x:c>
      <x:c r="O25" s="186" t="n">
        <x:f>IF(A25="",0,IF(E25="",B25,0))</x:f>
        <x:v>1182000</x:v>
      </x:c>
      <x:c r="P25" s="187"/>
      <x:c r="Q25" s="179" t="str">
        <x:v>SYN-LN-00018</x:v>
      </x:c>
      <x:c r="R25" s="179" t="n">
        <x:v>1182000</x:v>
      </x:c>
      <x:c r="S25" s="179" t="str">
        <x:v>BB</x:v>
      </x:c>
      <x:c r="T25" s="179" t="str">
        <x:v>development_proxy</x:v>
      </x:c>
      <x:c r="U25" s="179" t="str"/>
      <x:c r="V25" s="179" t="n">
        <x:v>0.75</x:v>
      </x:c>
      <x:c r="W25" s="179" t="str">
        <x:v>development_assumption</x:v>
      </x:c>
      <x:c r="X2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" ht="107" customHeight="1">
      <x:c r="A26" s="179" t="str">
        <x:v>SYN-LN-00019</x:v>
      </x:c>
      <x:c r="B26" s="180" t="n">
        <x:f>IF(A26="","",SUMIF('Portfolio Inputs'!A8:A59,A26,'Portfolio Inputs'!D8:D59))</x:f>
        <x:v>1182000</x:v>
      </x:c>
      <x:c r="C26" s="179" t="str">
        <x:v>B-</x:v>
      </x:c>
      <x:c r="D26" s="181" t="str">
        <x:v>development_proxy</x:v>
      </x:c>
      <x:c r="E26" s="181" t="str"/>
      <x:c r="F26" s="182" t="n">
        <x:v>0.75</x:v>
      </x:c>
      <x:c r="G26" s="181" t="str">
        <x:v>development_assumption</x:v>
      </x:c>
      <x:c r="H2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" s="183" t="n">
        <x:f>IF(AND(C26&lt;&gt;"",OR(D26="public_fitch_idr",D26="reviewed_appendix5_equivalent",D26="development_proxy"),H26&lt;&gt;""),VLOOKUP(C26,Fitch_WARF_Factors,2,FALSE),"")</x:f>
        <x:v>32.221</x:v>
      </x:c>
      <x:c r="J26" s="184" t="n">
        <x:f>IF(ISNUMBER(I26),B26*I26,0)</x:f>
        <x:v>38085221.99999999</x:v>
      </x:c>
      <x:c r="K26" s="184" t="n">
        <x:f>IF(AND(A26&lt;&gt;"",M26=0),B26*F26,0)</x:f>
        <x:v>886500</x:v>
      </x:c>
      <x:c r="L26" s="184" t="n">
        <x:f>IF(A26="",0,IF(ISNUMBER(I26),0,B26))</x:f>
        <x:v>0</x:v>
      </x:c>
      <x:c r="M26" s="185" t="n">
        <x:f>IF(A26="",0,IF(AND(ISNUMBER(F26),F26&gt;=0,F26&lt;=1,OR(G26="fitch_issue_recovery_estimate",G26="fitch_issue_recovery_rating",G26="reviewed_bbsf_fallback",G26="development_assumption"),H26&lt;&gt;""),0,B26))</x:f>
        <x:v>0</x:v>
      </x:c>
      <x:c r="N26" s="186" t="n">
        <x:f>IF(A26=Q26,0,1)+IF(B26=R26,0,1)+IF(C26=S26,0,1)+IF(D26=T26,0,1)+IF(E26=U26,0,1)+IF(F26=V26,0,1)+IF(G26=W26,0,1)+IF(H26=X26,0,1)</x:f>
        <x:v>0</x:v>
      </x:c>
      <x:c r="O26" s="186" t="n">
        <x:f>IF(A26="",0,IF(E26="",B26,0))</x:f>
        <x:v>1182000</x:v>
      </x:c>
      <x:c r="P26" s="187"/>
      <x:c r="Q26" s="179" t="str">
        <x:v>SYN-LN-00019</x:v>
      </x:c>
      <x:c r="R26" s="179" t="n">
        <x:v>1182000</x:v>
      </x:c>
      <x:c r="S26" s="179" t="str">
        <x:v>B-</x:v>
      </x:c>
      <x:c r="T26" s="179" t="str">
        <x:v>development_proxy</x:v>
      </x:c>
      <x:c r="U26" s="179" t="str"/>
      <x:c r="V26" s="179" t="n">
        <x:v>0.75</x:v>
      </x:c>
      <x:c r="W26" s="179" t="str">
        <x:v>development_assumption</x:v>
      </x:c>
      <x:c r="X2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" ht="107" customHeight="1">
      <x:c r="A27" s="179" t="str">
        <x:v>SYN-LN-00020</x:v>
      </x:c>
      <x:c r="B27" s="180" t="n">
        <x:f>IF(A27="","",SUMIF('Portfolio Inputs'!A8:A59,A27,'Portfolio Inputs'!D8:D59))</x:f>
        <x:v>1182000</x:v>
      </x:c>
      <x:c r="C27" s="179" t="str">
        <x:v>B+</x:v>
      </x:c>
      <x:c r="D27" s="181" t="str">
        <x:v>development_proxy</x:v>
      </x:c>
      <x:c r="E27" s="181" t="str"/>
      <x:c r="F27" s="182" t="n">
        <x:v>0.75</x:v>
      </x:c>
      <x:c r="G27" s="181" t="str">
        <x:v>development_assumption</x:v>
      </x:c>
      <x:c r="H2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" s="183" t="n">
        <x:f>IF(AND(C27&lt;&gt;"",OR(D27="public_fitch_idr",D27="reviewed_appendix5_equivalent",D27="development_proxy"),H27&lt;&gt;""),VLOOKUP(C27,Fitch_WARF_Factors,2,FALSE),"")</x:f>
        <x:v>19.627</x:v>
      </x:c>
      <x:c r="J27" s="184" t="n">
        <x:f>IF(ISNUMBER(I27),B27*I27,0)</x:f>
        <x:v>23199114</x:v>
      </x:c>
      <x:c r="K27" s="184" t="n">
        <x:f>IF(AND(A27&lt;&gt;"",M27=0),B27*F27,0)</x:f>
        <x:v>886500</x:v>
      </x:c>
      <x:c r="L27" s="184" t="n">
        <x:f>IF(A27="",0,IF(ISNUMBER(I27),0,B27))</x:f>
        <x:v>0</x:v>
      </x:c>
      <x:c r="M27" s="185" t="n">
        <x:f>IF(A27="",0,IF(AND(ISNUMBER(F27),F27&gt;=0,F27&lt;=1,OR(G27="fitch_issue_recovery_estimate",G27="fitch_issue_recovery_rating",G27="reviewed_bbsf_fallback",G27="development_assumption"),H27&lt;&gt;""),0,B27))</x:f>
        <x:v>0</x:v>
      </x:c>
      <x:c r="N27" s="186" t="n">
        <x:f>IF(A27=Q27,0,1)+IF(B27=R27,0,1)+IF(C27=S27,0,1)+IF(D27=T27,0,1)+IF(E27=U27,0,1)+IF(F27=V27,0,1)+IF(G27=W27,0,1)+IF(H27=X27,0,1)</x:f>
        <x:v>0</x:v>
      </x:c>
      <x:c r="O27" s="186" t="n">
        <x:f>IF(A27="",0,IF(E27="",B27,0))</x:f>
        <x:v>1182000</x:v>
      </x:c>
      <x:c r="P27" s="187"/>
      <x:c r="Q27" s="179" t="str">
        <x:v>SYN-LN-00020</x:v>
      </x:c>
      <x:c r="R27" s="179" t="n">
        <x:v>1182000</x:v>
      </x:c>
      <x:c r="S27" s="179" t="str">
        <x:v>B+</x:v>
      </x:c>
      <x:c r="T27" s="179" t="str">
        <x:v>development_proxy</x:v>
      </x:c>
      <x:c r="U27" s="179" t="str"/>
      <x:c r="V27" s="179" t="n">
        <x:v>0.75</x:v>
      </x:c>
      <x:c r="W27" s="179" t="str">
        <x:v>development_assumption</x:v>
      </x:c>
      <x:c r="X2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" ht="107" customHeight="1">
      <x:c r="A28" s="179" t="str">
        <x:v>SYN-LN-00021</x:v>
      </x:c>
      <x:c r="B28" s="180" t="n">
        <x:f>IF(A28="","",SUMIF('Portfolio Inputs'!A8:A59,A28,'Portfolio Inputs'!D8:D59))</x:f>
        <x:v>1182000</x:v>
      </x:c>
      <x:c r="C28" s="179" t="str">
        <x:v>BB-</x:v>
      </x:c>
      <x:c r="D28" s="181" t="str">
        <x:v>development_proxy</x:v>
      </x:c>
      <x:c r="E28" s="181" t="str"/>
      <x:c r="F28" s="182" t="n">
        <x:v>0.75</x:v>
      </x:c>
      <x:c r="G28" s="181" t="str">
        <x:v>development_assumption</x:v>
      </x:c>
      <x:c r="H2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" s="183" t="n">
        <x:f>IF(AND(C28&lt;&gt;"",OR(D28="public_fitch_idr",D28="reviewed_appendix5_equivalent",D28="development_proxy"),H28&lt;&gt;""),VLOOKUP(C28,Fitch_WARF_Factors,2,FALSE),"")</x:f>
        <x:v>15.733</x:v>
      </x:c>
      <x:c r="J28" s="184" t="n">
        <x:f>IF(ISNUMBER(I28),B28*I28,0)</x:f>
        <x:v>18596406</x:v>
      </x:c>
      <x:c r="K28" s="184" t="n">
        <x:f>IF(AND(A28&lt;&gt;"",M28=0),B28*F28,0)</x:f>
        <x:v>886500</x:v>
      </x:c>
      <x:c r="L28" s="184" t="n">
        <x:f>IF(A28="",0,IF(ISNUMBER(I28),0,B28))</x:f>
        <x:v>0</x:v>
      </x:c>
      <x:c r="M28" s="185" t="n">
        <x:f>IF(A28="",0,IF(AND(ISNUMBER(F28),F28&gt;=0,F28&lt;=1,OR(G28="fitch_issue_recovery_estimate",G28="fitch_issue_recovery_rating",G28="reviewed_bbsf_fallback",G28="development_assumption"),H28&lt;&gt;""),0,B28))</x:f>
        <x:v>0</x:v>
      </x:c>
      <x:c r="N28" s="186" t="n">
        <x:f>IF(A28=Q28,0,1)+IF(B28=R28,0,1)+IF(C28=S28,0,1)+IF(D28=T28,0,1)+IF(E28=U28,0,1)+IF(F28=V28,0,1)+IF(G28=W28,0,1)+IF(H28=X28,0,1)</x:f>
        <x:v>0</x:v>
      </x:c>
      <x:c r="O28" s="186" t="n">
        <x:f>IF(A28="",0,IF(E28="",B28,0))</x:f>
        <x:v>1182000</x:v>
      </x:c>
      <x:c r="P28" s="187"/>
      <x:c r="Q28" s="179" t="str">
        <x:v>SYN-LN-00021</x:v>
      </x:c>
      <x:c r="R28" s="179" t="n">
        <x:v>1182000</x:v>
      </x:c>
      <x:c r="S28" s="179" t="str">
        <x:v>BB-</x:v>
      </x:c>
      <x:c r="T28" s="179" t="str">
        <x:v>development_proxy</x:v>
      </x:c>
      <x:c r="U28" s="179" t="str"/>
      <x:c r="V28" s="179" t="n">
        <x:v>0.75</x:v>
      </x:c>
      <x:c r="W28" s="179" t="str">
        <x:v>development_assumption</x:v>
      </x:c>
      <x:c r="X2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9" ht="107" customHeight="1">
      <x:c r="A29" s="179" t="str">
        <x:v>SYN-LN-00022</x:v>
      </x:c>
      <x:c r="B29" s="180" t="n">
        <x:f>IF(A29="","",SUMIF('Portfolio Inputs'!A8:A59,A29,'Portfolio Inputs'!D8:D59))</x:f>
        <x:v>1182000</x:v>
      </x:c>
      <x:c r="C29" s="179" t="str">
        <x:v>BBB-</x:v>
      </x:c>
      <x:c r="D29" s="181" t="str">
        <x:v>development_proxy</x:v>
      </x:c>
      <x:c r="E29" s="181" t="str"/>
      <x:c r="F29" s="182" t="n">
        <x:v>0.75</x:v>
      </x:c>
      <x:c r="G29" s="181" t="str">
        <x:v>development_assumption</x:v>
      </x:c>
      <x:c r="H2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9" s="183" t="n">
        <x:f>IF(AND(C29&lt;&gt;"",OR(D29="public_fitch_idr",D29="reviewed_appendix5_equivalent",D29="development_proxy"),H29&lt;&gt;""),VLOOKUP(C29,Fitch_WARF_Factors,2,FALSE),"")</x:f>
        <x:v>6.039</x:v>
      </x:c>
      <x:c r="J29" s="184" t="n">
        <x:f>IF(ISNUMBER(I29),B29*I29,0)</x:f>
        <x:v>7138098</x:v>
      </x:c>
      <x:c r="K29" s="184" t="n">
        <x:f>IF(AND(A29&lt;&gt;"",M29=0),B29*F29,0)</x:f>
        <x:v>886500</x:v>
      </x:c>
      <x:c r="L29" s="184" t="n">
        <x:f>IF(A29="",0,IF(ISNUMBER(I29),0,B29))</x:f>
        <x:v>0</x:v>
      </x:c>
      <x:c r="M29" s="185" t="n">
        <x:f>IF(A29="",0,IF(AND(ISNUMBER(F29),F29&gt;=0,F29&lt;=1,OR(G29="fitch_issue_recovery_estimate",G29="fitch_issue_recovery_rating",G29="reviewed_bbsf_fallback",G29="development_assumption"),H29&lt;&gt;""),0,B29))</x:f>
        <x:v>0</x:v>
      </x:c>
      <x:c r="N29" s="186" t="n">
        <x:f>IF(A29=Q29,0,1)+IF(B29=R29,0,1)+IF(C29=S29,0,1)+IF(D29=T29,0,1)+IF(E29=U29,0,1)+IF(F29=V29,0,1)+IF(G29=W29,0,1)+IF(H29=X29,0,1)</x:f>
        <x:v>0</x:v>
      </x:c>
      <x:c r="O29" s="186" t="n">
        <x:f>IF(A29="",0,IF(E29="",B29,0))</x:f>
        <x:v>1182000</x:v>
      </x:c>
      <x:c r="P29" s="187"/>
      <x:c r="Q29" s="179" t="str">
        <x:v>SYN-LN-00022</x:v>
      </x:c>
      <x:c r="R29" s="179" t="n">
        <x:v>1182000</x:v>
      </x:c>
      <x:c r="S29" s="179" t="str">
        <x:v>BBB-</x:v>
      </x:c>
      <x:c r="T29" s="179" t="str">
        <x:v>development_proxy</x:v>
      </x:c>
      <x:c r="U29" s="179" t="str"/>
      <x:c r="V29" s="179" t="n">
        <x:v>0.75</x:v>
      </x:c>
      <x:c r="W29" s="179" t="str">
        <x:v>development_assumption</x:v>
      </x:c>
      <x:c r="X2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0" ht="107" customHeight="1">
      <x:c r="A30" s="179" t="str">
        <x:v>SYN-LN-00023</x:v>
      </x:c>
      <x:c r="B30" s="180" t="n">
        <x:f>IF(A30="","",SUMIF('Portfolio Inputs'!A8:A59,A30,'Portfolio Inputs'!D8:D59))</x:f>
        <x:v>1182000</x:v>
      </x:c>
      <x:c r="C30" s="179" t="str">
        <x:v>BB</x:v>
      </x:c>
      <x:c r="D30" s="181" t="str">
        <x:v>development_proxy</x:v>
      </x:c>
      <x:c r="E30" s="181" t="str"/>
      <x:c r="F30" s="182" t="n">
        <x:v>0.75</x:v>
      </x:c>
      <x:c r="G30" s="181" t="str">
        <x:v>development_assumption</x:v>
      </x:c>
      <x:c r="H3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0" s="183" t="n">
        <x:f>IF(AND(C30&lt;&gt;"",OR(D30="public_fitch_idr",D30="reviewed_appendix5_equivalent",D30="development_proxy"),H30&lt;&gt;""),VLOOKUP(C30,Fitch_WARF_Factors,2,FALSE),"")</x:f>
        <x:v>11.844</x:v>
      </x:c>
      <x:c r="J30" s="184" t="n">
        <x:f>IF(ISNUMBER(I30),B30*I30,0)</x:f>
        <x:v>13999608</x:v>
      </x:c>
      <x:c r="K30" s="184" t="n">
        <x:f>IF(AND(A30&lt;&gt;"",M30=0),B30*F30,0)</x:f>
        <x:v>886500</x:v>
      </x:c>
      <x:c r="L30" s="184" t="n">
        <x:f>IF(A30="",0,IF(ISNUMBER(I30),0,B30))</x:f>
        <x:v>0</x:v>
      </x:c>
      <x:c r="M30" s="185" t="n">
        <x:f>IF(A30="",0,IF(AND(ISNUMBER(F30),F30&gt;=0,F30&lt;=1,OR(G30="fitch_issue_recovery_estimate",G30="fitch_issue_recovery_rating",G30="reviewed_bbsf_fallback",G30="development_assumption"),H30&lt;&gt;""),0,B30))</x:f>
        <x:v>0</x:v>
      </x:c>
      <x:c r="N30" s="186" t="n">
        <x:f>IF(A30=Q30,0,1)+IF(B30=R30,0,1)+IF(C30=S30,0,1)+IF(D30=T30,0,1)+IF(E30=U30,0,1)+IF(F30=V30,0,1)+IF(G30=W30,0,1)+IF(H30=X30,0,1)</x:f>
        <x:v>0</x:v>
      </x:c>
      <x:c r="O30" s="186" t="n">
        <x:f>IF(A30="",0,IF(E30="",B30,0))</x:f>
        <x:v>1182000</x:v>
      </x:c>
      <x:c r="P30" s="187"/>
      <x:c r="Q30" s="179" t="str">
        <x:v>SYN-LN-00023</x:v>
      </x:c>
      <x:c r="R30" s="179" t="n">
        <x:v>1182000</x:v>
      </x:c>
      <x:c r="S30" s="179" t="str">
        <x:v>BB</x:v>
      </x:c>
      <x:c r="T30" s="179" t="str">
        <x:v>development_proxy</x:v>
      </x:c>
      <x:c r="U30" s="179" t="str"/>
      <x:c r="V30" s="179" t="n">
        <x:v>0.75</x:v>
      </x:c>
      <x:c r="W30" s="179" t="str">
        <x:v>development_assumption</x:v>
      </x:c>
      <x:c r="X3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1" ht="107" customHeight="1">
      <x:c r="A31" s="179" t="str">
        <x:v>SYN-LN-00024</x:v>
      </x:c>
      <x:c r="B31" s="180" t="n">
        <x:f>IF(A31="","",SUMIF('Portfolio Inputs'!A8:A59,A31,'Portfolio Inputs'!D8:D59))</x:f>
        <x:v>1182000</x:v>
      </x:c>
      <x:c r="C31" s="179" t="str">
        <x:v>B+</x:v>
      </x:c>
      <x:c r="D31" s="181" t="str">
        <x:v>development_proxy</x:v>
      </x:c>
      <x:c r="E31" s="181" t="str"/>
      <x:c r="F31" s="182" t="n">
        <x:v>0.75</x:v>
      </x:c>
      <x:c r="G31" s="181" t="str">
        <x:v>development_assumption</x:v>
      </x:c>
      <x:c r="H3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1" s="183" t="n">
        <x:f>IF(AND(C31&lt;&gt;"",OR(D31="public_fitch_idr",D31="reviewed_appendix5_equivalent",D31="development_proxy"),H31&lt;&gt;""),VLOOKUP(C31,Fitch_WARF_Factors,2,FALSE),"")</x:f>
        <x:v>19.627</x:v>
      </x:c>
      <x:c r="J31" s="184" t="n">
        <x:f>IF(ISNUMBER(I31),B31*I31,0)</x:f>
        <x:v>23199114</x:v>
      </x:c>
      <x:c r="K31" s="184" t="n">
        <x:f>IF(AND(A31&lt;&gt;"",M31=0),B31*F31,0)</x:f>
        <x:v>886500</x:v>
      </x:c>
      <x:c r="L31" s="184" t="n">
        <x:f>IF(A31="",0,IF(ISNUMBER(I31),0,B31))</x:f>
        <x:v>0</x:v>
      </x:c>
      <x:c r="M31" s="185" t="n">
        <x:f>IF(A31="",0,IF(AND(ISNUMBER(F31),F31&gt;=0,F31&lt;=1,OR(G31="fitch_issue_recovery_estimate",G31="fitch_issue_recovery_rating",G31="reviewed_bbsf_fallback",G31="development_assumption"),H31&lt;&gt;""),0,B31))</x:f>
        <x:v>0</x:v>
      </x:c>
      <x:c r="N31" s="186" t="n">
        <x:f>IF(A31=Q31,0,1)+IF(B31=R31,0,1)+IF(C31=S31,0,1)+IF(D31=T31,0,1)+IF(E31=U31,0,1)+IF(F31=V31,0,1)+IF(G31=W31,0,1)+IF(H31=X31,0,1)</x:f>
        <x:v>0</x:v>
      </x:c>
      <x:c r="O31" s="186" t="n">
        <x:f>IF(A31="",0,IF(E31="",B31,0))</x:f>
        <x:v>1182000</x:v>
      </x:c>
      <x:c r="P31" s="187"/>
      <x:c r="Q31" s="179" t="str">
        <x:v>SYN-LN-00024</x:v>
      </x:c>
      <x:c r="R31" s="179" t="n">
        <x:v>1182000</x:v>
      </x:c>
      <x:c r="S31" s="179" t="str">
        <x:v>B+</x:v>
      </x:c>
      <x:c r="T31" s="179" t="str">
        <x:v>development_proxy</x:v>
      </x:c>
      <x:c r="U31" s="179" t="str"/>
      <x:c r="V31" s="179" t="n">
        <x:v>0.75</x:v>
      </x:c>
      <x:c r="W31" s="179" t="str">
        <x:v>development_assumption</x:v>
      </x:c>
      <x:c r="X3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2" ht="107" customHeight="1">
      <x:c r="A32" s="179" t="str">
        <x:v>SYN-LN-00025</x:v>
      </x:c>
      <x:c r="B32" s="180" t="n">
        <x:f>IF(A32="","",SUMIF('Portfolio Inputs'!A8:A59,A32,'Portfolio Inputs'!D8:D59))</x:f>
        <x:v>1182000</x:v>
      </x:c>
      <x:c r="C32" s="179" t="str">
        <x:v>B-</x:v>
      </x:c>
      <x:c r="D32" s="181" t="str">
        <x:v>development_proxy</x:v>
      </x:c>
      <x:c r="E32" s="181" t="str"/>
      <x:c r="F32" s="182" t="n">
        <x:v>0.75</x:v>
      </x:c>
      <x:c r="G32" s="181" t="str">
        <x:v>development_assumption</x:v>
      </x:c>
      <x:c r="H3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2" s="183" t="n">
        <x:f>IF(AND(C32&lt;&gt;"",OR(D32="public_fitch_idr",D32="reviewed_appendix5_equivalent",D32="development_proxy"),H32&lt;&gt;""),VLOOKUP(C32,Fitch_WARF_Factors,2,FALSE),"")</x:f>
        <x:v>32.221</x:v>
      </x:c>
      <x:c r="J32" s="184" t="n">
        <x:f>IF(ISNUMBER(I32),B32*I32,0)</x:f>
        <x:v>38085221.99999999</x:v>
      </x:c>
      <x:c r="K32" s="184" t="n">
        <x:f>IF(AND(A32&lt;&gt;"",M32=0),B32*F32,0)</x:f>
        <x:v>886500</x:v>
      </x:c>
      <x:c r="L32" s="184" t="n">
        <x:f>IF(A32="",0,IF(ISNUMBER(I32),0,B32))</x:f>
        <x:v>0</x:v>
      </x:c>
      <x:c r="M32" s="185" t="n">
        <x:f>IF(A32="",0,IF(AND(ISNUMBER(F32),F32&gt;=0,F32&lt;=1,OR(G32="fitch_issue_recovery_estimate",G32="fitch_issue_recovery_rating",G32="reviewed_bbsf_fallback",G32="development_assumption"),H32&lt;&gt;""),0,B32))</x:f>
        <x:v>0</x:v>
      </x:c>
      <x:c r="N32" s="186" t="n">
        <x:f>IF(A32=Q32,0,1)+IF(B32=R32,0,1)+IF(C32=S32,0,1)+IF(D32=T32,0,1)+IF(E32=U32,0,1)+IF(F32=V32,0,1)+IF(G32=W32,0,1)+IF(H32=X32,0,1)</x:f>
        <x:v>0</x:v>
      </x:c>
      <x:c r="O32" s="186" t="n">
        <x:f>IF(A32="",0,IF(E32="",B32,0))</x:f>
        <x:v>1182000</x:v>
      </x:c>
      <x:c r="P32" s="187"/>
      <x:c r="Q32" s="179" t="str">
        <x:v>SYN-LN-00025</x:v>
      </x:c>
      <x:c r="R32" s="179" t="n">
        <x:v>1182000</x:v>
      </x:c>
      <x:c r="S32" s="179" t="str">
        <x:v>B-</x:v>
      </x:c>
      <x:c r="T32" s="179" t="str">
        <x:v>development_proxy</x:v>
      </x:c>
      <x:c r="U32" s="179" t="str"/>
      <x:c r="V32" s="179" t="n">
        <x:v>0.75</x:v>
      </x:c>
      <x:c r="W32" s="179" t="str">
        <x:v>development_assumption</x:v>
      </x:c>
      <x:c r="X3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3" ht="107" customHeight="1">
      <x:c r="A33" s="179" t="str">
        <x:v>SYN-LN-00026</x:v>
      </x:c>
      <x:c r="B33" s="180" t="n">
        <x:f>IF(A33="","",SUMIF('Portfolio Inputs'!A8:A59,A33,'Portfolio Inputs'!D8:D59))</x:f>
        <x:v>1182000</x:v>
      </x:c>
      <x:c r="C33" s="179" t="str">
        <x:v>B</x:v>
      </x:c>
      <x:c r="D33" s="181" t="str">
        <x:v>development_proxy</x:v>
      </x:c>
      <x:c r="E33" s="181" t="str"/>
      <x:c r="F33" s="182" t="n">
        <x:v>0.65</x:v>
      </x:c>
      <x:c r="G33" s="181" t="str">
        <x:v>development_assumption</x:v>
      </x:c>
      <x:c r="H33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33" s="183" t="n">
        <x:f>IF(AND(C33&lt;&gt;"",OR(D33="public_fitch_idr",D33="reviewed_appendix5_equivalent",D33="development_proxy"),H33&lt;&gt;""),VLOOKUP(C33,Fitch_WARF_Factors,2,FALSE),"")</x:f>
        <x:v>23.671</x:v>
      </x:c>
      <x:c r="J33" s="184" t="n">
        <x:f>IF(ISNUMBER(I33),B33*I33,0)</x:f>
        <x:v>27979122</x:v>
      </x:c>
      <x:c r="K33" s="184" t="n">
        <x:f>IF(AND(A33&lt;&gt;"",M33=0),B33*F33,0)</x:f>
        <x:v>768300</x:v>
      </x:c>
      <x:c r="L33" s="184" t="n">
        <x:f>IF(A33="",0,IF(ISNUMBER(I33),0,B33))</x:f>
        <x:v>0</x:v>
      </x:c>
      <x:c r="M33" s="185" t="n">
        <x:f>IF(A33="",0,IF(AND(ISNUMBER(F33),F33&gt;=0,F33&lt;=1,OR(G33="fitch_issue_recovery_estimate",G33="fitch_issue_recovery_rating",G33="reviewed_bbsf_fallback",G33="development_assumption"),H33&lt;&gt;""),0,B33))</x:f>
        <x:v>0</x:v>
      </x:c>
      <x:c r="N33" s="186" t="n">
        <x:f>IF(A33=Q33,0,1)+IF(B33=R33,0,1)+IF(C33=S33,0,1)+IF(D33=T33,0,1)+IF(E33=U33,0,1)+IF(F33=V33,0,1)+IF(G33=W33,0,1)+IF(H33=X33,0,1)</x:f>
        <x:v>0</x:v>
      </x:c>
      <x:c r="O33" s="186" t="n">
        <x:f>IF(A33="",0,IF(E33="",B33,0))</x:f>
        <x:v>1182000</x:v>
      </x:c>
      <x:c r="P33" s="187"/>
      <x:c r="Q33" s="179" t="str">
        <x:v>SYN-LN-00026</x:v>
      </x:c>
      <x:c r="R33" s="179" t="n">
        <x:v>1182000</x:v>
      </x:c>
      <x:c r="S33" s="179" t="str">
        <x:v>B</x:v>
      </x:c>
      <x:c r="T33" s="179" t="str">
        <x:v>development_proxy</x:v>
      </x:c>
      <x:c r="U33" s="179" t="str"/>
      <x:c r="V33" s="179" t="n">
        <x:v>0.65</x:v>
      </x:c>
      <x:c r="W33" s="179" t="str">
        <x:v>development_assumption</x:v>
      </x:c>
      <x:c r="X33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34" ht="107" customHeight="1">
      <x:c r="A34" s="179" t="str">
        <x:v>SYN-LN-00027</x:v>
      </x:c>
      <x:c r="B34" s="180" t="n">
        <x:f>IF(A34="","",SUMIF('Portfolio Inputs'!A8:A59,A34,'Portfolio Inputs'!D8:D59))</x:f>
        <x:v>1182000</x:v>
      </x:c>
      <x:c r="C34" s="179" t="str">
        <x:v>BB-</x:v>
      </x:c>
      <x:c r="D34" s="181" t="str">
        <x:v>development_proxy</x:v>
      </x:c>
      <x:c r="E34" s="181" t="str"/>
      <x:c r="F34" s="182" t="n">
        <x:v>0.75</x:v>
      </x:c>
      <x:c r="G34" s="181" t="str">
        <x:v>development_assumption</x:v>
      </x:c>
      <x:c r="H3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4" s="183" t="n">
        <x:f>IF(AND(C34&lt;&gt;"",OR(D34="public_fitch_idr",D34="reviewed_appendix5_equivalent",D34="development_proxy"),H34&lt;&gt;""),VLOOKUP(C34,Fitch_WARF_Factors,2,FALSE),"")</x:f>
        <x:v>15.733</x:v>
      </x:c>
      <x:c r="J34" s="184" t="n">
        <x:f>IF(ISNUMBER(I34),B34*I34,0)</x:f>
        <x:v>18596406</x:v>
      </x:c>
      <x:c r="K34" s="184" t="n">
        <x:f>IF(AND(A34&lt;&gt;"",M34=0),B34*F34,0)</x:f>
        <x:v>886500</x:v>
      </x:c>
      <x:c r="L34" s="184" t="n">
        <x:f>IF(A34="",0,IF(ISNUMBER(I34),0,B34))</x:f>
        <x:v>0</x:v>
      </x:c>
      <x:c r="M34" s="185" t="n">
        <x:f>IF(A34="",0,IF(AND(ISNUMBER(F34),F34&gt;=0,F34&lt;=1,OR(G34="fitch_issue_recovery_estimate",G34="fitch_issue_recovery_rating",G34="reviewed_bbsf_fallback",G34="development_assumption"),H34&lt;&gt;""),0,B34))</x:f>
        <x:v>0</x:v>
      </x:c>
      <x:c r="N34" s="186" t="n">
        <x:f>IF(A34=Q34,0,1)+IF(B34=R34,0,1)+IF(C34=S34,0,1)+IF(D34=T34,0,1)+IF(E34=U34,0,1)+IF(F34=V34,0,1)+IF(G34=W34,0,1)+IF(H34=X34,0,1)</x:f>
        <x:v>0</x:v>
      </x:c>
      <x:c r="O34" s="186" t="n">
        <x:f>IF(A34="",0,IF(E34="",B34,0))</x:f>
        <x:v>1182000</x:v>
      </x:c>
      <x:c r="P34" s="187"/>
      <x:c r="Q34" s="179" t="str">
        <x:v>SYN-LN-00027</x:v>
      </x:c>
      <x:c r="R34" s="179" t="n">
        <x:v>1182000</x:v>
      </x:c>
      <x:c r="S34" s="179" t="str">
        <x:v>BB-</x:v>
      </x:c>
      <x:c r="T34" s="179" t="str">
        <x:v>development_proxy</x:v>
      </x:c>
      <x:c r="U34" s="179" t="str"/>
      <x:c r="V34" s="179" t="n">
        <x:v>0.75</x:v>
      </x:c>
      <x:c r="W34" s="179" t="str">
        <x:v>development_assumption</x:v>
      </x:c>
      <x:c r="X3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5" ht="107" customHeight="1">
      <x:c r="A35" s="179" t="str">
        <x:v>SYN-LN-00028</x:v>
      </x:c>
      <x:c r="B35" s="180" t="n">
        <x:f>IF(A35="","",SUMIF('Portfolio Inputs'!A8:A59,A35,'Portfolio Inputs'!D8:D59))</x:f>
        <x:v>1182000</x:v>
      </x:c>
      <x:c r="C35" s="179" t="str">
        <x:v>BB-</x:v>
      </x:c>
      <x:c r="D35" s="181" t="str">
        <x:v>development_proxy</x:v>
      </x:c>
      <x:c r="E35" s="181" t="str"/>
      <x:c r="F35" s="182" t="n">
        <x:v>0.75</x:v>
      </x:c>
      <x:c r="G35" s="181" t="str">
        <x:v>development_assumption</x:v>
      </x:c>
      <x:c r="H3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5" s="183" t="n">
        <x:f>IF(AND(C35&lt;&gt;"",OR(D35="public_fitch_idr",D35="reviewed_appendix5_equivalent",D35="development_proxy"),H35&lt;&gt;""),VLOOKUP(C35,Fitch_WARF_Factors,2,FALSE),"")</x:f>
        <x:v>15.733</x:v>
      </x:c>
      <x:c r="J35" s="184" t="n">
        <x:f>IF(ISNUMBER(I35),B35*I35,0)</x:f>
        <x:v>18596406</x:v>
      </x:c>
      <x:c r="K35" s="184" t="n">
        <x:f>IF(AND(A35&lt;&gt;"",M35=0),B35*F35,0)</x:f>
        <x:v>886500</x:v>
      </x:c>
      <x:c r="L35" s="184" t="n">
        <x:f>IF(A35="",0,IF(ISNUMBER(I35),0,B35))</x:f>
        <x:v>0</x:v>
      </x:c>
      <x:c r="M35" s="185" t="n">
        <x:f>IF(A35="",0,IF(AND(ISNUMBER(F35),F35&gt;=0,F35&lt;=1,OR(G35="fitch_issue_recovery_estimate",G35="fitch_issue_recovery_rating",G35="reviewed_bbsf_fallback",G35="development_assumption"),H35&lt;&gt;""),0,B35))</x:f>
        <x:v>0</x:v>
      </x:c>
      <x:c r="N35" s="186" t="n">
        <x:f>IF(A35=Q35,0,1)+IF(B35=R35,0,1)+IF(C35=S35,0,1)+IF(D35=T35,0,1)+IF(E35=U35,0,1)+IF(F35=V35,0,1)+IF(G35=W35,0,1)+IF(H35=X35,0,1)</x:f>
        <x:v>0</x:v>
      </x:c>
      <x:c r="O35" s="186" t="n">
        <x:f>IF(A35="",0,IF(E35="",B35,0))</x:f>
        <x:v>1182000</x:v>
      </x:c>
      <x:c r="P35" s="187"/>
      <x:c r="Q35" s="179" t="str">
        <x:v>SYN-LN-00028</x:v>
      </x:c>
      <x:c r="R35" s="179" t="n">
        <x:v>1182000</x:v>
      </x:c>
      <x:c r="S35" s="179" t="str">
        <x:v>BB-</x:v>
      </x:c>
      <x:c r="T35" s="179" t="str">
        <x:v>development_proxy</x:v>
      </x:c>
      <x:c r="U35" s="179" t="str"/>
      <x:c r="V35" s="179" t="n">
        <x:v>0.75</x:v>
      </x:c>
      <x:c r="W35" s="179" t="str">
        <x:v>development_assumption</x:v>
      </x:c>
      <x:c r="X3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6" ht="107" customHeight="1">
      <x:c r="A36" s="179" t="str">
        <x:v>SYN-LN-00029</x:v>
      </x:c>
      <x:c r="B36" s="180" t="n">
        <x:f>IF(A36="","",SUMIF('Portfolio Inputs'!A8:A59,A36,'Portfolio Inputs'!D8:D59))</x:f>
        <x:v>630000</x:v>
      </x:c>
      <x:c r="C36" s="179" t="str">
        <x:v>B</x:v>
      </x:c>
      <x:c r="D36" s="181" t="str">
        <x:v>development_proxy</x:v>
      </x:c>
      <x:c r="E36" s="181" t="str"/>
      <x:c r="F36" s="182" t="n">
        <x:v>0.65</x:v>
      </x:c>
      <x:c r="G36" s="181" t="str">
        <x:v>development_assumption</x:v>
      </x:c>
      <x:c r="H36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36" s="183" t="n">
        <x:f>IF(AND(C36&lt;&gt;"",OR(D36="public_fitch_idr",D36="reviewed_appendix5_equivalent",D36="development_proxy"),H36&lt;&gt;""),VLOOKUP(C36,Fitch_WARF_Factors,2,FALSE),"")</x:f>
        <x:v>23.671</x:v>
      </x:c>
      <x:c r="J36" s="184" t="n">
        <x:f>IF(ISNUMBER(I36),B36*I36,0)</x:f>
        <x:v>14912730</x:v>
      </x:c>
      <x:c r="K36" s="184" t="n">
        <x:f>IF(AND(A36&lt;&gt;"",M36=0),B36*F36,0)</x:f>
        <x:v>409500</x:v>
      </x:c>
      <x:c r="L36" s="184" t="n">
        <x:f>IF(A36="",0,IF(ISNUMBER(I36),0,B36))</x:f>
        <x:v>0</x:v>
      </x:c>
      <x:c r="M36" s="185" t="n">
        <x:f>IF(A36="",0,IF(AND(ISNUMBER(F36),F36&gt;=0,F36&lt;=1,OR(G36="fitch_issue_recovery_estimate",G36="fitch_issue_recovery_rating",G36="reviewed_bbsf_fallback",G36="development_assumption"),H36&lt;&gt;""),0,B36))</x:f>
        <x:v>0</x:v>
      </x:c>
      <x:c r="N36" s="186" t="n">
        <x:f>IF(A36=Q36,0,1)+IF(B36=R36,0,1)+IF(C36=S36,0,1)+IF(D36=T36,0,1)+IF(E36=U36,0,1)+IF(F36=V36,0,1)+IF(G36=W36,0,1)+IF(H36=X36,0,1)</x:f>
        <x:v>0</x:v>
      </x:c>
      <x:c r="O36" s="186" t="n">
        <x:f>IF(A36="",0,IF(E36="",B36,0))</x:f>
        <x:v>630000</x:v>
      </x:c>
      <x:c r="P36" s="187"/>
      <x:c r="Q36" s="179" t="str">
        <x:v>SYN-LN-00029</x:v>
      </x:c>
      <x:c r="R36" s="179" t="n">
        <x:v>630000</x:v>
      </x:c>
      <x:c r="S36" s="179" t="str">
        <x:v>B</x:v>
      </x:c>
      <x:c r="T36" s="179" t="str">
        <x:v>development_proxy</x:v>
      </x:c>
      <x:c r="U36" s="179" t="str"/>
      <x:c r="V36" s="179" t="n">
        <x:v>0.65</x:v>
      </x:c>
      <x:c r="W36" s="179" t="str">
        <x:v>development_assumption</x:v>
      </x:c>
      <x:c r="X36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37" ht="107" customHeight="1">
      <x:c r="A37" s="179" t="str">
        <x:v>SYN-LN-00030</x:v>
      </x:c>
      <x:c r="B37" s="180" t="n">
        <x:f>IF(A37="","",SUMIF('Portfolio Inputs'!A8:A59,A37,'Portfolio Inputs'!D8:D59))</x:f>
        <x:v>1182000</x:v>
      </x:c>
      <x:c r="C37" s="179" t="str">
        <x:v>B-</x:v>
      </x:c>
      <x:c r="D37" s="181" t="str">
        <x:v>development_proxy</x:v>
      </x:c>
      <x:c r="E37" s="181" t="str"/>
      <x:c r="F37" s="182" t="n">
        <x:v>0.75</x:v>
      </x:c>
      <x:c r="G37" s="181" t="str">
        <x:v>development_assumption</x:v>
      </x:c>
      <x:c r="H3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7" s="183" t="n">
        <x:f>IF(AND(C37&lt;&gt;"",OR(D37="public_fitch_idr",D37="reviewed_appendix5_equivalent",D37="development_proxy"),H37&lt;&gt;""),VLOOKUP(C37,Fitch_WARF_Factors,2,FALSE),"")</x:f>
        <x:v>32.221</x:v>
      </x:c>
      <x:c r="J37" s="184" t="n">
        <x:f>IF(ISNUMBER(I37),B37*I37,0)</x:f>
        <x:v>38085221.99999999</x:v>
      </x:c>
      <x:c r="K37" s="184" t="n">
        <x:f>IF(AND(A37&lt;&gt;"",M37=0),B37*F37,0)</x:f>
        <x:v>886500</x:v>
      </x:c>
      <x:c r="L37" s="184" t="n">
        <x:f>IF(A37="",0,IF(ISNUMBER(I37),0,B37))</x:f>
        <x:v>0</x:v>
      </x:c>
      <x:c r="M37" s="185" t="n">
        <x:f>IF(A37="",0,IF(AND(ISNUMBER(F37),F37&gt;=0,F37&lt;=1,OR(G37="fitch_issue_recovery_estimate",G37="fitch_issue_recovery_rating",G37="reviewed_bbsf_fallback",G37="development_assumption"),H37&lt;&gt;""),0,B37))</x:f>
        <x:v>0</x:v>
      </x:c>
      <x:c r="N37" s="186" t="n">
        <x:f>IF(A37=Q37,0,1)+IF(B37=R37,0,1)+IF(C37=S37,0,1)+IF(D37=T37,0,1)+IF(E37=U37,0,1)+IF(F37=V37,0,1)+IF(G37=W37,0,1)+IF(H37=X37,0,1)</x:f>
        <x:v>0</x:v>
      </x:c>
      <x:c r="O37" s="186" t="n">
        <x:f>IF(A37="",0,IF(E37="",B37,0))</x:f>
        <x:v>1182000</x:v>
      </x:c>
      <x:c r="P37" s="187"/>
      <x:c r="Q37" s="179" t="str">
        <x:v>SYN-LN-00030</x:v>
      </x:c>
      <x:c r="R37" s="179" t="n">
        <x:v>1182000</x:v>
      </x:c>
      <x:c r="S37" s="179" t="str">
        <x:v>B-</x:v>
      </x:c>
      <x:c r="T37" s="179" t="str">
        <x:v>development_proxy</x:v>
      </x:c>
      <x:c r="U37" s="179" t="str"/>
      <x:c r="V37" s="179" t="n">
        <x:v>0.75</x:v>
      </x:c>
      <x:c r="W37" s="179" t="str">
        <x:v>development_assumption</x:v>
      </x:c>
      <x:c r="X3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8" ht="107" customHeight="1">
      <x:c r="A38" s="179" t="str">
        <x:v>SYN-LN-00031</x:v>
      </x:c>
      <x:c r="B38" s="180" t="n">
        <x:f>IF(A38="","",SUMIF('Portfolio Inputs'!A8:A59,A38,'Portfolio Inputs'!D8:D59))</x:f>
        <x:v>1182000</x:v>
      </x:c>
      <x:c r="C38" s="179" t="str">
        <x:v>B+</x:v>
      </x:c>
      <x:c r="D38" s="181" t="str">
        <x:v>development_proxy</x:v>
      </x:c>
      <x:c r="E38" s="181" t="str"/>
      <x:c r="F38" s="182" t="n">
        <x:v>0.75</x:v>
      </x:c>
      <x:c r="G38" s="181" t="str">
        <x:v>development_assumption</x:v>
      </x:c>
      <x:c r="H3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8" s="183" t="n">
        <x:f>IF(AND(C38&lt;&gt;"",OR(D38="public_fitch_idr",D38="reviewed_appendix5_equivalent",D38="development_proxy"),H38&lt;&gt;""),VLOOKUP(C38,Fitch_WARF_Factors,2,FALSE),"")</x:f>
        <x:v>19.627</x:v>
      </x:c>
      <x:c r="J38" s="184" t="n">
        <x:f>IF(ISNUMBER(I38),B38*I38,0)</x:f>
        <x:v>23199114</x:v>
      </x:c>
      <x:c r="K38" s="184" t="n">
        <x:f>IF(AND(A38&lt;&gt;"",M38=0),B38*F38,0)</x:f>
        <x:v>886500</x:v>
      </x:c>
      <x:c r="L38" s="184" t="n">
        <x:f>IF(A38="",0,IF(ISNUMBER(I38),0,B38))</x:f>
        <x:v>0</x:v>
      </x:c>
      <x:c r="M38" s="185" t="n">
        <x:f>IF(A38="",0,IF(AND(ISNUMBER(F38),F38&gt;=0,F38&lt;=1,OR(G38="fitch_issue_recovery_estimate",G38="fitch_issue_recovery_rating",G38="reviewed_bbsf_fallback",G38="development_assumption"),H38&lt;&gt;""),0,B38))</x:f>
        <x:v>0</x:v>
      </x:c>
      <x:c r="N38" s="186" t="n">
        <x:f>IF(A38=Q38,0,1)+IF(B38=R38,0,1)+IF(C38=S38,0,1)+IF(D38=T38,0,1)+IF(E38=U38,0,1)+IF(F38=V38,0,1)+IF(G38=W38,0,1)+IF(H38=X38,0,1)</x:f>
        <x:v>0</x:v>
      </x:c>
      <x:c r="O38" s="186" t="n">
        <x:f>IF(A38="",0,IF(E38="",B38,0))</x:f>
        <x:v>1182000</x:v>
      </x:c>
      <x:c r="P38" s="187"/>
      <x:c r="Q38" s="179" t="str">
        <x:v>SYN-LN-00031</x:v>
      </x:c>
      <x:c r="R38" s="179" t="n">
        <x:v>1182000</x:v>
      </x:c>
      <x:c r="S38" s="179" t="str">
        <x:v>B+</x:v>
      </x:c>
      <x:c r="T38" s="179" t="str">
        <x:v>development_proxy</x:v>
      </x:c>
      <x:c r="U38" s="179" t="str"/>
      <x:c r="V38" s="179" t="n">
        <x:v>0.75</x:v>
      </x:c>
      <x:c r="W38" s="179" t="str">
        <x:v>development_assumption</x:v>
      </x:c>
      <x:c r="X3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9" ht="107" customHeight="1">
      <x:c r="A39" s="179" t="str">
        <x:v>SYN-LN-00032</x:v>
      </x:c>
      <x:c r="B39" s="180" t="n">
        <x:f>IF(A39="","",SUMIF('Portfolio Inputs'!A8:A59,A39,'Portfolio Inputs'!D8:D59))</x:f>
        <x:v>1182000</x:v>
      </x:c>
      <x:c r="C39" s="179" t="str">
        <x:v>B</x:v>
      </x:c>
      <x:c r="D39" s="181" t="str">
        <x:v>development_proxy</x:v>
      </x:c>
      <x:c r="E39" s="181" t="str"/>
      <x:c r="F39" s="182" t="n">
        <x:v>0.75</x:v>
      </x:c>
      <x:c r="G39" s="181" t="str">
        <x:v>development_assumption</x:v>
      </x:c>
      <x:c r="H3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9" s="183" t="n">
        <x:f>IF(AND(C39&lt;&gt;"",OR(D39="public_fitch_idr",D39="reviewed_appendix5_equivalent",D39="development_proxy"),H39&lt;&gt;""),VLOOKUP(C39,Fitch_WARF_Factors,2,FALSE),"")</x:f>
        <x:v>23.671</x:v>
      </x:c>
      <x:c r="J39" s="184" t="n">
        <x:f>IF(ISNUMBER(I39),B39*I39,0)</x:f>
        <x:v>27979122</x:v>
      </x:c>
      <x:c r="K39" s="184" t="n">
        <x:f>IF(AND(A39&lt;&gt;"",M39=0),B39*F39,0)</x:f>
        <x:v>886500</x:v>
      </x:c>
      <x:c r="L39" s="184" t="n">
        <x:f>IF(A39="",0,IF(ISNUMBER(I39),0,B39))</x:f>
        <x:v>0</x:v>
      </x:c>
      <x:c r="M39" s="185" t="n">
        <x:f>IF(A39="",0,IF(AND(ISNUMBER(F39),F39&gt;=0,F39&lt;=1,OR(G39="fitch_issue_recovery_estimate",G39="fitch_issue_recovery_rating",G39="reviewed_bbsf_fallback",G39="development_assumption"),H39&lt;&gt;""),0,B39))</x:f>
        <x:v>0</x:v>
      </x:c>
      <x:c r="N39" s="186" t="n">
        <x:f>IF(A39=Q39,0,1)+IF(B39=R39,0,1)+IF(C39=S39,0,1)+IF(D39=T39,0,1)+IF(E39=U39,0,1)+IF(F39=V39,0,1)+IF(G39=W39,0,1)+IF(H39=X39,0,1)</x:f>
        <x:v>0</x:v>
      </x:c>
      <x:c r="O39" s="186" t="n">
        <x:f>IF(A39="",0,IF(E39="",B39,0))</x:f>
        <x:v>1182000</x:v>
      </x:c>
      <x:c r="P39" s="187"/>
      <x:c r="Q39" s="179" t="str">
        <x:v>SYN-LN-00032</x:v>
      </x:c>
      <x:c r="R39" s="179" t="n">
        <x:v>1182000</x:v>
      </x:c>
      <x:c r="S39" s="179" t="str">
        <x:v>B</x:v>
      </x:c>
      <x:c r="T39" s="179" t="str">
        <x:v>development_proxy</x:v>
      </x:c>
      <x:c r="U39" s="179" t="str"/>
      <x:c r="V39" s="179" t="n">
        <x:v>0.75</x:v>
      </x:c>
      <x:c r="W39" s="179" t="str">
        <x:v>development_assumption</x:v>
      </x:c>
      <x:c r="X3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0" ht="107" customHeight="1">
      <x:c r="A40" s="179" t="str">
        <x:v>SYN-LN-00033</x:v>
      </x:c>
      <x:c r="B40" s="180" t="n">
        <x:f>IF(A40="","",SUMIF('Portfolio Inputs'!A8:A59,A40,'Portfolio Inputs'!D8:D59))</x:f>
        <x:v>1182000</x:v>
      </x:c>
      <x:c r="C40" s="179" t="str">
        <x:v>B+</x:v>
      </x:c>
      <x:c r="D40" s="181" t="str">
        <x:v>development_proxy</x:v>
      </x:c>
      <x:c r="E40" s="181" t="str"/>
      <x:c r="F40" s="182" t="n">
        <x:v>0.75</x:v>
      </x:c>
      <x:c r="G40" s="181" t="str">
        <x:v>development_assumption</x:v>
      </x:c>
      <x:c r="H4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0" s="183" t="n">
        <x:f>IF(AND(C40&lt;&gt;"",OR(D40="public_fitch_idr",D40="reviewed_appendix5_equivalent",D40="development_proxy"),H40&lt;&gt;""),VLOOKUP(C40,Fitch_WARF_Factors,2,FALSE),"")</x:f>
        <x:v>19.627</x:v>
      </x:c>
      <x:c r="J40" s="184" t="n">
        <x:f>IF(ISNUMBER(I40),B40*I40,0)</x:f>
        <x:v>23199114</x:v>
      </x:c>
      <x:c r="K40" s="184" t="n">
        <x:f>IF(AND(A40&lt;&gt;"",M40=0),B40*F40,0)</x:f>
        <x:v>886500</x:v>
      </x:c>
      <x:c r="L40" s="184" t="n">
        <x:f>IF(A40="",0,IF(ISNUMBER(I40),0,B40))</x:f>
        <x:v>0</x:v>
      </x:c>
      <x:c r="M40" s="185" t="n">
        <x:f>IF(A40="",0,IF(AND(ISNUMBER(F40),F40&gt;=0,F40&lt;=1,OR(G40="fitch_issue_recovery_estimate",G40="fitch_issue_recovery_rating",G40="reviewed_bbsf_fallback",G40="development_assumption"),H40&lt;&gt;""),0,B40))</x:f>
        <x:v>0</x:v>
      </x:c>
      <x:c r="N40" s="186" t="n">
        <x:f>IF(A40=Q40,0,1)+IF(B40=R40,0,1)+IF(C40=S40,0,1)+IF(D40=T40,0,1)+IF(E40=U40,0,1)+IF(F40=V40,0,1)+IF(G40=W40,0,1)+IF(H40=X40,0,1)</x:f>
        <x:v>0</x:v>
      </x:c>
      <x:c r="O40" s="186" t="n">
        <x:f>IF(A40="",0,IF(E40="",B40,0))</x:f>
        <x:v>1182000</x:v>
      </x:c>
      <x:c r="P40" s="187"/>
      <x:c r="Q40" s="179" t="str">
        <x:v>SYN-LN-00033</x:v>
      </x:c>
      <x:c r="R40" s="179" t="n">
        <x:v>1182000</x:v>
      </x:c>
      <x:c r="S40" s="179" t="str">
        <x:v>B+</x:v>
      </x:c>
      <x:c r="T40" s="179" t="str">
        <x:v>development_proxy</x:v>
      </x:c>
      <x:c r="U40" s="179" t="str"/>
      <x:c r="V40" s="179" t="n">
        <x:v>0.75</x:v>
      </x:c>
      <x:c r="W40" s="179" t="str">
        <x:v>development_assumption</x:v>
      </x:c>
      <x:c r="X4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1" ht="107" customHeight="1">
      <x:c r="A41" s="179" t="str">
        <x:v>SYN-LN-00034</x:v>
      </x:c>
      <x:c r="B41" s="180" t="n">
        <x:f>IF(A41="","",SUMIF('Portfolio Inputs'!A8:A59,A41,'Portfolio Inputs'!D8:D59))</x:f>
        <x:v>1182000</x:v>
      </x:c>
      <x:c r="C41" s="179" t="str">
        <x:v>B+</x:v>
      </x:c>
      <x:c r="D41" s="181" t="str">
        <x:v>development_proxy</x:v>
      </x:c>
      <x:c r="E41" s="181" t="str"/>
      <x:c r="F41" s="182" t="n">
        <x:v>0.75</x:v>
      </x:c>
      <x:c r="G41" s="181" t="str">
        <x:v>development_assumption</x:v>
      </x:c>
      <x:c r="H4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1" s="183" t="n">
        <x:f>IF(AND(C41&lt;&gt;"",OR(D41="public_fitch_idr",D41="reviewed_appendix5_equivalent",D41="development_proxy"),H41&lt;&gt;""),VLOOKUP(C41,Fitch_WARF_Factors,2,FALSE),"")</x:f>
        <x:v>19.627</x:v>
      </x:c>
      <x:c r="J41" s="184" t="n">
        <x:f>IF(ISNUMBER(I41),B41*I41,0)</x:f>
        <x:v>23199114</x:v>
      </x:c>
      <x:c r="K41" s="184" t="n">
        <x:f>IF(AND(A41&lt;&gt;"",M41=0),B41*F41,0)</x:f>
        <x:v>886500</x:v>
      </x:c>
      <x:c r="L41" s="184" t="n">
        <x:f>IF(A41="",0,IF(ISNUMBER(I41),0,B41))</x:f>
        <x:v>0</x:v>
      </x:c>
      <x:c r="M41" s="185" t="n">
        <x:f>IF(A41="",0,IF(AND(ISNUMBER(F41),F41&gt;=0,F41&lt;=1,OR(G41="fitch_issue_recovery_estimate",G41="fitch_issue_recovery_rating",G41="reviewed_bbsf_fallback",G41="development_assumption"),H41&lt;&gt;""),0,B41))</x:f>
        <x:v>0</x:v>
      </x:c>
      <x:c r="N41" s="186" t="n">
        <x:f>IF(A41=Q41,0,1)+IF(B41=R41,0,1)+IF(C41=S41,0,1)+IF(D41=T41,0,1)+IF(E41=U41,0,1)+IF(F41=V41,0,1)+IF(G41=W41,0,1)+IF(H41=X41,0,1)</x:f>
        <x:v>0</x:v>
      </x:c>
      <x:c r="O41" s="186" t="n">
        <x:f>IF(A41="",0,IF(E41="",B41,0))</x:f>
        <x:v>1182000</x:v>
      </x:c>
      <x:c r="P41" s="187"/>
      <x:c r="Q41" s="179" t="str">
        <x:v>SYN-LN-00034</x:v>
      </x:c>
      <x:c r="R41" s="179" t="n">
        <x:v>1182000</x:v>
      </x:c>
      <x:c r="S41" s="179" t="str">
        <x:v>B+</x:v>
      </x:c>
      <x:c r="T41" s="179" t="str">
        <x:v>development_proxy</x:v>
      </x:c>
      <x:c r="U41" s="179" t="str"/>
      <x:c r="V41" s="179" t="n">
        <x:v>0.75</x:v>
      </x:c>
      <x:c r="W41" s="179" t="str">
        <x:v>development_assumption</x:v>
      </x:c>
      <x:c r="X4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2" ht="107" customHeight="1">
      <x:c r="A42" s="179" t="str">
        <x:v>SYN-LN-00035</x:v>
      </x:c>
      <x:c r="B42" s="180" t="n">
        <x:f>IF(A42="","",SUMIF('Portfolio Inputs'!A8:A59,A42,'Portfolio Inputs'!D8:D59))</x:f>
        <x:v>1182000</x:v>
      </x:c>
      <x:c r="C42" s="179" t="str">
        <x:v>B-</x:v>
      </x:c>
      <x:c r="D42" s="181" t="str">
        <x:v>development_proxy</x:v>
      </x:c>
      <x:c r="E42" s="181" t="str"/>
      <x:c r="F42" s="182" t="n">
        <x:v>0.75</x:v>
      </x:c>
      <x:c r="G42" s="181" t="str">
        <x:v>development_assumption</x:v>
      </x:c>
      <x:c r="H4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2" s="183" t="n">
        <x:f>IF(AND(C42&lt;&gt;"",OR(D42="public_fitch_idr",D42="reviewed_appendix5_equivalent",D42="development_proxy"),H42&lt;&gt;""),VLOOKUP(C42,Fitch_WARF_Factors,2,FALSE),"")</x:f>
        <x:v>32.221</x:v>
      </x:c>
      <x:c r="J42" s="184" t="n">
        <x:f>IF(ISNUMBER(I42),B42*I42,0)</x:f>
        <x:v>38085221.99999999</x:v>
      </x:c>
      <x:c r="K42" s="184" t="n">
        <x:f>IF(AND(A42&lt;&gt;"",M42=0),B42*F42,0)</x:f>
        <x:v>886500</x:v>
      </x:c>
      <x:c r="L42" s="184" t="n">
        <x:f>IF(A42="",0,IF(ISNUMBER(I42),0,B42))</x:f>
        <x:v>0</x:v>
      </x:c>
      <x:c r="M42" s="185" t="n">
        <x:f>IF(A42="",0,IF(AND(ISNUMBER(F42),F42&gt;=0,F42&lt;=1,OR(G42="fitch_issue_recovery_estimate",G42="fitch_issue_recovery_rating",G42="reviewed_bbsf_fallback",G42="development_assumption"),H42&lt;&gt;""),0,B42))</x:f>
        <x:v>0</x:v>
      </x:c>
      <x:c r="N42" s="186" t="n">
        <x:f>IF(A42=Q42,0,1)+IF(B42=R42,0,1)+IF(C42=S42,0,1)+IF(D42=T42,0,1)+IF(E42=U42,0,1)+IF(F42=V42,0,1)+IF(G42=W42,0,1)+IF(H42=X42,0,1)</x:f>
        <x:v>0</x:v>
      </x:c>
      <x:c r="O42" s="186" t="n">
        <x:f>IF(A42="",0,IF(E42="",B42,0))</x:f>
        <x:v>1182000</x:v>
      </x:c>
      <x:c r="P42" s="187"/>
      <x:c r="Q42" s="179" t="str">
        <x:v>SYN-LN-00035</x:v>
      </x:c>
      <x:c r="R42" s="179" t="n">
        <x:v>1182000</x:v>
      </x:c>
      <x:c r="S42" s="179" t="str">
        <x:v>B-</x:v>
      </x:c>
      <x:c r="T42" s="179" t="str">
        <x:v>development_proxy</x:v>
      </x:c>
      <x:c r="U42" s="179" t="str"/>
      <x:c r="V42" s="179" t="n">
        <x:v>0.75</x:v>
      </x:c>
      <x:c r="W42" s="179" t="str">
        <x:v>development_assumption</x:v>
      </x:c>
      <x:c r="X4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3" ht="107" customHeight="1">
      <x:c r="A43" s="179" t="str">
        <x:v>SYN-LN-00036</x:v>
      </x:c>
      <x:c r="B43" s="180" t="n">
        <x:f>IF(A43="","",SUMIF('Portfolio Inputs'!A8:A59,A43,'Portfolio Inputs'!D8:D59))</x:f>
        <x:v>1182000</x:v>
      </x:c>
      <x:c r="C43" s="179" t="str">
        <x:v>B</x:v>
      </x:c>
      <x:c r="D43" s="181" t="str">
        <x:v>development_proxy</x:v>
      </x:c>
      <x:c r="E43" s="181" t="str"/>
      <x:c r="F43" s="182" t="n">
        <x:v>0.75</x:v>
      </x:c>
      <x:c r="G43" s="181" t="str">
        <x:v>development_assumption</x:v>
      </x:c>
      <x:c r="H4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3" s="183" t="n">
        <x:f>IF(AND(C43&lt;&gt;"",OR(D43="public_fitch_idr",D43="reviewed_appendix5_equivalent",D43="development_proxy"),H43&lt;&gt;""),VLOOKUP(C43,Fitch_WARF_Factors,2,FALSE),"")</x:f>
        <x:v>23.671</x:v>
      </x:c>
      <x:c r="J43" s="184" t="n">
        <x:f>IF(ISNUMBER(I43),B43*I43,0)</x:f>
        <x:v>27979122</x:v>
      </x:c>
      <x:c r="K43" s="184" t="n">
        <x:f>IF(AND(A43&lt;&gt;"",M43=0),B43*F43,0)</x:f>
        <x:v>886500</x:v>
      </x:c>
      <x:c r="L43" s="184" t="n">
        <x:f>IF(A43="",0,IF(ISNUMBER(I43),0,B43))</x:f>
        <x:v>0</x:v>
      </x:c>
      <x:c r="M43" s="185" t="n">
        <x:f>IF(A43="",0,IF(AND(ISNUMBER(F43),F43&gt;=0,F43&lt;=1,OR(G43="fitch_issue_recovery_estimate",G43="fitch_issue_recovery_rating",G43="reviewed_bbsf_fallback",G43="development_assumption"),H43&lt;&gt;""),0,B43))</x:f>
        <x:v>0</x:v>
      </x:c>
      <x:c r="N43" s="186" t="n">
        <x:f>IF(A43=Q43,0,1)+IF(B43=R43,0,1)+IF(C43=S43,0,1)+IF(D43=T43,0,1)+IF(E43=U43,0,1)+IF(F43=V43,0,1)+IF(G43=W43,0,1)+IF(H43=X43,0,1)</x:f>
        <x:v>0</x:v>
      </x:c>
      <x:c r="O43" s="186" t="n">
        <x:f>IF(A43="",0,IF(E43="",B43,0))</x:f>
        <x:v>1182000</x:v>
      </x:c>
      <x:c r="P43" s="187"/>
      <x:c r="Q43" s="179" t="str">
        <x:v>SYN-LN-00036</x:v>
      </x:c>
      <x:c r="R43" s="179" t="n">
        <x:v>1182000</x:v>
      </x:c>
      <x:c r="S43" s="179" t="str">
        <x:v>B</x:v>
      </x:c>
      <x:c r="T43" s="179" t="str">
        <x:v>development_proxy</x:v>
      </x:c>
      <x:c r="U43" s="179" t="str"/>
      <x:c r="V43" s="179" t="n">
        <x:v>0.75</x:v>
      </x:c>
      <x:c r="W43" s="179" t="str">
        <x:v>development_assumption</x:v>
      </x:c>
      <x:c r="X4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4" ht="107" customHeight="1">
      <x:c r="A44" s="179" t="str">
        <x:v>SYN-LN-00037</x:v>
      </x:c>
      <x:c r="B44" s="180" t="n">
        <x:f>IF(A44="","",SUMIF('Portfolio Inputs'!A8:A59,A44,'Portfolio Inputs'!D8:D59))</x:f>
        <x:v>1182000</x:v>
      </x:c>
      <x:c r="C44" s="179" t="str">
        <x:v>BB-</x:v>
      </x:c>
      <x:c r="D44" s="181" t="str">
        <x:v>development_proxy</x:v>
      </x:c>
      <x:c r="E44" s="181" t="str"/>
      <x:c r="F44" s="182" t="n">
        <x:v>0.75</x:v>
      </x:c>
      <x:c r="G44" s="181" t="str">
        <x:v>development_assumption</x:v>
      </x:c>
      <x:c r="H4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4" s="183" t="n">
        <x:f>IF(AND(C44&lt;&gt;"",OR(D44="public_fitch_idr",D44="reviewed_appendix5_equivalent",D44="development_proxy"),H44&lt;&gt;""),VLOOKUP(C44,Fitch_WARF_Factors,2,FALSE),"")</x:f>
        <x:v>15.733</x:v>
      </x:c>
      <x:c r="J44" s="184" t="n">
        <x:f>IF(ISNUMBER(I44),B44*I44,0)</x:f>
        <x:v>18596406</x:v>
      </x:c>
      <x:c r="K44" s="184" t="n">
        <x:f>IF(AND(A44&lt;&gt;"",M44=0),B44*F44,0)</x:f>
        <x:v>886500</x:v>
      </x:c>
      <x:c r="L44" s="184" t="n">
        <x:f>IF(A44="",0,IF(ISNUMBER(I44),0,B44))</x:f>
        <x:v>0</x:v>
      </x:c>
      <x:c r="M44" s="185" t="n">
        <x:f>IF(A44="",0,IF(AND(ISNUMBER(F44),F44&gt;=0,F44&lt;=1,OR(G44="fitch_issue_recovery_estimate",G44="fitch_issue_recovery_rating",G44="reviewed_bbsf_fallback",G44="development_assumption"),H44&lt;&gt;""),0,B44))</x:f>
        <x:v>0</x:v>
      </x:c>
      <x:c r="N44" s="186" t="n">
        <x:f>IF(A44=Q44,0,1)+IF(B44=R44,0,1)+IF(C44=S44,0,1)+IF(D44=T44,0,1)+IF(E44=U44,0,1)+IF(F44=V44,0,1)+IF(G44=W44,0,1)+IF(H44=X44,0,1)</x:f>
        <x:v>0</x:v>
      </x:c>
      <x:c r="O44" s="186" t="n">
        <x:f>IF(A44="",0,IF(E44="",B44,0))</x:f>
        <x:v>1182000</x:v>
      </x:c>
      <x:c r="P44" s="187"/>
      <x:c r="Q44" s="179" t="str">
        <x:v>SYN-LN-00037</x:v>
      </x:c>
      <x:c r="R44" s="179" t="n">
        <x:v>1182000</x:v>
      </x:c>
      <x:c r="S44" s="179" t="str">
        <x:v>BB-</x:v>
      </x:c>
      <x:c r="T44" s="179" t="str">
        <x:v>development_proxy</x:v>
      </x:c>
      <x:c r="U44" s="179" t="str"/>
      <x:c r="V44" s="179" t="n">
        <x:v>0.75</x:v>
      </x:c>
      <x:c r="W44" s="179" t="str">
        <x:v>development_assumption</x:v>
      </x:c>
      <x:c r="X4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5" ht="107" customHeight="1">
      <x:c r="A45" s="179" t="str">
        <x:v>SYN-LN-00038</x:v>
      </x:c>
      <x:c r="B45" s="180" t="n">
        <x:f>IF(A45="","",SUMIF('Portfolio Inputs'!A8:A59,A45,'Portfolio Inputs'!D8:D59))</x:f>
        <x:v>1182000</x:v>
      </x:c>
      <x:c r="C45" s="179" t="str">
        <x:v>B-</x:v>
      </x:c>
      <x:c r="D45" s="181" t="str">
        <x:v>development_proxy</x:v>
      </x:c>
      <x:c r="E45" s="181" t="str"/>
      <x:c r="F45" s="182" t="n">
        <x:v>0.75</x:v>
      </x:c>
      <x:c r="G45" s="181" t="str">
        <x:v>development_assumption</x:v>
      </x:c>
      <x:c r="H4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5" s="183" t="n">
        <x:f>IF(AND(C45&lt;&gt;"",OR(D45="public_fitch_idr",D45="reviewed_appendix5_equivalent",D45="development_proxy"),H45&lt;&gt;""),VLOOKUP(C45,Fitch_WARF_Factors,2,FALSE),"")</x:f>
        <x:v>32.221</x:v>
      </x:c>
      <x:c r="J45" s="184" t="n">
        <x:f>IF(ISNUMBER(I45),B45*I45,0)</x:f>
        <x:v>38085221.99999999</x:v>
      </x:c>
      <x:c r="K45" s="184" t="n">
        <x:f>IF(AND(A45&lt;&gt;"",M45=0),B45*F45,0)</x:f>
        <x:v>886500</x:v>
      </x:c>
      <x:c r="L45" s="184" t="n">
        <x:f>IF(A45="",0,IF(ISNUMBER(I45),0,B45))</x:f>
        <x:v>0</x:v>
      </x:c>
      <x:c r="M45" s="185" t="n">
        <x:f>IF(A45="",0,IF(AND(ISNUMBER(F45),F45&gt;=0,F45&lt;=1,OR(G45="fitch_issue_recovery_estimate",G45="fitch_issue_recovery_rating",G45="reviewed_bbsf_fallback",G45="development_assumption"),H45&lt;&gt;""),0,B45))</x:f>
        <x:v>0</x:v>
      </x:c>
      <x:c r="N45" s="186" t="n">
        <x:f>IF(A45=Q45,0,1)+IF(B45=R45,0,1)+IF(C45=S45,0,1)+IF(D45=T45,0,1)+IF(E45=U45,0,1)+IF(F45=V45,0,1)+IF(G45=W45,0,1)+IF(H45=X45,0,1)</x:f>
        <x:v>0</x:v>
      </x:c>
      <x:c r="O45" s="186" t="n">
        <x:f>IF(A45="",0,IF(E45="",B45,0))</x:f>
        <x:v>1182000</x:v>
      </x:c>
      <x:c r="P45" s="187"/>
      <x:c r="Q45" s="179" t="str">
        <x:v>SYN-LN-00038</x:v>
      </x:c>
      <x:c r="R45" s="179" t="n">
        <x:v>1182000</x:v>
      </x:c>
      <x:c r="S45" s="179" t="str">
        <x:v>B-</x:v>
      </x:c>
      <x:c r="T45" s="179" t="str">
        <x:v>development_proxy</x:v>
      </x:c>
      <x:c r="U45" s="179" t="str"/>
      <x:c r="V45" s="179" t="n">
        <x:v>0.75</x:v>
      </x:c>
      <x:c r="W45" s="179" t="str">
        <x:v>development_assumption</x:v>
      </x:c>
      <x:c r="X4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6" ht="107" customHeight="1">
      <x:c r="A46" s="179" t="str">
        <x:v>SYN-LN-00039</x:v>
      </x:c>
      <x:c r="B46" s="180" t="n">
        <x:f>IF(A46="","",SUMIF('Portfolio Inputs'!A8:A59,A46,'Portfolio Inputs'!D8:D59))</x:f>
        <x:v>1182000</x:v>
      </x:c>
      <x:c r="C46" s="179" t="str">
        <x:v>B-</x:v>
      </x:c>
      <x:c r="D46" s="181" t="str">
        <x:v>development_proxy</x:v>
      </x:c>
      <x:c r="E46" s="181" t="str"/>
      <x:c r="F46" s="182" t="n">
        <x:v>0.75</x:v>
      </x:c>
      <x:c r="G46" s="181" t="str">
        <x:v>development_assumption</x:v>
      </x:c>
      <x:c r="H4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6" s="183" t="n">
        <x:f>IF(AND(C46&lt;&gt;"",OR(D46="public_fitch_idr",D46="reviewed_appendix5_equivalent",D46="development_proxy"),H46&lt;&gt;""),VLOOKUP(C46,Fitch_WARF_Factors,2,FALSE),"")</x:f>
        <x:v>32.221</x:v>
      </x:c>
      <x:c r="J46" s="184" t="n">
        <x:f>IF(ISNUMBER(I46),B46*I46,0)</x:f>
        <x:v>38085221.99999999</x:v>
      </x:c>
      <x:c r="K46" s="184" t="n">
        <x:f>IF(AND(A46&lt;&gt;"",M46=0),B46*F46,0)</x:f>
        <x:v>886500</x:v>
      </x:c>
      <x:c r="L46" s="184" t="n">
        <x:f>IF(A46="",0,IF(ISNUMBER(I46),0,B46))</x:f>
        <x:v>0</x:v>
      </x:c>
      <x:c r="M46" s="185" t="n">
        <x:f>IF(A46="",0,IF(AND(ISNUMBER(F46),F46&gt;=0,F46&lt;=1,OR(G46="fitch_issue_recovery_estimate",G46="fitch_issue_recovery_rating",G46="reviewed_bbsf_fallback",G46="development_assumption"),H46&lt;&gt;""),0,B46))</x:f>
        <x:v>0</x:v>
      </x:c>
      <x:c r="N46" s="186" t="n">
        <x:f>IF(A46=Q46,0,1)+IF(B46=R46,0,1)+IF(C46=S46,0,1)+IF(D46=T46,0,1)+IF(E46=U46,0,1)+IF(F46=V46,0,1)+IF(G46=W46,0,1)+IF(H46=X46,0,1)</x:f>
        <x:v>0</x:v>
      </x:c>
      <x:c r="O46" s="186" t="n">
        <x:f>IF(A46="",0,IF(E46="",B46,0))</x:f>
        <x:v>1182000</x:v>
      </x:c>
      <x:c r="P46" s="187"/>
      <x:c r="Q46" s="179" t="str">
        <x:v>SYN-LN-00039</x:v>
      </x:c>
      <x:c r="R46" s="179" t="n">
        <x:v>1182000</x:v>
      </x:c>
      <x:c r="S46" s="179" t="str">
        <x:v>B-</x:v>
      </x:c>
      <x:c r="T46" s="179" t="str">
        <x:v>development_proxy</x:v>
      </x:c>
      <x:c r="U46" s="179" t="str"/>
      <x:c r="V46" s="179" t="n">
        <x:v>0.75</x:v>
      </x:c>
      <x:c r="W46" s="179" t="str">
        <x:v>development_assumption</x:v>
      </x:c>
      <x:c r="X4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7" ht="107" customHeight="1">
      <x:c r="A47" s="179" t="str">
        <x:v>SYN-LN-00040</x:v>
      </x:c>
      <x:c r="B47" s="180" t="n">
        <x:f>IF(A47="","",SUMIF('Portfolio Inputs'!A8:A59,A47,'Portfolio Inputs'!D8:D59))</x:f>
        <x:v>630000</x:v>
      </x:c>
      <x:c r="C47" s="179" t="str">
        <x:v>BB</x:v>
      </x:c>
      <x:c r="D47" s="181" t="str">
        <x:v>development_proxy</x:v>
      </x:c>
      <x:c r="E47" s="181" t="str"/>
      <x:c r="F47" s="182" t="n">
        <x:v>0.75</x:v>
      </x:c>
      <x:c r="G47" s="181" t="str">
        <x:v>development_assumption</x:v>
      </x:c>
      <x:c r="H47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47" s="183" t="n">
        <x:f>IF(AND(C47&lt;&gt;"",OR(D47="public_fitch_idr",D47="reviewed_appendix5_equivalent",D47="development_proxy"),H47&lt;&gt;""),VLOOKUP(C47,Fitch_WARF_Factors,2,FALSE),"")</x:f>
        <x:v>11.844</x:v>
      </x:c>
      <x:c r="J47" s="184" t="n">
        <x:f>IF(ISNUMBER(I47),B47*I47,0)</x:f>
        <x:v>7461720</x:v>
      </x:c>
      <x:c r="K47" s="184" t="n">
        <x:f>IF(AND(A47&lt;&gt;"",M47=0),B47*F47,0)</x:f>
        <x:v>472500</x:v>
      </x:c>
      <x:c r="L47" s="184" t="n">
        <x:f>IF(A47="",0,IF(ISNUMBER(I47),0,B47))</x:f>
        <x:v>0</x:v>
      </x:c>
      <x:c r="M47" s="185" t="n">
        <x:f>IF(A47="",0,IF(AND(ISNUMBER(F47),F47&gt;=0,F47&lt;=1,OR(G47="fitch_issue_recovery_estimate",G47="fitch_issue_recovery_rating",G47="reviewed_bbsf_fallback",G47="development_assumption"),H47&lt;&gt;""),0,B47))</x:f>
        <x:v>0</x:v>
      </x:c>
      <x:c r="N47" s="186" t="n">
        <x:f>IF(A47=Q47,0,1)+IF(B47=R47,0,1)+IF(C47=S47,0,1)+IF(D47=T47,0,1)+IF(E47=U47,0,1)+IF(F47=V47,0,1)+IF(G47=W47,0,1)+IF(H47=X47,0,1)</x:f>
        <x:v>0</x:v>
      </x:c>
      <x:c r="O47" s="186" t="n">
        <x:f>IF(A47="",0,IF(E47="",B47,0))</x:f>
        <x:v>630000</x:v>
      </x:c>
      <x:c r="P47" s="187"/>
      <x:c r="Q47" s="179" t="str">
        <x:v>SYN-LN-00040</x:v>
      </x:c>
      <x:c r="R47" s="179" t="n">
        <x:v>630000</x:v>
      </x:c>
      <x:c r="S47" s="179" t="str">
        <x:v>BB</x:v>
      </x:c>
      <x:c r="T47" s="179" t="str">
        <x:v>development_proxy</x:v>
      </x:c>
      <x:c r="U47" s="179" t="str"/>
      <x:c r="V47" s="179" t="n">
        <x:v>0.75</x:v>
      </x:c>
      <x:c r="W47" s="179" t="str">
        <x:v>development_assumption</x:v>
      </x:c>
      <x:c r="X47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48" ht="107" customHeight="1">
      <x:c r="A48" s="179" t="str">
        <x:v>SYN-LN-00041</x:v>
      </x:c>
      <x:c r="B48" s="180" t="n">
        <x:f>IF(A48="","",SUMIF('Portfolio Inputs'!A8:A59,A48,'Portfolio Inputs'!D8:D59))</x:f>
        <x:v>1182000</x:v>
      </x:c>
      <x:c r="C48" s="179" t="str">
        <x:v>B</x:v>
      </x:c>
      <x:c r="D48" s="181" t="str">
        <x:v>development_proxy</x:v>
      </x:c>
      <x:c r="E48" s="181" t="str"/>
      <x:c r="F48" s="182" t="n">
        <x:v>0.75</x:v>
      </x:c>
      <x:c r="G48" s="181" t="str">
        <x:v>development_assumption</x:v>
      </x:c>
      <x:c r="H4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8" s="183" t="n">
        <x:f>IF(AND(C48&lt;&gt;"",OR(D48="public_fitch_idr",D48="reviewed_appendix5_equivalent",D48="development_proxy"),H48&lt;&gt;""),VLOOKUP(C48,Fitch_WARF_Factors,2,FALSE),"")</x:f>
        <x:v>23.671</x:v>
      </x:c>
      <x:c r="J48" s="184" t="n">
        <x:f>IF(ISNUMBER(I48),B48*I48,0)</x:f>
        <x:v>27979122</x:v>
      </x:c>
      <x:c r="K48" s="184" t="n">
        <x:f>IF(AND(A48&lt;&gt;"",M48=0),B48*F48,0)</x:f>
        <x:v>886500</x:v>
      </x:c>
      <x:c r="L48" s="184" t="n">
        <x:f>IF(A48="",0,IF(ISNUMBER(I48),0,B48))</x:f>
        <x:v>0</x:v>
      </x:c>
      <x:c r="M48" s="185" t="n">
        <x:f>IF(A48="",0,IF(AND(ISNUMBER(F48),F48&gt;=0,F48&lt;=1,OR(G48="fitch_issue_recovery_estimate",G48="fitch_issue_recovery_rating",G48="reviewed_bbsf_fallback",G48="development_assumption"),H48&lt;&gt;""),0,B48))</x:f>
        <x:v>0</x:v>
      </x:c>
      <x:c r="N48" s="186" t="n">
        <x:f>IF(A48=Q48,0,1)+IF(B48=R48,0,1)+IF(C48=S48,0,1)+IF(D48=T48,0,1)+IF(E48=U48,0,1)+IF(F48=V48,0,1)+IF(G48=W48,0,1)+IF(H48=X48,0,1)</x:f>
        <x:v>0</x:v>
      </x:c>
      <x:c r="O48" s="186" t="n">
        <x:f>IF(A48="",0,IF(E48="",B48,0))</x:f>
        <x:v>1182000</x:v>
      </x:c>
      <x:c r="P48" s="187"/>
      <x:c r="Q48" s="179" t="str">
        <x:v>SYN-LN-00041</x:v>
      </x:c>
      <x:c r="R48" s="179" t="n">
        <x:v>1182000</x:v>
      </x:c>
      <x:c r="S48" s="179" t="str">
        <x:v>B</x:v>
      </x:c>
      <x:c r="T48" s="179" t="str">
        <x:v>development_proxy</x:v>
      </x:c>
      <x:c r="U48" s="179" t="str"/>
      <x:c r="V48" s="179" t="n">
        <x:v>0.75</x:v>
      </x:c>
      <x:c r="W48" s="179" t="str">
        <x:v>development_assumption</x:v>
      </x:c>
      <x:c r="X4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9" ht="107" customHeight="1">
      <x:c r="A49" s="179" t="str">
        <x:v>SYN-LN-00042</x:v>
      </x:c>
      <x:c r="B49" s="180" t="n">
        <x:f>IF(A49="","",SUMIF('Portfolio Inputs'!A8:A59,A49,'Portfolio Inputs'!D8:D59))</x:f>
        <x:v>1182000</x:v>
      </x:c>
      <x:c r="C49" s="179" t="str">
        <x:v>BB</x:v>
      </x:c>
      <x:c r="D49" s="181" t="str">
        <x:v>development_proxy</x:v>
      </x:c>
      <x:c r="E49" s="181" t="str"/>
      <x:c r="F49" s="182" t="n">
        <x:v>0.75</x:v>
      </x:c>
      <x:c r="G49" s="181" t="str">
        <x:v>development_assumption</x:v>
      </x:c>
      <x:c r="H4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9" s="183" t="n">
        <x:f>IF(AND(C49&lt;&gt;"",OR(D49="public_fitch_idr",D49="reviewed_appendix5_equivalent",D49="development_proxy"),H49&lt;&gt;""),VLOOKUP(C49,Fitch_WARF_Factors,2,FALSE),"")</x:f>
        <x:v>11.844</x:v>
      </x:c>
      <x:c r="J49" s="184" t="n">
        <x:f>IF(ISNUMBER(I49),B49*I49,0)</x:f>
        <x:v>13999608</x:v>
      </x:c>
      <x:c r="K49" s="184" t="n">
        <x:f>IF(AND(A49&lt;&gt;"",M49=0),B49*F49,0)</x:f>
        <x:v>886500</x:v>
      </x:c>
      <x:c r="L49" s="184" t="n">
        <x:f>IF(A49="",0,IF(ISNUMBER(I49),0,B49))</x:f>
        <x:v>0</x:v>
      </x:c>
      <x:c r="M49" s="185" t="n">
        <x:f>IF(A49="",0,IF(AND(ISNUMBER(F49),F49&gt;=0,F49&lt;=1,OR(G49="fitch_issue_recovery_estimate",G49="fitch_issue_recovery_rating",G49="reviewed_bbsf_fallback",G49="development_assumption"),H49&lt;&gt;""),0,B49))</x:f>
        <x:v>0</x:v>
      </x:c>
      <x:c r="N49" s="186" t="n">
        <x:f>IF(A49=Q49,0,1)+IF(B49=R49,0,1)+IF(C49=S49,0,1)+IF(D49=T49,0,1)+IF(E49=U49,0,1)+IF(F49=V49,0,1)+IF(G49=W49,0,1)+IF(H49=X49,0,1)</x:f>
        <x:v>0</x:v>
      </x:c>
      <x:c r="O49" s="186" t="n">
        <x:f>IF(A49="",0,IF(E49="",B49,0))</x:f>
        <x:v>1182000</x:v>
      </x:c>
      <x:c r="P49" s="187"/>
      <x:c r="Q49" s="179" t="str">
        <x:v>SYN-LN-00042</x:v>
      </x:c>
      <x:c r="R49" s="179" t="n">
        <x:v>1182000</x:v>
      </x:c>
      <x:c r="S49" s="179" t="str">
        <x:v>BB</x:v>
      </x:c>
      <x:c r="T49" s="179" t="str">
        <x:v>development_proxy</x:v>
      </x:c>
      <x:c r="U49" s="179" t="str"/>
      <x:c r="V49" s="179" t="n">
        <x:v>0.75</x:v>
      </x:c>
      <x:c r="W49" s="179" t="str">
        <x:v>development_assumption</x:v>
      </x:c>
      <x:c r="X4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0" ht="107" customHeight="1">
      <x:c r="A50" s="179" t="str">
        <x:v>SYN-LN-00043</x:v>
      </x:c>
      <x:c r="B50" s="180" t="n">
        <x:f>IF(A50="","",SUMIF('Portfolio Inputs'!A8:A59,A50,'Portfolio Inputs'!D8:D59))</x:f>
        <x:v>1182000</x:v>
      </x:c>
      <x:c r="C50" s="179" t="str">
        <x:v>B</x:v>
      </x:c>
      <x:c r="D50" s="181" t="str">
        <x:v>development_proxy</x:v>
      </x:c>
      <x:c r="E50" s="181" t="str"/>
      <x:c r="F50" s="182" t="n">
        <x:v>0.75</x:v>
      </x:c>
      <x:c r="G50" s="181" t="str">
        <x:v>development_assumption</x:v>
      </x:c>
      <x:c r="H5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0" s="183" t="n">
        <x:f>IF(AND(C50&lt;&gt;"",OR(D50="public_fitch_idr",D50="reviewed_appendix5_equivalent",D50="development_proxy"),H50&lt;&gt;""),VLOOKUP(C50,Fitch_WARF_Factors,2,FALSE),"")</x:f>
        <x:v>23.671</x:v>
      </x:c>
      <x:c r="J50" s="184" t="n">
        <x:f>IF(ISNUMBER(I50),B50*I50,0)</x:f>
        <x:v>27979122</x:v>
      </x:c>
      <x:c r="K50" s="184" t="n">
        <x:f>IF(AND(A50&lt;&gt;"",M50=0),B50*F50,0)</x:f>
        <x:v>886500</x:v>
      </x:c>
      <x:c r="L50" s="184" t="n">
        <x:f>IF(A50="",0,IF(ISNUMBER(I50),0,B50))</x:f>
        <x:v>0</x:v>
      </x:c>
      <x:c r="M50" s="185" t="n">
        <x:f>IF(A50="",0,IF(AND(ISNUMBER(F50),F50&gt;=0,F50&lt;=1,OR(G50="fitch_issue_recovery_estimate",G50="fitch_issue_recovery_rating",G50="reviewed_bbsf_fallback",G50="development_assumption"),H50&lt;&gt;""),0,B50))</x:f>
        <x:v>0</x:v>
      </x:c>
      <x:c r="N50" s="186" t="n">
        <x:f>IF(A50=Q50,0,1)+IF(B50=R50,0,1)+IF(C50=S50,0,1)+IF(D50=T50,0,1)+IF(E50=U50,0,1)+IF(F50=V50,0,1)+IF(G50=W50,0,1)+IF(H50=X50,0,1)</x:f>
        <x:v>0</x:v>
      </x:c>
      <x:c r="O50" s="186" t="n">
        <x:f>IF(A50="",0,IF(E50="",B50,0))</x:f>
        <x:v>1182000</x:v>
      </x:c>
      <x:c r="P50" s="187"/>
      <x:c r="Q50" s="179" t="str">
        <x:v>SYN-LN-00043</x:v>
      </x:c>
      <x:c r="R50" s="179" t="n">
        <x:v>1182000</x:v>
      </x:c>
      <x:c r="S50" s="179" t="str">
        <x:v>B</x:v>
      </x:c>
      <x:c r="T50" s="179" t="str">
        <x:v>development_proxy</x:v>
      </x:c>
      <x:c r="U50" s="179" t="str"/>
      <x:c r="V50" s="179" t="n">
        <x:v>0.75</x:v>
      </x:c>
      <x:c r="W50" s="179" t="str">
        <x:v>development_assumption</x:v>
      </x:c>
      <x:c r="X5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1" ht="107" customHeight="1">
      <x:c r="A51" s="179" t="str">
        <x:v>SYN-LN-00044</x:v>
      </x:c>
      <x:c r="B51" s="180" t="n">
        <x:f>IF(A51="","",SUMIF('Portfolio Inputs'!A8:A59,A51,'Portfolio Inputs'!D8:D59))</x:f>
        <x:v>1182000</x:v>
      </x:c>
      <x:c r="C51" s="179" t="str">
        <x:v>B+</x:v>
      </x:c>
      <x:c r="D51" s="181" t="str">
        <x:v>development_proxy</x:v>
      </x:c>
      <x:c r="E51" s="181" t="str"/>
      <x:c r="F51" s="182" t="n">
        <x:v>0.75</x:v>
      </x:c>
      <x:c r="G51" s="181" t="str">
        <x:v>development_assumption</x:v>
      </x:c>
      <x:c r="H5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1" s="183" t="n">
        <x:f>IF(AND(C51&lt;&gt;"",OR(D51="public_fitch_idr",D51="reviewed_appendix5_equivalent",D51="development_proxy"),H51&lt;&gt;""),VLOOKUP(C51,Fitch_WARF_Factors,2,FALSE),"")</x:f>
        <x:v>19.627</x:v>
      </x:c>
      <x:c r="J51" s="184" t="n">
        <x:f>IF(ISNUMBER(I51),B51*I51,0)</x:f>
        <x:v>23199114</x:v>
      </x:c>
      <x:c r="K51" s="184" t="n">
        <x:f>IF(AND(A51&lt;&gt;"",M51=0),B51*F51,0)</x:f>
        <x:v>886500</x:v>
      </x:c>
      <x:c r="L51" s="184" t="n">
        <x:f>IF(A51="",0,IF(ISNUMBER(I51),0,B51))</x:f>
        <x:v>0</x:v>
      </x:c>
      <x:c r="M51" s="185" t="n">
        <x:f>IF(A51="",0,IF(AND(ISNUMBER(F51),F51&gt;=0,F51&lt;=1,OR(G51="fitch_issue_recovery_estimate",G51="fitch_issue_recovery_rating",G51="reviewed_bbsf_fallback",G51="development_assumption"),H51&lt;&gt;""),0,B51))</x:f>
        <x:v>0</x:v>
      </x:c>
      <x:c r="N51" s="186" t="n">
        <x:f>IF(A51=Q51,0,1)+IF(B51=R51,0,1)+IF(C51=S51,0,1)+IF(D51=T51,0,1)+IF(E51=U51,0,1)+IF(F51=V51,0,1)+IF(G51=W51,0,1)+IF(H51=X51,0,1)</x:f>
        <x:v>0</x:v>
      </x:c>
      <x:c r="O51" s="186" t="n">
        <x:f>IF(A51="",0,IF(E51="",B51,0))</x:f>
        <x:v>1182000</x:v>
      </x:c>
      <x:c r="P51" s="187"/>
      <x:c r="Q51" s="179" t="str">
        <x:v>SYN-LN-00044</x:v>
      </x:c>
      <x:c r="R51" s="179" t="n">
        <x:v>1182000</x:v>
      </x:c>
      <x:c r="S51" s="179" t="str">
        <x:v>B+</x:v>
      </x:c>
      <x:c r="T51" s="179" t="str">
        <x:v>development_proxy</x:v>
      </x:c>
      <x:c r="U51" s="179" t="str"/>
      <x:c r="V51" s="179" t="n">
        <x:v>0.75</x:v>
      </x:c>
      <x:c r="W51" s="179" t="str">
        <x:v>development_assumption</x:v>
      </x:c>
      <x:c r="X5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2" ht="107" customHeight="1">
      <x:c r="A52" s="179" t="str">
        <x:v>SYN-LN-00045</x:v>
      </x:c>
      <x:c r="B52" s="180" t="n">
        <x:f>IF(A52="","",SUMIF('Portfolio Inputs'!A8:A59,A52,'Portfolio Inputs'!D8:D59))</x:f>
        <x:v>1182000</x:v>
      </x:c>
      <x:c r="C52" s="179" t="str">
        <x:v>B</x:v>
      </x:c>
      <x:c r="D52" s="181" t="str">
        <x:v>development_proxy</x:v>
      </x:c>
      <x:c r="E52" s="181" t="str"/>
      <x:c r="F52" s="182" t="n">
        <x:v>0.75</x:v>
      </x:c>
      <x:c r="G52" s="181" t="str">
        <x:v>development_assumption</x:v>
      </x:c>
      <x:c r="H5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2" s="183" t="n">
        <x:f>IF(AND(C52&lt;&gt;"",OR(D52="public_fitch_idr",D52="reviewed_appendix5_equivalent",D52="development_proxy"),H52&lt;&gt;""),VLOOKUP(C52,Fitch_WARF_Factors,2,FALSE),"")</x:f>
        <x:v>23.671</x:v>
      </x:c>
      <x:c r="J52" s="184" t="n">
        <x:f>IF(ISNUMBER(I52),B52*I52,0)</x:f>
        <x:v>27979122</x:v>
      </x:c>
      <x:c r="K52" s="184" t="n">
        <x:f>IF(AND(A52&lt;&gt;"",M52=0),B52*F52,0)</x:f>
        <x:v>886500</x:v>
      </x:c>
      <x:c r="L52" s="184" t="n">
        <x:f>IF(A52="",0,IF(ISNUMBER(I52),0,B52))</x:f>
        <x:v>0</x:v>
      </x:c>
      <x:c r="M52" s="185" t="n">
        <x:f>IF(A52="",0,IF(AND(ISNUMBER(F52),F52&gt;=0,F52&lt;=1,OR(G52="fitch_issue_recovery_estimate",G52="fitch_issue_recovery_rating",G52="reviewed_bbsf_fallback",G52="development_assumption"),H52&lt;&gt;""),0,B52))</x:f>
        <x:v>0</x:v>
      </x:c>
      <x:c r="N52" s="186" t="n">
        <x:f>IF(A52=Q52,0,1)+IF(B52=R52,0,1)+IF(C52=S52,0,1)+IF(D52=T52,0,1)+IF(E52=U52,0,1)+IF(F52=V52,0,1)+IF(G52=W52,0,1)+IF(H52=X52,0,1)</x:f>
        <x:v>0</x:v>
      </x:c>
      <x:c r="O52" s="186" t="n">
        <x:f>IF(A52="",0,IF(E52="",B52,0))</x:f>
        <x:v>1182000</x:v>
      </x:c>
      <x:c r="P52" s="187"/>
      <x:c r="Q52" s="179" t="str">
        <x:v>SYN-LN-00045</x:v>
      </x:c>
      <x:c r="R52" s="179" t="n">
        <x:v>1182000</x:v>
      </x:c>
      <x:c r="S52" s="179" t="str">
        <x:v>B</x:v>
      </x:c>
      <x:c r="T52" s="179" t="str">
        <x:v>development_proxy</x:v>
      </x:c>
      <x:c r="U52" s="179" t="str"/>
      <x:c r="V52" s="179" t="n">
        <x:v>0.75</x:v>
      </x:c>
      <x:c r="W52" s="179" t="str">
        <x:v>development_assumption</x:v>
      </x:c>
      <x:c r="X5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3" ht="107" customHeight="1">
      <x:c r="A53" s="179" t="str">
        <x:v>SYN-LN-00046</x:v>
      </x:c>
      <x:c r="B53" s="180" t="n">
        <x:f>IF(A53="","",SUMIF('Portfolio Inputs'!A8:A59,A53,'Portfolio Inputs'!D8:D59))</x:f>
        <x:v>1182000</x:v>
      </x:c>
      <x:c r="C53" s="179" t="str">
        <x:v>B+</x:v>
      </x:c>
      <x:c r="D53" s="181" t="str">
        <x:v>development_proxy</x:v>
      </x:c>
      <x:c r="E53" s="181" t="str"/>
      <x:c r="F53" s="182" t="n">
        <x:v>0.75</x:v>
      </x:c>
      <x:c r="G53" s="181" t="str">
        <x:v>development_assumption</x:v>
      </x:c>
      <x:c r="H5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3" s="183" t="n">
        <x:f>IF(AND(C53&lt;&gt;"",OR(D53="public_fitch_idr",D53="reviewed_appendix5_equivalent",D53="development_proxy"),H53&lt;&gt;""),VLOOKUP(C53,Fitch_WARF_Factors,2,FALSE),"")</x:f>
        <x:v>19.627</x:v>
      </x:c>
      <x:c r="J53" s="184" t="n">
        <x:f>IF(ISNUMBER(I53),B53*I53,0)</x:f>
        <x:v>23199114</x:v>
      </x:c>
      <x:c r="K53" s="184" t="n">
        <x:f>IF(AND(A53&lt;&gt;"",M53=0),B53*F53,0)</x:f>
        <x:v>886500</x:v>
      </x:c>
      <x:c r="L53" s="184" t="n">
        <x:f>IF(A53="",0,IF(ISNUMBER(I53),0,B53))</x:f>
        <x:v>0</x:v>
      </x:c>
      <x:c r="M53" s="185" t="n">
        <x:f>IF(A53="",0,IF(AND(ISNUMBER(F53),F53&gt;=0,F53&lt;=1,OR(G53="fitch_issue_recovery_estimate",G53="fitch_issue_recovery_rating",G53="reviewed_bbsf_fallback",G53="development_assumption"),H53&lt;&gt;""),0,B53))</x:f>
        <x:v>0</x:v>
      </x:c>
      <x:c r="N53" s="186" t="n">
        <x:f>IF(A53=Q53,0,1)+IF(B53=R53,0,1)+IF(C53=S53,0,1)+IF(D53=T53,0,1)+IF(E53=U53,0,1)+IF(F53=V53,0,1)+IF(G53=W53,0,1)+IF(H53=X53,0,1)</x:f>
        <x:v>0</x:v>
      </x:c>
      <x:c r="O53" s="186" t="n">
        <x:f>IF(A53="",0,IF(E53="",B53,0))</x:f>
        <x:v>1182000</x:v>
      </x:c>
      <x:c r="P53" s="187"/>
      <x:c r="Q53" s="179" t="str">
        <x:v>SYN-LN-00046</x:v>
      </x:c>
      <x:c r="R53" s="179" t="n">
        <x:v>1182000</x:v>
      </x:c>
      <x:c r="S53" s="179" t="str">
        <x:v>B+</x:v>
      </x:c>
      <x:c r="T53" s="179" t="str">
        <x:v>development_proxy</x:v>
      </x:c>
      <x:c r="U53" s="179" t="str"/>
      <x:c r="V53" s="179" t="n">
        <x:v>0.75</x:v>
      </x:c>
      <x:c r="W53" s="179" t="str">
        <x:v>development_assumption</x:v>
      </x:c>
      <x:c r="X5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4" ht="107" customHeight="1">
      <x:c r="A54" s="179" t="str">
        <x:v>SYN-LN-00047</x:v>
      </x:c>
      <x:c r="B54" s="180" t="n">
        <x:f>IF(A54="","",SUMIF('Portfolio Inputs'!A8:A59,A54,'Portfolio Inputs'!D8:D59))</x:f>
        <x:v>1182000</x:v>
      </x:c>
      <x:c r="C54" s="179" t="str">
        <x:v>B</x:v>
      </x:c>
      <x:c r="D54" s="181" t="str">
        <x:v>development_proxy</x:v>
      </x:c>
      <x:c r="E54" s="181" t="str"/>
      <x:c r="F54" s="182" t="n">
        <x:v>0.75</x:v>
      </x:c>
      <x:c r="G54" s="181" t="str">
        <x:v>development_assumption</x:v>
      </x:c>
      <x:c r="H5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4" s="183" t="n">
        <x:f>IF(AND(C54&lt;&gt;"",OR(D54="public_fitch_idr",D54="reviewed_appendix5_equivalent",D54="development_proxy"),H54&lt;&gt;""),VLOOKUP(C54,Fitch_WARF_Factors,2,FALSE),"")</x:f>
        <x:v>23.671</x:v>
      </x:c>
      <x:c r="J54" s="184" t="n">
        <x:f>IF(ISNUMBER(I54),B54*I54,0)</x:f>
        <x:v>27979122</x:v>
      </x:c>
      <x:c r="K54" s="184" t="n">
        <x:f>IF(AND(A54&lt;&gt;"",M54=0),B54*F54,0)</x:f>
        <x:v>886500</x:v>
      </x:c>
      <x:c r="L54" s="184" t="n">
        <x:f>IF(A54="",0,IF(ISNUMBER(I54),0,B54))</x:f>
        <x:v>0</x:v>
      </x:c>
      <x:c r="M54" s="185" t="n">
        <x:f>IF(A54="",0,IF(AND(ISNUMBER(F54),F54&gt;=0,F54&lt;=1,OR(G54="fitch_issue_recovery_estimate",G54="fitch_issue_recovery_rating",G54="reviewed_bbsf_fallback",G54="development_assumption"),H54&lt;&gt;""),0,B54))</x:f>
        <x:v>0</x:v>
      </x:c>
      <x:c r="N54" s="186" t="n">
        <x:f>IF(A54=Q54,0,1)+IF(B54=R54,0,1)+IF(C54=S54,0,1)+IF(D54=T54,0,1)+IF(E54=U54,0,1)+IF(F54=V54,0,1)+IF(G54=W54,0,1)+IF(H54=X54,0,1)</x:f>
        <x:v>0</x:v>
      </x:c>
      <x:c r="O54" s="186" t="n">
        <x:f>IF(A54="",0,IF(E54="",B54,0))</x:f>
        <x:v>1182000</x:v>
      </x:c>
      <x:c r="P54" s="187"/>
      <x:c r="Q54" s="179" t="str">
        <x:v>SYN-LN-00047</x:v>
      </x:c>
      <x:c r="R54" s="179" t="n">
        <x:v>1182000</x:v>
      </x:c>
      <x:c r="S54" s="179" t="str">
        <x:v>B</x:v>
      </x:c>
      <x:c r="T54" s="179" t="str">
        <x:v>development_proxy</x:v>
      </x:c>
      <x:c r="U54" s="179" t="str"/>
      <x:c r="V54" s="179" t="n">
        <x:v>0.75</x:v>
      </x:c>
      <x:c r="W54" s="179" t="str">
        <x:v>development_assumption</x:v>
      </x:c>
      <x:c r="X5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5" ht="107" customHeight="1">
      <x:c r="A55" s="179" t="str">
        <x:v>SYN-LN-00048</x:v>
      </x:c>
      <x:c r="B55" s="180" t="n">
        <x:f>IF(A55="","",SUMIF('Portfolio Inputs'!A8:A59,A55,'Portfolio Inputs'!D8:D59))</x:f>
        <x:v>1182000</x:v>
      </x:c>
      <x:c r="C55" s="179" t="str">
        <x:v>B</x:v>
      </x:c>
      <x:c r="D55" s="181" t="str">
        <x:v>development_proxy</x:v>
      </x:c>
      <x:c r="E55" s="181" t="str"/>
      <x:c r="F55" s="182" t="n">
        <x:v>0.75</x:v>
      </x:c>
      <x:c r="G55" s="181" t="str">
        <x:v>development_assumption</x:v>
      </x:c>
      <x:c r="H5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5" s="183" t="n">
        <x:f>IF(AND(C55&lt;&gt;"",OR(D55="public_fitch_idr",D55="reviewed_appendix5_equivalent",D55="development_proxy"),H55&lt;&gt;""),VLOOKUP(C55,Fitch_WARF_Factors,2,FALSE),"")</x:f>
        <x:v>23.671</x:v>
      </x:c>
      <x:c r="J55" s="184" t="n">
        <x:f>IF(ISNUMBER(I55),B55*I55,0)</x:f>
        <x:v>27979122</x:v>
      </x:c>
      <x:c r="K55" s="184" t="n">
        <x:f>IF(AND(A55&lt;&gt;"",M55=0),B55*F55,0)</x:f>
        <x:v>886500</x:v>
      </x:c>
      <x:c r="L55" s="184" t="n">
        <x:f>IF(A55="",0,IF(ISNUMBER(I55),0,B55))</x:f>
        <x:v>0</x:v>
      </x:c>
      <x:c r="M55" s="185" t="n">
        <x:f>IF(A55="",0,IF(AND(ISNUMBER(F55),F55&gt;=0,F55&lt;=1,OR(G55="fitch_issue_recovery_estimate",G55="fitch_issue_recovery_rating",G55="reviewed_bbsf_fallback",G55="development_assumption"),H55&lt;&gt;""),0,B55))</x:f>
        <x:v>0</x:v>
      </x:c>
      <x:c r="N55" s="186" t="n">
        <x:f>IF(A55=Q55,0,1)+IF(B55=R55,0,1)+IF(C55=S55,0,1)+IF(D55=T55,0,1)+IF(E55=U55,0,1)+IF(F55=V55,0,1)+IF(G55=W55,0,1)+IF(H55=X55,0,1)</x:f>
        <x:v>0</x:v>
      </x:c>
      <x:c r="O55" s="186" t="n">
        <x:f>IF(A55="",0,IF(E55="",B55,0))</x:f>
        <x:v>1182000</x:v>
      </x:c>
      <x:c r="P55" s="187"/>
      <x:c r="Q55" s="179" t="str">
        <x:v>SYN-LN-00048</x:v>
      </x:c>
      <x:c r="R55" s="179" t="n">
        <x:v>1182000</x:v>
      </x:c>
      <x:c r="S55" s="179" t="str">
        <x:v>B</x:v>
      </x:c>
      <x:c r="T55" s="179" t="str">
        <x:v>development_proxy</x:v>
      </x:c>
      <x:c r="U55" s="179" t="str"/>
      <x:c r="V55" s="179" t="n">
        <x:v>0.75</x:v>
      </x:c>
      <x:c r="W55" s="179" t="str">
        <x:v>development_assumption</x:v>
      </x:c>
      <x:c r="X5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6" ht="107" customHeight="1">
      <x:c r="A56" s="179" t="str">
        <x:v>SYN-LN-00049</x:v>
      </x:c>
      <x:c r="B56" s="180" t="n">
        <x:f>IF(A56="","",SUMIF('Portfolio Inputs'!A8:A59,A56,'Portfolio Inputs'!D8:D59))</x:f>
        <x:v>1182000</x:v>
      </x:c>
      <x:c r="C56" s="179" t="str">
        <x:v>B-</x:v>
      </x:c>
      <x:c r="D56" s="181" t="str">
        <x:v>development_proxy</x:v>
      </x:c>
      <x:c r="E56" s="181" t="str"/>
      <x:c r="F56" s="182" t="n">
        <x:v>0.75</x:v>
      </x:c>
      <x:c r="G56" s="181" t="str">
        <x:v>development_assumption</x:v>
      </x:c>
      <x:c r="H5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6" s="183" t="n">
        <x:f>IF(AND(C56&lt;&gt;"",OR(D56="public_fitch_idr",D56="reviewed_appendix5_equivalent",D56="development_proxy"),H56&lt;&gt;""),VLOOKUP(C56,Fitch_WARF_Factors,2,FALSE),"")</x:f>
        <x:v>32.221</x:v>
      </x:c>
      <x:c r="J56" s="184" t="n">
        <x:f>IF(ISNUMBER(I56),B56*I56,0)</x:f>
        <x:v>38085221.99999999</x:v>
      </x:c>
      <x:c r="K56" s="184" t="n">
        <x:f>IF(AND(A56&lt;&gt;"",M56=0),B56*F56,0)</x:f>
        <x:v>886500</x:v>
      </x:c>
      <x:c r="L56" s="184" t="n">
        <x:f>IF(A56="",0,IF(ISNUMBER(I56),0,B56))</x:f>
        <x:v>0</x:v>
      </x:c>
      <x:c r="M56" s="185" t="n">
        <x:f>IF(A56="",0,IF(AND(ISNUMBER(F56),F56&gt;=0,F56&lt;=1,OR(G56="fitch_issue_recovery_estimate",G56="fitch_issue_recovery_rating",G56="reviewed_bbsf_fallback",G56="development_assumption"),H56&lt;&gt;""),0,B56))</x:f>
        <x:v>0</x:v>
      </x:c>
      <x:c r="N56" s="186" t="n">
        <x:f>IF(A56=Q56,0,1)+IF(B56=R56,0,1)+IF(C56=S56,0,1)+IF(D56=T56,0,1)+IF(E56=U56,0,1)+IF(F56=V56,0,1)+IF(G56=W56,0,1)+IF(H56=X56,0,1)</x:f>
        <x:v>0</x:v>
      </x:c>
      <x:c r="O56" s="186" t="n">
        <x:f>IF(A56="",0,IF(E56="",B56,0))</x:f>
        <x:v>1182000</x:v>
      </x:c>
      <x:c r="P56" s="187"/>
      <x:c r="Q56" s="179" t="str">
        <x:v>SYN-LN-00049</x:v>
      </x:c>
      <x:c r="R56" s="179" t="n">
        <x:v>1182000</x:v>
      </x:c>
      <x:c r="S56" s="179" t="str">
        <x:v>B-</x:v>
      </x:c>
      <x:c r="T56" s="179" t="str">
        <x:v>development_proxy</x:v>
      </x:c>
      <x:c r="U56" s="179" t="str"/>
      <x:c r="V56" s="179" t="n">
        <x:v>0.75</x:v>
      </x:c>
      <x:c r="W56" s="179" t="str">
        <x:v>development_assumption</x:v>
      </x:c>
      <x:c r="X5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7" ht="107" customHeight="1">
      <x:c r="A57" s="179" t="str">
        <x:v>SYN-LN-00050</x:v>
      </x:c>
      <x:c r="B57" s="180" t="n">
        <x:f>IF(A57="","",SUMIF('Portfolio Inputs'!A8:A59,A57,'Portfolio Inputs'!D8:D59))</x:f>
        <x:v>630000</x:v>
      </x:c>
      <x:c r="C57" s="179" t="str">
        <x:v>BBB-</x:v>
      </x:c>
      <x:c r="D57" s="181" t="str">
        <x:v>development_proxy</x:v>
      </x:c>
      <x:c r="E57" s="181" t="str"/>
      <x:c r="F57" s="182"/>
      <x:c r="G57" s="181" t="str"/>
      <x:c r="H57" s="181" t="str">
        <x:v>FICTIONAL DEVELOPMENT: copied S&amp;P symbol as Fitch IDR-equivalency proxy; no Fitch rating or Appendix 5 review.</x:v>
      </x:c>
      <x:c r="I57" s="183" t="n">
        <x:f>IF(AND(C57&lt;&gt;"",OR(D57="public_fitch_idr",D57="reviewed_appendix5_equivalent",D57="development_proxy"),H57&lt;&gt;""),VLOOKUP(C57,Fitch_WARF_Factors,2,FALSE),"")</x:f>
        <x:v>6.039</x:v>
      </x:c>
      <x:c r="J57" s="184" t="n">
        <x:f>IF(ISNUMBER(I57),B57*I57,0)</x:f>
        <x:v>3804570</x:v>
      </x:c>
      <x:c r="K57" s="184" t="n">
        <x:f>IF(AND(A57&lt;&gt;"",M57=0),B57*F57,0)</x:f>
        <x:v>0</x:v>
      </x:c>
      <x:c r="L57" s="184" t="n">
        <x:f>IF(A57="",0,IF(ISNUMBER(I57),0,B57))</x:f>
        <x:v>0</x:v>
      </x:c>
      <x:c r="M57" s="185" t="n">
        <x:f>IF(A57="",0,IF(AND(ISNUMBER(F57),F57&gt;=0,F57&lt;=1,OR(G57="fitch_issue_recovery_estimate",G57="fitch_issue_recovery_rating",G57="reviewed_bbsf_fallback",G57="development_assumption"),H57&lt;&gt;""),0,B57))</x:f>
        <x:v>630000</x:v>
      </x:c>
      <x:c r="N57" s="186" t="n">
        <x:f>IF(A57=Q57,0,1)+IF(B57=R57,0,1)+IF(C57=S57,0,1)+IF(D57=T57,0,1)+IF(E57=U57,0,1)+IF(F57=V57,0,1)+IF(G57=W57,0,1)+IF(H57=X57,0,1)</x:f>
        <x:v>0</x:v>
      </x:c>
      <x:c r="O57" s="186" t="n">
        <x:f>IF(A57="",0,IF(E57="",B57,0))</x:f>
        <x:v>630000</x:v>
      </x:c>
      <x:c r="P57" s="187"/>
      <x:c r="Q57" s="179" t="str">
        <x:v>SYN-LN-00050</x:v>
      </x:c>
      <x:c r="R57" s="179" t="n">
        <x:v>630000</x:v>
      </x:c>
      <x:c r="S57" s="179" t="str">
        <x:v>BBB-</x:v>
      </x:c>
      <x:c r="T57" s="179" t="str">
        <x:v>development_proxy</x:v>
      </x:c>
      <x:c r="U57" s="179" t="str"/>
      <x:c r="V57" s="179"/>
      <x:c r="W57" s="179" t="str"/>
      <x:c r="X57" s="179" t="str">
        <x:v>FICTIONAL DEVELOPMENT: copied S&amp;P symbol as Fitch IDR-equivalency proxy; no Fitch rating or Appendix 5 review.</x:v>
      </x:c>
    </x:row>
    <x:row r="58" ht="107" customHeight="1">
      <x:c r="A58" s="179" t="str">
        <x:v>SYN-LN-00051</x:v>
      </x:c>
      <x:c r="B58" s="180" t="n">
        <x:f>IF(A58="","",SUMIF('Portfolio Inputs'!A8:A59,A58,'Portfolio Inputs'!D8:D59))</x:f>
        <x:v>1182000</x:v>
      </x:c>
      <x:c r="C58" s="179" t="str">
        <x:v>BB</x:v>
      </x:c>
      <x:c r="D58" s="181" t="str">
        <x:v>development_proxy</x:v>
      </x:c>
      <x:c r="E58" s="181" t="str"/>
      <x:c r="F58" s="182" t="n">
        <x:v>0.75</x:v>
      </x:c>
      <x:c r="G58" s="181" t="str">
        <x:v>development_assumption</x:v>
      </x:c>
      <x:c r="H5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8" s="183" t="n">
        <x:f>IF(AND(C58&lt;&gt;"",OR(D58="public_fitch_idr",D58="reviewed_appendix5_equivalent",D58="development_proxy"),H58&lt;&gt;""),VLOOKUP(C58,Fitch_WARF_Factors,2,FALSE),"")</x:f>
        <x:v>11.844</x:v>
      </x:c>
      <x:c r="J58" s="184" t="n">
        <x:f>IF(ISNUMBER(I58),B58*I58,0)</x:f>
        <x:v>13999608</x:v>
      </x:c>
      <x:c r="K58" s="184" t="n">
        <x:f>IF(AND(A58&lt;&gt;"",M58=0),B58*F58,0)</x:f>
        <x:v>886500</x:v>
      </x:c>
      <x:c r="L58" s="184" t="n">
        <x:f>IF(A58="",0,IF(ISNUMBER(I58),0,B58))</x:f>
        <x:v>0</x:v>
      </x:c>
      <x:c r="M58" s="185" t="n">
        <x:f>IF(A58="",0,IF(AND(ISNUMBER(F58),F58&gt;=0,F58&lt;=1,OR(G58="fitch_issue_recovery_estimate",G58="fitch_issue_recovery_rating",G58="reviewed_bbsf_fallback",G58="development_assumption"),H58&lt;&gt;""),0,B58))</x:f>
        <x:v>0</x:v>
      </x:c>
      <x:c r="N58" s="186" t="n">
        <x:f>IF(A58=Q58,0,1)+IF(B58=R58,0,1)+IF(C58=S58,0,1)+IF(D58=T58,0,1)+IF(E58=U58,0,1)+IF(F58=V58,0,1)+IF(G58=W58,0,1)+IF(H58=X58,0,1)</x:f>
        <x:v>0</x:v>
      </x:c>
      <x:c r="O58" s="186" t="n">
        <x:f>IF(A58="",0,IF(E58="",B58,0))</x:f>
        <x:v>1182000</x:v>
      </x:c>
      <x:c r="P58" s="187"/>
      <x:c r="Q58" s="179" t="str">
        <x:v>SYN-LN-00051</x:v>
      </x:c>
      <x:c r="R58" s="179" t="n">
        <x:v>1182000</x:v>
      </x:c>
      <x:c r="S58" s="179" t="str">
        <x:v>BB</x:v>
      </x:c>
      <x:c r="T58" s="179" t="str">
        <x:v>development_proxy</x:v>
      </x:c>
      <x:c r="U58" s="179" t="str"/>
      <x:c r="V58" s="179" t="n">
        <x:v>0.75</x:v>
      </x:c>
      <x:c r="W58" s="179" t="str">
        <x:v>development_assumption</x:v>
      </x:c>
      <x:c r="X5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9" ht="107" customHeight="1">
      <x:c r="A59" s="179" t="str">
        <x:v>SYN-LN-00052</x:v>
      </x:c>
      <x:c r="B59" s="180" t="n">
        <x:f>IF(A59="","",SUMIF('Portfolio Inputs'!A8:A59,A59,'Portfolio Inputs'!D8:D59))</x:f>
        <x:v>630000</x:v>
      </x:c>
      <x:c r="C59" s="179" t="str">
        <x:v>BB+</x:v>
      </x:c>
      <x:c r="D59" s="181" t="str">
        <x:v>development_proxy</x:v>
      </x:c>
      <x:c r="E59" s="181" t="str"/>
      <x:c r="F59" s="182" t="n">
        <x:v>0.75</x:v>
      </x:c>
      <x:c r="G59" s="181" t="str">
        <x:v>development_assumption</x:v>
      </x:c>
      <x:c r="H5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9" s="183" t="n">
        <x:f>IF(AND(C59&lt;&gt;"",OR(D59="public_fitch_idr",D59="reviewed_appendix5_equivalent",D59="development_proxy"),H59&lt;&gt;""),VLOOKUP(C59,Fitch_WARF_Factors,2,FALSE),"")</x:f>
        <x:v>8.903</x:v>
      </x:c>
      <x:c r="J59" s="184" t="n">
        <x:f>IF(ISNUMBER(I59),B59*I59,0)</x:f>
        <x:v>5608890</x:v>
      </x:c>
      <x:c r="K59" s="184" t="n">
        <x:f>IF(AND(A59&lt;&gt;"",M59=0),B59*F59,0)</x:f>
        <x:v>472500</x:v>
      </x:c>
      <x:c r="L59" s="184" t="n">
        <x:f>IF(A59="",0,IF(ISNUMBER(I59),0,B59))</x:f>
        <x:v>0</x:v>
      </x:c>
      <x:c r="M59" s="185" t="n">
        <x:f>IF(A59="",0,IF(AND(ISNUMBER(F59),F59&gt;=0,F59&lt;=1,OR(G59="fitch_issue_recovery_estimate",G59="fitch_issue_recovery_rating",G59="reviewed_bbsf_fallback",G59="development_assumption"),H59&lt;&gt;""),0,B59))</x:f>
        <x:v>0</x:v>
      </x:c>
      <x:c r="N59" s="186" t="n">
        <x:f>IF(A59=Q59,0,1)+IF(B59=R59,0,1)+IF(C59=S59,0,1)+IF(D59=T59,0,1)+IF(E59=U59,0,1)+IF(F59=V59,0,1)+IF(G59=W59,0,1)+IF(H59=X59,0,1)</x:f>
        <x:v>0</x:v>
      </x:c>
      <x:c r="O59" s="186" t="n">
        <x:f>IF(A59="",0,IF(E59="",B59,0))</x:f>
        <x:v>630000</x:v>
      </x:c>
      <x:c r="P59" s="187"/>
      <x:c r="Q59" s="179" t="str">
        <x:v>SYN-LN-00052</x:v>
      </x:c>
      <x:c r="R59" s="179" t="n">
        <x:v>630000</x:v>
      </x:c>
      <x:c r="S59" s="179" t="str">
        <x:v>BB+</x:v>
      </x:c>
      <x:c r="T59" s="179" t="str">
        <x:v>development_proxy</x:v>
      </x:c>
      <x:c r="U59" s="179" t="str"/>
      <x:c r="V59" s="179" t="n">
        <x:v>0.75</x:v>
      </x:c>
      <x:c r="W59" s="179" t="str">
        <x:v>development_assumption</x:v>
      </x:c>
      <x:c r="X5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</x:sheetData>
  <x:pageMargins left="0.7" right="0.7" top="0.75" bottom="0.75" header="0.3" footer="0.3"/>
  <x:tableParts count="1">
    <x:tablePart xmlns:r="http://schemas.openxmlformats.org/officeDocument/2006/relationships" r:id="Rd3018f8215004aa9"/>
  </x:tableParts>
</x:worksheet>
</file>

<file path=xl/worksheets/sheet12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24" hidden="0" customWidth="1"/>
    <x:col min="5" max="5" width="5" hidden="0" customWidth="1"/>
    <x:col min="6" max="6" width="31" hidden="0" customWidth="1"/>
    <x:col min="7" max="7" width="95" hidden="0" customWidth="1"/>
  </x:cols>
  <x:sheetData>
    <x:row r="1">
      <x:c r="A1" s="23"/>
      <x:c r="B1" s="23"/>
      <x:c r="C1" s="115" t="str">
        <x:v>Fitch sources</x:v>
      </x:c>
      <x:c r="D1" s="23"/>
      <x:c r="E1" s="23"/>
      <x:c r="F1" s="23"/>
      <x:c r="G1" s="23"/>
    </x:row>
    <x:row r="2">
      <x:c r="A2" s="23"/>
      <x:c r="B2" s="23"/>
      <x:c r="C2" s="24" t="str">
        <x:v>Fitch Credit Parameters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1 June 2026 criteria. WARF and WARR use different units and recovery bases from S&amp;P.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65" customHeight="1">
      <x:c r="A7" s="23"/>
      <x:c r="B7" s="23"/>
      <x:c r="C7" s="7" t="str">
        <x:v>Fitch IDR input</x:v>
      </x:c>
      <x:c r="D7" s="7" t="str">
        <x:v>10-year PD factor</x:v>
      </x:c>
      <x:c r="E7" s="23"/>
      <x:c r="F7" s="33" t="str">
        <x:v>Criteria</x:v>
      </x:c>
      <x:c r="G7" s="99" t="str">
        <x:v>CLOs and Corporate CDOs Rating Criteria, 1 June 2026. Replaces 21 July 2023.</x:v>
      </x:c>
    </x:row>
    <x:row r="8" ht="65" customHeight="1">
      <x:c r="A8" s="23"/>
      <x:c r="B8" s="23"/>
      <x:c r="C8" s="28" t="str">
        <x:v>AAA</x:v>
      </x:c>
      <x:c r="D8" s="97" t="n">
        <x:v>0.136</x:v>
      </x:c>
      <x:c r="E8" s="23"/>
      <x:c r="F8" s="33" t="str">
        <x:v>WARF basis</x:v>
      </x:c>
      <x:c r="G8" s="99" t="str">
        <x:v>Appendix 6: par-weighted 10-year default-rate factors. Displayed as factor points, e.g. B = 23.671. Do not compare this number directly with SPWARF.</x:v>
      </x:c>
    </x:row>
    <x:row r="9" ht="65" customHeight="1">
      <x:c r="A9" s="150"/>
      <x:c r="B9" s="150"/>
      <x:c r="C9" s="165" t="str">
        <x:v>AA+</x:v>
      </x:c>
      <x:c r="D9" s="188" t="n">
        <x:v>0.349</x:v>
      </x:c>
      <x:c r="E9" s="150"/>
      <x:c r="F9" s="154" t="str">
        <x:v>WARR basis</x:v>
      </x:c>
      <x:c r="G9" s="189" t="str">
        <x:v>Issue-level recovery estimate / recovery rating, or applicable BBsf recovery stress where required. The S&amp;P recovery_aaa field is never reused automatically.</x:v>
      </x:c>
    </x:row>
    <x:row r="10" ht="65" customHeight="1">
      <x:c r="A10" s="150"/>
      <x:c r="B10" s="150"/>
      <x:c r="C10" s="165" t="str">
        <x:v>AA</x:v>
      </x:c>
      <x:c r="D10" s="188" t="n">
        <x:v>0.629</x:v>
      </x:c>
      <x:c r="E10" s="150"/>
      <x:c r="F10" s="154" t="str">
        <x:v>Example convention</x:v>
      </x:c>
      <x:c r="G10" s="189" t="str">
        <x:v>The optional fictional sidecar labels each rating proxy and recovery fallback. Review the assumptions before replacing them with approved Fitch inputs.</x:v>
      </x:c>
    </x:row>
    <x:row r="11" ht="65" customHeight="1">
      <x:c r="A11" s="150"/>
      <x:c r="B11" s="150"/>
      <x:c r="C11" s="165" t="str">
        <x:v>AA-</x:v>
      </x:c>
      <x:c r="D11" s="188" t="n">
        <x:v>0.858</x:v>
      </x:c>
      <x:c r="E11" s="150"/>
      <x:c r="F11" s="154" t="str">
        <x:v>Recovery coverage</x:v>
      </x:c>
      <x:c r="G11" s="189" t="str">
        <x:v>Missing facility recoveries leave whole-portfolio WARR unavailable. Weighted sums of populated recoveries are helpers only, not a partial-portfolio WARR presented as complete.</x:v>
      </x:c>
    </x:row>
    <x:row r="12" ht="65" customHeight="1">
      <x:c r="A12" s="150"/>
      <x:c r="B12" s="150"/>
      <x:c r="C12" s="165" t="str">
        <x:v>A+</x:v>
      </x:c>
      <x:c r="D12" s="188" t="n">
        <x:v>1.237</x:v>
      </x:c>
      <x:c r="E12" s="150"/>
      <x:c r="F12" s="154" t="str">
        <x:v>Industry mapping</x:v>
      </x:c>
      <x:c r="G12" s="189" t="str">
        <x:v>Fitch industry classification remains separate. No mapping is inferred from S&amp;P labels. Missing industries prevent a complete PCM-ready dataset.</x:v>
      </x:c>
    </x:row>
    <x:row r="13" ht="65" customHeight="1">
      <x:c r="A13" s="150"/>
      <x:c r="B13" s="150"/>
      <x:c r="C13" s="165" t="str">
        <x:v>A</x:v>
      </x:c>
      <x:c r="D13" s="188" t="n">
        <x:v>1.572</x:v>
      </x:c>
      <x:c r="E13" s="150"/>
      <x:c r="F13" s="154" t="str">
        <x:v>Default/loss hurdle</x:v>
      </x:c>
      <x:c r="G13" s="189" t="str">
        <x:v>RDR and RLR require applicable Portfolio Credit Model analysis and documented inputs/version. They are not computed from WARF or WARR alone.</x:v>
      </x:c>
    </x:row>
    <x:row r="14" ht="65" customHeight="1">
      <x:c r="A14" s="150"/>
      <x:c r="B14" s="150"/>
      <x:c r="C14" s="165" t="str">
        <x:v>A-</x:v>
      </x:c>
      <x:c r="D14" s="188" t="n">
        <x:v>2.099</x:v>
      </x:c>
      <x:c r="E14" s="150"/>
      <x:c r="F14" s="154" t="str">
        <x:v>Cash-flow gap</x:v>
      </x:c>
      <x:c r="G14" s="189" t="str">
        <x:v>Fitch timing, survivor-scaled amortisation, recovery lags and rate scenarios need implementation and benchmarking. Current development cash flows are not Fitch BDRs.</x:v>
      </x:c>
    </x:row>
    <x:row r="15" ht="65" customHeight="1">
      <x:c r="A15" s="150"/>
      <x:c r="B15" s="150"/>
      <x:c r="C15" s="165" t="str">
        <x:v>BBB+</x:v>
      </x:c>
      <x:c r="D15" s="188" t="n">
        <x:v>2.63</x:v>
      </x:c>
      <x:c r="E15" s="150"/>
      <x:c r="F15" s="154" t="str">
        <x:v>Public source</x:v>
      </x:c>
      <x:c r="G15" s="189" t="str">
        <x:v>https://assets.fitchratings.com/downloadFile?reportType=report&amp;sfReport=false&amp;slug=structured-finance%2Fclos-corporate-cdos-rating-criteria-01-06-2026</x:v>
      </x:c>
    </x:row>
    <x:row r="16" ht="65" customHeight="1">
      <x:c r="A16" s="150"/>
      <x:c r="B16" s="150"/>
      <x:c r="C16" s="165" t="str">
        <x:v>BBB</x:v>
      </x:c>
      <x:c r="D16" s="188" t="n">
        <x:v>3.162</x:v>
      </x:c>
      <x:c r="E16" s="150"/>
      <x:c r="F16" s="154" t="str">
        <x:v>Editing</x:v>
      </x:c>
      <x:c r="G16" s="189" t="str">
        <x:v>Sourced constants: change the versioned code table and rebuild. These cells are not user assumption controls.</x:v>
      </x:c>
    </x:row>
    <x:row r="17">
      <x:c r="A17" s="150"/>
      <x:c r="B17" s="150"/>
      <x:c r="C17" s="165" t="str">
        <x:v>BBB-</x:v>
      </x:c>
      <x:c r="D17" s="188" t="n">
        <x:v>6.039</x:v>
      </x:c>
      <x:c r="E17" s="150"/>
      <x:c r="F17" s="150"/>
      <x:c r="G17" s="150"/>
    </x:row>
    <x:row r="18">
      <x:c r="A18" s="150"/>
      <x:c r="B18" s="150"/>
      <x:c r="C18" s="165" t="str">
        <x:v>BB+</x:v>
      </x:c>
      <x:c r="D18" s="188" t="n">
        <x:v>8.903</x:v>
      </x:c>
      <x:c r="E18" s="150"/>
      <x:c r="F18" s="150"/>
      <x:c r="G18" s="150"/>
    </x:row>
    <x:row r="19">
      <x:c r="A19" s="150"/>
      <x:c r="B19" s="150"/>
      <x:c r="C19" s="165" t="str">
        <x:v>BB</x:v>
      </x:c>
      <x:c r="D19" s="188" t="n">
        <x:v>11.844</x:v>
      </x:c>
      <x:c r="E19" s="150"/>
      <x:c r="F19" s="150"/>
      <x:c r="G19" s="150"/>
    </x:row>
    <x:row r="20" ht="38" customHeight="1">
      <x:c r="A20" s="150"/>
      <x:c r="B20" s="150"/>
      <x:c r="C20" s="165" t="str">
        <x:v>BB-</x:v>
      </x:c>
      <x:c r="D20" s="188" t="n">
        <x:v>15.733</x:v>
      </x:c>
      <x:c r="E20" s="150"/>
      <x:c r="F20" s="7" t="str">
        <x:v>Fallback classification</x:v>
      </x:c>
      <x:c r="G20" s="7" t="str">
        <x:v>BBsf WARR factor</x:v>
      </x:c>
    </x:row>
    <x:row r="21" ht="30" customHeight="1">
      <x:c r="A21" s="150"/>
      <x:c r="B21" s="150"/>
      <x:c r="C21" s="165" t="str">
        <x:v>B+</x:v>
      </x:c>
      <x:c r="D21" s="188" t="n">
        <x:v>19.627</x:v>
      </x:c>
      <x:c r="E21" s="150"/>
      <x:c r="F21" s="189" t="str">
        <x:v>Group 1 - DIP instrument</x:v>
      </x:c>
      <x:c r="G21" s="164" t="n">
        <x:v>0.95</x:v>
      </x:c>
    </x:row>
    <x:row r="22" ht="30" customHeight="1">
      <x:c r="A22" s="150"/>
      <x:c r="B22" s="150"/>
      <x:c r="C22" s="165" t="str">
        <x:v>B</x:v>
      </x:c>
      <x:c r="D22" s="188" t="n">
        <x:v>23.671</x:v>
      </x:c>
      <x:c r="E22" s="150"/>
      <x:c r="F22" s="189" t="str">
        <x:v>Group 1 - Strong</x:v>
      </x:c>
      <x:c r="G22" s="164" t="n">
        <x:v>0.75</x:v>
      </x:c>
    </x:row>
    <x:row r="23" ht="30" customHeight="1">
      <x:c r="A23" s="150"/>
      <x:c r="B23" s="150"/>
      <x:c r="C23" s="165" t="str">
        <x:v>B-</x:v>
      </x:c>
      <x:c r="D23" s="188" t="n">
        <x:v>32.221</x:v>
      </x:c>
      <x:c r="E23" s="150"/>
      <x:c r="F23" s="189" t="str">
        <x:v>Group 1 - Senior secured bond</x:v>
      </x:c>
      <x:c r="G23" s="164" t="n">
        <x:v>0.6</x:v>
      </x:c>
    </x:row>
    <x:row r="24" ht="30" customHeight="1">
      <x:c r="A24" s="150"/>
      <x:c r="B24" s="150"/>
      <x:c r="C24" s="165" t="str">
        <x:v>CCC+</x:v>
      </x:c>
      <x:c r="D24" s="188" t="n">
        <x:v>41.111</x:v>
      </x:c>
      <x:c r="E24" s="150"/>
      <x:c r="F24" s="189" t="str">
        <x:v>Group 1 - Moderate</x:v>
      </x:c>
      <x:c r="G24" s="164" t="n">
        <x:v>0.4</x:v>
      </x:c>
    </x:row>
    <x:row r="25" ht="30" customHeight="1">
      <x:c r="A25" s="150"/>
      <x:c r="B25" s="150"/>
      <x:c r="C25" s="165" t="str">
        <x:v>CCC</x:v>
      </x:c>
      <x:c r="D25" s="188" t="n">
        <x:v>50</x:v>
      </x:c>
      <x:c r="E25" s="150"/>
      <x:c r="F25" s="189" t="str">
        <x:v>Group 1 - Weak</x:v>
      </x:c>
      <x:c r="G25" s="164" t="n">
        <x:v>0.15</x:v>
      </x:c>
    </x:row>
    <x:row r="26" ht="30" customHeight="1">
      <x:c r="A26" s="150"/>
      <x:c r="B26" s="150"/>
      <x:c r="C26" s="165" t="str">
        <x:v>CCC-</x:v>
      </x:c>
      <x:c r="D26" s="188" t="n">
        <x:v>63.431</x:v>
      </x:c>
      <x:c r="E26" s="150"/>
      <x:c r="F26" s="189" t="str">
        <x:v>Group 2 - Strong</x:v>
      </x:c>
      <x:c r="G26" s="164" t="n">
        <x:v>0.65</x:v>
      </x:c>
    </x:row>
    <x:row r="27" ht="30" customHeight="1">
      <x:c r="A27" s="150"/>
      <x:c r="B27" s="150"/>
      <x:c r="C27" s="165" t="str">
        <x:v>CC</x:v>
      </x:c>
      <x:c r="D27" s="188" t="n">
        <x:v>100</x:v>
      </x:c>
      <x:c r="E27" s="150"/>
      <x:c r="F27" s="189" t="str">
        <x:v>Group 2 - Senior secured bond</x:v>
      </x:c>
      <x:c r="G27" s="164" t="n">
        <x:v>0.6</x:v>
      </x:c>
    </x:row>
    <x:row r="28" ht="30" customHeight="1">
      <x:c r="A28" s="150"/>
      <x:c r="B28" s="150"/>
      <x:c r="C28" s="165" t="str">
        <x:v>C</x:v>
      </x:c>
      <x:c r="D28" s="188" t="n">
        <x:v>100</x:v>
      </x:c>
      <x:c r="E28" s="150"/>
      <x:c r="F28" s="189" t="str">
        <x:v>Group 2 - Moderate</x:v>
      </x:c>
      <x:c r="G28" s="164" t="n">
        <x:v>0.4</x:v>
      </x:c>
    </x:row>
    <x:row r="29" ht="30" customHeight="1">
      <x:c r="A29" s="150"/>
      <x:c r="B29" s="150"/>
      <x:c r="C29" s="150"/>
      <x:c r="D29" s="150"/>
      <x:c r="E29" s="150"/>
      <x:c r="F29" s="189" t="str">
        <x:v>Group 2 - Weak</x:v>
      </x:c>
      <x:c r="G29" s="164" t="n">
        <x:v>0.15</x:v>
      </x:c>
    </x:row>
    <x:row r="30" ht="30" customHeight="1">
      <x:c r="A30" s="150"/>
      <x:c r="B30" s="150"/>
      <x:c r="C30" s="150"/>
      <x:c r="D30" s="150"/>
      <x:c r="E30" s="150"/>
      <x:c r="F30" s="189" t="str">
        <x:v>Group 3 - Strong</x:v>
      </x:c>
      <x:c r="G30" s="164" t="n">
        <x:v>0.3</x:v>
      </x:c>
    </x:row>
    <x:row r="31" ht="30" customHeight="1">
      <x:c r="A31" s="150"/>
      <x:c r="B31" s="150"/>
      <x:c r="C31" s="150"/>
      <x:c r="D31" s="150"/>
      <x:c r="E31" s="150"/>
      <x:c r="F31" s="189" t="str">
        <x:v>Group 3 - Moderate</x:v>
      </x:c>
      <x:c r="G31" s="164" t="n">
        <x:v>0.2</x:v>
      </x:c>
    </x:row>
    <x:row r="32" ht="30" customHeight="1">
      <x:c r="A32" s="150"/>
      <x:c r="B32" s="150"/>
      <x:c r="C32" s="150"/>
      <x:c r="D32" s="150"/>
      <x:c r="E32" s="150"/>
      <x:c r="F32" s="189" t="str">
        <x:v>Group 3 - Weak</x:v>
      </x:c>
      <x:c r="G32" s="164" t="n">
        <x:v>0.05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3" hidden="0" customWidth="1"/>
    <x:col min="5" max="5" width="5" hidden="0" customWidth="1"/>
    <x:col min="6" max="6" width="89" hidden="0" customWidth="1"/>
  </x:cols>
  <x:sheetData>
    <x:row r="1">
      <x:c r="A1" s="23"/>
      <x:c r="B1" s="23"/>
      <x:c r="C1" s="115" t="str">
        <x:v>Fitch calculations</x:v>
      </x:c>
      <x:c r="D1" s="23"/>
      <x:c r="E1" s="23"/>
      <x:c r="F1" s="23"/>
    </x:row>
    <x:row r="2">
      <x:c r="A2" s="23"/>
      <x:c r="B2" s="23"/>
      <x:c r="C2" s="24" t="str">
        <x:v>Fitch Portfolio Credit Calculations</x:v>
      </x:c>
      <x:c r="D2" s="25"/>
      <x:c r="E2" s="25"/>
      <x:c r="F2" s="25"/>
    </x:row>
    <x:row r="3" ht="22" customHeight="1">
      <x:c r="A3" s="23"/>
      <x:c r="B3" s="23"/>
      <x:c r="C3" s="26" t="str">
        <x:v>Formula results require complete inputs for the metric. See source and development basis by facility.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Metric</x:v>
      </x:c>
      <x:c r="D7" s="7" t="str">
        <x:v>Result</x:v>
      </x:c>
      <x:c r="E7" s="23"/>
      <x:c r="F7" s="32" t="str">
        <x:v>WARF calculation basis</x:v>
      </x:c>
    </x:row>
    <x:row r="8" ht="58" customHeight="1">
      <x:c r="A8" s="23"/>
      <x:c r="B8" s="23"/>
      <x:c r="C8" s="23" t="str">
        <x:v>Shared portfolio par</x:v>
      </x:c>
      <x:c r="D8" s="101" t="n">
        <x:f>Portfolio_Par</x:f>
        <x:v>55744000</x:v>
      </x:c>
      <x:c r="E8" s="23"/>
      <x:c r="F8" s="33" t="str">
        <x:v>CALCULATED - development assumptions</x:v>
      </x:c>
    </x:row>
    <x:row r="9">
      <x:c r="A9" s="150"/>
      <x:c r="B9" s="150"/>
      <x:c r="C9" s="150" t="str">
        <x:v>Rating input coverage</x:v>
      </x:c>
      <x:c r="D9" s="190" t="n">
        <x:f>IF(D8&gt;0,1-SUM('Fitch Inputs'!L8:L59)/D8,"")</x:f>
        <x:v>1</x:v>
      </x:c>
      <x:c r="E9" s="150"/>
      <x:c r="F9" s="177" t="str">
        <x:v>WARR calculation status</x:v>
      </x:c>
    </x:row>
    <x:row r="10" ht="58" customHeight="1">
      <x:c r="A10" s="150"/>
      <x:c r="B10" s="150"/>
      <x:c r="C10" s="150" t="str">
        <x:v>Fitch WARF</x:v>
      </x:c>
      <x:c r="D10" s="191" t="n">
        <x:f>IF(D8=0,"NOT RUN",IF(D9=1,SUM('Fitch Inputs'!J8:J59)/D8,"Missing rating inputs"))</x:f>
        <x:v>20.4019374282434</x:v>
      </x:c>
      <x:c r="E10" s="150"/>
      <x:c r="F10" s="154" t="str">
        <x:v>NOT CALCULATED - incomplete Fitch inputs</x:v>
      </x:c>
    </x:row>
    <x:row r="11">
      <x:c r="A11" s="150"/>
      <x:c r="B11" s="150"/>
      <x:c r="C11" s="150" t="str">
        <x:v>Recovery input coverage</x:v>
      </x:c>
      <x:c r="D11" s="190" t="n">
        <x:f>IF(D8&gt;0,1-SUM('Fitch Inputs'!M8:M59)/D8,"")</x:f>
        <x:v>0.9668843283582089</x:v>
      </x:c>
      <x:c r="E11" s="150"/>
      <x:c r="F11" s="177" t="str">
        <x:v>Input source</x:v>
      </x:c>
    </x:row>
    <x:row r="12" ht="58" customHeight="1">
      <x:c r="A12" s="150"/>
      <x:c r="B12" s="150"/>
      <x:c r="C12" s="150" t="str">
        <x:v>Fitch WARR</x:v>
      </x:c>
      <x:c r="D12" s="171" t="str">
        <x:f>IF(D8=0,"NOT RUN",IF(D11=1,SUM('Fitch Inputs'!K8:K59)/D8,"Missing recovery inputs"))</x:f>
        <x:v>Missing recovery inputs</x:v>
      </x:c>
      <x:c r="E12" s="150"/>
      <x:c r="F12" s="154" t="str">
        <x:v>fitch_replacement.csv</x:v>
      </x:c>
    </x:row>
    <x:row r="13">
      <x:c r="A13" s="150"/>
      <x:c r="B13" s="150"/>
      <x:c r="C13" s="150" t="str">
        <x:v>Industry input coverage</x:v>
      </x:c>
      <x:c r="D13" s="190" t="n">
        <x:f>IF(D8&gt;0,1-SUM('Fitch Inputs'!O8:O59)/D8,"")</x:f>
        <x:v>0</x:v>
      </x:c>
      <x:c r="E13" s="150"/>
      <x:c r="F13" s="177" t="str">
        <x:v>What to update</x:v>
      </x:c>
    </x:row>
    <x:row r="14" ht="58" customHeight="1">
      <x:c r="A14" s="150"/>
      <x:c r="B14" s="150"/>
      <x:c r="C14" s="150" t="str">
        <x:v>Fitch AAA RDR</x:v>
      </x:c>
      <x:c r="D14" s="154" t="str">
        <x:v>NOT CALCULATED</x:v>
      </x:c>
      <x:c r="E14" s="150"/>
      <x:c r="F14" s="154" t="str">
        <x:v>Use templates/fitch_inputs_template.csv. Match instrument IDs to the portfolio CSV. Supply separately reviewed IDR basis, recovery basis, industry and source reference.</x:v>
      </x:c>
    </x:row>
    <x:row r="15">
      <x:c r="A15" s="150"/>
      <x:c r="B15" s="150"/>
      <x:c r="C15" s="150" t="str">
        <x:v>Fitch AAA RLR</x:v>
      </x:c>
      <x:c r="D15" s="154" t="str">
        <x:v>NOT CALCULATED</x:v>
      </x:c>
      <x:c r="E15" s="150"/>
      <x:c r="F15" s="177" t="str">
        <x:v>What is live</x:v>
      </x:c>
    </x:row>
    <x:row r="16" ht="58" customHeight="1">
      <x:c r="A16" s="150"/>
      <x:c r="B16" s="150"/>
      <x:c r="C16" s="150" t="str">
        <x:v>Fitch AAA result</x:v>
      </x:c>
      <x:c r="D16" s="154" t="str">
        <x:v>NOT DETERMINED</x:v>
      </x:c>
      <x:c r="E16" s="150"/>
      <x:c r="F16" s="154" t="str">
        <x:v>Factors, weighted sums, coverage, WARF and WARR recalculate in Excel. The comparison page flags edits until the authoritative CSV is rerun.</x:v>
      </x:c>
    </x:row>
    <x:row r="17">
      <x:c r="A17" s="150"/>
      <x:c r="B17" s="150"/>
      <x:c r="C17" s="150" t="str">
        <x:v>Edited Fitch source cells</x:v>
      </x:c>
      <x:c r="D17" s="192" t="n">
        <x:f>SUM('Fitch Inputs'!N8:N59)+ABS(COUNTA('Fitch Inputs'!A8:A1048576)-52)</x:f>
        <x:v>0</x:v>
      </x:c>
      <x:c r="E17" s="150"/>
      <x:c r="F17" s="177" t="str">
        <x:v>What is missing</x:v>
      </x:c>
    </x:row>
    <x:row r="18" ht="58" customHeight="1">
      <x:c r="A18" s="150"/>
      <x:c r="B18" s="150"/>
      <x:c r="C18" s="150" t="str">
        <x:v>Edited Fitch factor cells</x:v>
      </x:c>
      <x:c r="D18" s="192" t="n">
        <x:f>IF('Fitch Parameters'!C8="AAA",0,1)+IF('Fitch Parameters'!D8=0.136,0,1)+IF('Fitch Parameters'!C9="AA+",0,1)+IF('Fitch Parameters'!D9=0.349,0,1)+IF('Fitch Parameters'!C10="AA",0,1)+IF('Fitch Parameters'!D10=0.629,0,1)+IF('Fitch Parameters'!C11="AA-",0,1)+IF('Fitch Parameters'!D11=0.858,0,1)+IF('Fitch Parameters'!C12="A+",0,1)+IF('Fitch Parameters'!D12=1.237,0,1)+IF('Fitch Parameters'!C13="A",0,1)+IF('Fitch Parameters'!D13=1.572,0,1)+IF('Fitch Parameters'!C14="A-",0,1)+IF('Fitch Parameters'!D14=2.099,0,1)+IF('Fitch Parameters'!C15="BBB+",0,1)+IF('Fitch Parameters'!D15=2.63,0,1)+IF('Fitch Parameters'!C16="BBB",0,1)+IF('Fitch Parameters'!D16=3.162,0,1)+IF('Fitch Parameters'!C17="BBB-",0,1)+IF('Fitch Parameters'!D17=6.039,0,1)+IF('Fitch Parameters'!C18="BB+",0,1)+IF('Fitch Parameters'!D18=8.903,0,1)+IF('Fitch Parameters'!C19="BB",0,1)+IF('Fitch Parameters'!D19=11.844,0,1)+IF('Fitch Parameters'!C20="BB-",0,1)+IF('Fitch Parameters'!D20=15.733,0,1)+IF('Fitch Parameters'!C21="B+",0,1)+IF('Fitch Parameters'!D21=19.627,0,1)+IF('Fitch Parameters'!C22="B",0,1)+IF('Fitch Parameters'!D22=23.671,0,1)+IF('Fitch Parameters'!C23="B-",0,1)+IF('Fitch Parameters'!D23=32.221,0,1)+IF('Fitch Parameters'!C24="CCC+",0,1)+IF('Fitch Parameters'!D24=41.111,0,1)+IF('Fitch Parameters'!C25="CCC",0,1)+IF('Fitch Parameters'!D25=50,0,1)+IF('Fitch Parameters'!C26="CCC-",0,1)+IF('Fitch Parameters'!D26=63.431,0,1)+IF('Fitch Parameters'!C27="CC",0,1)+IF('Fitch Parameters'!D27=100,0,1)+IF('Fitch Parameters'!C28="C",0,1)+IF('Fitch Parameters'!D28=100,0,1)</x:f>
        <x:v>0</x:v>
      </x:c>
      <x:c r="E18" s="150"/>
      <x:c r="F18" s="154" t="str">
        <x:v>An agency result also needs a complete credit dataset, PCM RDR/RLR, agency-specific cash-flow implementation and deal-level review.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3" hidden="0" customWidth="1"/>
  </x:cols>
  <x:sheetData>
    <x:row r="1">
      <x:c r="A1" s="116" t="str">
        <x:v>Development / S&amp;P-informed timing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64" t="str">
        <x:v>Stress Timing And Interest Rates</x:v>
      </x:c>
      <x:c r="B2" s="150"/>
      <x:c r="C2" s="150"/>
      <x:c r="D2" s="150"/>
      <x:c r="E2" s="150"/>
      <x:c r="F2" s="150"/>
      <x:c r="G2" s="150"/>
      <x:c r="H2" s="150"/>
      <x:c r="I2" s="150"/>
    </x:row>
    <x:row r="3">
      <x:c r="A3" s="150" t="str">
        <x:v>Default weights are fractions of total cumulative defaults. Rate paths are fictional development scenarios.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>
      <x:c r="A5" s="150"/>
      <x:c r="B5" s="150"/>
      <x:c r="C5" s="150"/>
      <x:c r="D5" s="150"/>
      <x:c r="E5" s="150"/>
      <x:c r="F5" s="150"/>
      <x:c r="G5" s="150"/>
      <x:c r="H5" s="150"/>
      <x:c r="I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ht="38" customHeight="1">
      <x:c r="A7" s="7" t="str">
        <x:v>Scenario</x:v>
      </x:c>
      <x:c r="B7" s="7" t="str">
        <x:v>Period</x:v>
      </x:c>
      <x:c r="C7" s="7" t="str">
        <x:v>Period end</x:v>
      </x:c>
      <x:c r="D7" s="7" t="str">
        <x:v>Default weight</x:v>
      </x:c>
      <x:c r="E7" s="7" t="str">
        <x:v>Index rate</x:v>
      </x:c>
      <x:c r="F7" s="7" t="str">
        <x:v>Run weight</x:v>
      </x:c>
      <x:c r="G7" s="7" t="str">
        <x:v>Run rate</x:v>
      </x:c>
      <x:c r="H7" s="7" t="str">
        <x:v>Changed</x:v>
      </x:c>
      <x:c r="I7" s="7" t="str">
        <x:v>Source</x:v>
      </x:c>
    </x:row>
    <x:row r="8" ht="21" customHeight="1">
      <x:c r="A8" s="23" t="str">
        <x:v>front_flat</x:v>
      </x:c>
      <x:c r="B8" s="23" t="n">
        <x:v>1</x:v>
      </x:c>
      <x:c r="C8" s="37" t="n">
        <x:v>46478</x:v>
      </x:c>
      <x:c r="D8" s="55" t="n">
        <x:v>0.0975</x:v>
      </x:c>
      <x:c r="E8" s="55" t="n">
        <x:v>0.03</x:v>
      </x:c>
      <x:c r="F8" s="60" t="n">
        <x:v>0.0975</x:v>
      </x:c>
      <x:c r="G8" s="60" t="n">
        <x:v>0.03</x:v>
      </x:c>
      <x:c r="H8" s="23" t="n">
        <x:f>IF(D8=F8,0,1)+IF(E8=G8,0,1)</x:f>
        <x:v>0</x:v>
      </x:c>
      <x:c r="I8" s="23" t="str">
        <x:v>Timing T20 / fictional rates</x:v>
      </x:c>
    </x:row>
    <x:row r="9" ht="21" customHeight="1">
      <x:c r="A9" s="23" t="str">
        <x:v>front_flat</x:v>
      </x:c>
      <x:c r="B9" s="23" t="n">
        <x:v>2</x:v>
      </x:c>
      <x:c r="C9" s="37" t="n">
        <x:v>46569</x:v>
      </x:c>
      <x:c r="D9" s="55" t="n">
        <x:v>0.0975</x:v>
      </x:c>
      <x:c r="E9" s="55" t="n">
        <x:v>0.03</x:v>
      </x:c>
      <x:c r="F9" s="60" t="n">
        <x:v>0.0975</x:v>
      </x:c>
      <x:c r="G9" s="60" t="n">
        <x:v>0.03</x:v>
      </x:c>
      <x:c r="H9" s="23" t="n">
        <x:f>IF(D9=F9,0,1)+IF(E9=G9,0,1)</x:f>
        <x:v>0</x:v>
      </x:c>
      <x:c r="I9" s="23" t="str">
        <x:v>Timing T20 / fictional rates</x:v>
      </x:c>
    </x:row>
    <x:row r="10" ht="21" customHeight="1">
      <x:c r="A10" s="23" t="str">
        <x:v>front_flat</x:v>
      </x:c>
      <x:c r="B10" s="23" t="n">
        <x:v>3</x:v>
      </x:c>
      <x:c r="C10" s="37" t="n">
        <x:v>46661</x:v>
      </x:c>
      <x:c r="D10" s="55" t="n">
        <x:v>0.0975</x:v>
      </x:c>
      <x:c r="E10" s="55" t="n">
        <x:v>0.03</x:v>
      </x:c>
      <x:c r="F10" s="60" t="n">
        <x:v>0.0975</x:v>
      </x:c>
      <x:c r="G10" s="60" t="n">
        <x:v>0.03</x:v>
      </x:c>
      <x:c r="H10" s="23" t="n">
        <x:f>IF(D10=F10,0,1)+IF(E10=G10,0,1)</x:f>
        <x:v>0</x:v>
      </x:c>
      <x:c r="I10" s="23" t="str">
        <x:v>Timing T20 / fictional rates</x:v>
      </x:c>
    </x:row>
    <x:row r="11" ht="21" customHeight="1">
      <x:c r="A11" s="23" t="str">
        <x:v>front_flat</x:v>
      </x:c>
      <x:c r="B11" s="23" t="n">
        <x:v>4</x:v>
      </x:c>
      <x:c r="C11" s="37" t="n">
        <x:v>46753</x:v>
      </x:c>
      <x:c r="D11" s="55" t="n">
        <x:v>0.0975</x:v>
      </x:c>
      <x:c r="E11" s="55" t="n">
        <x:v>0.03</x:v>
      </x:c>
      <x:c r="F11" s="60" t="n">
        <x:v>0.0975</x:v>
      </x:c>
      <x:c r="G11" s="60" t="n">
        <x:v>0.03</x:v>
      </x:c>
      <x:c r="H11" s="23" t="n">
        <x:f>IF(D11=F11,0,1)+IF(E11=G11,0,1)</x:f>
        <x:v>0</x:v>
      </x:c>
      <x:c r="I11" s="23" t="str">
        <x:v>Timing T20 / fictional rates</x:v>
      </x:c>
    </x:row>
    <x:row r="12" ht="21" customHeight="1">
      <x:c r="A12" s="23" t="str">
        <x:v>front_flat</x:v>
      </x:c>
      <x:c r="B12" s="23" t="n">
        <x:v>5</x:v>
      </x:c>
      <x:c r="C12" s="37" t="n">
        <x:v>46844</x:v>
      </x:c>
      <x:c r="D12" s="55" t="n">
        <x:v>0.055</x:v>
      </x:c>
      <x:c r="E12" s="55" t="n">
        <x:v>0.03</x:v>
      </x:c>
      <x:c r="F12" s="60" t="n">
        <x:v>0.055</x:v>
      </x:c>
      <x:c r="G12" s="60" t="n">
        <x:v>0.03</x:v>
      </x:c>
      <x:c r="H12" s="23" t="n">
        <x:f>IF(D12=F12,0,1)+IF(E12=G12,0,1)</x:f>
        <x:v>0</x:v>
      </x:c>
      <x:c r="I12" s="23" t="str">
        <x:v>Timing T20 / fictional rates</x:v>
      </x:c>
    </x:row>
    <x:row r="13" ht="21" customHeight="1">
      <x:c r="A13" s="23" t="str">
        <x:v>front_flat</x:v>
      </x:c>
      <x:c r="B13" s="23" t="n">
        <x:v>6</x:v>
      </x:c>
      <x:c r="C13" s="37" t="n">
        <x:v>46935</x:v>
      </x:c>
      <x:c r="D13" s="55" t="n">
        <x:v>0.055</x:v>
      </x:c>
      <x:c r="E13" s="55" t="n">
        <x:v>0.03</x:v>
      </x:c>
      <x:c r="F13" s="60" t="n">
        <x:v>0.055</x:v>
      </x:c>
      <x:c r="G13" s="60" t="n">
        <x:v>0.03</x:v>
      </x:c>
      <x:c r="H13" s="23" t="n">
        <x:f>IF(D13=F13,0,1)+IF(E13=G13,0,1)</x:f>
        <x:v>0</x:v>
      </x:c>
      <x:c r="I13" s="23" t="str">
        <x:v>Timing T20 / fictional rates</x:v>
      </x:c>
    </x:row>
    <x:row r="14" ht="21" customHeight="1">
      <x:c r="A14" s="23" t="str">
        <x:v>front_flat</x:v>
      </x:c>
      <x:c r="B14" s="23" t="n">
        <x:v>7</x:v>
      </x:c>
      <x:c r="C14" s="37" t="n">
        <x:v>47027</x:v>
      </x:c>
      <x:c r="D14" s="55" t="n">
        <x:v>0.055</x:v>
      </x:c>
      <x:c r="E14" s="55" t="n">
        <x:v>0.03</x:v>
      </x:c>
      <x:c r="F14" s="60" t="n">
        <x:v>0.055</x:v>
      </x:c>
      <x:c r="G14" s="60" t="n">
        <x:v>0.03</x:v>
      </x:c>
      <x:c r="H14" s="23" t="n">
        <x:f>IF(D14=F14,0,1)+IF(E14=G14,0,1)</x:f>
        <x:v>0</x:v>
      </x:c>
      <x:c r="I14" s="23" t="str">
        <x:v>Timing T20 / fictional rates</x:v>
      </x:c>
    </x:row>
    <x:row r="15" ht="21" customHeight="1">
      <x:c r="A15" s="23" t="str">
        <x:v>front_flat</x:v>
      </x:c>
      <x:c r="B15" s="23" t="n">
        <x:v>8</x:v>
      </x:c>
      <x:c r="C15" s="37" t="n">
        <x:v>47119</x:v>
      </x:c>
      <x:c r="D15" s="55" t="n">
        <x:v>0.055</x:v>
      </x:c>
      <x:c r="E15" s="55" t="n">
        <x:v>0.03</x:v>
      </x:c>
      <x:c r="F15" s="60" t="n">
        <x:v>0.055</x:v>
      </x:c>
      <x:c r="G15" s="60" t="n">
        <x:v>0.03</x:v>
      </x:c>
      <x:c r="H15" s="23" t="n">
        <x:f>IF(D15=F15,0,1)+IF(E15=G15,0,1)</x:f>
        <x:v>0</x:v>
      </x:c>
      <x:c r="I15" s="23" t="str">
        <x:v>Timing T20 / fictional rates</x:v>
      </x:c>
    </x:row>
    <x:row r="16" ht="21" customHeight="1">
      <x:c r="A16" s="23" t="str">
        <x:v>front_flat</x:v>
      </x:c>
      <x:c r="B16" s="23" t="n">
        <x:v>9</x:v>
      </x:c>
      <x:c r="C16" s="37" t="n">
        <x:v>47209</x:v>
      </x:c>
      <x:c r="D16" s="55" t="n">
        <x:v>0.04</x:v>
      </x:c>
      <x:c r="E16" s="55" t="n">
        <x:v>0.03</x:v>
      </x:c>
      <x:c r="F16" s="60" t="n">
        <x:v>0.04</x:v>
      </x:c>
      <x:c r="G16" s="60" t="n">
        <x:v>0.03</x:v>
      </x:c>
      <x:c r="H16" s="23" t="n">
        <x:f>IF(D16=F16,0,1)+IF(E16=G16,0,1)</x:f>
        <x:v>0</x:v>
      </x:c>
      <x:c r="I16" s="23" t="str">
        <x:v>Timing T20 / fictional rates</x:v>
      </x:c>
    </x:row>
    <x:row r="17" ht="21" customHeight="1">
      <x:c r="A17" s="23" t="str">
        <x:v>front_flat</x:v>
      </x:c>
      <x:c r="B17" s="23" t="n">
        <x:v>10</x:v>
      </x:c>
      <x:c r="C17" s="37" t="n">
        <x:v>47300</x:v>
      </x:c>
      <x:c r="D17" s="55" t="n">
        <x:v>0.04</x:v>
      </x:c>
      <x:c r="E17" s="55" t="n">
        <x:v>0.03</x:v>
      </x:c>
      <x:c r="F17" s="60" t="n">
        <x:v>0.04</x:v>
      </x:c>
      <x:c r="G17" s="60" t="n">
        <x:v>0.03</x:v>
      </x:c>
      <x:c r="H17" s="23" t="n">
        <x:f>IF(D17=F17,0,1)+IF(E17=G17,0,1)</x:f>
        <x:v>0</x:v>
      </x:c>
      <x:c r="I17" s="23" t="str">
        <x:v>Timing T20 / fictional rates</x:v>
      </x:c>
    </x:row>
    <x:row r="18" ht="21" customHeight="1">
      <x:c r="A18" s="23" t="str">
        <x:v>front_flat</x:v>
      </x:c>
      <x:c r="B18" s="23" t="n">
        <x:v>11</x:v>
      </x:c>
      <x:c r="C18" s="37" t="n">
        <x:v>47392</x:v>
      </x:c>
      <x:c r="D18" s="55" t="n">
        <x:v>0.04</x:v>
      </x:c>
      <x:c r="E18" s="55" t="n">
        <x:v>0.03</x:v>
      </x:c>
      <x:c r="F18" s="60" t="n">
        <x:v>0.04</x:v>
      </x:c>
      <x:c r="G18" s="60" t="n">
        <x:v>0.03</x:v>
      </x:c>
      <x:c r="H18" s="23" t="n">
        <x:f>IF(D18=F18,0,1)+IF(E18=G18,0,1)</x:f>
        <x:v>0</x:v>
      </x:c>
      <x:c r="I18" s="23" t="str">
        <x:v>Timing T20 / fictional rates</x:v>
      </x:c>
    </x:row>
    <x:row r="19" ht="21" customHeight="1">
      <x:c r="A19" s="23" t="str">
        <x:v>front_flat</x:v>
      </x:c>
      <x:c r="B19" s="23" t="n">
        <x:v>12</x:v>
      </x:c>
      <x:c r="C19" s="37" t="n">
        <x:v>47484</x:v>
      </x:c>
      <x:c r="D19" s="55" t="n">
        <x:v>0.04</x:v>
      </x:c>
      <x:c r="E19" s="55" t="n">
        <x:v>0.03</x:v>
      </x:c>
      <x:c r="F19" s="60" t="n">
        <x:v>0.04</x:v>
      </x:c>
      <x:c r="G19" s="60" t="n">
        <x:v>0.03</x:v>
      </x:c>
      <x:c r="H19" s="23" t="n">
        <x:f>IF(D19=F19,0,1)+IF(E19=G19,0,1)</x:f>
        <x:v>0</x:v>
      </x:c>
      <x:c r="I19" s="23" t="str">
        <x:v>Timing T20 / fictional rates</x:v>
      </x:c>
    </x:row>
    <x:row r="20" ht="21" customHeight="1">
      <x:c r="A20" s="23" t="str">
        <x:v>front_flat</x:v>
      </x:c>
      <x:c r="B20" s="23" t="n">
        <x:v>13</x:v>
      </x:c>
      <x:c r="C20" s="37" t="n">
        <x:v>47574</x:v>
      </x:c>
      <x:c r="D20" s="55" t="n">
        <x:v>0.0325</x:v>
      </x:c>
      <x:c r="E20" s="55" t="n">
        <x:v>0.03</x:v>
      </x:c>
      <x:c r="F20" s="60" t="n">
        <x:v>0.0325</x:v>
      </x:c>
      <x:c r="G20" s="60" t="n">
        <x:v>0.03</x:v>
      </x:c>
      <x:c r="H20" s="23" t="n">
        <x:f>IF(D20=F20,0,1)+IF(E20=G20,0,1)</x:f>
        <x:v>0</x:v>
      </x:c>
      <x:c r="I20" s="23" t="str">
        <x:v>Timing T20 / fictional rates</x:v>
      </x:c>
    </x:row>
    <x:row r="21" ht="21" customHeight="1">
      <x:c r="A21" s="23" t="str">
        <x:v>front_flat</x:v>
      </x:c>
      <x:c r="B21" s="23" t="n">
        <x:v>14</x:v>
      </x:c>
      <x:c r="C21" s="37" t="n">
        <x:v>47665</x:v>
      </x:c>
      <x:c r="D21" s="55" t="n">
        <x:v>0.0325</x:v>
      </x:c>
      <x:c r="E21" s="55" t="n">
        <x:v>0.03</x:v>
      </x:c>
      <x:c r="F21" s="60" t="n">
        <x:v>0.0325</x:v>
      </x:c>
      <x:c r="G21" s="60" t="n">
        <x:v>0.03</x:v>
      </x:c>
      <x:c r="H21" s="23" t="n">
        <x:f>IF(D21=F21,0,1)+IF(E21=G21,0,1)</x:f>
        <x:v>0</x:v>
      </x:c>
      <x:c r="I21" s="23" t="str">
        <x:v>Timing T20 / fictional rates</x:v>
      </x:c>
    </x:row>
    <x:row r="22" ht="21" customHeight="1">
      <x:c r="A22" s="23" t="str">
        <x:v>front_flat</x:v>
      </x:c>
      <x:c r="B22" s="23" t="n">
        <x:v>15</x:v>
      </x:c>
      <x:c r="C22" s="37" t="n">
        <x:v>47757</x:v>
      </x:c>
      <x:c r="D22" s="55" t="n">
        <x:v>0.0325</x:v>
      </x:c>
      <x:c r="E22" s="55" t="n">
        <x:v>0.03</x:v>
      </x:c>
      <x:c r="F22" s="60" t="n">
        <x:v>0.0325</x:v>
      </x:c>
      <x:c r="G22" s="60" t="n">
        <x:v>0.03</x:v>
      </x:c>
      <x:c r="H22" s="23" t="n">
        <x:f>IF(D22=F22,0,1)+IF(E22=G22,0,1)</x:f>
        <x:v>0</x:v>
      </x:c>
      <x:c r="I22" s="23" t="str">
        <x:v>Timing T20 / fictional rates</x:v>
      </x:c>
    </x:row>
    <x:row r="23" ht="21" customHeight="1">
      <x:c r="A23" s="23" t="str">
        <x:v>front_flat</x:v>
      </x:c>
      <x:c r="B23" s="23" t="n">
        <x:v>16</x:v>
      </x:c>
      <x:c r="C23" s="37" t="n">
        <x:v>47849</x:v>
      </x:c>
      <x:c r="D23" s="55" t="n">
        <x:v>0.0325</x:v>
      </x:c>
      <x:c r="E23" s="55" t="n">
        <x:v>0.03</x:v>
      </x:c>
      <x:c r="F23" s="60" t="n">
        <x:v>0.0325</x:v>
      </x:c>
      <x:c r="G23" s="60" t="n">
        <x:v>0.03</x:v>
      </x:c>
      <x:c r="H23" s="23" t="n">
        <x:f>IF(D23=F23,0,1)+IF(E23=G23,0,1)</x:f>
        <x:v>0</x:v>
      </x:c>
      <x:c r="I23" s="23" t="str">
        <x:v>Timing T20 / fictional rates</x:v>
      </x:c>
    </x:row>
    <x:row r="24" ht="21" customHeight="1">
      <x:c r="A24" s="23" t="str">
        <x:v>front_flat</x:v>
      </x:c>
      <x:c r="B24" s="23" t="n">
        <x:v>17</x:v>
      </x:c>
      <x:c r="C24" s="37" t="n">
        <x:v>47939</x:v>
      </x:c>
      <x:c r="D24" s="55" t="n">
        <x:v>0.025</x:v>
      </x:c>
      <x:c r="E24" s="55" t="n">
        <x:v>0.03</x:v>
      </x:c>
      <x:c r="F24" s="60" t="n">
        <x:v>0.025</x:v>
      </x:c>
      <x:c r="G24" s="60" t="n">
        <x:v>0.03</x:v>
      </x:c>
      <x:c r="H24" s="23" t="n">
        <x:f>IF(D24=F24,0,1)+IF(E24=G24,0,1)</x:f>
        <x:v>0</x:v>
      </x:c>
      <x:c r="I24" s="23" t="str">
        <x:v>Timing T20 / fictional rates</x:v>
      </x:c>
    </x:row>
    <x:row r="25" ht="21" customHeight="1">
      <x:c r="A25" s="23" t="str">
        <x:v>front_flat</x:v>
      </x:c>
      <x:c r="B25" s="23" t="n">
        <x:v>18</x:v>
      </x:c>
      <x:c r="C25" s="37" t="n">
        <x:v>48030</x:v>
      </x:c>
      <x:c r="D25" s="55" t="n">
        <x:v>0.025</x:v>
      </x:c>
      <x:c r="E25" s="55" t="n">
        <x:v>0.03</x:v>
      </x:c>
      <x:c r="F25" s="60" t="n">
        <x:v>0.025</x:v>
      </x:c>
      <x:c r="G25" s="60" t="n">
        <x:v>0.03</x:v>
      </x:c>
      <x:c r="H25" s="23" t="n">
        <x:f>IF(D25=F25,0,1)+IF(E25=G25,0,1)</x:f>
        <x:v>0</x:v>
      </x:c>
      <x:c r="I25" s="23" t="str">
        <x:v>Timing T20 / fictional rates</x:v>
      </x:c>
    </x:row>
    <x:row r="26" ht="21" customHeight="1">
      <x:c r="A26" s="23" t="str">
        <x:v>front_flat</x:v>
      </x:c>
      <x:c r="B26" s="23" t="n">
        <x:v>19</x:v>
      </x:c>
      <x:c r="C26" s="37" t="n">
        <x:v>48122</x:v>
      </x:c>
      <x:c r="D26" s="55" t="n">
        <x:v>0.025</x:v>
      </x:c>
      <x:c r="E26" s="55" t="n">
        <x:v>0.03</x:v>
      </x:c>
      <x:c r="F26" s="60" t="n">
        <x:v>0.025</x:v>
      </x:c>
      <x:c r="G26" s="60" t="n">
        <x:v>0.03</x:v>
      </x:c>
      <x:c r="H26" s="23" t="n">
        <x:f>IF(D26=F26,0,1)+IF(E26=G26,0,1)</x:f>
        <x:v>0</x:v>
      </x:c>
      <x:c r="I26" s="23" t="str">
        <x:v>Timing T20 / fictional rates</x:v>
      </x:c>
    </x:row>
    <x:row r="27" ht="21" customHeight="1">
      <x:c r="A27" s="23" t="str">
        <x:v>front_flat</x:v>
      </x:c>
      <x:c r="B27" s="23" t="n">
        <x:v>20</x:v>
      </x:c>
      <x:c r="C27" s="37" t="n">
        <x:v>48214</x:v>
      </x:c>
      <x:c r="D27" s="55" t="n">
        <x:v>0.025</x:v>
      </x:c>
      <x:c r="E27" s="55" t="n">
        <x:v>0.03</x:v>
      </x:c>
      <x:c r="F27" s="60" t="n">
        <x:v>0.025</x:v>
      </x:c>
      <x:c r="G27" s="60" t="n">
        <x:v>0.03</x:v>
      </x:c>
      <x:c r="H27" s="23" t="n">
        <x:f>IF(D27=F27,0,1)+IF(E27=G27,0,1)</x:f>
        <x:v>0</x:v>
      </x:c>
      <x:c r="I27" s="23" t="str">
        <x:v>Timing T20 / fictional rates</x:v>
      </x:c>
    </x:row>
    <x:row r="28" ht="21" customHeight="1">
      <x:c r="A28" s="23" t="str">
        <x:v>front_flat</x:v>
      </x:c>
      <x:c r="B28" s="23" t="n">
        <x:v>21</x:v>
      </x:c>
      <x:c r="C28" s="37" t="n">
        <x:v>48305</x:v>
      </x:c>
      <x:c r="D28" s="55" t="n">
        <x:v>0</x:v>
      </x:c>
      <x:c r="E28" s="55" t="n">
        <x:v>0.03</x:v>
      </x:c>
      <x:c r="F28" s="60" t="n">
        <x:v>0</x:v>
      </x:c>
      <x:c r="G28" s="60" t="n">
        <x:v>0.03</x:v>
      </x:c>
      <x:c r="H28" s="23" t="n">
        <x:f>IF(D28=F28,0,1)+IF(E28=G28,0,1)</x:f>
        <x:v>0</x:v>
      </x:c>
      <x:c r="I28" s="23" t="str">
        <x:v>Timing T20 / fictional rates</x:v>
      </x:c>
    </x:row>
    <x:row r="29" ht="21" customHeight="1">
      <x:c r="A29" s="23" t="str">
        <x:v>front_flat</x:v>
      </x:c>
      <x:c r="B29" s="23" t="n">
        <x:v>22</x:v>
      </x:c>
      <x:c r="C29" s="37" t="n">
        <x:v>48396</x:v>
      </x:c>
      <x:c r="D29" s="55" t="n">
        <x:v>0</x:v>
      </x:c>
      <x:c r="E29" s="55" t="n">
        <x:v>0.03</x:v>
      </x:c>
      <x:c r="F29" s="60" t="n">
        <x:v>0</x:v>
      </x:c>
      <x:c r="G29" s="60" t="n">
        <x:v>0.03</x:v>
      </x:c>
      <x:c r="H29" s="23" t="n">
        <x:f>IF(D29=F29,0,1)+IF(E29=G29,0,1)</x:f>
        <x:v>0</x:v>
      </x:c>
      <x:c r="I29" s="23" t="str">
        <x:v>Timing T20 / fictional rates</x:v>
      </x:c>
    </x:row>
    <x:row r="30" ht="21" customHeight="1">
      <x:c r="A30" s="23" t="str">
        <x:v>front_flat</x:v>
      </x:c>
      <x:c r="B30" s="23" t="n">
        <x:v>23</x:v>
      </x:c>
      <x:c r="C30" s="37" t="n">
        <x:v>48488</x:v>
      </x:c>
      <x:c r="D30" s="55" t="n">
        <x:v>0</x:v>
      </x:c>
      <x:c r="E30" s="55" t="n">
        <x:v>0.03</x:v>
      </x:c>
      <x:c r="F30" s="60" t="n">
        <x:v>0</x:v>
      </x:c>
      <x:c r="G30" s="60" t="n">
        <x:v>0.03</x:v>
      </x:c>
      <x:c r="H30" s="23" t="n">
        <x:f>IF(D30=F30,0,1)+IF(E30=G30,0,1)</x:f>
        <x:v>0</x:v>
      </x:c>
      <x:c r="I30" s="23" t="str">
        <x:v>Timing T20 / fictional rates</x:v>
      </x:c>
    </x:row>
    <x:row r="31" ht="21" customHeight="1">
      <x:c r="A31" s="23" t="str">
        <x:v>front_flat</x:v>
      </x:c>
      <x:c r="B31" s="23" t="n">
        <x:v>24</x:v>
      </x:c>
      <x:c r="C31" s="37" t="n">
        <x:v>48580</x:v>
      </x:c>
      <x:c r="D31" s="55" t="n">
        <x:v>0</x:v>
      </x:c>
      <x:c r="E31" s="55" t="n">
        <x:v>0.03</x:v>
      </x:c>
      <x:c r="F31" s="60" t="n">
        <x:v>0</x:v>
      </x:c>
      <x:c r="G31" s="60" t="n">
        <x:v>0.03</x:v>
      </x:c>
      <x:c r="H31" s="23" t="n">
        <x:f>IF(D31=F31,0,1)+IF(E31=G31,0,1)</x:f>
        <x:v>0</x:v>
      </x:c>
      <x:c r="I31" s="23" t="str">
        <x:v>Timing T20 / fictional rates</x:v>
      </x:c>
    </x:row>
    <x:row r="32" ht="21" customHeight="1">
      <x:c r="A32" s="23" t="str">
        <x:v>front_flat</x:v>
      </x:c>
      <x:c r="B32" s="23" t="n">
        <x:v>25</x:v>
      </x:c>
      <x:c r="C32" s="37" t="n">
        <x:v>48670</x:v>
      </x:c>
      <x:c r="D32" s="55" t="n">
        <x:v>0</x:v>
      </x:c>
      <x:c r="E32" s="55" t="n">
        <x:v>0.03</x:v>
      </x:c>
      <x:c r="F32" s="60" t="n">
        <x:v>0</x:v>
      </x:c>
      <x:c r="G32" s="60" t="n">
        <x:v>0.03</x:v>
      </x:c>
      <x:c r="H32" s="23" t="n">
        <x:f>IF(D32=F32,0,1)+IF(E32=G32,0,1)</x:f>
        <x:v>0</x:v>
      </x:c>
      <x:c r="I32" s="23" t="str">
        <x:v>Timing T20 / fictional rates</x:v>
      </x:c>
    </x:row>
    <x:row r="33" ht="21" customHeight="1">
      <x:c r="A33" s="23" t="str">
        <x:v>front_flat</x:v>
      </x:c>
      <x:c r="B33" s="23" t="n">
        <x:v>26</x:v>
      </x:c>
      <x:c r="C33" s="37" t="n">
        <x:v>48761</x:v>
      </x:c>
      <x:c r="D33" s="55" t="n">
        <x:v>0</x:v>
      </x:c>
      <x:c r="E33" s="55" t="n">
        <x:v>0.03</x:v>
      </x:c>
      <x:c r="F33" s="60" t="n">
        <x:v>0</x:v>
      </x:c>
      <x:c r="G33" s="60" t="n">
        <x:v>0.03</x:v>
      </x:c>
      <x:c r="H33" s="23" t="n">
        <x:f>IF(D33=F33,0,1)+IF(E33=G33,0,1)</x:f>
        <x:v>0</x:v>
      </x:c>
      <x:c r="I33" s="23" t="str">
        <x:v>Timing T20 / fictional rates</x:v>
      </x:c>
    </x:row>
    <x:row r="34" ht="21" customHeight="1">
      <x:c r="A34" s="23" t="str">
        <x:v>front_flat</x:v>
      </x:c>
      <x:c r="B34" s="23" t="n">
        <x:v>27</x:v>
      </x:c>
      <x:c r="C34" s="37" t="n">
        <x:v>48853</x:v>
      </x:c>
      <x:c r="D34" s="55" t="n">
        <x:v>0</x:v>
      </x:c>
      <x:c r="E34" s="55" t="n">
        <x:v>0.03</x:v>
      </x:c>
      <x:c r="F34" s="60" t="n">
        <x:v>0</x:v>
      </x:c>
      <x:c r="G34" s="60" t="n">
        <x:v>0.03</x:v>
      </x:c>
      <x:c r="H34" s="23" t="n">
        <x:f>IF(D34=F34,0,1)+IF(E34=G34,0,1)</x:f>
        <x:v>0</x:v>
      </x:c>
      <x:c r="I34" s="23" t="str">
        <x:v>Timing T20 / fictional rates</x:v>
      </x:c>
    </x:row>
    <x:row r="35" ht="21" customHeight="1">
      <x:c r="A35" s="23" t="str">
        <x:v>front_flat</x:v>
      </x:c>
      <x:c r="B35" s="23" t="n">
        <x:v>28</x:v>
      </x:c>
      <x:c r="C35" s="37" t="n">
        <x:v>48945</x:v>
      </x:c>
      <x:c r="D35" s="55" t="n">
        <x:v>0</x:v>
      </x:c>
      <x:c r="E35" s="55" t="n">
        <x:v>0.03</x:v>
      </x:c>
      <x:c r="F35" s="60" t="n">
        <x:v>0</x:v>
      </x:c>
      <x:c r="G35" s="60" t="n">
        <x:v>0.03</x:v>
      </x:c>
      <x:c r="H35" s="23" t="n">
        <x:f>IF(D35=F35,0,1)+IF(E35=G35,0,1)</x:f>
        <x:v>0</x:v>
      </x:c>
      <x:c r="I35" s="23" t="str">
        <x:v>Timing T20 / fictional rates</x:v>
      </x:c>
    </x:row>
    <x:row r="36" ht="21" customHeight="1">
      <x:c r="A36" s="23" t="str">
        <x:v>front_flat</x:v>
      </x:c>
      <x:c r="B36" s="23" t="n">
        <x:v>29</x:v>
      </x:c>
      <x:c r="C36" s="37" t="n">
        <x:v>49035</x:v>
      </x:c>
      <x:c r="D36" s="55" t="n">
        <x:v>0</x:v>
      </x:c>
      <x:c r="E36" s="55" t="n">
        <x:v>0.03</x:v>
      </x:c>
      <x:c r="F36" s="60" t="n">
        <x:v>0</x:v>
      </x:c>
      <x:c r="G36" s="60" t="n">
        <x:v>0.03</x:v>
      </x:c>
      <x:c r="H36" s="23" t="n">
        <x:f>IF(D36=F36,0,1)+IF(E36=G36,0,1)</x:f>
        <x:v>0</x:v>
      </x:c>
      <x:c r="I36" s="23" t="str">
        <x:v>Timing T20 / fictional rates</x:v>
      </x:c>
    </x:row>
    <x:row r="37" ht="21" customHeight="1">
      <x:c r="A37" s="23" t="str">
        <x:v>front_flat</x:v>
      </x:c>
      <x:c r="B37" s="23" t="n">
        <x:v>30</x:v>
      </x:c>
      <x:c r="C37" s="37" t="n">
        <x:v>49126</x:v>
      </x:c>
      <x:c r="D37" s="55" t="n">
        <x:v>0</x:v>
      </x:c>
      <x:c r="E37" s="55" t="n">
        <x:v>0.03</x:v>
      </x:c>
      <x:c r="F37" s="60" t="n">
        <x:v>0</x:v>
      </x:c>
      <x:c r="G37" s="60" t="n">
        <x:v>0.03</x:v>
      </x:c>
      <x:c r="H37" s="23" t="n">
        <x:f>IF(D37=F37,0,1)+IF(E37=G37,0,1)</x:f>
        <x:v>0</x:v>
      </x:c>
      <x:c r="I37" s="23" t="str">
        <x:v>Timing T20 / fictional rates</x:v>
      </x:c>
    </x:row>
    <x:row r="38" ht="21" customHeight="1">
      <x:c r="A38" s="23" t="str">
        <x:v>front_flat</x:v>
      </x:c>
      <x:c r="B38" s="23" t="n">
        <x:v>31</x:v>
      </x:c>
      <x:c r="C38" s="37" t="n">
        <x:v>49218</x:v>
      </x:c>
      <x:c r="D38" s="55" t="n">
        <x:v>0</x:v>
      </x:c>
      <x:c r="E38" s="55" t="n">
        <x:v>0.03</x:v>
      </x:c>
      <x:c r="F38" s="60" t="n">
        <x:v>0</x:v>
      </x:c>
      <x:c r="G38" s="60" t="n">
        <x:v>0.03</x:v>
      </x:c>
      <x:c r="H38" s="23" t="n">
        <x:f>IF(D38=F38,0,1)+IF(E38=G38,0,1)</x:f>
        <x:v>0</x:v>
      </x:c>
      <x:c r="I38" s="23" t="str">
        <x:v>Timing T20 / fictional rates</x:v>
      </x:c>
    </x:row>
    <x:row r="39" ht="21" customHeight="1">
      <x:c r="A39" s="23" t="str">
        <x:v>front_flat</x:v>
      </x:c>
      <x:c r="B39" s="23" t="n">
        <x:v>32</x:v>
      </x:c>
      <x:c r="C39" s="37" t="n">
        <x:v>49310</x:v>
      </x:c>
      <x:c r="D39" s="55" t="n">
        <x:v>0</x:v>
      </x:c>
      <x:c r="E39" s="55" t="n">
        <x:v>0.03</x:v>
      </x:c>
      <x:c r="F39" s="60" t="n">
        <x:v>0</x:v>
      </x:c>
      <x:c r="G39" s="60" t="n">
        <x:v>0.03</x:v>
      </x:c>
      <x:c r="H39" s="23" t="n">
        <x:f>IF(D39=F39,0,1)+IF(E39=G39,0,1)</x:f>
        <x:v>0</x:v>
      </x:c>
      <x:c r="I39" s="23" t="str">
        <x:v>Timing T20 / fictional rates</x:v>
      </x:c>
    </x:row>
    <x:row r="40" ht="21" customHeight="1">
      <x:c r="A40" s="23" t="str">
        <x:v>front_flat</x:v>
      </x:c>
      <x:c r="B40" s="23" t="n">
        <x:v>33</x:v>
      </x:c>
      <x:c r="C40" s="37" t="n">
        <x:v>49400</x:v>
      </x:c>
      <x:c r="D40" s="55" t="n">
        <x:v>0</x:v>
      </x:c>
      <x:c r="E40" s="55" t="n">
        <x:v>0.03</x:v>
      </x:c>
      <x:c r="F40" s="60" t="n">
        <x:v>0</x:v>
      </x:c>
      <x:c r="G40" s="60" t="n">
        <x:v>0.03</x:v>
      </x:c>
      <x:c r="H40" s="23" t="n">
        <x:f>IF(D40=F40,0,1)+IF(E40=G40,0,1)</x:f>
        <x:v>0</x:v>
      </x:c>
      <x:c r="I40" s="23" t="str">
        <x:v>Timing T20 / fictional rates</x:v>
      </x:c>
    </x:row>
    <x:row r="41" ht="21" customHeight="1">
      <x:c r="A41" s="23" t="str">
        <x:v>front_flat</x:v>
      </x:c>
      <x:c r="B41" s="23" t="n">
        <x:v>34</x:v>
      </x:c>
      <x:c r="C41" s="37" t="n">
        <x:v>49491</x:v>
      </x:c>
      <x:c r="D41" s="55" t="n">
        <x:v>0</x:v>
      </x:c>
      <x:c r="E41" s="55" t="n">
        <x:v>0.03</x:v>
      </x:c>
      <x:c r="F41" s="60" t="n">
        <x:v>0</x:v>
      </x:c>
      <x:c r="G41" s="60" t="n">
        <x:v>0.03</x:v>
      </x:c>
      <x:c r="H41" s="23" t="n">
        <x:f>IF(D41=F41,0,1)+IF(E41=G41,0,1)</x:f>
        <x:v>0</x:v>
      </x:c>
      <x:c r="I41" s="23" t="str">
        <x:v>Timing T20 / fictional rates</x:v>
      </x:c>
    </x:row>
    <x:row r="42" ht="21" customHeight="1">
      <x:c r="A42" s="23" t="str">
        <x:v>front_flat</x:v>
      </x:c>
      <x:c r="B42" s="23" t="n">
        <x:v>35</x:v>
      </x:c>
      <x:c r="C42" s="37" t="n">
        <x:v>49583</x:v>
      </x:c>
      <x:c r="D42" s="55" t="n">
        <x:v>0</x:v>
      </x:c>
      <x:c r="E42" s="55" t="n">
        <x:v>0.03</x:v>
      </x:c>
      <x:c r="F42" s="60" t="n">
        <x:v>0</x:v>
      </x:c>
      <x:c r="G42" s="60" t="n">
        <x:v>0.03</x:v>
      </x:c>
      <x:c r="H42" s="23" t="n">
        <x:f>IF(D42=F42,0,1)+IF(E42=G42,0,1)</x:f>
        <x:v>0</x:v>
      </x:c>
      <x:c r="I42" s="23" t="str">
        <x:v>Timing T20 / fictional rates</x:v>
      </x:c>
    </x:row>
    <x:row r="43" ht="21" customHeight="1">
      <x:c r="A43" s="23" t="str">
        <x:v>front_flat</x:v>
      </x:c>
      <x:c r="B43" s="23" t="n">
        <x:v>36</x:v>
      </x:c>
      <x:c r="C43" s="37" t="n">
        <x:v>49675</x:v>
      </x:c>
      <x:c r="D43" s="55" t="n">
        <x:v>0</x:v>
      </x:c>
      <x:c r="E43" s="55" t="n">
        <x:v>0.03</x:v>
      </x:c>
      <x:c r="F43" s="60" t="n">
        <x:v>0</x:v>
      </x:c>
      <x:c r="G43" s="60" t="n">
        <x:v>0.03</x:v>
      </x:c>
      <x:c r="H43" s="23" t="n">
        <x:f>IF(D43=F43,0,1)+IF(E43=G43,0,1)</x:f>
        <x:v>0</x:v>
      </x:c>
      <x:c r="I43" s="23" t="str">
        <x:v>Timing T20 / fictional rates</x:v>
      </x:c>
    </x:row>
    <x:row r="44" ht="21" customHeight="1">
      <x:c r="A44" s="23" t="str">
        <x:v>front_flat</x:v>
      </x:c>
      <x:c r="B44" s="23" t="n">
        <x:v>37</x:v>
      </x:c>
      <x:c r="C44" s="37" t="n">
        <x:v>49766</x:v>
      </x:c>
      <x:c r="D44" s="55" t="n">
        <x:v>0</x:v>
      </x:c>
      <x:c r="E44" s="55" t="n">
        <x:v>0.03</x:v>
      </x:c>
      <x:c r="F44" s="60" t="n">
        <x:v>0</x:v>
      </x:c>
      <x:c r="G44" s="60" t="n">
        <x:v>0.03</x:v>
      </x:c>
      <x:c r="H44" s="23" t="n">
        <x:f>IF(D44=F44,0,1)+IF(E44=G44,0,1)</x:f>
        <x:v>0</x:v>
      </x:c>
      <x:c r="I44" s="23" t="str">
        <x:v>Timing T20 / fictional rates</x:v>
      </x:c>
    </x:row>
    <x:row r="45" ht="21" customHeight="1">
      <x:c r="A45" s="23" t="str">
        <x:v>front_flat</x:v>
      </x:c>
      <x:c r="B45" s="23" t="n">
        <x:v>38</x:v>
      </x:c>
      <x:c r="C45" s="37" t="n">
        <x:v>49857</x:v>
      </x:c>
      <x:c r="D45" s="55" t="n">
        <x:v>0</x:v>
      </x:c>
      <x:c r="E45" s="55" t="n">
        <x:v>0.03</x:v>
      </x:c>
      <x:c r="F45" s="60" t="n">
        <x:v>0</x:v>
      </x:c>
      <x:c r="G45" s="60" t="n">
        <x:v>0.03</x:v>
      </x:c>
      <x:c r="H45" s="23" t="n">
        <x:f>IF(D45=F45,0,1)+IF(E45=G45,0,1)</x:f>
        <x:v>0</x:v>
      </x:c>
      <x:c r="I45" s="23" t="str">
        <x:v>Timing T20 / fictional rates</x:v>
      </x:c>
    </x:row>
    <x:row r="46" ht="21" customHeight="1">
      <x:c r="A46" s="23" t="str">
        <x:v>front_flat</x:v>
      </x:c>
      <x:c r="B46" s="23" t="n">
        <x:v>39</x:v>
      </x:c>
      <x:c r="C46" s="37" t="n">
        <x:v>49949</x:v>
      </x:c>
      <x:c r="D46" s="55" t="n">
        <x:v>0</x:v>
      </x:c>
      <x:c r="E46" s="55" t="n">
        <x:v>0.03</x:v>
      </x:c>
      <x:c r="F46" s="60" t="n">
        <x:v>0</x:v>
      </x:c>
      <x:c r="G46" s="60" t="n">
        <x:v>0.03</x:v>
      </x:c>
      <x:c r="H46" s="23" t="n">
        <x:f>IF(D46=F46,0,1)+IF(E46=G46,0,1)</x:f>
        <x:v>0</x:v>
      </x:c>
      <x:c r="I46" s="23" t="str">
        <x:v>Timing T20 / fictional rates</x:v>
      </x:c>
    </x:row>
    <x:row r="47" ht="21" customHeight="1">
      <x:c r="A47" s="23" t="str">
        <x:v>front_flat</x:v>
      </x:c>
      <x:c r="B47" s="23" t="n">
        <x:v>40</x:v>
      </x:c>
      <x:c r="C47" s="37" t="n">
        <x:v>50041</x:v>
      </x:c>
      <x:c r="D47" s="55" t="n">
        <x:v>0</x:v>
      </x:c>
      <x:c r="E47" s="55" t="n">
        <x:v>0.03</x:v>
      </x:c>
      <x:c r="F47" s="60" t="n">
        <x:v>0</x:v>
      </x:c>
      <x:c r="G47" s="60" t="n">
        <x:v>0.03</x:v>
      </x:c>
      <x:c r="H47" s="23" t="n">
        <x:f>IF(D47=F47,0,1)+IF(E47=G47,0,1)</x:f>
        <x:v>0</x:v>
      </x:c>
      <x:c r="I47" s="23" t="str">
        <x:v>Timing T20 / fictional rates</x:v>
      </x:c>
    </x:row>
    <x:row r="48" ht="21" customHeight="1">
      <x:c r="A48" s="23" t="str">
        <x:v>front_flat</x:v>
      </x:c>
      <x:c r="B48" s="23" t="n">
        <x:v>41</x:v>
      </x:c>
      <x:c r="C48" s="37" t="n">
        <x:v>50131</x:v>
      </x:c>
      <x:c r="D48" s="55" t="n">
        <x:v>0</x:v>
      </x:c>
      <x:c r="E48" s="55" t="n">
        <x:v>0.03</x:v>
      </x:c>
      <x:c r="F48" s="60" t="n">
        <x:v>0</x:v>
      </x:c>
      <x:c r="G48" s="60" t="n">
        <x:v>0.03</x:v>
      </x:c>
      <x:c r="H48" s="23" t="n">
        <x:f>IF(D48=F48,0,1)+IF(E48=G48,0,1)</x:f>
        <x:v>0</x:v>
      </x:c>
      <x:c r="I48" s="23" t="str">
        <x:v>Timing T20 / fictional rates</x:v>
      </x:c>
    </x:row>
    <x:row r="49" ht="21" customHeight="1">
      <x:c r="A49" s="23" t="str">
        <x:v>front_flat</x:v>
      </x:c>
      <x:c r="B49" s="23" t="n">
        <x:v>42</x:v>
      </x:c>
      <x:c r="C49" s="37" t="n">
        <x:v>50222</x:v>
      </x:c>
      <x:c r="D49" s="55" t="n">
        <x:v>0</x:v>
      </x:c>
      <x:c r="E49" s="55" t="n">
        <x:v>0.03</x:v>
      </x:c>
      <x:c r="F49" s="60" t="n">
        <x:v>0</x:v>
      </x:c>
      <x:c r="G49" s="60" t="n">
        <x:v>0.03</x:v>
      </x:c>
      <x:c r="H49" s="23" t="n">
        <x:f>IF(D49=F49,0,1)+IF(E49=G49,0,1)</x:f>
        <x:v>0</x:v>
      </x:c>
      <x:c r="I49" s="23" t="str">
        <x:v>Timing T20 / fictional rates</x:v>
      </x:c>
    </x:row>
    <x:row r="50" ht="21" customHeight="1">
      <x:c r="A50" s="23" t="str">
        <x:v>front_flat</x:v>
      </x:c>
      <x:c r="B50" s="23" t="n">
        <x:v>43</x:v>
      </x:c>
      <x:c r="C50" s="37" t="n">
        <x:v>50314</x:v>
      </x:c>
      <x:c r="D50" s="55" t="n">
        <x:v>0</x:v>
      </x:c>
      <x:c r="E50" s="55" t="n">
        <x:v>0.03</x:v>
      </x:c>
      <x:c r="F50" s="60" t="n">
        <x:v>0</x:v>
      </x:c>
      <x:c r="G50" s="60" t="n">
        <x:v>0.03</x:v>
      </x:c>
      <x:c r="H50" s="23" t="n">
        <x:f>IF(D50=F50,0,1)+IF(E50=G50,0,1)</x:f>
        <x:v>0</x:v>
      </x:c>
      <x:c r="I50" s="23" t="str">
        <x:v>Timing T20 / fictional rates</x:v>
      </x:c>
    </x:row>
    <x:row r="51" ht="21" customHeight="1">
      <x:c r="A51" s="23" t="str">
        <x:v>front_flat</x:v>
      </x:c>
      <x:c r="B51" s="23" t="n">
        <x:v>44</x:v>
      </x:c>
      <x:c r="C51" s="37" t="n">
        <x:v>50406</x:v>
      </x:c>
      <x:c r="D51" s="55" t="n">
        <x:v>0</x:v>
      </x:c>
      <x:c r="E51" s="55" t="n">
        <x:v>0.03</x:v>
      </x:c>
      <x:c r="F51" s="60" t="n">
        <x:v>0</x:v>
      </x:c>
      <x:c r="G51" s="60" t="n">
        <x:v>0.03</x:v>
      </x:c>
      <x:c r="H51" s="23" t="n">
        <x:f>IF(D51=F51,0,1)+IF(E51=G51,0,1)</x:f>
        <x:v>0</x:v>
      </x:c>
      <x:c r="I51" s="23" t="str">
        <x:v>Timing T20 / fictional rates</x:v>
      </x:c>
    </x:row>
    <x:row r="52" ht="21" customHeight="1">
      <x:c r="A52" s="23" t="str">
        <x:v>front_flat</x:v>
      </x:c>
      <x:c r="B52" s="23" t="n">
        <x:v>45</x:v>
      </x:c>
      <x:c r="C52" s="37" t="n">
        <x:v>50496</x:v>
      </x:c>
      <x:c r="D52" s="55" t="n">
        <x:v>0</x:v>
      </x:c>
      <x:c r="E52" s="55" t="n">
        <x:v>0.03</x:v>
      </x:c>
      <x:c r="F52" s="60" t="n">
        <x:v>0</x:v>
      </x:c>
      <x:c r="G52" s="60" t="n">
        <x:v>0.03</x:v>
      </x:c>
      <x:c r="H52" s="23" t="n">
        <x:f>IF(D52=F52,0,1)+IF(E52=G52,0,1)</x:f>
        <x:v>0</x:v>
      </x:c>
      <x:c r="I52" s="23" t="str">
        <x:v>Timing T20 / fictional rates</x:v>
      </x:c>
    </x:row>
    <x:row r="53" ht="21" customHeight="1">
      <x:c r="A53" s="23" t="str">
        <x:v>front_flat</x:v>
      </x:c>
      <x:c r="B53" s="23" t="n">
        <x:v>46</x:v>
      </x:c>
      <x:c r="C53" s="37" t="n">
        <x:v>50587</x:v>
      </x:c>
      <x:c r="D53" s="55" t="n">
        <x:v>0</x:v>
      </x:c>
      <x:c r="E53" s="55" t="n">
        <x:v>0.03</x:v>
      </x:c>
      <x:c r="F53" s="60" t="n">
        <x:v>0</x:v>
      </x:c>
      <x:c r="G53" s="60" t="n">
        <x:v>0.03</x:v>
      </x:c>
      <x:c r="H53" s="23" t="n">
        <x:f>IF(D53=F53,0,1)+IF(E53=G53,0,1)</x:f>
        <x:v>0</x:v>
      </x:c>
      <x:c r="I53" s="23" t="str">
        <x:v>Timing T20 / fictional rates</x:v>
      </x:c>
    </x:row>
    <x:row r="54" ht="21" customHeight="1">
      <x:c r="A54" s="23" t="str">
        <x:v>front_flat</x:v>
      </x:c>
      <x:c r="B54" s="23" t="n">
        <x:v>47</x:v>
      </x:c>
      <x:c r="C54" s="37" t="n">
        <x:v>50679</x:v>
      </x:c>
      <x:c r="D54" s="55" t="n">
        <x:v>0</x:v>
      </x:c>
      <x:c r="E54" s="55" t="n">
        <x:v>0.03</x:v>
      </x:c>
      <x:c r="F54" s="60" t="n">
        <x:v>0</x:v>
      </x:c>
      <x:c r="G54" s="60" t="n">
        <x:v>0.03</x:v>
      </x:c>
      <x:c r="H54" s="23" t="n">
        <x:f>IF(D54=F54,0,1)+IF(E54=G54,0,1)</x:f>
        <x:v>0</x:v>
      </x:c>
      <x:c r="I54" s="23" t="str">
        <x:v>Timing T20 / fictional rates</x:v>
      </x:c>
    </x:row>
    <x:row r="55" ht="21" customHeight="1">
      <x:c r="A55" s="23" t="str">
        <x:v>front_flat</x:v>
      </x:c>
      <x:c r="B55" s="23" t="n">
        <x:v>48</x:v>
      </x:c>
      <x:c r="C55" s="37" t="n">
        <x:v>50771</x:v>
      </x:c>
      <x:c r="D55" s="55" t="n">
        <x:v>0</x:v>
      </x:c>
      <x:c r="E55" s="55" t="n">
        <x:v>0.03</x:v>
      </x:c>
      <x:c r="F55" s="60" t="n">
        <x:v>0</x:v>
      </x:c>
      <x:c r="G55" s="60" t="n">
        <x:v>0.03</x:v>
      </x:c>
      <x:c r="H55" s="23" t="n">
        <x:f>IF(D55=F55,0,1)+IF(E55=G55,0,1)</x:f>
        <x:v>0</x:v>
      </x:c>
      <x:c r="I55" s="23" t="str">
        <x:v>Timing T20 / fictional rates</x:v>
      </x:c>
    </x:row>
    <x:row r="56" ht="21" customHeight="1">
      <x:c r="A56" s="23" t="str">
        <x:v>front_low</x:v>
      </x:c>
      <x:c r="B56" s="23" t="n">
        <x:v>1</x:v>
      </x:c>
      <x:c r="C56" s="37" t="n">
        <x:v>46478</x:v>
      </x:c>
      <x:c r="D56" s="55" t="n">
        <x:v>0.0975</x:v>
      </x:c>
      <x:c r="E56" s="55" t="n">
        <x:v>0.005</x:v>
      </x:c>
      <x:c r="F56" s="60" t="n">
        <x:v>0.0975</x:v>
      </x:c>
      <x:c r="G56" s="60" t="n">
        <x:v>0.005</x:v>
      </x:c>
      <x:c r="H56" s="23" t="n">
        <x:f>IF(D56=F56,0,1)+IF(E56=G56,0,1)</x:f>
        <x:v>0</x:v>
      </x:c>
      <x:c r="I56" s="23" t="str">
        <x:v>Timing T20 / fictional rates</x:v>
      </x:c>
    </x:row>
    <x:row r="57" ht="21" customHeight="1">
      <x:c r="A57" s="23" t="str">
        <x:v>front_low</x:v>
      </x:c>
      <x:c r="B57" s="23" t="n">
        <x:v>2</x:v>
      </x:c>
      <x:c r="C57" s="37" t="n">
        <x:v>46569</x:v>
      </x:c>
      <x:c r="D57" s="55" t="n">
        <x:v>0.0975</x:v>
      </x:c>
      <x:c r="E57" s="55" t="n">
        <x:v>0.005</x:v>
      </x:c>
      <x:c r="F57" s="60" t="n">
        <x:v>0.0975</x:v>
      </x:c>
      <x:c r="G57" s="60" t="n">
        <x:v>0.005</x:v>
      </x:c>
      <x:c r="H57" s="23" t="n">
        <x:f>IF(D57=F57,0,1)+IF(E57=G57,0,1)</x:f>
        <x:v>0</x:v>
      </x:c>
      <x:c r="I57" s="23" t="str">
        <x:v>Timing T20 / fictional rates</x:v>
      </x:c>
    </x:row>
    <x:row r="58" ht="21" customHeight="1">
      <x:c r="A58" s="23" t="str">
        <x:v>front_low</x:v>
      </x:c>
      <x:c r="B58" s="23" t="n">
        <x:v>3</x:v>
      </x:c>
      <x:c r="C58" s="37" t="n">
        <x:v>46661</x:v>
      </x:c>
      <x:c r="D58" s="55" t="n">
        <x:v>0.0975</x:v>
      </x:c>
      <x:c r="E58" s="55" t="n">
        <x:v>0.005</x:v>
      </x:c>
      <x:c r="F58" s="60" t="n">
        <x:v>0.0975</x:v>
      </x:c>
      <x:c r="G58" s="60" t="n">
        <x:v>0.005</x:v>
      </x:c>
      <x:c r="H58" s="23" t="n">
        <x:f>IF(D58=F58,0,1)+IF(E58=G58,0,1)</x:f>
        <x:v>0</x:v>
      </x:c>
      <x:c r="I58" s="23" t="str">
        <x:v>Timing T20 / fictional rates</x:v>
      </x:c>
    </x:row>
    <x:row r="59" ht="21" customHeight="1">
      <x:c r="A59" s="23" t="str">
        <x:v>front_low</x:v>
      </x:c>
      <x:c r="B59" s="23" t="n">
        <x:v>4</x:v>
      </x:c>
      <x:c r="C59" s="37" t="n">
        <x:v>46753</x:v>
      </x:c>
      <x:c r="D59" s="55" t="n">
        <x:v>0.0975</x:v>
      </x:c>
      <x:c r="E59" s="55" t="n">
        <x:v>0.005</x:v>
      </x:c>
      <x:c r="F59" s="60" t="n">
        <x:v>0.0975</x:v>
      </x:c>
      <x:c r="G59" s="60" t="n">
        <x:v>0.005</x:v>
      </x:c>
      <x:c r="H59" s="23" t="n">
        <x:f>IF(D59=F59,0,1)+IF(E59=G59,0,1)</x:f>
        <x:v>0</x:v>
      </x:c>
      <x:c r="I59" s="23" t="str">
        <x:v>Timing T20 / fictional rates</x:v>
      </x:c>
    </x:row>
    <x:row r="60" ht="21" customHeight="1">
      <x:c r="A60" s="23" t="str">
        <x:v>front_low</x:v>
      </x:c>
      <x:c r="B60" s="23" t="n">
        <x:v>5</x:v>
      </x:c>
      <x:c r="C60" s="37" t="n">
        <x:v>46844</x:v>
      </x:c>
      <x:c r="D60" s="55" t="n">
        <x:v>0.055</x:v>
      </x:c>
      <x:c r="E60" s="55" t="n">
        <x:v>0.005</x:v>
      </x:c>
      <x:c r="F60" s="60" t="n">
        <x:v>0.055</x:v>
      </x:c>
      <x:c r="G60" s="60" t="n">
        <x:v>0.005</x:v>
      </x:c>
      <x:c r="H60" s="23" t="n">
        <x:f>IF(D60=F60,0,1)+IF(E60=G60,0,1)</x:f>
        <x:v>0</x:v>
      </x:c>
      <x:c r="I60" s="23" t="str">
        <x:v>Timing T20 / fictional rates</x:v>
      </x:c>
    </x:row>
    <x:row r="61" ht="21" customHeight="1">
      <x:c r="A61" s="23" t="str">
        <x:v>front_low</x:v>
      </x:c>
      <x:c r="B61" s="23" t="n">
        <x:v>6</x:v>
      </x:c>
      <x:c r="C61" s="37" t="n">
        <x:v>46935</x:v>
      </x:c>
      <x:c r="D61" s="55" t="n">
        <x:v>0.055</x:v>
      </x:c>
      <x:c r="E61" s="55" t="n">
        <x:v>0.005</x:v>
      </x:c>
      <x:c r="F61" s="60" t="n">
        <x:v>0.055</x:v>
      </x:c>
      <x:c r="G61" s="60" t="n">
        <x:v>0.005</x:v>
      </x:c>
      <x:c r="H61" s="23" t="n">
        <x:f>IF(D61=F61,0,1)+IF(E61=G61,0,1)</x:f>
        <x:v>0</x:v>
      </x:c>
      <x:c r="I61" s="23" t="str">
        <x:v>Timing T20 / fictional rates</x:v>
      </x:c>
    </x:row>
    <x:row r="62" ht="21" customHeight="1">
      <x:c r="A62" s="23" t="str">
        <x:v>front_low</x:v>
      </x:c>
      <x:c r="B62" s="23" t="n">
        <x:v>7</x:v>
      </x:c>
      <x:c r="C62" s="37" t="n">
        <x:v>47027</x:v>
      </x:c>
      <x:c r="D62" s="55" t="n">
        <x:v>0.055</x:v>
      </x:c>
      <x:c r="E62" s="55" t="n">
        <x:v>0.005</x:v>
      </x:c>
      <x:c r="F62" s="60" t="n">
        <x:v>0.055</x:v>
      </x:c>
      <x:c r="G62" s="60" t="n">
        <x:v>0.005</x:v>
      </x:c>
      <x:c r="H62" s="23" t="n">
        <x:f>IF(D62=F62,0,1)+IF(E62=G62,0,1)</x:f>
        <x:v>0</x:v>
      </x:c>
      <x:c r="I62" s="23" t="str">
        <x:v>Timing T20 / fictional rates</x:v>
      </x:c>
    </x:row>
    <x:row r="63" ht="21" customHeight="1">
      <x:c r="A63" s="23" t="str">
        <x:v>front_low</x:v>
      </x:c>
      <x:c r="B63" s="23" t="n">
        <x:v>8</x:v>
      </x:c>
      <x:c r="C63" s="37" t="n">
        <x:v>47119</x:v>
      </x:c>
      <x:c r="D63" s="55" t="n">
        <x:v>0.055</x:v>
      </x:c>
      <x:c r="E63" s="55" t="n">
        <x:v>0.005</x:v>
      </x:c>
      <x:c r="F63" s="60" t="n">
        <x:v>0.055</x:v>
      </x:c>
      <x:c r="G63" s="60" t="n">
        <x:v>0.005</x:v>
      </x:c>
      <x:c r="H63" s="23" t="n">
        <x:f>IF(D63=F63,0,1)+IF(E63=G63,0,1)</x:f>
        <x:v>0</x:v>
      </x:c>
      <x:c r="I63" s="23" t="str">
        <x:v>Timing T20 / fictional rates</x:v>
      </x:c>
    </x:row>
    <x:row r="64" ht="21" customHeight="1">
      <x:c r="A64" s="23" t="str">
        <x:v>front_low</x:v>
      </x:c>
      <x:c r="B64" s="23" t="n">
        <x:v>9</x:v>
      </x:c>
      <x:c r="C64" s="37" t="n">
        <x:v>47209</x:v>
      </x:c>
      <x:c r="D64" s="55" t="n">
        <x:v>0.04</x:v>
      </x:c>
      <x:c r="E64" s="55" t="n">
        <x:v>0.005</x:v>
      </x:c>
      <x:c r="F64" s="60" t="n">
        <x:v>0.04</x:v>
      </x:c>
      <x:c r="G64" s="60" t="n">
        <x:v>0.005</x:v>
      </x:c>
      <x:c r="H64" s="23" t="n">
        <x:f>IF(D64=F64,0,1)+IF(E64=G64,0,1)</x:f>
        <x:v>0</x:v>
      </x:c>
      <x:c r="I64" s="23" t="str">
        <x:v>Timing T20 / fictional rates</x:v>
      </x:c>
    </x:row>
    <x:row r="65" ht="21" customHeight="1">
      <x:c r="A65" s="23" t="str">
        <x:v>front_low</x:v>
      </x:c>
      <x:c r="B65" s="23" t="n">
        <x:v>10</x:v>
      </x:c>
      <x:c r="C65" s="37" t="n">
        <x:v>47300</x:v>
      </x:c>
      <x:c r="D65" s="55" t="n">
        <x:v>0.04</x:v>
      </x:c>
      <x:c r="E65" s="55" t="n">
        <x:v>0.005</x:v>
      </x:c>
      <x:c r="F65" s="60" t="n">
        <x:v>0.04</x:v>
      </x:c>
      <x:c r="G65" s="60" t="n">
        <x:v>0.005</x:v>
      </x:c>
      <x:c r="H65" s="23" t="n">
        <x:f>IF(D65=F65,0,1)+IF(E65=G65,0,1)</x:f>
        <x:v>0</x:v>
      </x:c>
      <x:c r="I65" s="23" t="str">
        <x:v>Timing T20 / fictional rates</x:v>
      </x:c>
    </x:row>
    <x:row r="66" ht="21" customHeight="1">
      <x:c r="A66" s="23" t="str">
        <x:v>front_low</x:v>
      </x:c>
      <x:c r="B66" s="23" t="n">
        <x:v>11</x:v>
      </x:c>
      <x:c r="C66" s="37" t="n">
        <x:v>47392</x:v>
      </x:c>
      <x:c r="D66" s="55" t="n">
        <x:v>0.04</x:v>
      </x:c>
      <x:c r="E66" s="55" t="n">
        <x:v>0.005</x:v>
      </x:c>
      <x:c r="F66" s="60" t="n">
        <x:v>0.04</x:v>
      </x:c>
      <x:c r="G66" s="60" t="n">
        <x:v>0.005</x:v>
      </x:c>
      <x:c r="H66" s="23" t="n">
        <x:f>IF(D66=F66,0,1)+IF(E66=G66,0,1)</x:f>
        <x:v>0</x:v>
      </x:c>
      <x:c r="I66" s="23" t="str">
        <x:v>Timing T20 / fictional rates</x:v>
      </x:c>
    </x:row>
    <x:row r="67" ht="21" customHeight="1">
      <x:c r="A67" s="23" t="str">
        <x:v>front_low</x:v>
      </x:c>
      <x:c r="B67" s="23" t="n">
        <x:v>12</x:v>
      </x:c>
      <x:c r="C67" s="37" t="n">
        <x:v>47484</x:v>
      </x:c>
      <x:c r="D67" s="55" t="n">
        <x:v>0.04</x:v>
      </x:c>
      <x:c r="E67" s="55" t="n">
        <x:v>0.005</x:v>
      </x:c>
      <x:c r="F67" s="60" t="n">
        <x:v>0.04</x:v>
      </x:c>
      <x:c r="G67" s="60" t="n">
        <x:v>0.005</x:v>
      </x:c>
      <x:c r="H67" s="23" t="n">
        <x:f>IF(D67=F67,0,1)+IF(E67=G67,0,1)</x:f>
        <x:v>0</x:v>
      </x:c>
      <x:c r="I67" s="23" t="str">
        <x:v>Timing T20 / fictional rates</x:v>
      </x:c>
    </x:row>
    <x:row r="68" ht="21" customHeight="1">
      <x:c r="A68" s="23" t="str">
        <x:v>front_low</x:v>
      </x:c>
      <x:c r="B68" s="23" t="n">
        <x:v>13</x:v>
      </x:c>
      <x:c r="C68" s="37" t="n">
        <x:v>47574</x:v>
      </x:c>
      <x:c r="D68" s="55" t="n">
        <x:v>0.0325</x:v>
      </x:c>
      <x:c r="E68" s="55" t="n">
        <x:v>0.005</x:v>
      </x:c>
      <x:c r="F68" s="60" t="n">
        <x:v>0.0325</x:v>
      </x:c>
      <x:c r="G68" s="60" t="n">
        <x:v>0.005</x:v>
      </x:c>
      <x:c r="H68" s="23" t="n">
        <x:f>IF(D68=F68,0,1)+IF(E68=G68,0,1)</x:f>
        <x:v>0</x:v>
      </x:c>
      <x:c r="I68" s="23" t="str">
        <x:v>Timing T20 / fictional rates</x:v>
      </x:c>
    </x:row>
    <x:row r="69" ht="21" customHeight="1">
      <x:c r="A69" s="23" t="str">
        <x:v>front_low</x:v>
      </x:c>
      <x:c r="B69" s="23" t="n">
        <x:v>14</x:v>
      </x:c>
      <x:c r="C69" s="37" t="n">
        <x:v>47665</x:v>
      </x:c>
      <x:c r="D69" s="55" t="n">
        <x:v>0.0325</x:v>
      </x:c>
      <x:c r="E69" s="55" t="n">
        <x:v>0.005</x:v>
      </x:c>
      <x:c r="F69" s="60" t="n">
        <x:v>0.0325</x:v>
      </x:c>
      <x:c r="G69" s="60" t="n">
        <x:v>0.005</x:v>
      </x:c>
      <x:c r="H69" s="23" t="n">
        <x:f>IF(D69=F69,0,1)+IF(E69=G69,0,1)</x:f>
        <x:v>0</x:v>
      </x:c>
      <x:c r="I69" s="23" t="str">
        <x:v>Timing T20 / fictional rates</x:v>
      </x:c>
    </x:row>
    <x:row r="70" ht="21" customHeight="1">
      <x:c r="A70" s="23" t="str">
        <x:v>front_low</x:v>
      </x:c>
      <x:c r="B70" s="23" t="n">
        <x:v>15</x:v>
      </x:c>
      <x:c r="C70" s="37" t="n">
        <x:v>47757</x:v>
      </x:c>
      <x:c r="D70" s="55" t="n">
        <x:v>0.0325</x:v>
      </x:c>
      <x:c r="E70" s="55" t="n">
        <x:v>0.005</x:v>
      </x:c>
      <x:c r="F70" s="60" t="n">
        <x:v>0.0325</x:v>
      </x:c>
      <x:c r="G70" s="60" t="n">
        <x:v>0.005</x:v>
      </x:c>
      <x:c r="H70" s="23" t="n">
        <x:f>IF(D70=F70,0,1)+IF(E70=G70,0,1)</x:f>
        <x:v>0</x:v>
      </x:c>
      <x:c r="I70" s="23" t="str">
        <x:v>Timing T20 / fictional rates</x:v>
      </x:c>
    </x:row>
    <x:row r="71" ht="21" customHeight="1">
      <x:c r="A71" s="23" t="str">
        <x:v>front_low</x:v>
      </x:c>
      <x:c r="B71" s="23" t="n">
        <x:v>16</x:v>
      </x:c>
      <x:c r="C71" s="37" t="n">
        <x:v>47849</x:v>
      </x:c>
      <x:c r="D71" s="55" t="n">
        <x:v>0.0325</x:v>
      </x:c>
      <x:c r="E71" s="55" t="n">
        <x:v>0.005</x:v>
      </x:c>
      <x:c r="F71" s="60" t="n">
        <x:v>0.0325</x:v>
      </x:c>
      <x:c r="G71" s="60" t="n">
        <x:v>0.005</x:v>
      </x:c>
      <x:c r="H71" s="23" t="n">
        <x:f>IF(D71=F71,0,1)+IF(E71=G71,0,1)</x:f>
        <x:v>0</x:v>
      </x:c>
      <x:c r="I71" s="23" t="str">
        <x:v>Timing T20 / fictional rates</x:v>
      </x:c>
    </x:row>
    <x:row r="72" ht="21" customHeight="1">
      <x:c r="A72" s="23" t="str">
        <x:v>front_low</x:v>
      </x:c>
      <x:c r="B72" s="23" t="n">
        <x:v>17</x:v>
      </x:c>
      <x:c r="C72" s="37" t="n">
        <x:v>47939</x:v>
      </x:c>
      <x:c r="D72" s="55" t="n">
        <x:v>0.025</x:v>
      </x:c>
      <x:c r="E72" s="55" t="n">
        <x:v>0.005</x:v>
      </x:c>
      <x:c r="F72" s="60" t="n">
        <x:v>0.025</x:v>
      </x:c>
      <x:c r="G72" s="60" t="n">
        <x:v>0.005</x:v>
      </x:c>
      <x:c r="H72" s="23" t="n">
        <x:f>IF(D72=F72,0,1)+IF(E72=G72,0,1)</x:f>
        <x:v>0</x:v>
      </x:c>
      <x:c r="I72" s="23" t="str">
        <x:v>Timing T20 / fictional rates</x:v>
      </x:c>
    </x:row>
    <x:row r="73" ht="21" customHeight="1">
      <x:c r="A73" s="23" t="str">
        <x:v>front_low</x:v>
      </x:c>
      <x:c r="B73" s="23" t="n">
        <x:v>18</x:v>
      </x:c>
      <x:c r="C73" s="37" t="n">
        <x:v>48030</x:v>
      </x:c>
      <x:c r="D73" s="55" t="n">
        <x:v>0.025</x:v>
      </x:c>
      <x:c r="E73" s="55" t="n">
        <x:v>0.005</x:v>
      </x:c>
      <x:c r="F73" s="60" t="n">
        <x:v>0.025</x:v>
      </x:c>
      <x:c r="G73" s="60" t="n">
        <x:v>0.005</x:v>
      </x:c>
      <x:c r="H73" s="23" t="n">
        <x:f>IF(D73=F73,0,1)+IF(E73=G73,0,1)</x:f>
        <x:v>0</x:v>
      </x:c>
      <x:c r="I73" s="23" t="str">
        <x:v>Timing T20 / fictional rates</x:v>
      </x:c>
    </x:row>
    <x:row r="74" ht="21" customHeight="1">
      <x:c r="A74" s="23" t="str">
        <x:v>front_low</x:v>
      </x:c>
      <x:c r="B74" s="23" t="n">
        <x:v>19</x:v>
      </x:c>
      <x:c r="C74" s="37" t="n">
        <x:v>48122</x:v>
      </x:c>
      <x:c r="D74" s="55" t="n">
        <x:v>0.025</x:v>
      </x:c>
      <x:c r="E74" s="55" t="n">
        <x:v>0.005</x:v>
      </x:c>
      <x:c r="F74" s="60" t="n">
        <x:v>0.025</x:v>
      </x:c>
      <x:c r="G74" s="60" t="n">
        <x:v>0.005</x:v>
      </x:c>
      <x:c r="H74" s="23" t="n">
        <x:f>IF(D74=F74,0,1)+IF(E74=G74,0,1)</x:f>
        <x:v>0</x:v>
      </x:c>
      <x:c r="I74" s="23" t="str">
        <x:v>Timing T20 / fictional rates</x:v>
      </x:c>
    </x:row>
    <x:row r="75" ht="21" customHeight="1">
      <x:c r="A75" s="23" t="str">
        <x:v>front_low</x:v>
      </x:c>
      <x:c r="B75" s="23" t="n">
        <x:v>20</x:v>
      </x:c>
      <x:c r="C75" s="37" t="n">
        <x:v>48214</x:v>
      </x:c>
      <x:c r="D75" s="55" t="n">
        <x:v>0.025</x:v>
      </x:c>
      <x:c r="E75" s="55" t="n">
        <x:v>0.005</x:v>
      </x:c>
      <x:c r="F75" s="60" t="n">
        <x:v>0.025</x:v>
      </x:c>
      <x:c r="G75" s="60" t="n">
        <x:v>0.005</x:v>
      </x:c>
      <x:c r="H75" s="23" t="n">
        <x:f>IF(D75=F75,0,1)+IF(E75=G75,0,1)</x:f>
        <x:v>0</x:v>
      </x:c>
      <x:c r="I75" s="23" t="str">
        <x:v>Timing T20 / fictional rates</x:v>
      </x:c>
    </x:row>
    <x:row r="76" ht="21" customHeight="1">
      <x:c r="A76" s="23" t="str">
        <x:v>front_low</x:v>
      </x:c>
      <x:c r="B76" s="23" t="n">
        <x:v>21</x:v>
      </x:c>
      <x:c r="C76" s="37" t="n">
        <x:v>48305</x:v>
      </x:c>
      <x:c r="D76" s="55" t="n">
        <x:v>0</x:v>
      </x:c>
      <x:c r="E76" s="55" t="n">
        <x:v>0.005</x:v>
      </x:c>
      <x:c r="F76" s="60" t="n">
        <x:v>0</x:v>
      </x:c>
      <x:c r="G76" s="60" t="n">
        <x:v>0.005</x:v>
      </x:c>
      <x:c r="H76" s="23" t="n">
        <x:f>IF(D76=F76,0,1)+IF(E76=G76,0,1)</x:f>
        <x:v>0</x:v>
      </x:c>
      <x:c r="I76" s="23" t="str">
        <x:v>Timing T20 / fictional rates</x:v>
      </x:c>
    </x:row>
    <x:row r="77" ht="21" customHeight="1">
      <x:c r="A77" s="23" t="str">
        <x:v>front_low</x:v>
      </x:c>
      <x:c r="B77" s="23" t="n">
        <x:v>22</x:v>
      </x:c>
      <x:c r="C77" s="37" t="n">
        <x:v>48396</x:v>
      </x:c>
      <x:c r="D77" s="55" t="n">
        <x:v>0</x:v>
      </x:c>
      <x:c r="E77" s="55" t="n">
        <x:v>0.005</x:v>
      </x:c>
      <x:c r="F77" s="60" t="n">
        <x:v>0</x:v>
      </x:c>
      <x:c r="G77" s="60" t="n">
        <x:v>0.005</x:v>
      </x:c>
      <x:c r="H77" s="23" t="n">
        <x:f>IF(D77=F77,0,1)+IF(E77=G77,0,1)</x:f>
        <x:v>0</x:v>
      </x:c>
      <x:c r="I77" s="23" t="str">
        <x:v>Timing T20 / fictional rates</x:v>
      </x:c>
    </x:row>
    <x:row r="78" ht="21" customHeight="1">
      <x:c r="A78" s="23" t="str">
        <x:v>front_low</x:v>
      </x:c>
      <x:c r="B78" s="23" t="n">
        <x:v>23</x:v>
      </x:c>
      <x:c r="C78" s="37" t="n">
        <x:v>48488</x:v>
      </x:c>
      <x:c r="D78" s="55" t="n">
        <x:v>0</x:v>
      </x:c>
      <x:c r="E78" s="55" t="n">
        <x:v>0.005</x:v>
      </x:c>
      <x:c r="F78" s="60" t="n">
        <x:v>0</x:v>
      </x:c>
      <x:c r="G78" s="60" t="n">
        <x:v>0.005</x:v>
      </x:c>
      <x:c r="H78" s="23" t="n">
        <x:f>IF(D78=F78,0,1)+IF(E78=G78,0,1)</x:f>
        <x:v>0</x:v>
      </x:c>
      <x:c r="I78" s="23" t="str">
        <x:v>Timing T20 / fictional rates</x:v>
      </x:c>
    </x:row>
    <x:row r="79" ht="21" customHeight="1">
      <x:c r="A79" s="23" t="str">
        <x:v>front_low</x:v>
      </x:c>
      <x:c r="B79" s="23" t="n">
        <x:v>24</x:v>
      </x:c>
      <x:c r="C79" s="37" t="n">
        <x:v>48580</x:v>
      </x:c>
      <x:c r="D79" s="55" t="n">
        <x:v>0</x:v>
      </x:c>
      <x:c r="E79" s="55" t="n">
        <x:v>0.005</x:v>
      </x:c>
      <x:c r="F79" s="60" t="n">
        <x:v>0</x:v>
      </x:c>
      <x:c r="G79" s="60" t="n">
        <x:v>0.005</x:v>
      </x:c>
      <x:c r="H79" s="23" t="n">
        <x:f>IF(D79=F79,0,1)+IF(E79=G79,0,1)</x:f>
        <x:v>0</x:v>
      </x:c>
      <x:c r="I79" s="23" t="str">
        <x:v>Timing T20 / fictional rates</x:v>
      </x:c>
    </x:row>
    <x:row r="80" ht="21" customHeight="1">
      <x:c r="A80" s="23" t="str">
        <x:v>front_low</x:v>
      </x:c>
      <x:c r="B80" s="23" t="n">
        <x:v>25</x:v>
      </x:c>
      <x:c r="C80" s="37" t="n">
        <x:v>48670</x:v>
      </x:c>
      <x:c r="D80" s="55" t="n">
        <x:v>0</x:v>
      </x:c>
      <x:c r="E80" s="55" t="n">
        <x:v>0.005</x:v>
      </x:c>
      <x:c r="F80" s="60" t="n">
        <x:v>0</x:v>
      </x:c>
      <x:c r="G80" s="60" t="n">
        <x:v>0.005</x:v>
      </x:c>
      <x:c r="H80" s="23" t="n">
        <x:f>IF(D80=F80,0,1)+IF(E80=G80,0,1)</x:f>
        <x:v>0</x:v>
      </x:c>
      <x:c r="I80" s="23" t="str">
        <x:v>Timing T20 / fictional rates</x:v>
      </x:c>
    </x:row>
    <x:row r="81" ht="21" customHeight="1">
      <x:c r="A81" s="23" t="str">
        <x:v>front_low</x:v>
      </x:c>
      <x:c r="B81" s="23" t="n">
        <x:v>26</x:v>
      </x:c>
      <x:c r="C81" s="37" t="n">
        <x:v>48761</x:v>
      </x:c>
      <x:c r="D81" s="55" t="n">
        <x:v>0</x:v>
      </x:c>
      <x:c r="E81" s="55" t="n">
        <x:v>0.005</x:v>
      </x:c>
      <x:c r="F81" s="60" t="n">
        <x:v>0</x:v>
      </x:c>
      <x:c r="G81" s="60" t="n">
        <x:v>0.005</x:v>
      </x:c>
      <x:c r="H81" s="23" t="n">
        <x:f>IF(D81=F81,0,1)+IF(E81=G81,0,1)</x:f>
        <x:v>0</x:v>
      </x:c>
      <x:c r="I81" s="23" t="str">
        <x:v>Timing T20 / fictional rates</x:v>
      </x:c>
    </x:row>
    <x:row r="82" ht="21" customHeight="1">
      <x:c r="A82" s="23" t="str">
        <x:v>front_low</x:v>
      </x:c>
      <x:c r="B82" s="23" t="n">
        <x:v>27</x:v>
      </x:c>
      <x:c r="C82" s="37" t="n">
        <x:v>48853</x:v>
      </x:c>
      <x:c r="D82" s="55" t="n">
        <x:v>0</x:v>
      </x:c>
      <x:c r="E82" s="55" t="n">
        <x:v>0.005</x:v>
      </x:c>
      <x:c r="F82" s="60" t="n">
        <x:v>0</x:v>
      </x:c>
      <x:c r="G82" s="60" t="n">
        <x:v>0.005</x:v>
      </x:c>
      <x:c r="H82" s="23" t="n">
        <x:f>IF(D82=F82,0,1)+IF(E82=G82,0,1)</x:f>
        <x:v>0</x:v>
      </x:c>
      <x:c r="I82" s="23" t="str">
        <x:v>Timing T20 / fictional rates</x:v>
      </x:c>
    </x:row>
    <x:row r="83" ht="21" customHeight="1">
      <x:c r="A83" s="23" t="str">
        <x:v>front_low</x:v>
      </x:c>
      <x:c r="B83" s="23" t="n">
        <x:v>28</x:v>
      </x:c>
      <x:c r="C83" s="37" t="n">
        <x:v>48945</x:v>
      </x:c>
      <x:c r="D83" s="55" t="n">
        <x:v>0</x:v>
      </x:c>
      <x:c r="E83" s="55" t="n">
        <x:v>0.005</x:v>
      </x:c>
      <x:c r="F83" s="60" t="n">
        <x:v>0</x:v>
      </x:c>
      <x:c r="G83" s="60" t="n">
        <x:v>0.005</x:v>
      </x:c>
      <x:c r="H83" s="23" t="n">
        <x:f>IF(D83=F83,0,1)+IF(E83=G83,0,1)</x:f>
        <x:v>0</x:v>
      </x:c>
      <x:c r="I83" s="23" t="str">
        <x:v>Timing T20 / fictional rates</x:v>
      </x:c>
    </x:row>
    <x:row r="84" ht="21" customHeight="1">
      <x:c r="A84" s="23" t="str">
        <x:v>front_low</x:v>
      </x:c>
      <x:c r="B84" s="23" t="n">
        <x:v>29</x:v>
      </x:c>
      <x:c r="C84" s="37" t="n">
        <x:v>49035</x:v>
      </x:c>
      <x:c r="D84" s="55" t="n">
        <x:v>0</x:v>
      </x:c>
      <x:c r="E84" s="55" t="n">
        <x:v>0.005</x:v>
      </x:c>
      <x:c r="F84" s="60" t="n">
        <x:v>0</x:v>
      </x:c>
      <x:c r="G84" s="60" t="n">
        <x:v>0.005</x:v>
      </x:c>
      <x:c r="H84" s="23" t="n">
        <x:f>IF(D84=F84,0,1)+IF(E84=G84,0,1)</x:f>
        <x:v>0</x:v>
      </x:c>
      <x:c r="I84" s="23" t="str">
        <x:v>Timing T20 / fictional rates</x:v>
      </x:c>
    </x:row>
    <x:row r="85" ht="21" customHeight="1">
      <x:c r="A85" s="23" t="str">
        <x:v>front_low</x:v>
      </x:c>
      <x:c r="B85" s="23" t="n">
        <x:v>30</x:v>
      </x:c>
      <x:c r="C85" s="37" t="n">
        <x:v>49126</x:v>
      </x:c>
      <x:c r="D85" s="55" t="n">
        <x:v>0</x:v>
      </x:c>
      <x:c r="E85" s="55" t="n">
        <x:v>0.005</x:v>
      </x:c>
      <x:c r="F85" s="60" t="n">
        <x:v>0</x:v>
      </x:c>
      <x:c r="G85" s="60" t="n">
        <x:v>0.005</x:v>
      </x:c>
      <x:c r="H85" s="23" t="n">
        <x:f>IF(D85=F85,0,1)+IF(E85=G85,0,1)</x:f>
        <x:v>0</x:v>
      </x:c>
      <x:c r="I85" s="23" t="str">
        <x:v>Timing T20 / fictional rates</x:v>
      </x:c>
    </x:row>
    <x:row r="86" ht="21" customHeight="1">
      <x:c r="A86" s="23" t="str">
        <x:v>front_low</x:v>
      </x:c>
      <x:c r="B86" s="23" t="n">
        <x:v>31</x:v>
      </x:c>
      <x:c r="C86" s="37" t="n">
        <x:v>49218</x:v>
      </x:c>
      <x:c r="D86" s="55" t="n">
        <x:v>0</x:v>
      </x:c>
      <x:c r="E86" s="55" t="n">
        <x:v>0.005</x:v>
      </x:c>
      <x:c r="F86" s="60" t="n">
        <x:v>0</x:v>
      </x:c>
      <x:c r="G86" s="60" t="n">
        <x:v>0.005</x:v>
      </x:c>
      <x:c r="H86" s="23" t="n">
        <x:f>IF(D86=F86,0,1)+IF(E86=G86,0,1)</x:f>
        <x:v>0</x:v>
      </x:c>
      <x:c r="I86" s="23" t="str">
        <x:v>Timing T20 / fictional rates</x:v>
      </x:c>
    </x:row>
    <x:row r="87" ht="21" customHeight="1">
      <x:c r="A87" s="23" t="str">
        <x:v>front_low</x:v>
      </x:c>
      <x:c r="B87" s="23" t="n">
        <x:v>32</x:v>
      </x:c>
      <x:c r="C87" s="37" t="n">
        <x:v>49310</x:v>
      </x:c>
      <x:c r="D87" s="55" t="n">
        <x:v>0</x:v>
      </x:c>
      <x:c r="E87" s="55" t="n">
        <x:v>0.005</x:v>
      </x:c>
      <x:c r="F87" s="60" t="n">
        <x:v>0</x:v>
      </x:c>
      <x:c r="G87" s="60" t="n">
        <x:v>0.005</x:v>
      </x:c>
      <x:c r="H87" s="23" t="n">
        <x:f>IF(D87=F87,0,1)+IF(E87=G87,0,1)</x:f>
        <x:v>0</x:v>
      </x:c>
      <x:c r="I87" s="23" t="str">
        <x:v>Timing T20 / fictional rates</x:v>
      </x:c>
    </x:row>
    <x:row r="88" ht="21" customHeight="1">
      <x:c r="A88" s="23" t="str">
        <x:v>front_low</x:v>
      </x:c>
      <x:c r="B88" s="23" t="n">
        <x:v>33</x:v>
      </x:c>
      <x:c r="C88" s="37" t="n">
        <x:v>49400</x:v>
      </x:c>
      <x:c r="D88" s="55" t="n">
        <x:v>0</x:v>
      </x:c>
      <x:c r="E88" s="55" t="n">
        <x:v>0.005</x:v>
      </x:c>
      <x:c r="F88" s="60" t="n">
        <x:v>0</x:v>
      </x:c>
      <x:c r="G88" s="60" t="n">
        <x:v>0.005</x:v>
      </x:c>
      <x:c r="H88" s="23" t="n">
        <x:f>IF(D88=F88,0,1)+IF(E88=G88,0,1)</x:f>
        <x:v>0</x:v>
      </x:c>
      <x:c r="I88" s="23" t="str">
        <x:v>Timing T20 / fictional rates</x:v>
      </x:c>
    </x:row>
    <x:row r="89" ht="21" customHeight="1">
      <x:c r="A89" s="23" t="str">
        <x:v>front_low</x:v>
      </x:c>
      <x:c r="B89" s="23" t="n">
        <x:v>34</x:v>
      </x:c>
      <x:c r="C89" s="37" t="n">
        <x:v>49491</x:v>
      </x:c>
      <x:c r="D89" s="55" t="n">
        <x:v>0</x:v>
      </x:c>
      <x:c r="E89" s="55" t="n">
        <x:v>0.005</x:v>
      </x:c>
      <x:c r="F89" s="60" t="n">
        <x:v>0</x:v>
      </x:c>
      <x:c r="G89" s="60" t="n">
        <x:v>0.005</x:v>
      </x:c>
      <x:c r="H89" s="23" t="n">
        <x:f>IF(D89=F89,0,1)+IF(E89=G89,0,1)</x:f>
        <x:v>0</x:v>
      </x:c>
      <x:c r="I89" s="23" t="str">
        <x:v>Timing T20 / fictional rates</x:v>
      </x:c>
    </x:row>
    <x:row r="90" ht="21" customHeight="1">
      <x:c r="A90" s="23" t="str">
        <x:v>front_low</x:v>
      </x:c>
      <x:c r="B90" s="23" t="n">
        <x:v>35</x:v>
      </x:c>
      <x:c r="C90" s="37" t="n">
        <x:v>49583</x:v>
      </x:c>
      <x:c r="D90" s="55" t="n">
        <x:v>0</x:v>
      </x:c>
      <x:c r="E90" s="55" t="n">
        <x:v>0.005</x:v>
      </x:c>
      <x:c r="F90" s="60" t="n">
        <x:v>0</x:v>
      </x:c>
      <x:c r="G90" s="60" t="n">
        <x:v>0.005</x:v>
      </x:c>
      <x:c r="H90" s="23" t="n">
        <x:f>IF(D90=F90,0,1)+IF(E90=G90,0,1)</x:f>
        <x:v>0</x:v>
      </x:c>
      <x:c r="I90" s="23" t="str">
        <x:v>Timing T20 / fictional rates</x:v>
      </x:c>
    </x:row>
    <x:row r="91" ht="21" customHeight="1">
      <x:c r="A91" s="23" t="str">
        <x:v>front_low</x:v>
      </x:c>
      <x:c r="B91" s="23" t="n">
        <x:v>36</x:v>
      </x:c>
      <x:c r="C91" s="37" t="n">
        <x:v>49675</x:v>
      </x:c>
      <x:c r="D91" s="55" t="n">
        <x:v>0</x:v>
      </x:c>
      <x:c r="E91" s="55" t="n">
        <x:v>0.005</x:v>
      </x:c>
      <x:c r="F91" s="60" t="n">
        <x:v>0</x:v>
      </x:c>
      <x:c r="G91" s="60" t="n">
        <x:v>0.005</x:v>
      </x:c>
      <x:c r="H91" s="23" t="n">
        <x:f>IF(D91=F91,0,1)+IF(E91=G91,0,1)</x:f>
        <x:v>0</x:v>
      </x:c>
      <x:c r="I91" s="23" t="str">
        <x:v>Timing T20 / fictional rates</x:v>
      </x:c>
    </x:row>
    <x:row r="92" ht="21" customHeight="1">
      <x:c r="A92" s="23" t="str">
        <x:v>front_low</x:v>
      </x:c>
      <x:c r="B92" s="23" t="n">
        <x:v>37</x:v>
      </x:c>
      <x:c r="C92" s="37" t="n">
        <x:v>49766</x:v>
      </x:c>
      <x:c r="D92" s="55" t="n">
        <x:v>0</x:v>
      </x:c>
      <x:c r="E92" s="55" t="n">
        <x:v>0.005</x:v>
      </x:c>
      <x:c r="F92" s="60" t="n">
        <x:v>0</x:v>
      </x:c>
      <x:c r="G92" s="60" t="n">
        <x:v>0.005</x:v>
      </x:c>
      <x:c r="H92" s="23" t="n">
        <x:f>IF(D92=F92,0,1)+IF(E92=G92,0,1)</x:f>
        <x:v>0</x:v>
      </x:c>
      <x:c r="I92" s="23" t="str">
        <x:v>Timing T20 / fictional rates</x:v>
      </x:c>
    </x:row>
    <x:row r="93" ht="21" customHeight="1">
      <x:c r="A93" s="23" t="str">
        <x:v>front_low</x:v>
      </x:c>
      <x:c r="B93" s="23" t="n">
        <x:v>38</x:v>
      </x:c>
      <x:c r="C93" s="37" t="n">
        <x:v>49857</x:v>
      </x:c>
      <x:c r="D93" s="55" t="n">
        <x:v>0</x:v>
      </x:c>
      <x:c r="E93" s="55" t="n">
        <x:v>0.005</x:v>
      </x:c>
      <x:c r="F93" s="60" t="n">
        <x:v>0</x:v>
      </x:c>
      <x:c r="G93" s="60" t="n">
        <x:v>0.005</x:v>
      </x:c>
      <x:c r="H93" s="23" t="n">
        <x:f>IF(D93=F93,0,1)+IF(E93=G93,0,1)</x:f>
        <x:v>0</x:v>
      </x:c>
      <x:c r="I93" s="23" t="str">
        <x:v>Timing T20 / fictional rates</x:v>
      </x:c>
    </x:row>
    <x:row r="94" ht="21" customHeight="1">
      <x:c r="A94" s="23" t="str">
        <x:v>front_low</x:v>
      </x:c>
      <x:c r="B94" s="23" t="n">
        <x:v>39</x:v>
      </x:c>
      <x:c r="C94" s="37" t="n">
        <x:v>49949</x:v>
      </x:c>
      <x:c r="D94" s="55" t="n">
        <x:v>0</x:v>
      </x:c>
      <x:c r="E94" s="55" t="n">
        <x:v>0.005</x:v>
      </x:c>
      <x:c r="F94" s="60" t="n">
        <x:v>0</x:v>
      </x:c>
      <x:c r="G94" s="60" t="n">
        <x:v>0.005</x:v>
      </x:c>
      <x:c r="H94" s="23" t="n">
        <x:f>IF(D94=F94,0,1)+IF(E94=G94,0,1)</x:f>
        <x:v>0</x:v>
      </x:c>
      <x:c r="I94" s="23" t="str">
        <x:v>Timing T20 / fictional rates</x:v>
      </x:c>
    </x:row>
    <x:row r="95" ht="21" customHeight="1">
      <x:c r="A95" s="23" t="str">
        <x:v>front_low</x:v>
      </x:c>
      <x:c r="B95" s="23" t="n">
        <x:v>40</x:v>
      </x:c>
      <x:c r="C95" s="37" t="n">
        <x:v>50041</x:v>
      </x:c>
      <x:c r="D95" s="55" t="n">
        <x:v>0</x:v>
      </x:c>
      <x:c r="E95" s="55" t="n">
        <x:v>0.005</x:v>
      </x:c>
      <x:c r="F95" s="60" t="n">
        <x:v>0</x:v>
      </x:c>
      <x:c r="G95" s="60" t="n">
        <x:v>0.005</x:v>
      </x:c>
      <x:c r="H95" s="23" t="n">
        <x:f>IF(D95=F95,0,1)+IF(E95=G95,0,1)</x:f>
        <x:v>0</x:v>
      </x:c>
      <x:c r="I95" s="23" t="str">
        <x:v>Timing T20 / fictional rates</x:v>
      </x:c>
    </x:row>
    <x:row r="96" ht="21" customHeight="1">
      <x:c r="A96" s="23" t="str">
        <x:v>front_low</x:v>
      </x:c>
      <x:c r="B96" s="23" t="n">
        <x:v>41</x:v>
      </x:c>
      <x:c r="C96" s="37" t="n">
        <x:v>50131</x:v>
      </x:c>
      <x:c r="D96" s="55" t="n">
        <x:v>0</x:v>
      </x:c>
      <x:c r="E96" s="55" t="n">
        <x:v>0.005</x:v>
      </x:c>
      <x:c r="F96" s="60" t="n">
        <x:v>0</x:v>
      </x:c>
      <x:c r="G96" s="60" t="n">
        <x:v>0.005</x:v>
      </x:c>
      <x:c r="H96" s="23" t="n">
        <x:f>IF(D96=F96,0,1)+IF(E96=G96,0,1)</x:f>
        <x:v>0</x:v>
      </x:c>
      <x:c r="I96" s="23" t="str">
        <x:v>Timing T20 / fictional rates</x:v>
      </x:c>
    </x:row>
    <x:row r="97" ht="21" customHeight="1">
      <x:c r="A97" s="23" t="str">
        <x:v>front_low</x:v>
      </x:c>
      <x:c r="B97" s="23" t="n">
        <x:v>42</x:v>
      </x:c>
      <x:c r="C97" s="37" t="n">
        <x:v>50222</x:v>
      </x:c>
      <x:c r="D97" s="55" t="n">
        <x:v>0</x:v>
      </x:c>
      <x:c r="E97" s="55" t="n">
        <x:v>0.005</x:v>
      </x:c>
      <x:c r="F97" s="60" t="n">
        <x:v>0</x:v>
      </x:c>
      <x:c r="G97" s="60" t="n">
        <x:v>0.005</x:v>
      </x:c>
      <x:c r="H97" s="23" t="n">
        <x:f>IF(D97=F97,0,1)+IF(E97=G97,0,1)</x:f>
        <x:v>0</x:v>
      </x:c>
      <x:c r="I97" s="23" t="str">
        <x:v>Timing T20 / fictional rates</x:v>
      </x:c>
    </x:row>
    <x:row r="98" ht="21" customHeight="1">
      <x:c r="A98" s="23" t="str">
        <x:v>front_low</x:v>
      </x:c>
      <x:c r="B98" s="23" t="n">
        <x:v>43</x:v>
      </x:c>
      <x:c r="C98" s="37" t="n">
        <x:v>50314</x:v>
      </x:c>
      <x:c r="D98" s="55" t="n">
        <x:v>0</x:v>
      </x:c>
      <x:c r="E98" s="55" t="n">
        <x:v>0.005</x:v>
      </x:c>
      <x:c r="F98" s="60" t="n">
        <x:v>0</x:v>
      </x:c>
      <x:c r="G98" s="60" t="n">
        <x:v>0.005</x:v>
      </x:c>
      <x:c r="H98" s="23" t="n">
        <x:f>IF(D98=F98,0,1)+IF(E98=G98,0,1)</x:f>
        <x:v>0</x:v>
      </x:c>
      <x:c r="I98" s="23" t="str">
        <x:v>Timing T20 / fictional rates</x:v>
      </x:c>
    </x:row>
    <x:row r="99" ht="21" customHeight="1">
      <x:c r="A99" s="23" t="str">
        <x:v>front_low</x:v>
      </x:c>
      <x:c r="B99" s="23" t="n">
        <x:v>44</x:v>
      </x:c>
      <x:c r="C99" s="37" t="n">
        <x:v>50406</x:v>
      </x:c>
      <x:c r="D99" s="55" t="n">
        <x:v>0</x:v>
      </x:c>
      <x:c r="E99" s="55" t="n">
        <x:v>0.005</x:v>
      </x:c>
      <x:c r="F99" s="60" t="n">
        <x:v>0</x:v>
      </x:c>
      <x:c r="G99" s="60" t="n">
        <x:v>0.005</x:v>
      </x:c>
      <x:c r="H99" s="23" t="n">
        <x:f>IF(D99=F99,0,1)+IF(E99=G99,0,1)</x:f>
        <x:v>0</x:v>
      </x:c>
      <x:c r="I99" s="23" t="str">
        <x:v>Timing T20 / fictional rates</x:v>
      </x:c>
    </x:row>
    <x:row r="100" ht="21" customHeight="1">
      <x:c r="A100" s="23" t="str">
        <x:v>front_low</x:v>
      </x:c>
      <x:c r="B100" s="23" t="n">
        <x:v>45</x:v>
      </x:c>
      <x:c r="C100" s="37" t="n">
        <x:v>50496</x:v>
      </x:c>
      <x:c r="D100" s="55" t="n">
        <x:v>0</x:v>
      </x:c>
      <x:c r="E100" s="55" t="n">
        <x:v>0.005</x:v>
      </x:c>
      <x:c r="F100" s="60" t="n">
        <x:v>0</x:v>
      </x:c>
      <x:c r="G100" s="60" t="n">
        <x:v>0.005</x:v>
      </x:c>
      <x:c r="H100" s="23" t="n">
        <x:f>IF(D100=F100,0,1)+IF(E100=G100,0,1)</x:f>
        <x:v>0</x:v>
      </x:c>
      <x:c r="I100" s="23" t="str">
        <x:v>Timing T20 / fictional rates</x:v>
      </x:c>
    </x:row>
    <x:row r="101" ht="21" customHeight="1">
      <x:c r="A101" s="23" t="str">
        <x:v>front_low</x:v>
      </x:c>
      <x:c r="B101" s="23" t="n">
        <x:v>46</x:v>
      </x:c>
      <x:c r="C101" s="37" t="n">
        <x:v>50587</x:v>
      </x:c>
      <x:c r="D101" s="55" t="n">
        <x:v>0</x:v>
      </x:c>
      <x:c r="E101" s="55" t="n">
        <x:v>0.005</x:v>
      </x:c>
      <x:c r="F101" s="60" t="n">
        <x:v>0</x:v>
      </x:c>
      <x:c r="G101" s="60" t="n">
        <x:v>0.005</x:v>
      </x:c>
      <x:c r="H101" s="23" t="n">
        <x:f>IF(D101=F101,0,1)+IF(E101=G101,0,1)</x:f>
        <x:v>0</x:v>
      </x:c>
      <x:c r="I101" s="23" t="str">
        <x:v>Timing T20 / fictional rates</x:v>
      </x:c>
    </x:row>
    <x:row r="102" ht="21" customHeight="1">
      <x:c r="A102" s="23" t="str">
        <x:v>front_low</x:v>
      </x:c>
      <x:c r="B102" s="23" t="n">
        <x:v>47</x:v>
      </x:c>
      <x:c r="C102" s="37" t="n">
        <x:v>50679</x:v>
      </x:c>
      <x:c r="D102" s="55" t="n">
        <x:v>0</x:v>
      </x:c>
      <x:c r="E102" s="55" t="n">
        <x:v>0.005</x:v>
      </x:c>
      <x:c r="F102" s="60" t="n">
        <x:v>0</x:v>
      </x:c>
      <x:c r="G102" s="60" t="n">
        <x:v>0.005</x:v>
      </x:c>
      <x:c r="H102" s="23" t="n">
        <x:f>IF(D102=F102,0,1)+IF(E102=G102,0,1)</x:f>
        <x:v>0</x:v>
      </x:c>
      <x:c r="I102" s="23" t="str">
        <x:v>Timing T20 / fictional rates</x:v>
      </x:c>
    </x:row>
    <x:row r="103" ht="21" customHeight="1">
      <x:c r="A103" s="23" t="str">
        <x:v>front_low</x:v>
      </x:c>
      <x:c r="B103" s="23" t="n">
        <x:v>48</x:v>
      </x:c>
      <x:c r="C103" s="37" t="n">
        <x:v>50771</x:v>
      </x:c>
      <x:c r="D103" s="55" t="n">
        <x:v>0</x:v>
      </x:c>
      <x:c r="E103" s="55" t="n">
        <x:v>0.005</x:v>
      </x:c>
      <x:c r="F103" s="60" t="n">
        <x:v>0</x:v>
      </x:c>
      <x:c r="G103" s="60" t="n">
        <x:v>0.005</x:v>
      </x:c>
      <x:c r="H103" s="23" t="n">
        <x:f>IF(D103=F103,0,1)+IF(E103=G103,0,1)</x:f>
        <x:v>0</x:v>
      </x:c>
      <x:c r="I103" s="23" t="str">
        <x:v>Timing T20 / fictional rates</x:v>
      </x:c>
    </x:row>
    <x:row r="104" ht="21" customHeight="1">
      <x:c r="A104" s="23" t="str">
        <x:v>front_high</x:v>
      </x:c>
      <x:c r="B104" s="23" t="n">
        <x:v>1</x:v>
      </x:c>
      <x:c r="C104" s="37" t="n">
        <x:v>46478</x:v>
      </x:c>
      <x:c r="D104" s="55" t="n">
        <x:v>0.0975</x:v>
      </x:c>
      <x:c r="E104" s="55" t="n">
        <x:v>0.06</x:v>
      </x:c>
      <x:c r="F104" s="60" t="n">
        <x:v>0.0975</x:v>
      </x:c>
      <x:c r="G104" s="60" t="n">
        <x:v>0.06</x:v>
      </x:c>
      <x:c r="H104" s="23" t="n">
        <x:f>IF(D104=F104,0,1)+IF(E104=G104,0,1)</x:f>
        <x:v>0</x:v>
      </x:c>
      <x:c r="I104" s="23" t="str">
        <x:v>Timing T20 / fictional rates</x:v>
      </x:c>
    </x:row>
    <x:row r="105" ht="21" customHeight="1">
      <x:c r="A105" s="23" t="str">
        <x:v>front_high</x:v>
      </x:c>
      <x:c r="B105" s="23" t="n">
        <x:v>2</x:v>
      </x:c>
      <x:c r="C105" s="37" t="n">
        <x:v>46569</x:v>
      </x:c>
      <x:c r="D105" s="55" t="n">
        <x:v>0.0975</x:v>
      </x:c>
      <x:c r="E105" s="55" t="n">
        <x:v>0.06</x:v>
      </x:c>
      <x:c r="F105" s="60" t="n">
        <x:v>0.0975</x:v>
      </x:c>
      <x:c r="G105" s="60" t="n">
        <x:v>0.06</x:v>
      </x:c>
      <x:c r="H105" s="23" t="n">
        <x:f>IF(D105=F105,0,1)+IF(E105=G105,0,1)</x:f>
        <x:v>0</x:v>
      </x:c>
      <x:c r="I105" s="23" t="str">
        <x:v>Timing T20 / fictional rates</x:v>
      </x:c>
    </x:row>
    <x:row r="106" ht="21" customHeight="1">
      <x:c r="A106" s="23" t="str">
        <x:v>front_high</x:v>
      </x:c>
      <x:c r="B106" s="23" t="n">
        <x:v>3</x:v>
      </x:c>
      <x:c r="C106" s="37" t="n">
        <x:v>46661</x:v>
      </x:c>
      <x:c r="D106" s="55" t="n">
        <x:v>0.0975</x:v>
      </x:c>
      <x:c r="E106" s="55" t="n">
        <x:v>0.06</x:v>
      </x:c>
      <x:c r="F106" s="60" t="n">
        <x:v>0.0975</x:v>
      </x:c>
      <x:c r="G106" s="60" t="n">
        <x:v>0.06</x:v>
      </x:c>
      <x:c r="H106" s="23" t="n">
        <x:f>IF(D106=F106,0,1)+IF(E106=G106,0,1)</x:f>
        <x:v>0</x:v>
      </x:c>
      <x:c r="I106" s="23" t="str">
        <x:v>Timing T20 / fictional rates</x:v>
      </x:c>
    </x:row>
    <x:row r="107" ht="21" customHeight="1">
      <x:c r="A107" s="23" t="str">
        <x:v>front_high</x:v>
      </x:c>
      <x:c r="B107" s="23" t="n">
        <x:v>4</x:v>
      </x:c>
      <x:c r="C107" s="37" t="n">
        <x:v>46753</x:v>
      </x:c>
      <x:c r="D107" s="55" t="n">
        <x:v>0.0975</x:v>
      </x:c>
      <x:c r="E107" s="55" t="n">
        <x:v>0.06</x:v>
      </x:c>
      <x:c r="F107" s="60" t="n">
        <x:v>0.0975</x:v>
      </x:c>
      <x:c r="G107" s="60" t="n">
        <x:v>0.06</x:v>
      </x:c>
      <x:c r="H107" s="23" t="n">
        <x:f>IF(D107=F107,0,1)+IF(E107=G107,0,1)</x:f>
        <x:v>0</x:v>
      </x:c>
      <x:c r="I107" s="23" t="str">
        <x:v>Timing T20 / fictional rates</x:v>
      </x:c>
    </x:row>
    <x:row r="108" ht="21" customHeight="1">
      <x:c r="A108" s="23" t="str">
        <x:v>front_high</x:v>
      </x:c>
      <x:c r="B108" s="23" t="n">
        <x:v>5</x:v>
      </x:c>
      <x:c r="C108" s="37" t="n">
        <x:v>46844</x:v>
      </x:c>
      <x:c r="D108" s="55" t="n">
        <x:v>0.055</x:v>
      </x:c>
      <x:c r="E108" s="55" t="n">
        <x:v>0.06</x:v>
      </x:c>
      <x:c r="F108" s="60" t="n">
        <x:v>0.055</x:v>
      </x:c>
      <x:c r="G108" s="60" t="n">
        <x:v>0.06</x:v>
      </x:c>
      <x:c r="H108" s="23" t="n">
        <x:f>IF(D108=F108,0,1)+IF(E108=G108,0,1)</x:f>
        <x:v>0</x:v>
      </x:c>
      <x:c r="I108" s="23" t="str">
        <x:v>Timing T20 / fictional rates</x:v>
      </x:c>
    </x:row>
    <x:row r="109" ht="21" customHeight="1">
      <x:c r="A109" s="23" t="str">
        <x:v>front_high</x:v>
      </x:c>
      <x:c r="B109" s="23" t="n">
        <x:v>6</x:v>
      </x:c>
      <x:c r="C109" s="37" t="n">
        <x:v>46935</x:v>
      </x:c>
      <x:c r="D109" s="55" t="n">
        <x:v>0.055</x:v>
      </x:c>
      <x:c r="E109" s="55" t="n">
        <x:v>0.06</x:v>
      </x:c>
      <x:c r="F109" s="60" t="n">
        <x:v>0.055</x:v>
      </x:c>
      <x:c r="G109" s="60" t="n">
        <x:v>0.06</x:v>
      </x:c>
      <x:c r="H109" s="23" t="n">
        <x:f>IF(D109=F109,0,1)+IF(E109=G109,0,1)</x:f>
        <x:v>0</x:v>
      </x:c>
      <x:c r="I109" s="23" t="str">
        <x:v>Timing T20 / fictional rates</x:v>
      </x:c>
    </x:row>
    <x:row r="110" ht="21" customHeight="1">
      <x:c r="A110" s="23" t="str">
        <x:v>front_high</x:v>
      </x:c>
      <x:c r="B110" s="23" t="n">
        <x:v>7</x:v>
      </x:c>
      <x:c r="C110" s="37" t="n">
        <x:v>47027</x:v>
      </x:c>
      <x:c r="D110" s="55" t="n">
        <x:v>0.055</x:v>
      </x:c>
      <x:c r="E110" s="55" t="n">
        <x:v>0.06</x:v>
      </x:c>
      <x:c r="F110" s="60" t="n">
        <x:v>0.055</x:v>
      </x:c>
      <x:c r="G110" s="60" t="n">
        <x:v>0.06</x:v>
      </x:c>
      <x:c r="H110" s="23" t="n">
        <x:f>IF(D110=F110,0,1)+IF(E110=G110,0,1)</x:f>
        <x:v>0</x:v>
      </x:c>
      <x:c r="I110" s="23" t="str">
        <x:v>Timing T20 / fictional rates</x:v>
      </x:c>
    </x:row>
    <x:row r="111" ht="21" customHeight="1">
      <x:c r="A111" s="23" t="str">
        <x:v>front_high</x:v>
      </x:c>
      <x:c r="B111" s="23" t="n">
        <x:v>8</x:v>
      </x:c>
      <x:c r="C111" s="37" t="n">
        <x:v>47119</x:v>
      </x:c>
      <x:c r="D111" s="55" t="n">
        <x:v>0.055</x:v>
      </x:c>
      <x:c r="E111" s="55" t="n">
        <x:v>0.06</x:v>
      </x:c>
      <x:c r="F111" s="60" t="n">
        <x:v>0.055</x:v>
      </x:c>
      <x:c r="G111" s="60" t="n">
        <x:v>0.06</x:v>
      </x:c>
      <x:c r="H111" s="23" t="n">
        <x:f>IF(D111=F111,0,1)+IF(E111=G111,0,1)</x:f>
        <x:v>0</x:v>
      </x:c>
      <x:c r="I111" s="23" t="str">
        <x:v>Timing T20 / fictional rates</x:v>
      </x:c>
    </x:row>
    <x:row r="112" ht="21" customHeight="1">
      <x:c r="A112" s="23" t="str">
        <x:v>front_high</x:v>
      </x:c>
      <x:c r="B112" s="23" t="n">
        <x:v>9</x:v>
      </x:c>
      <x:c r="C112" s="37" t="n">
        <x:v>47209</x:v>
      </x:c>
      <x:c r="D112" s="55" t="n">
        <x:v>0.04</x:v>
      </x:c>
      <x:c r="E112" s="55" t="n">
        <x:v>0.06</x:v>
      </x:c>
      <x:c r="F112" s="60" t="n">
        <x:v>0.04</x:v>
      </x:c>
      <x:c r="G112" s="60" t="n">
        <x:v>0.06</x:v>
      </x:c>
      <x:c r="H112" s="23" t="n">
        <x:f>IF(D112=F112,0,1)+IF(E112=G112,0,1)</x:f>
        <x:v>0</x:v>
      </x:c>
      <x:c r="I112" s="23" t="str">
        <x:v>Timing T20 / fictional rates</x:v>
      </x:c>
    </x:row>
    <x:row r="113" ht="21" customHeight="1">
      <x:c r="A113" s="23" t="str">
        <x:v>front_high</x:v>
      </x:c>
      <x:c r="B113" s="23" t="n">
        <x:v>10</x:v>
      </x:c>
      <x:c r="C113" s="37" t="n">
        <x:v>47300</x:v>
      </x:c>
      <x:c r="D113" s="55" t="n">
        <x:v>0.04</x:v>
      </x:c>
      <x:c r="E113" s="55" t="n">
        <x:v>0.06</x:v>
      </x:c>
      <x:c r="F113" s="60" t="n">
        <x:v>0.04</x:v>
      </x:c>
      <x:c r="G113" s="60" t="n">
        <x:v>0.06</x:v>
      </x:c>
      <x:c r="H113" s="23" t="n">
        <x:f>IF(D113=F113,0,1)+IF(E113=G113,0,1)</x:f>
        <x:v>0</x:v>
      </x:c>
      <x:c r="I113" s="23" t="str">
        <x:v>Timing T20 / fictional rates</x:v>
      </x:c>
    </x:row>
    <x:row r="114" ht="21" customHeight="1">
      <x:c r="A114" s="23" t="str">
        <x:v>front_high</x:v>
      </x:c>
      <x:c r="B114" s="23" t="n">
        <x:v>11</x:v>
      </x:c>
      <x:c r="C114" s="37" t="n">
        <x:v>47392</x:v>
      </x:c>
      <x:c r="D114" s="55" t="n">
        <x:v>0.04</x:v>
      </x:c>
      <x:c r="E114" s="55" t="n">
        <x:v>0.06</x:v>
      </x:c>
      <x:c r="F114" s="60" t="n">
        <x:v>0.04</x:v>
      </x:c>
      <x:c r="G114" s="60" t="n">
        <x:v>0.06</x:v>
      </x:c>
      <x:c r="H114" s="23" t="n">
        <x:f>IF(D114=F114,0,1)+IF(E114=G114,0,1)</x:f>
        <x:v>0</x:v>
      </x:c>
      <x:c r="I114" s="23" t="str">
        <x:v>Timing T20 / fictional rates</x:v>
      </x:c>
    </x:row>
    <x:row r="115" ht="21" customHeight="1">
      <x:c r="A115" s="23" t="str">
        <x:v>front_high</x:v>
      </x:c>
      <x:c r="B115" s="23" t="n">
        <x:v>12</x:v>
      </x:c>
      <x:c r="C115" s="37" t="n">
        <x:v>47484</x:v>
      </x:c>
      <x:c r="D115" s="55" t="n">
        <x:v>0.04</x:v>
      </x:c>
      <x:c r="E115" s="55" t="n">
        <x:v>0.06</x:v>
      </x:c>
      <x:c r="F115" s="60" t="n">
        <x:v>0.04</x:v>
      </x:c>
      <x:c r="G115" s="60" t="n">
        <x:v>0.06</x:v>
      </x:c>
      <x:c r="H115" s="23" t="n">
        <x:f>IF(D115=F115,0,1)+IF(E115=G115,0,1)</x:f>
        <x:v>0</x:v>
      </x:c>
      <x:c r="I115" s="23" t="str">
        <x:v>Timing T20 / fictional rates</x:v>
      </x:c>
    </x:row>
    <x:row r="116" ht="21" customHeight="1">
      <x:c r="A116" s="23" t="str">
        <x:v>front_high</x:v>
      </x:c>
      <x:c r="B116" s="23" t="n">
        <x:v>13</x:v>
      </x:c>
      <x:c r="C116" s="37" t="n">
        <x:v>47574</x:v>
      </x:c>
      <x:c r="D116" s="55" t="n">
        <x:v>0.0325</x:v>
      </x:c>
      <x:c r="E116" s="55" t="n">
        <x:v>0.06</x:v>
      </x:c>
      <x:c r="F116" s="60" t="n">
        <x:v>0.0325</x:v>
      </x:c>
      <x:c r="G116" s="60" t="n">
        <x:v>0.06</x:v>
      </x:c>
      <x:c r="H116" s="23" t="n">
        <x:f>IF(D116=F116,0,1)+IF(E116=G116,0,1)</x:f>
        <x:v>0</x:v>
      </x:c>
      <x:c r="I116" s="23" t="str">
        <x:v>Timing T20 / fictional rates</x:v>
      </x:c>
    </x:row>
    <x:row r="117" ht="21" customHeight="1">
      <x:c r="A117" s="23" t="str">
        <x:v>front_high</x:v>
      </x:c>
      <x:c r="B117" s="23" t="n">
        <x:v>14</x:v>
      </x:c>
      <x:c r="C117" s="37" t="n">
        <x:v>47665</x:v>
      </x:c>
      <x:c r="D117" s="55" t="n">
        <x:v>0.0325</x:v>
      </x:c>
      <x:c r="E117" s="55" t="n">
        <x:v>0.06</x:v>
      </x:c>
      <x:c r="F117" s="60" t="n">
        <x:v>0.0325</x:v>
      </x:c>
      <x:c r="G117" s="60" t="n">
        <x:v>0.06</x:v>
      </x:c>
      <x:c r="H117" s="23" t="n">
        <x:f>IF(D117=F117,0,1)+IF(E117=G117,0,1)</x:f>
        <x:v>0</x:v>
      </x:c>
      <x:c r="I117" s="23" t="str">
        <x:v>Timing T20 / fictional rates</x:v>
      </x:c>
    </x:row>
    <x:row r="118" ht="21" customHeight="1">
      <x:c r="A118" s="23" t="str">
        <x:v>front_high</x:v>
      </x:c>
      <x:c r="B118" s="23" t="n">
        <x:v>15</x:v>
      </x:c>
      <x:c r="C118" s="37" t="n">
        <x:v>47757</x:v>
      </x:c>
      <x:c r="D118" s="55" t="n">
        <x:v>0.0325</x:v>
      </x:c>
      <x:c r="E118" s="55" t="n">
        <x:v>0.06</x:v>
      </x:c>
      <x:c r="F118" s="60" t="n">
        <x:v>0.0325</x:v>
      </x:c>
      <x:c r="G118" s="60" t="n">
        <x:v>0.06</x:v>
      </x:c>
      <x:c r="H118" s="23" t="n">
        <x:f>IF(D118=F118,0,1)+IF(E118=G118,0,1)</x:f>
        <x:v>0</x:v>
      </x:c>
      <x:c r="I118" s="23" t="str">
        <x:v>Timing T20 / fictional rates</x:v>
      </x:c>
    </x:row>
    <x:row r="119" ht="21" customHeight="1">
      <x:c r="A119" s="23" t="str">
        <x:v>front_high</x:v>
      </x:c>
      <x:c r="B119" s="23" t="n">
        <x:v>16</x:v>
      </x:c>
      <x:c r="C119" s="37" t="n">
        <x:v>47849</x:v>
      </x:c>
      <x:c r="D119" s="55" t="n">
        <x:v>0.0325</x:v>
      </x:c>
      <x:c r="E119" s="55" t="n">
        <x:v>0.06</x:v>
      </x:c>
      <x:c r="F119" s="60" t="n">
        <x:v>0.0325</x:v>
      </x:c>
      <x:c r="G119" s="60" t="n">
        <x:v>0.06</x:v>
      </x:c>
      <x:c r="H119" s="23" t="n">
        <x:f>IF(D119=F119,0,1)+IF(E119=G119,0,1)</x:f>
        <x:v>0</x:v>
      </x:c>
      <x:c r="I119" s="23" t="str">
        <x:v>Timing T20 / fictional rates</x:v>
      </x:c>
    </x:row>
    <x:row r="120" ht="21" customHeight="1">
      <x:c r="A120" s="23" t="str">
        <x:v>front_high</x:v>
      </x:c>
      <x:c r="B120" s="23" t="n">
        <x:v>17</x:v>
      </x:c>
      <x:c r="C120" s="37" t="n">
        <x:v>47939</x:v>
      </x:c>
      <x:c r="D120" s="55" t="n">
        <x:v>0.025</x:v>
      </x:c>
      <x:c r="E120" s="55" t="n">
        <x:v>0.06</x:v>
      </x:c>
      <x:c r="F120" s="60" t="n">
        <x:v>0.025</x:v>
      </x:c>
      <x:c r="G120" s="60" t="n">
        <x:v>0.06</x:v>
      </x:c>
      <x:c r="H120" s="23" t="n">
        <x:f>IF(D120=F120,0,1)+IF(E120=G120,0,1)</x:f>
        <x:v>0</x:v>
      </x:c>
      <x:c r="I120" s="23" t="str">
        <x:v>Timing T20 / fictional rates</x:v>
      </x:c>
    </x:row>
    <x:row r="121" ht="21" customHeight="1">
      <x:c r="A121" s="23" t="str">
        <x:v>front_high</x:v>
      </x:c>
      <x:c r="B121" s="23" t="n">
        <x:v>18</x:v>
      </x:c>
      <x:c r="C121" s="37" t="n">
        <x:v>48030</x:v>
      </x:c>
      <x:c r="D121" s="55" t="n">
        <x:v>0.025</x:v>
      </x:c>
      <x:c r="E121" s="55" t="n">
        <x:v>0.06</x:v>
      </x:c>
      <x:c r="F121" s="60" t="n">
        <x:v>0.025</x:v>
      </x:c>
      <x:c r="G121" s="60" t="n">
        <x:v>0.06</x:v>
      </x:c>
      <x:c r="H121" s="23" t="n">
        <x:f>IF(D121=F121,0,1)+IF(E121=G121,0,1)</x:f>
        <x:v>0</x:v>
      </x:c>
      <x:c r="I121" s="23" t="str">
        <x:v>Timing T20 / fictional rates</x:v>
      </x:c>
    </x:row>
    <x:row r="122" ht="21" customHeight="1">
      <x:c r="A122" s="23" t="str">
        <x:v>front_high</x:v>
      </x:c>
      <x:c r="B122" s="23" t="n">
        <x:v>19</x:v>
      </x:c>
      <x:c r="C122" s="37" t="n">
        <x:v>48122</x:v>
      </x:c>
      <x:c r="D122" s="55" t="n">
        <x:v>0.025</x:v>
      </x:c>
      <x:c r="E122" s="55" t="n">
        <x:v>0.06</x:v>
      </x:c>
      <x:c r="F122" s="60" t="n">
        <x:v>0.025</x:v>
      </x:c>
      <x:c r="G122" s="60" t="n">
        <x:v>0.06</x:v>
      </x:c>
      <x:c r="H122" s="23" t="n">
        <x:f>IF(D122=F122,0,1)+IF(E122=G122,0,1)</x:f>
        <x:v>0</x:v>
      </x:c>
      <x:c r="I122" s="23" t="str">
        <x:v>Timing T20 / fictional rates</x:v>
      </x:c>
    </x:row>
    <x:row r="123" ht="21" customHeight="1">
      <x:c r="A123" s="23" t="str">
        <x:v>front_high</x:v>
      </x:c>
      <x:c r="B123" s="23" t="n">
        <x:v>20</x:v>
      </x:c>
      <x:c r="C123" s="37" t="n">
        <x:v>48214</x:v>
      </x:c>
      <x:c r="D123" s="55" t="n">
        <x:v>0.025</x:v>
      </x:c>
      <x:c r="E123" s="55" t="n">
        <x:v>0.06</x:v>
      </x:c>
      <x:c r="F123" s="60" t="n">
        <x:v>0.025</x:v>
      </x:c>
      <x:c r="G123" s="60" t="n">
        <x:v>0.06</x:v>
      </x:c>
      <x:c r="H123" s="23" t="n">
        <x:f>IF(D123=F123,0,1)+IF(E123=G123,0,1)</x:f>
        <x:v>0</x:v>
      </x:c>
      <x:c r="I123" s="23" t="str">
        <x:v>Timing T20 / fictional rates</x:v>
      </x:c>
    </x:row>
    <x:row r="124" ht="21" customHeight="1">
      <x:c r="A124" s="23" t="str">
        <x:v>front_high</x:v>
      </x:c>
      <x:c r="B124" s="23" t="n">
        <x:v>21</x:v>
      </x:c>
      <x:c r="C124" s="37" t="n">
        <x:v>48305</x:v>
      </x:c>
      <x:c r="D124" s="55" t="n">
        <x:v>0</x:v>
      </x:c>
      <x:c r="E124" s="55" t="n">
        <x:v>0.06</x:v>
      </x:c>
      <x:c r="F124" s="60" t="n">
        <x:v>0</x:v>
      </x:c>
      <x:c r="G124" s="60" t="n">
        <x:v>0.06</x:v>
      </x:c>
      <x:c r="H124" s="23" t="n">
        <x:f>IF(D124=F124,0,1)+IF(E124=G124,0,1)</x:f>
        <x:v>0</x:v>
      </x:c>
      <x:c r="I124" s="23" t="str">
        <x:v>Timing T20 / fictional rates</x:v>
      </x:c>
    </x:row>
    <x:row r="125" ht="21" customHeight="1">
      <x:c r="A125" s="23" t="str">
        <x:v>front_high</x:v>
      </x:c>
      <x:c r="B125" s="23" t="n">
        <x:v>22</x:v>
      </x:c>
      <x:c r="C125" s="37" t="n">
        <x:v>48396</x:v>
      </x:c>
      <x:c r="D125" s="55" t="n">
        <x:v>0</x:v>
      </x:c>
      <x:c r="E125" s="55" t="n">
        <x:v>0.06</x:v>
      </x:c>
      <x:c r="F125" s="60" t="n">
        <x:v>0</x:v>
      </x:c>
      <x:c r="G125" s="60" t="n">
        <x:v>0.06</x:v>
      </x:c>
      <x:c r="H125" s="23" t="n">
        <x:f>IF(D125=F125,0,1)+IF(E125=G125,0,1)</x:f>
        <x:v>0</x:v>
      </x:c>
      <x:c r="I125" s="23" t="str">
        <x:v>Timing T20 / fictional rates</x:v>
      </x:c>
    </x:row>
    <x:row r="126" ht="21" customHeight="1">
      <x:c r="A126" s="23" t="str">
        <x:v>front_high</x:v>
      </x:c>
      <x:c r="B126" s="23" t="n">
        <x:v>23</x:v>
      </x:c>
      <x:c r="C126" s="37" t="n">
        <x:v>48488</x:v>
      </x:c>
      <x:c r="D126" s="55" t="n">
        <x:v>0</x:v>
      </x:c>
      <x:c r="E126" s="55" t="n">
        <x:v>0.06</x:v>
      </x:c>
      <x:c r="F126" s="60" t="n">
        <x:v>0</x:v>
      </x:c>
      <x:c r="G126" s="60" t="n">
        <x:v>0.06</x:v>
      </x:c>
      <x:c r="H126" s="23" t="n">
        <x:f>IF(D126=F126,0,1)+IF(E126=G126,0,1)</x:f>
        <x:v>0</x:v>
      </x:c>
      <x:c r="I126" s="23" t="str">
        <x:v>Timing T20 / fictional rates</x:v>
      </x:c>
    </x:row>
    <x:row r="127" ht="21" customHeight="1">
      <x:c r="A127" s="23" t="str">
        <x:v>front_high</x:v>
      </x:c>
      <x:c r="B127" s="23" t="n">
        <x:v>24</x:v>
      </x:c>
      <x:c r="C127" s="37" t="n">
        <x:v>48580</x:v>
      </x:c>
      <x:c r="D127" s="55" t="n">
        <x:v>0</x:v>
      </x:c>
      <x:c r="E127" s="55" t="n">
        <x:v>0.06</x:v>
      </x:c>
      <x:c r="F127" s="60" t="n">
        <x:v>0</x:v>
      </x:c>
      <x:c r="G127" s="60" t="n">
        <x:v>0.06</x:v>
      </x:c>
      <x:c r="H127" s="23" t="n">
        <x:f>IF(D127=F127,0,1)+IF(E127=G127,0,1)</x:f>
        <x:v>0</x:v>
      </x:c>
      <x:c r="I127" s="23" t="str">
        <x:v>Timing T20 / fictional rates</x:v>
      </x:c>
    </x:row>
    <x:row r="128" ht="21" customHeight="1">
      <x:c r="A128" s="23" t="str">
        <x:v>front_high</x:v>
      </x:c>
      <x:c r="B128" s="23" t="n">
        <x:v>25</x:v>
      </x:c>
      <x:c r="C128" s="37" t="n">
        <x:v>48670</x:v>
      </x:c>
      <x:c r="D128" s="55" t="n">
        <x:v>0</x:v>
      </x:c>
      <x:c r="E128" s="55" t="n">
        <x:v>0.06</x:v>
      </x:c>
      <x:c r="F128" s="60" t="n">
        <x:v>0</x:v>
      </x:c>
      <x:c r="G128" s="60" t="n">
        <x:v>0.06</x:v>
      </x:c>
      <x:c r="H128" s="23" t="n">
        <x:f>IF(D128=F128,0,1)+IF(E128=G128,0,1)</x:f>
        <x:v>0</x:v>
      </x:c>
      <x:c r="I128" s="23" t="str">
        <x:v>Timing T20 / fictional rates</x:v>
      </x:c>
    </x:row>
    <x:row r="129" ht="21" customHeight="1">
      <x:c r="A129" s="23" t="str">
        <x:v>front_high</x:v>
      </x:c>
      <x:c r="B129" s="23" t="n">
        <x:v>26</x:v>
      </x:c>
      <x:c r="C129" s="37" t="n">
        <x:v>48761</x:v>
      </x:c>
      <x:c r="D129" s="55" t="n">
        <x:v>0</x:v>
      </x:c>
      <x:c r="E129" s="55" t="n">
        <x:v>0.06</x:v>
      </x:c>
      <x:c r="F129" s="60" t="n">
        <x:v>0</x:v>
      </x:c>
      <x:c r="G129" s="60" t="n">
        <x:v>0.06</x:v>
      </x:c>
      <x:c r="H129" s="23" t="n">
        <x:f>IF(D129=F129,0,1)+IF(E129=G129,0,1)</x:f>
        <x:v>0</x:v>
      </x:c>
      <x:c r="I129" s="23" t="str">
        <x:v>Timing T20 / fictional rates</x:v>
      </x:c>
    </x:row>
    <x:row r="130" ht="21" customHeight="1">
      <x:c r="A130" s="23" t="str">
        <x:v>front_high</x:v>
      </x:c>
      <x:c r="B130" s="23" t="n">
        <x:v>27</x:v>
      </x:c>
      <x:c r="C130" s="37" t="n">
        <x:v>48853</x:v>
      </x:c>
      <x:c r="D130" s="55" t="n">
        <x:v>0</x:v>
      </x:c>
      <x:c r="E130" s="55" t="n">
        <x:v>0.06</x:v>
      </x:c>
      <x:c r="F130" s="60" t="n">
        <x:v>0</x:v>
      </x:c>
      <x:c r="G130" s="60" t="n">
        <x:v>0.06</x:v>
      </x:c>
      <x:c r="H130" s="23" t="n">
        <x:f>IF(D130=F130,0,1)+IF(E130=G130,0,1)</x:f>
        <x:v>0</x:v>
      </x:c>
      <x:c r="I130" s="23" t="str">
        <x:v>Timing T20 / fictional rates</x:v>
      </x:c>
    </x:row>
    <x:row r="131" ht="21" customHeight="1">
      <x:c r="A131" s="23" t="str">
        <x:v>front_high</x:v>
      </x:c>
      <x:c r="B131" s="23" t="n">
        <x:v>28</x:v>
      </x:c>
      <x:c r="C131" s="37" t="n">
        <x:v>48945</x:v>
      </x:c>
      <x:c r="D131" s="55" t="n">
        <x:v>0</x:v>
      </x:c>
      <x:c r="E131" s="55" t="n">
        <x:v>0.06</x:v>
      </x:c>
      <x:c r="F131" s="60" t="n">
        <x:v>0</x:v>
      </x:c>
      <x:c r="G131" s="60" t="n">
        <x:v>0.06</x:v>
      </x:c>
      <x:c r="H131" s="23" t="n">
        <x:f>IF(D131=F131,0,1)+IF(E131=G131,0,1)</x:f>
        <x:v>0</x:v>
      </x:c>
      <x:c r="I131" s="23" t="str">
        <x:v>Timing T20 / fictional rates</x:v>
      </x:c>
    </x:row>
    <x:row r="132" ht="21" customHeight="1">
      <x:c r="A132" s="23" t="str">
        <x:v>front_high</x:v>
      </x:c>
      <x:c r="B132" s="23" t="n">
        <x:v>29</x:v>
      </x:c>
      <x:c r="C132" s="37" t="n">
        <x:v>49035</x:v>
      </x:c>
      <x:c r="D132" s="55" t="n">
        <x:v>0</x:v>
      </x:c>
      <x:c r="E132" s="55" t="n">
        <x:v>0.06</x:v>
      </x:c>
      <x:c r="F132" s="60" t="n">
        <x:v>0</x:v>
      </x:c>
      <x:c r="G132" s="60" t="n">
        <x:v>0.06</x:v>
      </x:c>
      <x:c r="H132" s="23" t="n">
        <x:f>IF(D132=F132,0,1)+IF(E132=G132,0,1)</x:f>
        <x:v>0</x:v>
      </x:c>
      <x:c r="I132" s="23" t="str">
        <x:v>Timing T20 / fictional rates</x:v>
      </x:c>
    </x:row>
    <x:row r="133" ht="21" customHeight="1">
      <x:c r="A133" s="23" t="str">
        <x:v>front_high</x:v>
      </x:c>
      <x:c r="B133" s="23" t="n">
        <x:v>30</x:v>
      </x:c>
      <x:c r="C133" s="37" t="n">
        <x:v>49126</x:v>
      </x:c>
      <x:c r="D133" s="55" t="n">
        <x:v>0</x:v>
      </x:c>
      <x:c r="E133" s="55" t="n">
        <x:v>0.06</x:v>
      </x:c>
      <x:c r="F133" s="60" t="n">
        <x:v>0</x:v>
      </x:c>
      <x:c r="G133" s="60" t="n">
        <x:v>0.06</x:v>
      </x:c>
      <x:c r="H133" s="23" t="n">
        <x:f>IF(D133=F133,0,1)+IF(E133=G133,0,1)</x:f>
        <x:v>0</x:v>
      </x:c>
      <x:c r="I133" s="23" t="str">
        <x:v>Timing T20 / fictional rates</x:v>
      </x:c>
    </x:row>
    <x:row r="134" ht="21" customHeight="1">
      <x:c r="A134" s="23" t="str">
        <x:v>front_high</x:v>
      </x:c>
      <x:c r="B134" s="23" t="n">
        <x:v>31</x:v>
      </x:c>
      <x:c r="C134" s="37" t="n">
        <x:v>49218</x:v>
      </x:c>
      <x:c r="D134" s="55" t="n">
        <x:v>0</x:v>
      </x:c>
      <x:c r="E134" s="55" t="n">
        <x:v>0.06</x:v>
      </x:c>
      <x:c r="F134" s="60" t="n">
        <x:v>0</x:v>
      </x:c>
      <x:c r="G134" s="60" t="n">
        <x:v>0.06</x:v>
      </x:c>
      <x:c r="H134" s="23" t="n">
        <x:f>IF(D134=F134,0,1)+IF(E134=G134,0,1)</x:f>
        <x:v>0</x:v>
      </x:c>
      <x:c r="I134" s="23" t="str">
        <x:v>Timing T20 / fictional rates</x:v>
      </x:c>
    </x:row>
    <x:row r="135" ht="21" customHeight="1">
      <x:c r="A135" s="23" t="str">
        <x:v>front_high</x:v>
      </x:c>
      <x:c r="B135" s="23" t="n">
        <x:v>32</x:v>
      </x:c>
      <x:c r="C135" s="37" t="n">
        <x:v>49310</x:v>
      </x:c>
      <x:c r="D135" s="55" t="n">
        <x:v>0</x:v>
      </x:c>
      <x:c r="E135" s="55" t="n">
        <x:v>0.06</x:v>
      </x:c>
      <x:c r="F135" s="60" t="n">
        <x:v>0</x:v>
      </x:c>
      <x:c r="G135" s="60" t="n">
        <x:v>0.06</x:v>
      </x:c>
      <x:c r="H135" s="23" t="n">
        <x:f>IF(D135=F135,0,1)+IF(E135=G135,0,1)</x:f>
        <x:v>0</x:v>
      </x:c>
      <x:c r="I135" s="23" t="str">
        <x:v>Timing T20 / fictional rates</x:v>
      </x:c>
    </x:row>
    <x:row r="136" ht="21" customHeight="1">
      <x:c r="A136" s="23" t="str">
        <x:v>front_high</x:v>
      </x:c>
      <x:c r="B136" s="23" t="n">
        <x:v>33</x:v>
      </x:c>
      <x:c r="C136" s="37" t="n">
        <x:v>49400</x:v>
      </x:c>
      <x:c r="D136" s="55" t="n">
        <x:v>0</x:v>
      </x:c>
      <x:c r="E136" s="55" t="n">
        <x:v>0.06</x:v>
      </x:c>
      <x:c r="F136" s="60" t="n">
        <x:v>0</x:v>
      </x:c>
      <x:c r="G136" s="60" t="n">
        <x:v>0.06</x:v>
      </x:c>
      <x:c r="H136" s="23" t="n">
        <x:f>IF(D136=F136,0,1)+IF(E136=G136,0,1)</x:f>
        <x:v>0</x:v>
      </x:c>
      <x:c r="I136" s="23" t="str">
        <x:v>Timing T20 / fictional rates</x:v>
      </x:c>
    </x:row>
    <x:row r="137" ht="21" customHeight="1">
      <x:c r="A137" s="23" t="str">
        <x:v>front_high</x:v>
      </x:c>
      <x:c r="B137" s="23" t="n">
        <x:v>34</x:v>
      </x:c>
      <x:c r="C137" s="37" t="n">
        <x:v>49491</x:v>
      </x:c>
      <x:c r="D137" s="55" t="n">
        <x:v>0</x:v>
      </x:c>
      <x:c r="E137" s="55" t="n">
        <x:v>0.06</x:v>
      </x:c>
      <x:c r="F137" s="60" t="n">
        <x:v>0</x:v>
      </x:c>
      <x:c r="G137" s="60" t="n">
        <x:v>0.06</x:v>
      </x:c>
      <x:c r="H137" s="23" t="n">
        <x:f>IF(D137=F137,0,1)+IF(E137=G137,0,1)</x:f>
        <x:v>0</x:v>
      </x:c>
      <x:c r="I137" s="23" t="str">
        <x:v>Timing T20 / fictional rates</x:v>
      </x:c>
    </x:row>
    <x:row r="138" ht="21" customHeight="1">
      <x:c r="A138" s="23" t="str">
        <x:v>front_high</x:v>
      </x:c>
      <x:c r="B138" s="23" t="n">
        <x:v>35</x:v>
      </x:c>
      <x:c r="C138" s="37" t="n">
        <x:v>49583</x:v>
      </x:c>
      <x:c r="D138" s="55" t="n">
        <x:v>0</x:v>
      </x:c>
      <x:c r="E138" s="55" t="n">
        <x:v>0.06</x:v>
      </x:c>
      <x:c r="F138" s="60" t="n">
        <x:v>0</x:v>
      </x:c>
      <x:c r="G138" s="60" t="n">
        <x:v>0.06</x:v>
      </x:c>
      <x:c r="H138" s="23" t="n">
        <x:f>IF(D138=F138,0,1)+IF(E138=G138,0,1)</x:f>
        <x:v>0</x:v>
      </x:c>
      <x:c r="I138" s="23" t="str">
        <x:v>Timing T20 / fictional rates</x:v>
      </x:c>
    </x:row>
    <x:row r="139" ht="21" customHeight="1">
      <x:c r="A139" s="23" t="str">
        <x:v>front_high</x:v>
      </x:c>
      <x:c r="B139" s="23" t="n">
        <x:v>36</x:v>
      </x:c>
      <x:c r="C139" s="37" t="n">
        <x:v>49675</x:v>
      </x:c>
      <x:c r="D139" s="55" t="n">
        <x:v>0</x:v>
      </x:c>
      <x:c r="E139" s="55" t="n">
        <x:v>0.06</x:v>
      </x:c>
      <x:c r="F139" s="60" t="n">
        <x:v>0</x:v>
      </x:c>
      <x:c r="G139" s="60" t="n">
        <x:v>0.06</x:v>
      </x:c>
      <x:c r="H139" s="23" t="n">
        <x:f>IF(D139=F139,0,1)+IF(E139=G139,0,1)</x:f>
        <x:v>0</x:v>
      </x:c>
      <x:c r="I139" s="23" t="str">
        <x:v>Timing T20 / fictional rates</x:v>
      </x:c>
    </x:row>
    <x:row r="140" ht="21" customHeight="1">
      <x:c r="A140" s="23" t="str">
        <x:v>front_high</x:v>
      </x:c>
      <x:c r="B140" s="23" t="n">
        <x:v>37</x:v>
      </x:c>
      <x:c r="C140" s="37" t="n">
        <x:v>49766</x:v>
      </x:c>
      <x:c r="D140" s="55" t="n">
        <x:v>0</x:v>
      </x:c>
      <x:c r="E140" s="55" t="n">
        <x:v>0.06</x:v>
      </x:c>
      <x:c r="F140" s="60" t="n">
        <x:v>0</x:v>
      </x:c>
      <x:c r="G140" s="60" t="n">
        <x:v>0.06</x:v>
      </x:c>
      <x:c r="H140" s="23" t="n">
        <x:f>IF(D140=F140,0,1)+IF(E140=G140,0,1)</x:f>
        <x:v>0</x:v>
      </x:c>
      <x:c r="I140" s="23" t="str">
        <x:v>Timing T20 / fictional rates</x:v>
      </x:c>
    </x:row>
    <x:row r="141" ht="21" customHeight="1">
      <x:c r="A141" s="23" t="str">
        <x:v>front_high</x:v>
      </x:c>
      <x:c r="B141" s="23" t="n">
        <x:v>38</x:v>
      </x:c>
      <x:c r="C141" s="37" t="n">
        <x:v>49857</x:v>
      </x:c>
      <x:c r="D141" s="55" t="n">
        <x:v>0</x:v>
      </x:c>
      <x:c r="E141" s="55" t="n">
        <x:v>0.06</x:v>
      </x:c>
      <x:c r="F141" s="60" t="n">
        <x:v>0</x:v>
      </x:c>
      <x:c r="G141" s="60" t="n">
        <x:v>0.06</x:v>
      </x:c>
      <x:c r="H141" s="23" t="n">
        <x:f>IF(D141=F141,0,1)+IF(E141=G141,0,1)</x:f>
        <x:v>0</x:v>
      </x:c>
      <x:c r="I141" s="23" t="str">
        <x:v>Timing T20 / fictional rates</x:v>
      </x:c>
    </x:row>
    <x:row r="142" ht="21" customHeight="1">
      <x:c r="A142" s="23" t="str">
        <x:v>front_high</x:v>
      </x:c>
      <x:c r="B142" s="23" t="n">
        <x:v>39</x:v>
      </x:c>
      <x:c r="C142" s="37" t="n">
        <x:v>49949</x:v>
      </x:c>
      <x:c r="D142" s="55" t="n">
        <x:v>0</x:v>
      </x:c>
      <x:c r="E142" s="55" t="n">
        <x:v>0.06</x:v>
      </x:c>
      <x:c r="F142" s="60" t="n">
        <x:v>0</x:v>
      </x:c>
      <x:c r="G142" s="60" t="n">
        <x:v>0.06</x:v>
      </x:c>
      <x:c r="H142" s="23" t="n">
        <x:f>IF(D142=F142,0,1)+IF(E142=G142,0,1)</x:f>
        <x:v>0</x:v>
      </x:c>
      <x:c r="I142" s="23" t="str">
        <x:v>Timing T20 / fictional rates</x:v>
      </x:c>
    </x:row>
    <x:row r="143" ht="21" customHeight="1">
      <x:c r="A143" s="23" t="str">
        <x:v>front_high</x:v>
      </x:c>
      <x:c r="B143" s="23" t="n">
        <x:v>40</x:v>
      </x:c>
      <x:c r="C143" s="37" t="n">
        <x:v>50041</x:v>
      </x:c>
      <x:c r="D143" s="55" t="n">
        <x:v>0</x:v>
      </x:c>
      <x:c r="E143" s="55" t="n">
        <x:v>0.06</x:v>
      </x:c>
      <x:c r="F143" s="60" t="n">
        <x:v>0</x:v>
      </x:c>
      <x:c r="G143" s="60" t="n">
        <x:v>0.06</x:v>
      </x:c>
      <x:c r="H143" s="23" t="n">
        <x:f>IF(D143=F143,0,1)+IF(E143=G143,0,1)</x:f>
        <x:v>0</x:v>
      </x:c>
      <x:c r="I143" s="23" t="str">
        <x:v>Timing T20 / fictional rates</x:v>
      </x:c>
    </x:row>
    <x:row r="144" ht="21" customHeight="1">
      <x:c r="A144" s="23" t="str">
        <x:v>front_high</x:v>
      </x:c>
      <x:c r="B144" s="23" t="n">
        <x:v>41</x:v>
      </x:c>
      <x:c r="C144" s="37" t="n">
        <x:v>50131</x:v>
      </x:c>
      <x:c r="D144" s="55" t="n">
        <x:v>0</x:v>
      </x:c>
      <x:c r="E144" s="55" t="n">
        <x:v>0.06</x:v>
      </x:c>
      <x:c r="F144" s="60" t="n">
        <x:v>0</x:v>
      </x:c>
      <x:c r="G144" s="60" t="n">
        <x:v>0.06</x:v>
      </x:c>
      <x:c r="H144" s="23" t="n">
        <x:f>IF(D144=F144,0,1)+IF(E144=G144,0,1)</x:f>
        <x:v>0</x:v>
      </x:c>
      <x:c r="I144" s="23" t="str">
        <x:v>Timing T20 / fictional rates</x:v>
      </x:c>
    </x:row>
    <x:row r="145" ht="21" customHeight="1">
      <x:c r="A145" s="23" t="str">
        <x:v>front_high</x:v>
      </x:c>
      <x:c r="B145" s="23" t="n">
        <x:v>42</x:v>
      </x:c>
      <x:c r="C145" s="37" t="n">
        <x:v>50222</x:v>
      </x:c>
      <x:c r="D145" s="55" t="n">
        <x:v>0</x:v>
      </x:c>
      <x:c r="E145" s="55" t="n">
        <x:v>0.06</x:v>
      </x:c>
      <x:c r="F145" s="60" t="n">
        <x:v>0</x:v>
      </x:c>
      <x:c r="G145" s="60" t="n">
        <x:v>0.06</x:v>
      </x:c>
      <x:c r="H145" s="23" t="n">
        <x:f>IF(D145=F145,0,1)+IF(E145=G145,0,1)</x:f>
        <x:v>0</x:v>
      </x:c>
      <x:c r="I145" s="23" t="str">
        <x:v>Timing T20 / fictional rates</x:v>
      </x:c>
    </x:row>
    <x:row r="146" ht="21" customHeight="1">
      <x:c r="A146" s="23" t="str">
        <x:v>front_high</x:v>
      </x:c>
      <x:c r="B146" s="23" t="n">
        <x:v>43</x:v>
      </x:c>
      <x:c r="C146" s="37" t="n">
        <x:v>50314</x:v>
      </x:c>
      <x:c r="D146" s="55" t="n">
        <x:v>0</x:v>
      </x:c>
      <x:c r="E146" s="55" t="n">
        <x:v>0.06</x:v>
      </x:c>
      <x:c r="F146" s="60" t="n">
        <x:v>0</x:v>
      </x:c>
      <x:c r="G146" s="60" t="n">
        <x:v>0.06</x:v>
      </x:c>
      <x:c r="H146" s="23" t="n">
        <x:f>IF(D146=F146,0,1)+IF(E146=G146,0,1)</x:f>
        <x:v>0</x:v>
      </x:c>
      <x:c r="I146" s="23" t="str">
        <x:v>Timing T20 / fictional rates</x:v>
      </x:c>
    </x:row>
    <x:row r="147" ht="21" customHeight="1">
      <x:c r="A147" s="23" t="str">
        <x:v>front_high</x:v>
      </x:c>
      <x:c r="B147" s="23" t="n">
        <x:v>44</x:v>
      </x:c>
      <x:c r="C147" s="37" t="n">
        <x:v>50406</x:v>
      </x:c>
      <x:c r="D147" s="55" t="n">
        <x:v>0</x:v>
      </x:c>
      <x:c r="E147" s="55" t="n">
        <x:v>0.06</x:v>
      </x:c>
      <x:c r="F147" s="60" t="n">
        <x:v>0</x:v>
      </x:c>
      <x:c r="G147" s="60" t="n">
        <x:v>0.06</x:v>
      </x:c>
      <x:c r="H147" s="23" t="n">
        <x:f>IF(D147=F147,0,1)+IF(E147=G147,0,1)</x:f>
        <x:v>0</x:v>
      </x:c>
      <x:c r="I147" s="23" t="str">
        <x:v>Timing T20 / fictional rates</x:v>
      </x:c>
    </x:row>
    <x:row r="148" ht="21" customHeight="1">
      <x:c r="A148" s="23" t="str">
        <x:v>front_high</x:v>
      </x:c>
      <x:c r="B148" s="23" t="n">
        <x:v>45</x:v>
      </x:c>
      <x:c r="C148" s="37" t="n">
        <x:v>50496</x:v>
      </x:c>
      <x:c r="D148" s="55" t="n">
        <x:v>0</x:v>
      </x:c>
      <x:c r="E148" s="55" t="n">
        <x:v>0.06</x:v>
      </x:c>
      <x:c r="F148" s="60" t="n">
        <x:v>0</x:v>
      </x:c>
      <x:c r="G148" s="60" t="n">
        <x:v>0.06</x:v>
      </x:c>
      <x:c r="H148" s="23" t="n">
        <x:f>IF(D148=F148,0,1)+IF(E148=G148,0,1)</x:f>
        <x:v>0</x:v>
      </x:c>
      <x:c r="I148" s="23" t="str">
        <x:v>Timing T20 / fictional rates</x:v>
      </x:c>
    </x:row>
    <x:row r="149" ht="21" customHeight="1">
      <x:c r="A149" s="23" t="str">
        <x:v>front_high</x:v>
      </x:c>
      <x:c r="B149" s="23" t="n">
        <x:v>46</x:v>
      </x:c>
      <x:c r="C149" s="37" t="n">
        <x:v>50587</x:v>
      </x:c>
      <x:c r="D149" s="55" t="n">
        <x:v>0</x:v>
      </x:c>
      <x:c r="E149" s="55" t="n">
        <x:v>0.06</x:v>
      </x:c>
      <x:c r="F149" s="60" t="n">
        <x:v>0</x:v>
      </x:c>
      <x:c r="G149" s="60" t="n">
        <x:v>0.06</x:v>
      </x:c>
      <x:c r="H149" s="23" t="n">
        <x:f>IF(D149=F149,0,1)+IF(E149=G149,0,1)</x:f>
        <x:v>0</x:v>
      </x:c>
      <x:c r="I149" s="23" t="str">
        <x:v>Timing T20 / fictional rates</x:v>
      </x:c>
    </x:row>
    <x:row r="150" ht="21" customHeight="1">
      <x:c r="A150" s="23" t="str">
        <x:v>front_high</x:v>
      </x:c>
      <x:c r="B150" s="23" t="n">
        <x:v>47</x:v>
      </x:c>
      <x:c r="C150" s="37" t="n">
        <x:v>50679</x:v>
      </x:c>
      <x:c r="D150" s="55" t="n">
        <x:v>0</x:v>
      </x:c>
      <x:c r="E150" s="55" t="n">
        <x:v>0.06</x:v>
      </x:c>
      <x:c r="F150" s="60" t="n">
        <x:v>0</x:v>
      </x:c>
      <x:c r="G150" s="60" t="n">
        <x:v>0.06</x:v>
      </x:c>
      <x:c r="H150" s="23" t="n">
        <x:f>IF(D150=F150,0,1)+IF(E150=G150,0,1)</x:f>
        <x:v>0</x:v>
      </x:c>
      <x:c r="I150" s="23" t="str">
        <x:v>Timing T20 / fictional rates</x:v>
      </x:c>
    </x:row>
    <x:row r="151" ht="21" customHeight="1">
      <x:c r="A151" s="23" t="str">
        <x:v>front_high</x:v>
      </x:c>
      <x:c r="B151" s="23" t="n">
        <x:v>48</x:v>
      </x:c>
      <x:c r="C151" s="37" t="n">
        <x:v>50771</x:v>
      </x:c>
      <x:c r="D151" s="55" t="n">
        <x:v>0</x:v>
      </x:c>
      <x:c r="E151" s="55" t="n">
        <x:v>0.06</x:v>
      </x:c>
      <x:c r="F151" s="60" t="n">
        <x:v>0</x:v>
      </x:c>
      <x:c r="G151" s="60" t="n">
        <x:v>0.06</x:v>
      </x:c>
      <x:c r="H151" s="23" t="n">
        <x:f>IF(D151=F151,0,1)+IF(E151=G151,0,1)</x:f>
        <x:v>0</x:v>
      </x:c>
      <x:c r="I151" s="23" t="str">
        <x:v>Timing T20 / fictional rates</x:v>
      </x:c>
    </x:row>
    <x:row r="152" ht="21" customHeight="1">
      <x:c r="A152" s="23" t="str">
        <x:v>middle_flat</x:v>
      </x:c>
      <x:c r="B152" s="23" t="n">
        <x:v>1</x:v>
      </x:c>
      <x:c r="C152" s="37" t="n">
        <x:v>46478</x:v>
      </x:c>
      <x:c r="D152" s="55" t="n">
        <x:v>0.04</x:v>
      </x:c>
      <x:c r="E152" s="55" t="n">
        <x:v>0.03</x:v>
      </x:c>
      <x:c r="F152" s="60" t="n">
        <x:v>0.04</x:v>
      </x:c>
      <x:c r="G152" s="60" t="n">
        <x:v>0.03</x:v>
      </x:c>
      <x:c r="H152" s="23" t="n">
        <x:f>IF(D152=F152,0,1)+IF(E152=G152,0,1)</x:f>
        <x:v>0</x:v>
      </x:c>
      <x:c r="I152" s="23" t="str">
        <x:v>Timing T20 / fictional rates</x:v>
      </x:c>
    </x:row>
    <x:row r="153" ht="21" customHeight="1">
      <x:c r="A153" s="23" t="str">
        <x:v>middle_flat</x:v>
      </x:c>
      <x:c r="B153" s="23" t="n">
        <x:v>2</x:v>
      </x:c>
      <x:c r="C153" s="37" t="n">
        <x:v>46569</x:v>
      </x:c>
      <x:c r="D153" s="55" t="n">
        <x:v>0.04</x:v>
      </x:c>
      <x:c r="E153" s="55" t="n">
        <x:v>0.03</x:v>
      </x:c>
      <x:c r="F153" s="60" t="n">
        <x:v>0.04</x:v>
      </x:c>
      <x:c r="G153" s="60" t="n">
        <x:v>0.03</x:v>
      </x:c>
      <x:c r="H153" s="23" t="n">
        <x:f>IF(D153=F153,0,1)+IF(E153=G153,0,1)</x:f>
        <x:v>0</x:v>
      </x:c>
      <x:c r="I153" s="23" t="str">
        <x:v>Timing T20 / fictional rates</x:v>
      </x:c>
    </x:row>
    <x:row r="154" ht="21" customHeight="1">
      <x:c r="A154" s="23" t="str">
        <x:v>middle_flat</x:v>
      </x:c>
      <x:c r="B154" s="23" t="n">
        <x:v>3</x:v>
      </x:c>
      <x:c r="C154" s="37" t="n">
        <x:v>46661</x:v>
      </x:c>
      <x:c r="D154" s="55" t="n">
        <x:v>0.04</x:v>
      </x:c>
      <x:c r="E154" s="55" t="n">
        <x:v>0.03</x:v>
      </x:c>
      <x:c r="F154" s="60" t="n">
        <x:v>0.04</x:v>
      </x:c>
      <x:c r="G154" s="60" t="n">
        <x:v>0.03</x:v>
      </x:c>
      <x:c r="H154" s="23" t="n">
        <x:f>IF(D154=F154,0,1)+IF(E154=G154,0,1)</x:f>
        <x:v>0</x:v>
      </x:c>
      <x:c r="I154" s="23" t="str">
        <x:v>Timing T20 / fictional rates</x:v>
      </x:c>
    </x:row>
    <x:row r="155" ht="21" customHeight="1">
      <x:c r="A155" s="23" t="str">
        <x:v>middle_flat</x:v>
      </x:c>
      <x:c r="B155" s="23" t="n">
        <x:v>4</x:v>
      </x:c>
      <x:c r="C155" s="37" t="n">
        <x:v>46753</x:v>
      </x:c>
      <x:c r="D155" s="55" t="n">
        <x:v>0.04</x:v>
      </x:c>
      <x:c r="E155" s="55" t="n">
        <x:v>0.03</x:v>
      </x:c>
      <x:c r="F155" s="60" t="n">
        <x:v>0.04</x:v>
      </x:c>
      <x:c r="G155" s="60" t="n">
        <x:v>0.03</x:v>
      </x:c>
      <x:c r="H155" s="23" t="n">
        <x:f>IF(D155=F155,0,1)+IF(E155=G155,0,1)</x:f>
        <x:v>0</x:v>
      </x:c>
      <x:c r="I155" s="23" t="str">
        <x:v>Timing T20 / fictional rates</x:v>
      </x:c>
    </x:row>
    <x:row r="156" ht="21" customHeight="1">
      <x:c r="A156" s="23" t="str">
        <x:v>middle_flat</x:v>
      </x:c>
      <x:c r="B156" s="23" t="n">
        <x:v>5</x:v>
      </x:c>
      <x:c r="C156" s="37" t="n">
        <x:v>46844</x:v>
      </x:c>
      <x:c r="D156" s="55" t="n">
        <x:v>0.0575</x:v>
      </x:c>
      <x:c r="E156" s="55" t="n">
        <x:v>0.03</x:v>
      </x:c>
      <x:c r="F156" s="60" t="n">
        <x:v>0.0575</x:v>
      </x:c>
      <x:c r="G156" s="60" t="n">
        <x:v>0.03</x:v>
      </x:c>
      <x:c r="H156" s="23" t="n">
        <x:f>IF(D156=F156,0,1)+IF(E156=G156,0,1)</x:f>
        <x:v>0</x:v>
      </x:c>
      <x:c r="I156" s="23" t="str">
        <x:v>Timing T20 / fictional rates</x:v>
      </x:c>
    </x:row>
    <x:row r="157" ht="21" customHeight="1">
      <x:c r="A157" s="23" t="str">
        <x:v>middle_flat</x:v>
      </x:c>
      <x:c r="B157" s="23" t="n">
        <x:v>6</x:v>
      </x:c>
      <x:c r="C157" s="37" t="n">
        <x:v>46935</x:v>
      </x:c>
      <x:c r="D157" s="55" t="n">
        <x:v>0.0575</x:v>
      </x:c>
      <x:c r="E157" s="55" t="n">
        <x:v>0.03</x:v>
      </x:c>
      <x:c r="F157" s="60" t="n">
        <x:v>0.0575</x:v>
      </x:c>
      <x:c r="G157" s="60" t="n">
        <x:v>0.03</x:v>
      </x:c>
      <x:c r="H157" s="23" t="n">
        <x:f>IF(D157=F157,0,1)+IF(E157=G157,0,1)</x:f>
        <x:v>0</x:v>
      </x:c>
      <x:c r="I157" s="23" t="str">
        <x:v>Timing T20 / fictional rates</x:v>
      </x:c>
    </x:row>
    <x:row r="158" ht="21" customHeight="1">
      <x:c r="A158" s="23" t="str">
        <x:v>middle_flat</x:v>
      </x:c>
      <x:c r="B158" s="23" t="n">
        <x:v>7</x:v>
      </x:c>
      <x:c r="C158" s="37" t="n">
        <x:v>47027</x:v>
      </x:c>
      <x:c r="D158" s="55" t="n">
        <x:v>0.0575</x:v>
      </x:c>
      <x:c r="E158" s="55" t="n">
        <x:v>0.03</x:v>
      </x:c>
      <x:c r="F158" s="60" t="n">
        <x:v>0.0575</x:v>
      </x:c>
      <x:c r="G158" s="60" t="n">
        <x:v>0.03</x:v>
      </x:c>
      <x:c r="H158" s="23" t="n">
        <x:f>IF(D158=F158,0,1)+IF(E158=G158,0,1)</x:f>
        <x:v>0</x:v>
      </x:c>
      <x:c r="I158" s="23" t="str">
        <x:v>Timing T20 / fictional rates</x:v>
      </x:c>
    </x:row>
    <x:row r="159" ht="21" customHeight="1">
      <x:c r="A159" s="23" t="str">
        <x:v>middle_flat</x:v>
      </x:c>
      <x:c r="B159" s="23" t="n">
        <x:v>8</x:v>
      </x:c>
      <x:c r="C159" s="37" t="n">
        <x:v>47119</x:v>
      </x:c>
      <x:c r="D159" s="55" t="n">
        <x:v>0.0575</x:v>
      </x:c>
      <x:c r="E159" s="55" t="n">
        <x:v>0.03</x:v>
      </x:c>
      <x:c r="F159" s="60" t="n">
        <x:v>0.0575</x:v>
      </x:c>
      <x:c r="G159" s="60" t="n">
        <x:v>0.03</x:v>
      </x:c>
      <x:c r="H159" s="23" t="n">
        <x:f>IF(D159=F159,0,1)+IF(E159=G159,0,1)</x:f>
        <x:v>0</x:v>
      </x:c>
      <x:c r="I159" s="23" t="str">
        <x:v>Timing T20 / fictional rates</x:v>
      </x:c>
    </x:row>
    <x:row r="160" ht="21" customHeight="1">
      <x:c r="A160" s="23" t="str">
        <x:v>middle_flat</x:v>
      </x:c>
      <x:c r="B160" s="23" t="n">
        <x:v>9</x:v>
      </x:c>
      <x:c r="C160" s="37" t="n">
        <x:v>47209</x:v>
      </x:c>
      <x:c r="D160" s="55" t="n">
        <x:v>0.065</x:v>
      </x:c>
      <x:c r="E160" s="55" t="n">
        <x:v>0.03</x:v>
      </x:c>
      <x:c r="F160" s="60" t="n">
        <x:v>0.065</x:v>
      </x:c>
      <x:c r="G160" s="60" t="n">
        <x:v>0.03</x:v>
      </x:c>
      <x:c r="H160" s="23" t="n">
        <x:f>IF(D160=F160,0,1)+IF(E160=G160,0,1)</x:f>
        <x:v>0</x:v>
      </x:c>
      <x:c r="I160" s="23" t="str">
        <x:v>Timing T20 / fictional rates</x:v>
      </x:c>
    </x:row>
    <x:row r="161" ht="21" customHeight="1">
      <x:c r="A161" s="23" t="str">
        <x:v>middle_flat</x:v>
      </x:c>
      <x:c r="B161" s="23" t="n">
        <x:v>10</x:v>
      </x:c>
      <x:c r="C161" s="37" t="n">
        <x:v>47300</x:v>
      </x:c>
      <x:c r="D161" s="55" t="n">
        <x:v>0.065</x:v>
      </x:c>
      <x:c r="E161" s="55" t="n">
        <x:v>0.03</x:v>
      </x:c>
      <x:c r="F161" s="60" t="n">
        <x:v>0.065</x:v>
      </x:c>
      <x:c r="G161" s="60" t="n">
        <x:v>0.03</x:v>
      </x:c>
      <x:c r="H161" s="23" t="n">
        <x:f>IF(D161=F161,0,1)+IF(E161=G161,0,1)</x:f>
        <x:v>0</x:v>
      </x:c>
      <x:c r="I161" s="23" t="str">
        <x:v>Timing T20 / fictional rates</x:v>
      </x:c>
    </x:row>
    <x:row r="162" ht="21" customHeight="1">
      <x:c r="A162" s="23" t="str">
        <x:v>middle_flat</x:v>
      </x:c>
      <x:c r="B162" s="23" t="n">
        <x:v>11</x:v>
      </x:c>
      <x:c r="C162" s="37" t="n">
        <x:v>47392</x:v>
      </x:c>
      <x:c r="D162" s="55" t="n">
        <x:v>0.065</x:v>
      </x:c>
      <x:c r="E162" s="55" t="n">
        <x:v>0.03</x:v>
      </x:c>
      <x:c r="F162" s="60" t="n">
        <x:v>0.065</x:v>
      </x:c>
      <x:c r="G162" s="60" t="n">
        <x:v>0.03</x:v>
      </x:c>
      <x:c r="H162" s="23" t="n">
        <x:f>IF(D162=F162,0,1)+IF(E162=G162,0,1)</x:f>
        <x:v>0</x:v>
      </x:c>
      <x:c r="I162" s="23" t="str">
        <x:v>Timing T20 / fictional rates</x:v>
      </x:c>
    </x:row>
    <x:row r="163" ht="21" customHeight="1">
      <x:c r="A163" s="23" t="str">
        <x:v>middle_flat</x:v>
      </x:c>
      <x:c r="B163" s="23" t="n">
        <x:v>12</x:v>
      </x:c>
      <x:c r="C163" s="37" t="n">
        <x:v>47484</x:v>
      </x:c>
      <x:c r="D163" s="55" t="n">
        <x:v>0.065</x:v>
      </x:c>
      <x:c r="E163" s="55" t="n">
        <x:v>0.03</x:v>
      </x:c>
      <x:c r="F163" s="60" t="n">
        <x:v>0.065</x:v>
      </x:c>
      <x:c r="G163" s="60" t="n">
        <x:v>0.03</x:v>
      </x:c>
      <x:c r="H163" s="23" t="n">
        <x:f>IF(D163=F163,0,1)+IF(E163=G163,0,1)</x:f>
        <x:v>0</x:v>
      </x:c>
      <x:c r="I163" s="23" t="str">
        <x:v>Timing T20 / fictional rates</x:v>
      </x:c>
    </x:row>
    <x:row r="164" ht="21" customHeight="1">
      <x:c r="A164" s="23" t="str">
        <x:v>middle_flat</x:v>
      </x:c>
      <x:c r="B164" s="23" t="n">
        <x:v>13</x:v>
      </x:c>
      <x:c r="C164" s="37" t="n">
        <x:v>47574</x:v>
      </x:c>
      <x:c r="D164" s="55" t="n">
        <x:v>0.055</x:v>
      </x:c>
      <x:c r="E164" s="55" t="n">
        <x:v>0.03</x:v>
      </x:c>
      <x:c r="F164" s="60" t="n">
        <x:v>0.055</x:v>
      </x:c>
      <x:c r="G164" s="60" t="n">
        <x:v>0.03</x:v>
      </x:c>
      <x:c r="H164" s="23" t="n">
        <x:f>IF(D164=F164,0,1)+IF(E164=G164,0,1)</x:f>
        <x:v>0</x:v>
      </x:c>
      <x:c r="I164" s="23" t="str">
        <x:v>Timing T20 / fictional rates</x:v>
      </x:c>
    </x:row>
    <x:row r="165" ht="21" customHeight="1">
      <x:c r="A165" s="23" t="str">
        <x:v>middle_flat</x:v>
      </x:c>
      <x:c r="B165" s="23" t="n">
        <x:v>14</x:v>
      </x:c>
      <x:c r="C165" s="37" t="n">
        <x:v>47665</x:v>
      </x:c>
      <x:c r="D165" s="55" t="n">
        <x:v>0.055</x:v>
      </x:c>
      <x:c r="E165" s="55" t="n">
        <x:v>0.03</x:v>
      </x:c>
      <x:c r="F165" s="60" t="n">
        <x:v>0.055</x:v>
      </x:c>
      <x:c r="G165" s="60" t="n">
        <x:v>0.03</x:v>
      </x:c>
      <x:c r="H165" s="23" t="n">
        <x:f>IF(D165=F165,0,1)+IF(E165=G165,0,1)</x:f>
        <x:v>0</x:v>
      </x:c>
      <x:c r="I165" s="23" t="str">
        <x:v>Timing T20 / fictional rates</x:v>
      </x:c>
    </x:row>
    <x:row r="166" ht="21" customHeight="1">
      <x:c r="A166" s="23" t="str">
        <x:v>middle_flat</x:v>
      </x:c>
      <x:c r="B166" s="23" t="n">
        <x:v>15</x:v>
      </x:c>
      <x:c r="C166" s="37" t="n">
        <x:v>47757</x:v>
      </x:c>
      <x:c r="D166" s="55" t="n">
        <x:v>0.055</x:v>
      </x:c>
      <x:c r="E166" s="55" t="n">
        <x:v>0.03</x:v>
      </x:c>
      <x:c r="F166" s="60" t="n">
        <x:v>0.055</x:v>
      </x:c>
      <x:c r="G166" s="60" t="n">
        <x:v>0.03</x:v>
      </x:c>
      <x:c r="H166" s="23" t="n">
        <x:f>IF(D166=F166,0,1)+IF(E166=G166,0,1)</x:f>
        <x:v>0</x:v>
      </x:c>
      <x:c r="I166" s="23" t="str">
        <x:v>Timing T20 / fictional rates</x:v>
      </x:c>
    </x:row>
    <x:row r="167" ht="21" customHeight="1">
      <x:c r="A167" s="23" t="str">
        <x:v>middle_flat</x:v>
      </x:c>
      <x:c r="B167" s="23" t="n">
        <x:v>16</x:v>
      </x:c>
      <x:c r="C167" s="37" t="n">
        <x:v>47849</x:v>
      </x:c>
      <x:c r="D167" s="55" t="n">
        <x:v>0.055</x:v>
      </x:c>
      <x:c r="E167" s="55" t="n">
        <x:v>0.03</x:v>
      </x:c>
      <x:c r="F167" s="60" t="n">
        <x:v>0.055</x:v>
      </x:c>
      <x:c r="G167" s="60" t="n">
        <x:v>0.03</x:v>
      </x:c>
      <x:c r="H167" s="23" t="n">
        <x:f>IF(D167=F167,0,1)+IF(E167=G167,0,1)</x:f>
        <x:v>0</x:v>
      </x:c>
      <x:c r="I167" s="23" t="str">
        <x:v>Timing T20 / fictional rates</x:v>
      </x:c>
    </x:row>
    <x:row r="168" ht="21" customHeight="1">
      <x:c r="A168" s="23" t="str">
        <x:v>middle_flat</x:v>
      </x:c>
      <x:c r="B168" s="23" t="n">
        <x:v>17</x:v>
      </x:c>
      <x:c r="C168" s="37" t="n">
        <x:v>47939</x:v>
      </x:c>
      <x:c r="D168" s="55" t="n">
        <x:v>0.0325</x:v>
      </x:c>
      <x:c r="E168" s="55" t="n">
        <x:v>0.03</x:v>
      </x:c>
      <x:c r="F168" s="60" t="n">
        <x:v>0.0325</x:v>
      </x:c>
      <x:c r="G168" s="60" t="n">
        <x:v>0.03</x:v>
      </x:c>
      <x:c r="H168" s="23" t="n">
        <x:f>IF(D168=F168,0,1)+IF(E168=G168,0,1)</x:f>
        <x:v>0</x:v>
      </x:c>
      <x:c r="I168" s="23" t="str">
        <x:v>Timing T20 / fictional rates</x:v>
      </x:c>
    </x:row>
    <x:row r="169" ht="21" customHeight="1">
      <x:c r="A169" s="23" t="str">
        <x:v>middle_flat</x:v>
      </x:c>
      <x:c r="B169" s="23" t="n">
        <x:v>18</x:v>
      </x:c>
      <x:c r="C169" s="37" t="n">
        <x:v>48030</x:v>
      </x:c>
      <x:c r="D169" s="55" t="n">
        <x:v>0.0325</x:v>
      </x:c>
      <x:c r="E169" s="55" t="n">
        <x:v>0.03</x:v>
      </x:c>
      <x:c r="F169" s="60" t="n">
        <x:v>0.0325</x:v>
      </x:c>
      <x:c r="G169" s="60" t="n">
        <x:v>0.03</x:v>
      </x:c>
      <x:c r="H169" s="23" t="n">
        <x:f>IF(D169=F169,0,1)+IF(E169=G169,0,1)</x:f>
        <x:v>0</x:v>
      </x:c>
      <x:c r="I169" s="23" t="str">
        <x:v>Timing T20 / fictional rates</x:v>
      </x:c>
    </x:row>
    <x:row r="170" ht="21" customHeight="1">
      <x:c r="A170" s="23" t="str">
        <x:v>middle_flat</x:v>
      </x:c>
      <x:c r="B170" s="23" t="n">
        <x:v>19</x:v>
      </x:c>
      <x:c r="C170" s="37" t="n">
        <x:v>48122</x:v>
      </x:c>
      <x:c r="D170" s="55" t="n">
        <x:v>0.0325</x:v>
      </x:c>
      <x:c r="E170" s="55" t="n">
        <x:v>0.03</x:v>
      </x:c>
      <x:c r="F170" s="60" t="n">
        <x:v>0.0325</x:v>
      </x:c>
      <x:c r="G170" s="60" t="n">
        <x:v>0.03</x:v>
      </x:c>
      <x:c r="H170" s="23" t="n">
        <x:f>IF(D170=F170,0,1)+IF(E170=G170,0,1)</x:f>
        <x:v>0</x:v>
      </x:c>
      <x:c r="I170" s="23" t="str">
        <x:v>Timing T20 / fictional rates</x:v>
      </x:c>
    </x:row>
    <x:row r="171" ht="21" customHeight="1">
      <x:c r="A171" s="23" t="str">
        <x:v>middle_flat</x:v>
      </x:c>
      <x:c r="B171" s="23" t="n">
        <x:v>20</x:v>
      </x:c>
      <x:c r="C171" s="37" t="n">
        <x:v>48214</x:v>
      </x:c>
      <x:c r="D171" s="55" t="n">
        <x:v>0.0325</x:v>
      </x:c>
      <x:c r="E171" s="55" t="n">
        <x:v>0.03</x:v>
      </x:c>
      <x:c r="F171" s="60" t="n">
        <x:v>0.0325</x:v>
      </x:c>
      <x:c r="G171" s="60" t="n">
        <x:v>0.03</x:v>
      </x:c>
      <x:c r="H171" s="23" t="n">
        <x:f>IF(D171=F171,0,1)+IF(E171=G171,0,1)</x:f>
        <x:v>0</x:v>
      </x:c>
      <x:c r="I171" s="23" t="str">
        <x:v>Timing T20 / fictional rates</x:v>
      </x:c>
    </x:row>
    <x:row r="172" ht="21" customHeight="1">
      <x:c r="A172" s="23" t="str">
        <x:v>middle_flat</x:v>
      </x:c>
      <x:c r="B172" s="23" t="n">
        <x:v>21</x:v>
      </x:c>
      <x:c r="C172" s="37" t="n">
        <x:v>48305</x:v>
      </x:c>
      <x:c r="D172" s="55" t="n">
        <x:v>0</x:v>
      </x:c>
      <x:c r="E172" s="55" t="n">
        <x:v>0.03</x:v>
      </x:c>
      <x:c r="F172" s="60" t="n">
        <x:v>0</x:v>
      </x:c>
      <x:c r="G172" s="60" t="n">
        <x:v>0.03</x:v>
      </x:c>
      <x:c r="H172" s="23" t="n">
        <x:f>IF(D172=F172,0,1)+IF(E172=G172,0,1)</x:f>
        <x:v>0</x:v>
      </x:c>
      <x:c r="I172" s="23" t="str">
        <x:v>Timing T20 / fictional rates</x:v>
      </x:c>
    </x:row>
    <x:row r="173" ht="21" customHeight="1">
      <x:c r="A173" s="23" t="str">
        <x:v>middle_flat</x:v>
      </x:c>
      <x:c r="B173" s="23" t="n">
        <x:v>22</x:v>
      </x:c>
      <x:c r="C173" s="37" t="n">
        <x:v>48396</x:v>
      </x:c>
      <x:c r="D173" s="55" t="n">
        <x:v>0</x:v>
      </x:c>
      <x:c r="E173" s="55" t="n">
        <x:v>0.03</x:v>
      </x:c>
      <x:c r="F173" s="60" t="n">
        <x:v>0</x:v>
      </x:c>
      <x:c r="G173" s="60" t="n">
        <x:v>0.03</x:v>
      </x:c>
      <x:c r="H173" s="23" t="n">
        <x:f>IF(D173=F173,0,1)+IF(E173=G173,0,1)</x:f>
        <x:v>0</x:v>
      </x:c>
      <x:c r="I173" s="23" t="str">
        <x:v>Timing T20 / fictional rates</x:v>
      </x:c>
    </x:row>
    <x:row r="174" ht="21" customHeight="1">
      <x:c r="A174" s="23" t="str">
        <x:v>middle_flat</x:v>
      </x:c>
      <x:c r="B174" s="23" t="n">
        <x:v>23</x:v>
      </x:c>
      <x:c r="C174" s="37" t="n">
        <x:v>48488</x:v>
      </x:c>
      <x:c r="D174" s="55" t="n">
        <x:v>0</x:v>
      </x:c>
      <x:c r="E174" s="55" t="n">
        <x:v>0.03</x:v>
      </x:c>
      <x:c r="F174" s="60" t="n">
        <x:v>0</x:v>
      </x:c>
      <x:c r="G174" s="60" t="n">
        <x:v>0.03</x:v>
      </x:c>
      <x:c r="H174" s="23" t="n">
        <x:f>IF(D174=F174,0,1)+IF(E174=G174,0,1)</x:f>
        <x:v>0</x:v>
      </x:c>
      <x:c r="I174" s="23" t="str">
        <x:v>Timing T20 / fictional rates</x:v>
      </x:c>
    </x:row>
    <x:row r="175" ht="21" customHeight="1">
      <x:c r="A175" s="23" t="str">
        <x:v>middle_flat</x:v>
      </x:c>
      <x:c r="B175" s="23" t="n">
        <x:v>24</x:v>
      </x:c>
      <x:c r="C175" s="37" t="n">
        <x:v>48580</x:v>
      </x:c>
      <x:c r="D175" s="55" t="n">
        <x:v>0</x:v>
      </x:c>
      <x:c r="E175" s="55" t="n">
        <x:v>0.03</x:v>
      </x:c>
      <x:c r="F175" s="60" t="n">
        <x:v>0</x:v>
      </x:c>
      <x:c r="G175" s="60" t="n">
        <x:v>0.03</x:v>
      </x:c>
      <x:c r="H175" s="23" t="n">
        <x:f>IF(D175=F175,0,1)+IF(E175=G175,0,1)</x:f>
        <x:v>0</x:v>
      </x:c>
      <x:c r="I175" s="23" t="str">
        <x:v>Timing T20 / fictional rates</x:v>
      </x:c>
    </x:row>
    <x:row r="176" ht="21" customHeight="1">
      <x:c r="A176" s="23" t="str">
        <x:v>middle_flat</x:v>
      </x:c>
      <x:c r="B176" s="23" t="n">
        <x:v>25</x:v>
      </x:c>
      <x:c r="C176" s="37" t="n">
        <x:v>48670</x:v>
      </x:c>
      <x:c r="D176" s="55" t="n">
        <x:v>0</x:v>
      </x:c>
      <x:c r="E176" s="55" t="n">
        <x:v>0.03</x:v>
      </x:c>
      <x:c r="F176" s="60" t="n">
        <x:v>0</x:v>
      </x:c>
      <x:c r="G176" s="60" t="n">
        <x:v>0.03</x:v>
      </x:c>
      <x:c r="H176" s="23" t="n">
        <x:f>IF(D176=F176,0,1)+IF(E176=G176,0,1)</x:f>
        <x:v>0</x:v>
      </x:c>
      <x:c r="I176" s="23" t="str">
        <x:v>Timing T20 / fictional rates</x:v>
      </x:c>
    </x:row>
    <x:row r="177" ht="21" customHeight="1">
      <x:c r="A177" s="23" t="str">
        <x:v>middle_flat</x:v>
      </x:c>
      <x:c r="B177" s="23" t="n">
        <x:v>26</x:v>
      </x:c>
      <x:c r="C177" s="37" t="n">
        <x:v>48761</x:v>
      </x:c>
      <x:c r="D177" s="55" t="n">
        <x:v>0</x:v>
      </x:c>
      <x:c r="E177" s="55" t="n">
        <x:v>0.03</x:v>
      </x:c>
      <x:c r="F177" s="60" t="n">
        <x:v>0</x:v>
      </x:c>
      <x:c r="G177" s="60" t="n">
        <x:v>0.03</x:v>
      </x:c>
      <x:c r="H177" s="23" t="n">
        <x:f>IF(D177=F177,0,1)+IF(E177=G177,0,1)</x:f>
        <x:v>0</x:v>
      </x:c>
      <x:c r="I177" s="23" t="str">
        <x:v>Timing T20 / fictional rates</x:v>
      </x:c>
    </x:row>
    <x:row r="178" ht="21" customHeight="1">
      <x:c r="A178" s="23" t="str">
        <x:v>middle_flat</x:v>
      </x:c>
      <x:c r="B178" s="23" t="n">
        <x:v>27</x:v>
      </x:c>
      <x:c r="C178" s="37" t="n">
        <x:v>48853</x:v>
      </x:c>
      <x:c r="D178" s="55" t="n">
        <x:v>0</x:v>
      </x:c>
      <x:c r="E178" s="55" t="n">
        <x:v>0.03</x:v>
      </x:c>
      <x:c r="F178" s="60" t="n">
        <x:v>0</x:v>
      </x:c>
      <x:c r="G178" s="60" t="n">
        <x:v>0.03</x:v>
      </x:c>
      <x:c r="H178" s="23" t="n">
        <x:f>IF(D178=F178,0,1)+IF(E178=G178,0,1)</x:f>
        <x:v>0</x:v>
      </x:c>
      <x:c r="I178" s="23" t="str">
        <x:v>Timing T20 / fictional rates</x:v>
      </x:c>
    </x:row>
    <x:row r="179" ht="21" customHeight="1">
      <x:c r="A179" s="23" t="str">
        <x:v>middle_flat</x:v>
      </x:c>
      <x:c r="B179" s="23" t="n">
        <x:v>28</x:v>
      </x:c>
      <x:c r="C179" s="37" t="n">
        <x:v>48945</x:v>
      </x:c>
      <x:c r="D179" s="55" t="n">
        <x:v>0</x:v>
      </x:c>
      <x:c r="E179" s="55" t="n">
        <x:v>0.03</x:v>
      </x:c>
      <x:c r="F179" s="60" t="n">
        <x:v>0</x:v>
      </x:c>
      <x:c r="G179" s="60" t="n">
        <x:v>0.03</x:v>
      </x:c>
      <x:c r="H179" s="23" t="n">
        <x:f>IF(D179=F179,0,1)+IF(E179=G179,0,1)</x:f>
        <x:v>0</x:v>
      </x:c>
      <x:c r="I179" s="23" t="str">
        <x:v>Timing T20 / fictional rates</x:v>
      </x:c>
    </x:row>
    <x:row r="180" ht="21" customHeight="1">
      <x:c r="A180" s="23" t="str">
        <x:v>middle_flat</x:v>
      </x:c>
      <x:c r="B180" s="23" t="n">
        <x:v>29</x:v>
      </x:c>
      <x:c r="C180" s="37" t="n">
        <x:v>49035</x:v>
      </x:c>
      <x:c r="D180" s="55" t="n">
        <x:v>0</x:v>
      </x:c>
      <x:c r="E180" s="55" t="n">
        <x:v>0.03</x:v>
      </x:c>
      <x:c r="F180" s="60" t="n">
        <x:v>0</x:v>
      </x:c>
      <x:c r="G180" s="60" t="n">
        <x:v>0.03</x:v>
      </x:c>
      <x:c r="H180" s="23" t="n">
        <x:f>IF(D180=F180,0,1)+IF(E180=G180,0,1)</x:f>
        <x:v>0</x:v>
      </x:c>
      <x:c r="I180" s="23" t="str">
        <x:v>Timing T20 / fictional rates</x:v>
      </x:c>
    </x:row>
    <x:row r="181" ht="21" customHeight="1">
      <x:c r="A181" s="23" t="str">
        <x:v>middle_flat</x:v>
      </x:c>
      <x:c r="B181" s="23" t="n">
        <x:v>30</x:v>
      </x:c>
      <x:c r="C181" s="37" t="n">
        <x:v>49126</x:v>
      </x:c>
      <x:c r="D181" s="55" t="n">
        <x:v>0</x:v>
      </x:c>
      <x:c r="E181" s="55" t="n">
        <x:v>0.03</x:v>
      </x:c>
      <x:c r="F181" s="60" t="n">
        <x:v>0</x:v>
      </x:c>
      <x:c r="G181" s="60" t="n">
        <x:v>0.03</x:v>
      </x:c>
      <x:c r="H181" s="23" t="n">
        <x:f>IF(D181=F181,0,1)+IF(E181=G181,0,1)</x:f>
        <x:v>0</x:v>
      </x:c>
      <x:c r="I181" s="23" t="str">
        <x:v>Timing T20 / fictional rates</x:v>
      </x:c>
    </x:row>
    <x:row r="182" ht="21" customHeight="1">
      <x:c r="A182" s="23" t="str">
        <x:v>middle_flat</x:v>
      </x:c>
      <x:c r="B182" s="23" t="n">
        <x:v>31</x:v>
      </x:c>
      <x:c r="C182" s="37" t="n">
        <x:v>49218</x:v>
      </x:c>
      <x:c r="D182" s="55" t="n">
        <x:v>0</x:v>
      </x:c>
      <x:c r="E182" s="55" t="n">
        <x:v>0.03</x:v>
      </x:c>
      <x:c r="F182" s="60" t="n">
        <x:v>0</x:v>
      </x:c>
      <x:c r="G182" s="60" t="n">
        <x:v>0.03</x:v>
      </x:c>
      <x:c r="H182" s="23" t="n">
        <x:f>IF(D182=F182,0,1)+IF(E182=G182,0,1)</x:f>
        <x:v>0</x:v>
      </x:c>
      <x:c r="I182" s="23" t="str">
        <x:v>Timing T20 / fictional rates</x:v>
      </x:c>
    </x:row>
    <x:row r="183" ht="21" customHeight="1">
      <x:c r="A183" s="23" t="str">
        <x:v>middle_flat</x:v>
      </x:c>
      <x:c r="B183" s="23" t="n">
        <x:v>32</x:v>
      </x:c>
      <x:c r="C183" s="37" t="n">
        <x:v>49310</x:v>
      </x:c>
      <x:c r="D183" s="55" t="n">
        <x:v>0</x:v>
      </x:c>
      <x:c r="E183" s="55" t="n">
        <x:v>0.03</x:v>
      </x:c>
      <x:c r="F183" s="60" t="n">
        <x:v>0</x:v>
      </x:c>
      <x:c r="G183" s="60" t="n">
        <x:v>0.03</x:v>
      </x:c>
      <x:c r="H183" s="23" t="n">
        <x:f>IF(D183=F183,0,1)+IF(E183=G183,0,1)</x:f>
        <x:v>0</x:v>
      </x:c>
      <x:c r="I183" s="23" t="str">
        <x:v>Timing T20 / fictional rates</x:v>
      </x:c>
    </x:row>
    <x:row r="184" ht="21" customHeight="1">
      <x:c r="A184" s="23" t="str">
        <x:v>middle_flat</x:v>
      </x:c>
      <x:c r="B184" s="23" t="n">
        <x:v>33</x:v>
      </x:c>
      <x:c r="C184" s="37" t="n">
        <x:v>49400</x:v>
      </x:c>
      <x:c r="D184" s="55" t="n">
        <x:v>0</x:v>
      </x:c>
      <x:c r="E184" s="55" t="n">
        <x:v>0.03</x:v>
      </x:c>
      <x:c r="F184" s="60" t="n">
        <x:v>0</x:v>
      </x:c>
      <x:c r="G184" s="60" t="n">
        <x:v>0.03</x:v>
      </x:c>
      <x:c r="H184" s="23" t="n">
        <x:f>IF(D184=F184,0,1)+IF(E184=G184,0,1)</x:f>
        <x:v>0</x:v>
      </x:c>
      <x:c r="I184" s="23" t="str">
        <x:v>Timing T20 / fictional rates</x:v>
      </x:c>
    </x:row>
    <x:row r="185" ht="21" customHeight="1">
      <x:c r="A185" s="23" t="str">
        <x:v>middle_flat</x:v>
      </x:c>
      <x:c r="B185" s="23" t="n">
        <x:v>34</x:v>
      </x:c>
      <x:c r="C185" s="37" t="n">
        <x:v>49491</x:v>
      </x:c>
      <x:c r="D185" s="55" t="n">
        <x:v>0</x:v>
      </x:c>
      <x:c r="E185" s="55" t="n">
        <x:v>0.03</x:v>
      </x:c>
      <x:c r="F185" s="60" t="n">
        <x:v>0</x:v>
      </x:c>
      <x:c r="G185" s="60" t="n">
        <x:v>0.03</x:v>
      </x:c>
      <x:c r="H185" s="23" t="n">
        <x:f>IF(D185=F185,0,1)+IF(E185=G185,0,1)</x:f>
        <x:v>0</x:v>
      </x:c>
      <x:c r="I185" s="23" t="str">
        <x:v>Timing T20 / fictional rates</x:v>
      </x:c>
    </x:row>
    <x:row r="186" ht="21" customHeight="1">
      <x:c r="A186" s="23" t="str">
        <x:v>middle_flat</x:v>
      </x:c>
      <x:c r="B186" s="23" t="n">
        <x:v>35</x:v>
      </x:c>
      <x:c r="C186" s="37" t="n">
        <x:v>49583</x:v>
      </x:c>
      <x:c r="D186" s="55" t="n">
        <x:v>0</x:v>
      </x:c>
      <x:c r="E186" s="55" t="n">
        <x:v>0.03</x:v>
      </x:c>
      <x:c r="F186" s="60" t="n">
        <x:v>0</x:v>
      </x:c>
      <x:c r="G186" s="60" t="n">
        <x:v>0.03</x:v>
      </x:c>
      <x:c r="H186" s="23" t="n">
        <x:f>IF(D186=F186,0,1)+IF(E186=G186,0,1)</x:f>
        <x:v>0</x:v>
      </x:c>
      <x:c r="I186" s="23" t="str">
        <x:v>Timing T20 / fictional rates</x:v>
      </x:c>
    </x:row>
    <x:row r="187" ht="21" customHeight="1">
      <x:c r="A187" s="23" t="str">
        <x:v>middle_flat</x:v>
      </x:c>
      <x:c r="B187" s="23" t="n">
        <x:v>36</x:v>
      </x:c>
      <x:c r="C187" s="37" t="n">
        <x:v>49675</x:v>
      </x:c>
      <x:c r="D187" s="55" t="n">
        <x:v>0</x:v>
      </x:c>
      <x:c r="E187" s="55" t="n">
        <x:v>0.03</x:v>
      </x:c>
      <x:c r="F187" s="60" t="n">
        <x:v>0</x:v>
      </x:c>
      <x:c r="G187" s="60" t="n">
        <x:v>0.03</x:v>
      </x:c>
      <x:c r="H187" s="23" t="n">
        <x:f>IF(D187=F187,0,1)+IF(E187=G187,0,1)</x:f>
        <x:v>0</x:v>
      </x:c>
      <x:c r="I187" s="23" t="str">
        <x:v>Timing T20 / fictional rates</x:v>
      </x:c>
    </x:row>
    <x:row r="188" ht="21" customHeight="1">
      <x:c r="A188" s="23" t="str">
        <x:v>middle_flat</x:v>
      </x:c>
      <x:c r="B188" s="23" t="n">
        <x:v>37</x:v>
      </x:c>
      <x:c r="C188" s="37" t="n">
        <x:v>49766</x:v>
      </x:c>
      <x:c r="D188" s="55" t="n">
        <x:v>0</x:v>
      </x:c>
      <x:c r="E188" s="55" t="n">
        <x:v>0.03</x:v>
      </x:c>
      <x:c r="F188" s="60" t="n">
        <x:v>0</x:v>
      </x:c>
      <x:c r="G188" s="60" t="n">
        <x:v>0.03</x:v>
      </x:c>
      <x:c r="H188" s="23" t="n">
        <x:f>IF(D188=F188,0,1)+IF(E188=G188,0,1)</x:f>
        <x:v>0</x:v>
      </x:c>
      <x:c r="I188" s="23" t="str">
        <x:v>Timing T20 / fictional rates</x:v>
      </x:c>
    </x:row>
    <x:row r="189" ht="21" customHeight="1">
      <x:c r="A189" s="23" t="str">
        <x:v>middle_flat</x:v>
      </x:c>
      <x:c r="B189" s="23" t="n">
        <x:v>38</x:v>
      </x:c>
      <x:c r="C189" s="37" t="n">
        <x:v>49857</x:v>
      </x:c>
      <x:c r="D189" s="55" t="n">
        <x:v>0</x:v>
      </x:c>
      <x:c r="E189" s="55" t="n">
        <x:v>0.03</x:v>
      </x:c>
      <x:c r="F189" s="60" t="n">
        <x:v>0</x:v>
      </x:c>
      <x:c r="G189" s="60" t="n">
        <x:v>0.03</x:v>
      </x:c>
      <x:c r="H189" s="23" t="n">
        <x:f>IF(D189=F189,0,1)+IF(E189=G189,0,1)</x:f>
        <x:v>0</x:v>
      </x:c>
      <x:c r="I189" s="23" t="str">
        <x:v>Timing T20 / fictional rates</x:v>
      </x:c>
    </x:row>
    <x:row r="190" ht="21" customHeight="1">
      <x:c r="A190" s="23" t="str">
        <x:v>middle_flat</x:v>
      </x:c>
      <x:c r="B190" s="23" t="n">
        <x:v>39</x:v>
      </x:c>
      <x:c r="C190" s="37" t="n">
        <x:v>49949</x:v>
      </x:c>
      <x:c r="D190" s="55" t="n">
        <x:v>0</x:v>
      </x:c>
      <x:c r="E190" s="55" t="n">
        <x:v>0.03</x:v>
      </x:c>
      <x:c r="F190" s="60" t="n">
        <x:v>0</x:v>
      </x:c>
      <x:c r="G190" s="60" t="n">
        <x:v>0.03</x:v>
      </x:c>
      <x:c r="H190" s="23" t="n">
        <x:f>IF(D190=F190,0,1)+IF(E190=G190,0,1)</x:f>
        <x:v>0</x:v>
      </x:c>
      <x:c r="I190" s="23" t="str">
        <x:v>Timing T20 / fictional rates</x:v>
      </x:c>
    </x:row>
    <x:row r="191" ht="21" customHeight="1">
      <x:c r="A191" s="23" t="str">
        <x:v>middle_flat</x:v>
      </x:c>
      <x:c r="B191" s="23" t="n">
        <x:v>40</x:v>
      </x:c>
      <x:c r="C191" s="37" t="n">
        <x:v>50041</x:v>
      </x:c>
      <x:c r="D191" s="55" t="n">
        <x:v>0</x:v>
      </x:c>
      <x:c r="E191" s="55" t="n">
        <x:v>0.03</x:v>
      </x:c>
      <x:c r="F191" s="60" t="n">
        <x:v>0</x:v>
      </x:c>
      <x:c r="G191" s="60" t="n">
        <x:v>0.03</x:v>
      </x:c>
      <x:c r="H191" s="23" t="n">
        <x:f>IF(D191=F191,0,1)+IF(E191=G191,0,1)</x:f>
        <x:v>0</x:v>
      </x:c>
      <x:c r="I191" s="23" t="str">
        <x:v>Timing T20 / fictional rates</x:v>
      </x:c>
    </x:row>
    <x:row r="192" ht="21" customHeight="1">
      <x:c r="A192" s="23" t="str">
        <x:v>middle_flat</x:v>
      </x:c>
      <x:c r="B192" s="23" t="n">
        <x:v>41</x:v>
      </x:c>
      <x:c r="C192" s="37" t="n">
        <x:v>50131</x:v>
      </x:c>
      <x:c r="D192" s="55" t="n">
        <x:v>0</x:v>
      </x:c>
      <x:c r="E192" s="55" t="n">
        <x:v>0.03</x:v>
      </x:c>
      <x:c r="F192" s="60" t="n">
        <x:v>0</x:v>
      </x:c>
      <x:c r="G192" s="60" t="n">
        <x:v>0.03</x:v>
      </x:c>
      <x:c r="H192" s="23" t="n">
        <x:f>IF(D192=F192,0,1)+IF(E192=G192,0,1)</x:f>
        <x:v>0</x:v>
      </x:c>
      <x:c r="I192" s="23" t="str">
        <x:v>Timing T20 / fictional rates</x:v>
      </x:c>
    </x:row>
    <x:row r="193" ht="21" customHeight="1">
      <x:c r="A193" s="23" t="str">
        <x:v>middle_flat</x:v>
      </x:c>
      <x:c r="B193" s="23" t="n">
        <x:v>42</x:v>
      </x:c>
      <x:c r="C193" s="37" t="n">
        <x:v>50222</x:v>
      </x:c>
      <x:c r="D193" s="55" t="n">
        <x:v>0</x:v>
      </x:c>
      <x:c r="E193" s="55" t="n">
        <x:v>0.03</x:v>
      </x:c>
      <x:c r="F193" s="60" t="n">
        <x:v>0</x:v>
      </x:c>
      <x:c r="G193" s="60" t="n">
        <x:v>0.03</x:v>
      </x:c>
      <x:c r="H193" s="23" t="n">
        <x:f>IF(D193=F193,0,1)+IF(E193=G193,0,1)</x:f>
        <x:v>0</x:v>
      </x:c>
      <x:c r="I193" s="23" t="str">
        <x:v>Timing T20 / fictional rates</x:v>
      </x:c>
    </x:row>
    <x:row r="194" ht="21" customHeight="1">
      <x:c r="A194" s="23" t="str">
        <x:v>middle_flat</x:v>
      </x:c>
      <x:c r="B194" s="23" t="n">
        <x:v>43</x:v>
      </x:c>
      <x:c r="C194" s="37" t="n">
        <x:v>50314</x:v>
      </x:c>
      <x:c r="D194" s="55" t="n">
        <x:v>0</x:v>
      </x:c>
      <x:c r="E194" s="55" t="n">
        <x:v>0.03</x:v>
      </x:c>
      <x:c r="F194" s="60" t="n">
        <x:v>0</x:v>
      </x:c>
      <x:c r="G194" s="60" t="n">
        <x:v>0.03</x:v>
      </x:c>
      <x:c r="H194" s="23" t="n">
        <x:f>IF(D194=F194,0,1)+IF(E194=G194,0,1)</x:f>
        <x:v>0</x:v>
      </x:c>
      <x:c r="I194" s="23" t="str">
        <x:v>Timing T20 / fictional rates</x:v>
      </x:c>
    </x:row>
    <x:row r="195" ht="21" customHeight="1">
      <x:c r="A195" s="23" t="str">
        <x:v>middle_flat</x:v>
      </x:c>
      <x:c r="B195" s="23" t="n">
        <x:v>44</x:v>
      </x:c>
      <x:c r="C195" s="37" t="n">
        <x:v>50406</x:v>
      </x:c>
      <x:c r="D195" s="55" t="n">
        <x:v>0</x:v>
      </x:c>
      <x:c r="E195" s="55" t="n">
        <x:v>0.03</x:v>
      </x:c>
      <x:c r="F195" s="60" t="n">
        <x:v>0</x:v>
      </x:c>
      <x:c r="G195" s="60" t="n">
        <x:v>0.03</x:v>
      </x:c>
      <x:c r="H195" s="23" t="n">
        <x:f>IF(D195=F195,0,1)+IF(E195=G195,0,1)</x:f>
        <x:v>0</x:v>
      </x:c>
      <x:c r="I195" s="23" t="str">
        <x:v>Timing T20 / fictional rates</x:v>
      </x:c>
    </x:row>
    <x:row r="196" ht="21" customHeight="1">
      <x:c r="A196" s="23" t="str">
        <x:v>middle_flat</x:v>
      </x:c>
      <x:c r="B196" s="23" t="n">
        <x:v>45</x:v>
      </x:c>
      <x:c r="C196" s="37" t="n">
        <x:v>50496</x:v>
      </x:c>
      <x:c r="D196" s="55" t="n">
        <x:v>0</x:v>
      </x:c>
      <x:c r="E196" s="55" t="n">
        <x:v>0.03</x:v>
      </x:c>
      <x:c r="F196" s="60" t="n">
        <x:v>0</x:v>
      </x:c>
      <x:c r="G196" s="60" t="n">
        <x:v>0.03</x:v>
      </x:c>
      <x:c r="H196" s="23" t="n">
        <x:f>IF(D196=F196,0,1)+IF(E196=G196,0,1)</x:f>
        <x:v>0</x:v>
      </x:c>
      <x:c r="I196" s="23" t="str">
        <x:v>Timing T20 / fictional rates</x:v>
      </x:c>
    </x:row>
    <x:row r="197" ht="21" customHeight="1">
      <x:c r="A197" s="23" t="str">
        <x:v>middle_flat</x:v>
      </x:c>
      <x:c r="B197" s="23" t="n">
        <x:v>46</x:v>
      </x:c>
      <x:c r="C197" s="37" t="n">
        <x:v>50587</x:v>
      </x:c>
      <x:c r="D197" s="55" t="n">
        <x:v>0</x:v>
      </x:c>
      <x:c r="E197" s="55" t="n">
        <x:v>0.03</x:v>
      </x:c>
      <x:c r="F197" s="60" t="n">
        <x:v>0</x:v>
      </x:c>
      <x:c r="G197" s="60" t="n">
        <x:v>0.03</x:v>
      </x:c>
      <x:c r="H197" s="23" t="n">
        <x:f>IF(D197=F197,0,1)+IF(E197=G197,0,1)</x:f>
        <x:v>0</x:v>
      </x:c>
      <x:c r="I197" s="23" t="str">
        <x:v>Timing T20 / fictional rates</x:v>
      </x:c>
    </x:row>
    <x:row r="198" ht="21" customHeight="1">
      <x:c r="A198" s="23" t="str">
        <x:v>middle_flat</x:v>
      </x:c>
      <x:c r="B198" s="23" t="n">
        <x:v>47</x:v>
      </x:c>
      <x:c r="C198" s="37" t="n">
        <x:v>50679</x:v>
      </x:c>
      <x:c r="D198" s="55" t="n">
        <x:v>0</x:v>
      </x:c>
      <x:c r="E198" s="55" t="n">
        <x:v>0.03</x:v>
      </x:c>
      <x:c r="F198" s="60" t="n">
        <x:v>0</x:v>
      </x:c>
      <x:c r="G198" s="60" t="n">
        <x:v>0.03</x:v>
      </x:c>
      <x:c r="H198" s="23" t="n">
        <x:f>IF(D198=F198,0,1)+IF(E198=G198,0,1)</x:f>
        <x:v>0</x:v>
      </x:c>
      <x:c r="I198" s="23" t="str">
        <x:v>Timing T20 / fictional rates</x:v>
      </x:c>
    </x:row>
    <x:row r="199" ht="21" customHeight="1">
      <x:c r="A199" s="23" t="str">
        <x:v>middle_flat</x:v>
      </x:c>
      <x:c r="B199" s="23" t="n">
        <x:v>48</x:v>
      </x:c>
      <x:c r="C199" s="37" t="n">
        <x:v>50771</x:v>
      </x:c>
      <x:c r="D199" s="55" t="n">
        <x:v>0</x:v>
      </x:c>
      <x:c r="E199" s="55" t="n">
        <x:v>0.03</x:v>
      </x:c>
      <x:c r="F199" s="60" t="n">
        <x:v>0</x:v>
      </x:c>
      <x:c r="G199" s="60" t="n">
        <x:v>0.03</x:v>
      </x:c>
      <x:c r="H199" s="23" t="n">
        <x:f>IF(D199=F199,0,1)+IF(E199=G199,0,1)</x:f>
        <x:v>0</x:v>
      </x:c>
      <x:c r="I199" s="23" t="str">
        <x:v>Timing T20 / fictional rates</x:v>
      </x:c>
    </x:row>
    <x:row r="200" ht="21" customHeight="1">
      <x:c r="A200" s="23" t="str">
        <x:v>middle_low</x:v>
      </x:c>
      <x:c r="B200" s="23" t="n">
        <x:v>1</x:v>
      </x:c>
      <x:c r="C200" s="37" t="n">
        <x:v>46478</x:v>
      </x:c>
      <x:c r="D200" s="55" t="n">
        <x:v>0.04</x:v>
      </x:c>
      <x:c r="E200" s="55" t="n">
        <x:v>0.005</x:v>
      </x:c>
      <x:c r="F200" s="60" t="n">
        <x:v>0.04</x:v>
      </x:c>
      <x:c r="G200" s="60" t="n">
        <x:v>0.005</x:v>
      </x:c>
      <x:c r="H200" s="23" t="n">
        <x:f>IF(D200=F200,0,1)+IF(E200=G200,0,1)</x:f>
        <x:v>0</x:v>
      </x:c>
      <x:c r="I200" s="23" t="str">
        <x:v>Timing T20 / fictional rates</x:v>
      </x:c>
    </x:row>
    <x:row r="201" ht="21" customHeight="1">
      <x:c r="A201" s="23" t="str">
        <x:v>middle_low</x:v>
      </x:c>
      <x:c r="B201" s="23" t="n">
        <x:v>2</x:v>
      </x:c>
      <x:c r="C201" s="37" t="n">
        <x:v>46569</x:v>
      </x:c>
      <x:c r="D201" s="55" t="n">
        <x:v>0.04</x:v>
      </x:c>
      <x:c r="E201" s="55" t="n">
        <x:v>0.005</x:v>
      </x:c>
      <x:c r="F201" s="60" t="n">
        <x:v>0.04</x:v>
      </x:c>
      <x:c r="G201" s="60" t="n">
        <x:v>0.005</x:v>
      </x:c>
      <x:c r="H201" s="23" t="n">
        <x:f>IF(D201=F201,0,1)+IF(E201=G201,0,1)</x:f>
        <x:v>0</x:v>
      </x:c>
      <x:c r="I201" s="23" t="str">
        <x:v>Timing T20 / fictional rates</x:v>
      </x:c>
    </x:row>
    <x:row r="202" ht="21" customHeight="1">
      <x:c r="A202" s="23" t="str">
        <x:v>middle_low</x:v>
      </x:c>
      <x:c r="B202" s="23" t="n">
        <x:v>3</x:v>
      </x:c>
      <x:c r="C202" s="37" t="n">
        <x:v>46661</x:v>
      </x:c>
      <x:c r="D202" s="55" t="n">
        <x:v>0.04</x:v>
      </x:c>
      <x:c r="E202" s="55" t="n">
        <x:v>0.005</x:v>
      </x:c>
      <x:c r="F202" s="60" t="n">
        <x:v>0.04</x:v>
      </x:c>
      <x:c r="G202" s="60" t="n">
        <x:v>0.005</x:v>
      </x:c>
      <x:c r="H202" s="23" t="n">
        <x:f>IF(D202=F202,0,1)+IF(E202=G202,0,1)</x:f>
        <x:v>0</x:v>
      </x:c>
      <x:c r="I202" s="23" t="str">
        <x:v>Timing T20 / fictional rates</x:v>
      </x:c>
    </x:row>
    <x:row r="203" ht="21" customHeight="1">
      <x:c r="A203" s="23" t="str">
        <x:v>middle_low</x:v>
      </x:c>
      <x:c r="B203" s="23" t="n">
        <x:v>4</x:v>
      </x:c>
      <x:c r="C203" s="37" t="n">
        <x:v>46753</x:v>
      </x:c>
      <x:c r="D203" s="55" t="n">
        <x:v>0.04</x:v>
      </x:c>
      <x:c r="E203" s="55" t="n">
        <x:v>0.005</x:v>
      </x:c>
      <x:c r="F203" s="60" t="n">
        <x:v>0.04</x:v>
      </x:c>
      <x:c r="G203" s="60" t="n">
        <x:v>0.005</x:v>
      </x:c>
      <x:c r="H203" s="23" t="n">
        <x:f>IF(D203=F203,0,1)+IF(E203=G203,0,1)</x:f>
        <x:v>0</x:v>
      </x:c>
      <x:c r="I203" s="23" t="str">
        <x:v>Timing T20 / fictional rates</x:v>
      </x:c>
    </x:row>
    <x:row r="204" ht="21" customHeight="1">
      <x:c r="A204" s="23" t="str">
        <x:v>middle_low</x:v>
      </x:c>
      <x:c r="B204" s="23" t="n">
        <x:v>5</x:v>
      </x:c>
      <x:c r="C204" s="37" t="n">
        <x:v>46844</x:v>
      </x:c>
      <x:c r="D204" s="55" t="n">
        <x:v>0.0575</x:v>
      </x:c>
      <x:c r="E204" s="55" t="n">
        <x:v>0.005</x:v>
      </x:c>
      <x:c r="F204" s="60" t="n">
        <x:v>0.0575</x:v>
      </x:c>
      <x:c r="G204" s="60" t="n">
        <x:v>0.005</x:v>
      </x:c>
      <x:c r="H204" s="23" t="n">
        <x:f>IF(D204=F204,0,1)+IF(E204=G204,0,1)</x:f>
        <x:v>0</x:v>
      </x:c>
      <x:c r="I204" s="23" t="str">
        <x:v>Timing T20 / fictional rates</x:v>
      </x:c>
    </x:row>
    <x:row r="205" ht="21" customHeight="1">
      <x:c r="A205" s="23" t="str">
        <x:v>middle_low</x:v>
      </x:c>
      <x:c r="B205" s="23" t="n">
        <x:v>6</x:v>
      </x:c>
      <x:c r="C205" s="37" t="n">
        <x:v>46935</x:v>
      </x:c>
      <x:c r="D205" s="55" t="n">
        <x:v>0.0575</x:v>
      </x:c>
      <x:c r="E205" s="55" t="n">
        <x:v>0.005</x:v>
      </x:c>
      <x:c r="F205" s="60" t="n">
        <x:v>0.0575</x:v>
      </x:c>
      <x:c r="G205" s="60" t="n">
        <x:v>0.005</x:v>
      </x:c>
      <x:c r="H205" s="23" t="n">
        <x:f>IF(D205=F205,0,1)+IF(E205=G205,0,1)</x:f>
        <x:v>0</x:v>
      </x:c>
      <x:c r="I205" s="23" t="str">
        <x:v>Timing T20 / fictional rates</x:v>
      </x:c>
    </x:row>
    <x:row r="206" ht="21" customHeight="1">
      <x:c r="A206" s="23" t="str">
        <x:v>middle_low</x:v>
      </x:c>
      <x:c r="B206" s="23" t="n">
        <x:v>7</x:v>
      </x:c>
      <x:c r="C206" s="37" t="n">
        <x:v>47027</x:v>
      </x:c>
      <x:c r="D206" s="55" t="n">
        <x:v>0.0575</x:v>
      </x:c>
      <x:c r="E206" s="55" t="n">
        <x:v>0.005</x:v>
      </x:c>
      <x:c r="F206" s="60" t="n">
        <x:v>0.0575</x:v>
      </x:c>
      <x:c r="G206" s="60" t="n">
        <x:v>0.005</x:v>
      </x:c>
      <x:c r="H206" s="23" t="n">
        <x:f>IF(D206=F206,0,1)+IF(E206=G206,0,1)</x:f>
        <x:v>0</x:v>
      </x:c>
      <x:c r="I206" s="23" t="str">
        <x:v>Timing T20 / fictional rates</x:v>
      </x:c>
    </x:row>
    <x:row r="207" ht="21" customHeight="1">
      <x:c r="A207" s="23" t="str">
        <x:v>middle_low</x:v>
      </x:c>
      <x:c r="B207" s="23" t="n">
        <x:v>8</x:v>
      </x:c>
      <x:c r="C207" s="37" t="n">
        <x:v>47119</x:v>
      </x:c>
      <x:c r="D207" s="55" t="n">
        <x:v>0.0575</x:v>
      </x:c>
      <x:c r="E207" s="55" t="n">
        <x:v>0.005</x:v>
      </x:c>
      <x:c r="F207" s="60" t="n">
        <x:v>0.0575</x:v>
      </x:c>
      <x:c r="G207" s="60" t="n">
        <x:v>0.005</x:v>
      </x:c>
      <x:c r="H207" s="23" t="n">
        <x:f>IF(D207=F207,0,1)+IF(E207=G207,0,1)</x:f>
        <x:v>0</x:v>
      </x:c>
      <x:c r="I207" s="23" t="str">
        <x:v>Timing T20 / fictional rates</x:v>
      </x:c>
    </x:row>
    <x:row r="208" ht="21" customHeight="1">
      <x:c r="A208" s="23" t="str">
        <x:v>middle_low</x:v>
      </x:c>
      <x:c r="B208" s="23" t="n">
        <x:v>9</x:v>
      </x:c>
      <x:c r="C208" s="37" t="n">
        <x:v>47209</x:v>
      </x:c>
      <x:c r="D208" s="55" t="n">
        <x:v>0.065</x:v>
      </x:c>
      <x:c r="E208" s="55" t="n">
        <x:v>0.005</x:v>
      </x:c>
      <x:c r="F208" s="60" t="n">
        <x:v>0.065</x:v>
      </x:c>
      <x:c r="G208" s="60" t="n">
        <x:v>0.005</x:v>
      </x:c>
      <x:c r="H208" s="23" t="n">
        <x:f>IF(D208=F208,0,1)+IF(E208=G208,0,1)</x:f>
        <x:v>0</x:v>
      </x:c>
      <x:c r="I208" s="23" t="str">
        <x:v>Timing T20 / fictional rates</x:v>
      </x:c>
    </x:row>
    <x:row r="209" ht="21" customHeight="1">
      <x:c r="A209" s="23" t="str">
        <x:v>middle_low</x:v>
      </x:c>
      <x:c r="B209" s="23" t="n">
        <x:v>10</x:v>
      </x:c>
      <x:c r="C209" s="37" t="n">
        <x:v>47300</x:v>
      </x:c>
      <x:c r="D209" s="55" t="n">
        <x:v>0.065</x:v>
      </x:c>
      <x:c r="E209" s="55" t="n">
        <x:v>0.005</x:v>
      </x:c>
      <x:c r="F209" s="60" t="n">
        <x:v>0.065</x:v>
      </x:c>
      <x:c r="G209" s="60" t="n">
        <x:v>0.005</x:v>
      </x:c>
      <x:c r="H209" s="23" t="n">
        <x:f>IF(D209=F209,0,1)+IF(E209=G209,0,1)</x:f>
        <x:v>0</x:v>
      </x:c>
      <x:c r="I209" s="23" t="str">
        <x:v>Timing T20 / fictional rates</x:v>
      </x:c>
    </x:row>
    <x:row r="210" ht="21" customHeight="1">
      <x:c r="A210" s="23" t="str">
        <x:v>middle_low</x:v>
      </x:c>
      <x:c r="B210" s="23" t="n">
        <x:v>11</x:v>
      </x:c>
      <x:c r="C210" s="37" t="n">
        <x:v>47392</x:v>
      </x:c>
      <x:c r="D210" s="55" t="n">
        <x:v>0.065</x:v>
      </x:c>
      <x:c r="E210" s="55" t="n">
        <x:v>0.005</x:v>
      </x:c>
      <x:c r="F210" s="60" t="n">
        <x:v>0.065</x:v>
      </x:c>
      <x:c r="G210" s="60" t="n">
        <x:v>0.005</x:v>
      </x:c>
      <x:c r="H210" s="23" t="n">
        <x:f>IF(D210=F210,0,1)+IF(E210=G210,0,1)</x:f>
        <x:v>0</x:v>
      </x:c>
      <x:c r="I210" s="23" t="str">
        <x:v>Timing T20 / fictional rates</x:v>
      </x:c>
    </x:row>
    <x:row r="211" ht="21" customHeight="1">
      <x:c r="A211" s="23" t="str">
        <x:v>middle_low</x:v>
      </x:c>
      <x:c r="B211" s="23" t="n">
        <x:v>12</x:v>
      </x:c>
      <x:c r="C211" s="37" t="n">
        <x:v>47484</x:v>
      </x:c>
      <x:c r="D211" s="55" t="n">
        <x:v>0.065</x:v>
      </x:c>
      <x:c r="E211" s="55" t="n">
        <x:v>0.005</x:v>
      </x:c>
      <x:c r="F211" s="60" t="n">
        <x:v>0.065</x:v>
      </x:c>
      <x:c r="G211" s="60" t="n">
        <x:v>0.005</x:v>
      </x:c>
      <x:c r="H211" s="23" t="n">
        <x:f>IF(D211=F211,0,1)+IF(E211=G211,0,1)</x:f>
        <x:v>0</x:v>
      </x:c>
      <x:c r="I211" s="23" t="str">
        <x:v>Timing T20 / fictional rates</x:v>
      </x:c>
    </x:row>
    <x:row r="212" ht="21" customHeight="1">
      <x:c r="A212" s="23" t="str">
        <x:v>middle_low</x:v>
      </x:c>
      <x:c r="B212" s="23" t="n">
        <x:v>13</x:v>
      </x:c>
      <x:c r="C212" s="37" t="n">
        <x:v>47574</x:v>
      </x:c>
      <x:c r="D212" s="55" t="n">
        <x:v>0.055</x:v>
      </x:c>
      <x:c r="E212" s="55" t="n">
        <x:v>0.005</x:v>
      </x:c>
      <x:c r="F212" s="60" t="n">
        <x:v>0.055</x:v>
      </x:c>
      <x:c r="G212" s="60" t="n">
        <x:v>0.005</x:v>
      </x:c>
      <x:c r="H212" s="23" t="n">
        <x:f>IF(D212=F212,0,1)+IF(E212=G212,0,1)</x:f>
        <x:v>0</x:v>
      </x:c>
      <x:c r="I212" s="23" t="str">
        <x:v>Timing T20 / fictional rates</x:v>
      </x:c>
    </x:row>
    <x:row r="213" ht="21" customHeight="1">
      <x:c r="A213" s="23" t="str">
        <x:v>middle_low</x:v>
      </x:c>
      <x:c r="B213" s="23" t="n">
        <x:v>14</x:v>
      </x:c>
      <x:c r="C213" s="37" t="n">
        <x:v>47665</x:v>
      </x:c>
      <x:c r="D213" s="55" t="n">
        <x:v>0.055</x:v>
      </x:c>
      <x:c r="E213" s="55" t="n">
        <x:v>0.005</x:v>
      </x:c>
      <x:c r="F213" s="60" t="n">
        <x:v>0.055</x:v>
      </x:c>
      <x:c r="G213" s="60" t="n">
        <x:v>0.005</x:v>
      </x:c>
      <x:c r="H213" s="23" t="n">
        <x:f>IF(D213=F213,0,1)+IF(E213=G213,0,1)</x:f>
        <x:v>0</x:v>
      </x:c>
      <x:c r="I213" s="23" t="str">
        <x:v>Timing T20 / fictional rates</x:v>
      </x:c>
    </x:row>
    <x:row r="214" ht="21" customHeight="1">
      <x:c r="A214" s="23" t="str">
        <x:v>middle_low</x:v>
      </x:c>
      <x:c r="B214" s="23" t="n">
        <x:v>15</x:v>
      </x:c>
      <x:c r="C214" s="37" t="n">
        <x:v>47757</x:v>
      </x:c>
      <x:c r="D214" s="55" t="n">
        <x:v>0.055</x:v>
      </x:c>
      <x:c r="E214" s="55" t="n">
        <x:v>0.005</x:v>
      </x:c>
      <x:c r="F214" s="60" t="n">
        <x:v>0.055</x:v>
      </x:c>
      <x:c r="G214" s="60" t="n">
        <x:v>0.005</x:v>
      </x:c>
      <x:c r="H214" s="23" t="n">
        <x:f>IF(D214=F214,0,1)+IF(E214=G214,0,1)</x:f>
        <x:v>0</x:v>
      </x:c>
      <x:c r="I214" s="23" t="str">
        <x:v>Timing T20 / fictional rates</x:v>
      </x:c>
    </x:row>
    <x:row r="215" ht="21" customHeight="1">
      <x:c r="A215" s="23" t="str">
        <x:v>middle_low</x:v>
      </x:c>
      <x:c r="B215" s="23" t="n">
        <x:v>16</x:v>
      </x:c>
      <x:c r="C215" s="37" t="n">
        <x:v>47849</x:v>
      </x:c>
      <x:c r="D215" s="55" t="n">
        <x:v>0.055</x:v>
      </x:c>
      <x:c r="E215" s="55" t="n">
        <x:v>0.005</x:v>
      </x:c>
      <x:c r="F215" s="60" t="n">
        <x:v>0.055</x:v>
      </x:c>
      <x:c r="G215" s="60" t="n">
        <x:v>0.005</x:v>
      </x:c>
      <x:c r="H215" s="23" t="n">
        <x:f>IF(D215=F215,0,1)+IF(E215=G215,0,1)</x:f>
        <x:v>0</x:v>
      </x:c>
      <x:c r="I215" s="23" t="str">
        <x:v>Timing T20 / fictional rates</x:v>
      </x:c>
    </x:row>
    <x:row r="216" ht="21" customHeight="1">
      <x:c r="A216" s="23" t="str">
        <x:v>middle_low</x:v>
      </x:c>
      <x:c r="B216" s="23" t="n">
        <x:v>17</x:v>
      </x:c>
      <x:c r="C216" s="37" t="n">
        <x:v>47939</x:v>
      </x:c>
      <x:c r="D216" s="55" t="n">
        <x:v>0.0325</x:v>
      </x:c>
      <x:c r="E216" s="55" t="n">
        <x:v>0.005</x:v>
      </x:c>
      <x:c r="F216" s="60" t="n">
        <x:v>0.0325</x:v>
      </x:c>
      <x:c r="G216" s="60" t="n">
        <x:v>0.005</x:v>
      </x:c>
      <x:c r="H216" s="23" t="n">
        <x:f>IF(D216=F216,0,1)+IF(E216=G216,0,1)</x:f>
        <x:v>0</x:v>
      </x:c>
      <x:c r="I216" s="23" t="str">
        <x:v>Timing T20 / fictional rates</x:v>
      </x:c>
    </x:row>
    <x:row r="217" ht="21" customHeight="1">
      <x:c r="A217" s="23" t="str">
        <x:v>middle_low</x:v>
      </x:c>
      <x:c r="B217" s="23" t="n">
        <x:v>18</x:v>
      </x:c>
      <x:c r="C217" s="37" t="n">
        <x:v>48030</x:v>
      </x:c>
      <x:c r="D217" s="55" t="n">
        <x:v>0.0325</x:v>
      </x:c>
      <x:c r="E217" s="55" t="n">
        <x:v>0.005</x:v>
      </x:c>
      <x:c r="F217" s="60" t="n">
        <x:v>0.0325</x:v>
      </x:c>
      <x:c r="G217" s="60" t="n">
        <x:v>0.005</x:v>
      </x:c>
      <x:c r="H217" s="23" t="n">
        <x:f>IF(D217=F217,0,1)+IF(E217=G217,0,1)</x:f>
        <x:v>0</x:v>
      </x:c>
      <x:c r="I217" s="23" t="str">
        <x:v>Timing T20 / fictional rates</x:v>
      </x:c>
    </x:row>
    <x:row r="218" ht="21" customHeight="1">
      <x:c r="A218" s="23" t="str">
        <x:v>middle_low</x:v>
      </x:c>
      <x:c r="B218" s="23" t="n">
        <x:v>19</x:v>
      </x:c>
      <x:c r="C218" s="37" t="n">
        <x:v>48122</x:v>
      </x:c>
      <x:c r="D218" s="55" t="n">
        <x:v>0.0325</x:v>
      </x:c>
      <x:c r="E218" s="55" t="n">
        <x:v>0.005</x:v>
      </x:c>
      <x:c r="F218" s="60" t="n">
        <x:v>0.0325</x:v>
      </x:c>
      <x:c r="G218" s="60" t="n">
        <x:v>0.005</x:v>
      </x:c>
      <x:c r="H218" s="23" t="n">
        <x:f>IF(D218=F218,0,1)+IF(E218=G218,0,1)</x:f>
        <x:v>0</x:v>
      </x:c>
      <x:c r="I218" s="23" t="str">
        <x:v>Timing T20 / fictional rates</x:v>
      </x:c>
    </x:row>
    <x:row r="219" ht="21" customHeight="1">
      <x:c r="A219" s="23" t="str">
        <x:v>middle_low</x:v>
      </x:c>
      <x:c r="B219" s="23" t="n">
        <x:v>20</x:v>
      </x:c>
      <x:c r="C219" s="37" t="n">
        <x:v>48214</x:v>
      </x:c>
      <x:c r="D219" s="55" t="n">
        <x:v>0.0325</x:v>
      </x:c>
      <x:c r="E219" s="55" t="n">
        <x:v>0.005</x:v>
      </x:c>
      <x:c r="F219" s="60" t="n">
        <x:v>0.0325</x:v>
      </x:c>
      <x:c r="G219" s="60" t="n">
        <x:v>0.005</x:v>
      </x:c>
      <x:c r="H219" s="23" t="n">
        <x:f>IF(D219=F219,0,1)+IF(E219=G219,0,1)</x:f>
        <x:v>0</x:v>
      </x:c>
      <x:c r="I219" s="23" t="str">
        <x:v>Timing T20 / fictional rates</x:v>
      </x:c>
    </x:row>
    <x:row r="220" ht="21" customHeight="1">
      <x:c r="A220" s="23" t="str">
        <x:v>middle_low</x:v>
      </x:c>
      <x:c r="B220" s="23" t="n">
        <x:v>21</x:v>
      </x:c>
      <x:c r="C220" s="37" t="n">
        <x:v>48305</x:v>
      </x:c>
      <x:c r="D220" s="55" t="n">
        <x:v>0</x:v>
      </x:c>
      <x:c r="E220" s="55" t="n">
        <x:v>0.005</x:v>
      </x:c>
      <x:c r="F220" s="60" t="n">
        <x:v>0</x:v>
      </x:c>
      <x:c r="G220" s="60" t="n">
        <x:v>0.005</x:v>
      </x:c>
      <x:c r="H220" s="23" t="n">
        <x:f>IF(D220=F220,0,1)+IF(E220=G220,0,1)</x:f>
        <x:v>0</x:v>
      </x:c>
      <x:c r="I220" s="23" t="str">
        <x:v>Timing T20 / fictional rates</x:v>
      </x:c>
    </x:row>
    <x:row r="221" ht="21" customHeight="1">
      <x:c r="A221" s="23" t="str">
        <x:v>middle_low</x:v>
      </x:c>
      <x:c r="B221" s="23" t="n">
        <x:v>22</x:v>
      </x:c>
      <x:c r="C221" s="37" t="n">
        <x:v>48396</x:v>
      </x:c>
      <x:c r="D221" s="55" t="n">
        <x:v>0</x:v>
      </x:c>
      <x:c r="E221" s="55" t="n">
        <x:v>0.005</x:v>
      </x:c>
      <x:c r="F221" s="60" t="n">
        <x:v>0</x:v>
      </x:c>
      <x:c r="G221" s="60" t="n">
        <x:v>0.005</x:v>
      </x:c>
      <x:c r="H221" s="23" t="n">
        <x:f>IF(D221=F221,0,1)+IF(E221=G221,0,1)</x:f>
        <x:v>0</x:v>
      </x:c>
      <x:c r="I221" s="23" t="str">
        <x:v>Timing T20 / fictional rates</x:v>
      </x:c>
    </x:row>
    <x:row r="222" ht="21" customHeight="1">
      <x:c r="A222" s="23" t="str">
        <x:v>middle_low</x:v>
      </x:c>
      <x:c r="B222" s="23" t="n">
        <x:v>23</x:v>
      </x:c>
      <x:c r="C222" s="37" t="n">
        <x:v>48488</x:v>
      </x:c>
      <x:c r="D222" s="55" t="n">
        <x:v>0</x:v>
      </x:c>
      <x:c r="E222" s="55" t="n">
        <x:v>0.005</x:v>
      </x:c>
      <x:c r="F222" s="60" t="n">
        <x:v>0</x:v>
      </x:c>
      <x:c r="G222" s="60" t="n">
        <x:v>0.005</x:v>
      </x:c>
      <x:c r="H222" s="23" t="n">
        <x:f>IF(D222=F222,0,1)+IF(E222=G222,0,1)</x:f>
        <x:v>0</x:v>
      </x:c>
      <x:c r="I222" s="23" t="str">
        <x:v>Timing T20 / fictional rates</x:v>
      </x:c>
    </x:row>
    <x:row r="223" ht="21" customHeight="1">
      <x:c r="A223" s="23" t="str">
        <x:v>middle_low</x:v>
      </x:c>
      <x:c r="B223" s="23" t="n">
        <x:v>24</x:v>
      </x:c>
      <x:c r="C223" s="37" t="n">
        <x:v>48580</x:v>
      </x:c>
      <x:c r="D223" s="55" t="n">
        <x:v>0</x:v>
      </x:c>
      <x:c r="E223" s="55" t="n">
        <x:v>0.005</x:v>
      </x:c>
      <x:c r="F223" s="60" t="n">
        <x:v>0</x:v>
      </x:c>
      <x:c r="G223" s="60" t="n">
        <x:v>0.005</x:v>
      </x:c>
      <x:c r="H223" s="23" t="n">
        <x:f>IF(D223=F223,0,1)+IF(E223=G223,0,1)</x:f>
        <x:v>0</x:v>
      </x:c>
      <x:c r="I223" s="23" t="str">
        <x:v>Timing T20 / fictional rates</x:v>
      </x:c>
    </x:row>
    <x:row r="224" ht="21" customHeight="1">
      <x:c r="A224" s="23" t="str">
        <x:v>middle_low</x:v>
      </x:c>
      <x:c r="B224" s="23" t="n">
        <x:v>25</x:v>
      </x:c>
      <x:c r="C224" s="37" t="n">
        <x:v>48670</x:v>
      </x:c>
      <x:c r="D224" s="55" t="n">
        <x:v>0</x:v>
      </x:c>
      <x:c r="E224" s="55" t="n">
        <x:v>0.005</x:v>
      </x:c>
      <x:c r="F224" s="60" t="n">
        <x:v>0</x:v>
      </x:c>
      <x:c r="G224" s="60" t="n">
        <x:v>0.005</x:v>
      </x:c>
      <x:c r="H224" s="23" t="n">
        <x:f>IF(D224=F224,0,1)+IF(E224=G224,0,1)</x:f>
        <x:v>0</x:v>
      </x:c>
      <x:c r="I224" s="23" t="str">
        <x:v>Timing T20 / fictional rates</x:v>
      </x:c>
    </x:row>
    <x:row r="225" ht="21" customHeight="1">
      <x:c r="A225" s="23" t="str">
        <x:v>middle_low</x:v>
      </x:c>
      <x:c r="B225" s="23" t="n">
        <x:v>26</x:v>
      </x:c>
      <x:c r="C225" s="37" t="n">
        <x:v>48761</x:v>
      </x:c>
      <x:c r="D225" s="55" t="n">
        <x:v>0</x:v>
      </x:c>
      <x:c r="E225" s="55" t="n">
        <x:v>0.005</x:v>
      </x:c>
      <x:c r="F225" s="60" t="n">
        <x:v>0</x:v>
      </x:c>
      <x:c r="G225" s="60" t="n">
        <x:v>0.005</x:v>
      </x:c>
      <x:c r="H225" s="23" t="n">
        <x:f>IF(D225=F225,0,1)+IF(E225=G225,0,1)</x:f>
        <x:v>0</x:v>
      </x:c>
      <x:c r="I225" s="23" t="str">
        <x:v>Timing T20 / fictional rates</x:v>
      </x:c>
    </x:row>
    <x:row r="226" ht="21" customHeight="1">
      <x:c r="A226" s="23" t="str">
        <x:v>middle_low</x:v>
      </x:c>
      <x:c r="B226" s="23" t="n">
        <x:v>27</x:v>
      </x:c>
      <x:c r="C226" s="37" t="n">
        <x:v>48853</x:v>
      </x:c>
      <x:c r="D226" s="55" t="n">
        <x:v>0</x:v>
      </x:c>
      <x:c r="E226" s="55" t="n">
        <x:v>0.005</x:v>
      </x:c>
      <x:c r="F226" s="60" t="n">
        <x:v>0</x:v>
      </x:c>
      <x:c r="G226" s="60" t="n">
        <x:v>0.005</x:v>
      </x:c>
      <x:c r="H226" s="23" t="n">
        <x:f>IF(D226=F226,0,1)+IF(E226=G226,0,1)</x:f>
        <x:v>0</x:v>
      </x:c>
      <x:c r="I226" s="23" t="str">
        <x:v>Timing T20 / fictional rates</x:v>
      </x:c>
    </x:row>
    <x:row r="227" ht="21" customHeight="1">
      <x:c r="A227" s="23" t="str">
        <x:v>middle_low</x:v>
      </x:c>
      <x:c r="B227" s="23" t="n">
        <x:v>28</x:v>
      </x:c>
      <x:c r="C227" s="37" t="n">
        <x:v>48945</x:v>
      </x:c>
      <x:c r="D227" s="55" t="n">
        <x:v>0</x:v>
      </x:c>
      <x:c r="E227" s="55" t="n">
        <x:v>0.005</x:v>
      </x:c>
      <x:c r="F227" s="60" t="n">
        <x:v>0</x:v>
      </x:c>
      <x:c r="G227" s="60" t="n">
        <x:v>0.005</x:v>
      </x:c>
      <x:c r="H227" s="23" t="n">
        <x:f>IF(D227=F227,0,1)+IF(E227=G227,0,1)</x:f>
        <x:v>0</x:v>
      </x:c>
      <x:c r="I227" s="23" t="str">
        <x:v>Timing T20 / fictional rates</x:v>
      </x:c>
    </x:row>
    <x:row r="228" ht="21" customHeight="1">
      <x:c r="A228" s="23" t="str">
        <x:v>middle_low</x:v>
      </x:c>
      <x:c r="B228" s="23" t="n">
        <x:v>29</x:v>
      </x:c>
      <x:c r="C228" s="37" t="n">
        <x:v>49035</x:v>
      </x:c>
      <x:c r="D228" s="55" t="n">
        <x:v>0</x:v>
      </x:c>
      <x:c r="E228" s="55" t="n">
        <x:v>0.005</x:v>
      </x:c>
      <x:c r="F228" s="60" t="n">
        <x:v>0</x:v>
      </x:c>
      <x:c r="G228" s="60" t="n">
        <x:v>0.005</x:v>
      </x:c>
      <x:c r="H228" s="23" t="n">
        <x:f>IF(D228=F228,0,1)+IF(E228=G228,0,1)</x:f>
        <x:v>0</x:v>
      </x:c>
      <x:c r="I228" s="23" t="str">
        <x:v>Timing T20 / fictional rates</x:v>
      </x:c>
    </x:row>
    <x:row r="229" ht="21" customHeight="1">
      <x:c r="A229" s="23" t="str">
        <x:v>middle_low</x:v>
      </x:c>
      <x:c r="B229" s="23" t="n">
        <x:v>30</x:v>
      </x:c>
      <x:c r="C229" s="37" t="n">
        <x:v>49126</x:v>
      </x:c>
      <x:c r="D229" s="55" t="n">
        <x:v>0</x:v>
      </x:c>
      <x:c r="E229" s="55" t="n">
        <x:v>0.005</x:v>
      </x:c>
      <x:c r="F229" s="60" t="n">
        <x:v>0</x:v>
      </x:c>
      <x:c r="G229" s="60" t="n">
        <x:v>0.005</x:v>
      </x:c>
      <x:c r="H229" s="23" t="n">
        <x:f>IF(D229=F229,0,1)+IF(E229=G229,0,1)</x:f>
        <x:v>0</x:v>
      </x:c>
      <x:c r="I229" s="23" t="str">
        <x:v>Timing T20 / fictional rates</x:v>
      </x:c>
    </x:row>
    <x:row r="230" ht="21" customHeight="1">
      <x:c r="A230" s="23" t="str">
        <x:v>middle_low</x:v>
      </x:c>
      <x:c r="B230" s="23" t="n">
        <x:v>31</x:v>
      </x:c>
      <x:c r="C230" s="37" t="n">
        <x:v>49218</x:v>
      </x:c>
      <x:c r="D230" s="55" t="n">
        <x:v>0</x:v>
      </x:c>
      <x:c r="E230" s="55" t="n">
        <x:v>0.005</x:v>
      </x:c>
      <x:c r="F230" s="60" t="n">
        <x:v>0</x:v>
      </x:c>
      <x:c r="G230" s="60" t="n">
        <x:v>0.005</x:v>
      </x:c>
      <x:c r="H230" s="23" t="n">
        <x:f>IF(D230=F230,0,1)+IF(E230=G230,0,1)</x:f>
        <x:v>0</x:v>
      </x:c>
      <x:c r="I230" s="23" t="str">
        <x:v>Timing T20 / fictional rates</x:v>
      </x:c>
    </x:row>
    <x:row r="231" ht="21" customHeight="1">
      <x:c r="A231" s="23" t="str">
        <x:v>middle_low</x:v>
      </x:c>
      <x:c r="B231" s="23" t="n">
        <x:v>32</x:v>
      </x:c>
      <x:c r="C231" s="37" t="n">
        <x:v>49310</x:v>
      </x:c>
      <x:c r="D231" s="55" t="n">
        <x:v>0</x:v>
      </x:c>
      <x:c r="E231" s="55" t="n">
        <x:v>0.005</x:v>
      </x:c>
      <x:c r="F231" s="60" t="n">
        <x:v>0</x:v>
      </x:c>
      <x:c r="G231" s="60" t="n">
        <x:v>0.005</x:v>
      </x:c>
      <x:c r="H231" s="23" t="n">
        <x:f>IF(D231=F231,0,1)+IF(E231=G231,0,1)</x:f>
        <x:v>0</x:v>
      </x:c>
      <x:c r="I231" s="23" t="str">
        <x:v>Timing T20 / fictional rates</x:v>
      </x:c>
    </x:row>
    <x:row r="232" ht="21" customHeight="1">
      <x:c r="A232" s="23" t="str">
        <x:v>middle_low</x:v>
      </x:c>
      <x:c r="B232" s="23" t="n">
        <x:v>33</x:v>
      </x:c>
      <x:c r="C232" s="37" t="n">
        <x:v>49400</x:v>
      </x:c>
      <x:c r="D232" s="55" t="n">
        <x:v>0</x:v>
      </x:c>
      <x:c r="E232" s="55" t="n">
        <x:v>0.005</x:v>
      </x:c>
      <x:c r="F232" s="60" t="n">
        <x:v>0</x:v>
      </x:c>
      <x:c r="G232" s="60" t="n">
        <x:v>0.005</x:v>
      </x:c>
      <x:c r="H232" s="23" t="n">
        <x:f>IF(D232=F232,0,1)+IF(E232=G232,0,1)</x:f>
        <x:v>0</x:v>
      </x:c>
      <x:c r="I232" s="23" t="str">
        <x:v>Timing T20 / fictional rates</x:v>
      </x:c>
    </x:row>
    <x:row r="233" ht="21" customHeight="1">
      <x:c r="A233" s="23" t="str">
        <x:v>middle_low</x:v>
      </x:c>
      <x:c r="B233" s="23" t="n">
        <x:v>34</x:v>
      </x:c>
      <x:c r="C233" s="37" t="n">
        <x:v>49491</x:v>
      </x:c>
      <x:c r="D233" s="55" t="n">
        <x:v>0</x:v>
      </x:c>
      <x:c r="E233" s="55" t="n">
        <x:v>0.005</x:v>
      </x:c>
      <x:c r="F233" s="60" t="n">
        <x:v>0</x:v>
      </x:c>
      <x:c r="G233" s="60" t="n">
        <x:v>0.005</x:v>
      </x:c>
      <x:c r="H233" s="23" t="n">
        <x:f>IF(D233=F233,0,1)+IF(E233=G233,0,1)</x:f>
        <x:v>0</x:v>
      </x:c>
      <x:c r="I233" s="23" t="str">
        <x:v>Timing T20 / fictional rates</x:v>
      </x:c>
    </x:row>
    <x:row r="234" ht="21" customHeight="1">
      <x:c r="A234" s="23" t="str">
        <x:v>middle_low</x:v>
      </x:c>
      <x:c r="B234" s="23" t="n">
        <x:v>35</x:v>
      </x:c>
      <x:c r="C234" s="37" t="n">
        <x:v>49583</x:v>
      </x:c>
      <x:c r="D234" s="55" t="n">
        <x:v>0</x:v>
      </x:c>
      <x:c r="E234" s="55" t="n">
        <x:v>0.005</x:v>
      </x:c>
      <x:c r="F234" s="60" t="n">
        <x:v>0</x:v>
      </x:c>
      <x:c r="G234" s="60" t="n">
        <x:v>0.005</x:v>
      </x:c>
      <x:c r="H234" s="23" t="n">
        <x:f>IF(D234=F234,0,1)+IF(E234=G234,0,1)</x:f>
        <x:v>0</x:v>
      </x:c>
      <x:c r="I234" s="23" t="str">
        <x:v>Timing T20 / fictional rates</x:v>
      </x:c>
    </x:row>
    <x:row r="235" ht="21" customHeight="1">
      <x:c r="A235" s="23" t="str">
        <x:v>middle_low</x:v>
      </x:c>
      <x:c r="B235" s="23" t="n">
        <x:v>36</x:v>
      </x:c>
      <x:c r="C235" s="37" t="n">
        <x:v>49675</x:v>
      </x:c>
      <x:c r="D235" s="55" t="n">
        <x:v>0</x:v>
      </x:c>
      <x:c r="E235" s="55" t="n">
        <x:v>0.005</x:v>
      </x:c>
      <x:c r="F235" s="60" t="n">
        <x:v>0</x:v>
      </x:c>
      <x:c r="G235" s="60" t="n">
        <x:v>0.005</x:v>
      </x:c>
      <x:c r="H235" s="23" t="n">
        <x:f>IF(D235=F235,0,1)+IF(E235=G235,0,1)</x:f>
        <x:v>0</x:v>
      </x:c>
      <x:c r="I235" s="23" t="str">
        <x:v>Timing T20 / fictional rates</x:v>
      </x:c>
    </x:row>
    <x:row r="236" ht="21" customHeight="1">
      <x:c r="A236" s="23" t="str">
        <x:v>middle_low</x:v>
      </x:c>
      <x:c r="B236" s="23" t="n">
        <x:v>37</x:v>
      </x:c>
      <x:c r="C236" s="37" t="n">
        <x:v>49766</x:v>
      </x:c>
      <x:c r="D236" s="55" t="n">
        <x:v>0</x:v>
      </x:c>
      <x:c r="E236" s="55" t="n">
        <x:v>0.005</x:v>
      </x:c>
      <x:c r="F236" s="60" t="n">
        <x:v>0</x:v>
      </x:c>
      <x:c r="G236" s="60" t="n">
        <x:v>0.005</x:v>
      </x:c>
      <x:c r="H236" s="23" t="n">
        <x:f>IF(D236=F236,0,1)+IF(E236=G236,0,1)</x:f>
        <x:v>0</x:v>
      </x:c>
      <x:c r="I236" s="23" t="str">
        <x:v>Timing T20 / fictional rates</x:v>
      </x:c>
    </x:row>
    <x:row r="237" ht="21" customHeight="1">
      <x:c r="A237" s="23" t="str">
        <x:v>middle_low</x:v>
      </x:c>
      <x:c r="B237" s="23" t="n">
        <x:v>38</x:v>
      </x:c>
      <x:c r="C237" s="37" t="n">
        <x:v>49857</x:v>
      </x:c>
      <x:c r="D237" s="55" t="n">
        <x:v>0</x:v>
      </x:c>
      <x:c r="E237" s="55" t="n">
        <x:v>0.005</x:v>
      </x:c>
      <x:c r="F237" s="60" t="n">
        <x:v>0</x:v>
      </x:c>
      <x:c r="G237" s="60" t="n">
        <x:v>0.005</x:v>
      </x:c>
      <x:c r="H237" s="23" t="n">
        <x:f>IF(D237=F237,0,1)+IF(E237=G237,0,1)</x:f>
        <x:v>0</x:v>
      </x:c>
      <x:c r="I237" s="23" t="str">
        <x:v>Timing T20 / fictional rates</x:v>
      </x:c>
    </x:row>
    <x:row r="238" ht="21" customHeight="1">
      <x:c r="A238" s="23" t="str">
        <x:v>middle_low</x:v>
      </x:c>
      <x:c r="B238" s="23" t="n">
        <x:v>39</x:v>
      </x:c>
      <x:c r="C238" s="37" t="n">
        <x:v>49949</x:v>
      </x:c>
      <x:c r="D238" s="55" t="n">
        <x:v>0</x:v>
      </x:c>
      <x:c r="E238" s="55" t="n">
        <x:v>0.005</x:v>
      </x:c>
      <x:c r="F238" s="60" t="n">
        <x:v>0</x:v>
      </x:c>
      <x:c r="G238" s="60" t="n">
        <x:v>0.005</x:v>
      </x:c>
      <x:c r="H238" s="23" t="n">
        <x:f>IF(D238=F238,0,1)+IF(E238=G238,0,1)</x:f>
        <x:v>0</x:v>
      </x:c>
      <x:c r="I238" s="23" t="str">
        <x:v>Timing T20 / fictional rates</x:v>
      </x:c>
    </x:row>
    <x:row r="239" ht="21" customHeight="1">
      <x:c r="A239" s="23" t="str">
        <x:v>middle_low</x:v>
      </x:c>
      <x:c r="B239" s="23" t="n">
        <x:v>40</x:v>
      </x:c>
      <x:c r="C239" s="37" t="n">
        <x:v>50041</x:v>
      </x:c>
      <x:c r="D239" s="55" t="n">
        <x:v>0</x:v>
      </x:c>
      <x:c r="E239" s="55" t="n">
        <x:v>0.005</x:v>
      </x:c>
      <x:c r="F239" s="60" t="n">
        <x:v>0</x:v>
      </x:c>
      <x:c r="G239" s="60" t="n">
        <x:v>0.005</x:v>
      </x:c>
      <x:c r="H239" s="23" t="n">
        <x:f>IF(D239=F239,0,1)+IF(E239=G239,0,1)</x:f>
        <x:v>0</x:v>
      </x:c>
      <x:c r="I239" s="23" t="str">
        <x:v>Timing T20 / fictional rates</x:v>
      </x:c>
    </x:row>
    <x:row r="240" ht="21" customHeight="1">
      <x:c r="A240" s="23" t="str">
        <x:v>middle_low</x:v>
      </x:c>
      <x:c r="B240" s="23" t="n">
        <x:v>41</x:v>
      </x:c>
      <x:c r="C240" s="37" t="n">
        <x:v>50131</x:v>
      </x:c>
      <x:c r="D240" s="55" t="n">
        <x:v>0</x:v>
      </x:c>
      <x:c r="E240" s="55" t="n">
        <x:v>0.005</x:v>
      </x:c>
      <x:c r="F240" s="60" t="n">
        <x:v>0</x:v>
      </x:c>
      <x:c r="G240" s="60" t="n">
        <x:v>0.005</x:v>
      </x:c>
      <x:c r="H240" s="23" t="n">
        <x:f>IF(D240=F240,0,1)+IF(E240=G240,0,1)</x:f>
        <x:v>0</x:v>
      </x:c>
      <x:c r="I240" s="23" t="str">
        <x:v>Timing T20 / fictional rates</x:v>
      </x:c>
    </x:row>
    <x:row r="241" ht="21" customHeight="1">
      <x:c r="A241" s="23" t="str">
        <x:v>middle_low</x:v>
      </x:c>
      <x:c r="B241" s="23" t="n">
        <x:v>42</x:v>
      </x:c>
      <x:c r="C241" s="37" t="n">
        <x:v>50222</x:v>
      </x:c>
      <x:c r="D241" s="55" t="n">
        <x:v>0</x:v>
      </x:c>
      <x:c r="E241" s="55" t="n">
        <x:v>0.005</x:v>
      </x:c>
      <x:c r="F241" s="60" t="n">
        <x:v>0</x:v>
      </x:c>
      <x:c r="G241" s="60" t="n">
        <x:v>0.005</x:v>
      </x:c>
      <x:c r="H241" s="23" t="n">
        <x:f>IF(D241=F241,0,1)+IF(E241=G241,0,1)</x:f>
        <x:v>0</x:v>
      </x:c>
      <x:c r="I241" s="23" t="str">
        <x:v>Timing T20 / fictional rates</x:v>
      </x:c>
    </x:row>
    <x:row r="242" ht="21" customHeight="1">
      <x:c r="A242" s="23" t="str">
        <x:v>middle_low</x:v>
      </x:c>
      <x:c r="B242" s="23" t="n">
        <x:v>43</x:v>
      </x:c>
      <x:c r="C242" s="37" t="n">
        <x:v>50314</x:v>
      </x:c>
      <x:c r="D242" s="55" t="n">
        <x:v>0</x:v>
      </x:c>
      <x:c r="E242" s="55" t="n">
        <x:v>0.005</x:v>
      </x:c>
      <x:c r="F242" s="60" t="n">
        <x:v>0</x:v>
      </x:c>
      <x:c r="G242" s="60" t="n">
        <x:v>0.005</x:v>
      </x:c>
      <x:c r="H242" s="23" t="n">
        <x:f>IF(D242=F242,0,1)+IF(E242=G242,0,1)</x:f>
        <x:v>0</x:v>
      </x:c>
      <x:c r="I242" s="23" t="str">
        <x:v>Timing T20 / fictional rates</x:v>
      </x:c>
    </x:row>
    <x:row r="243" ht="21" customHeight="1">
      <x:c r="A243" s="23" t="str">
        <x:v>middle_low</x:v>
      </x:c>
      <x:c r="B243" s="23" t="n">
        <x:v>44</x:v>
      </x:c>
      <x:c r="C243" s="37" t="n">
        <x:v>50406</x:v>
      </x:c>
      <x:c r="D243" s="55" t="n">
        <x:v>0</x:v>
      </x:c>
      <x:c r="E243" s="55" t="n">
        <x:v>0.005</x:v>
      </x:c>
      <x:c r="F243" s="60" t="n">
        <x:v>0</x:v>
      </x:c>
      <x:c r="G243" s="60" t="n">
        <x:v>0.005</x:v>
      </x:c>
      <x:c r="H243" s="23" t="n">
        <x:f>IF(D243=F243,0,1)+IF(E243=G243,0,1)</x:f>
        <x:v>0</x:v>
      </x:c>
      <x:c r="I243" s="23" t="str">
        <x:v>Timing T20 / fictional rates</x:v>
      </x:c>
    </x:row>
    <x:row r="244" ht="21" customHeight="1">
      <x:c r="A244" s="23" t="str">
        <x:v>middle_low</x:v>
      </x:c>
      <x:c r="B244" s="23" t="n">
        <x:v>45</x:v>
      </x:c>
      <x:c r="C244" s="37" t="n">
        <x:v>50496</x:v>
      </x:c>
      <x:c r="D244" s="55" t="n">
        <x:v>0</x:v>
      </x:c>
      <x:c r="E244" s="55" t="n">
        <x:v>0.005</x:v>
      </x:c>
      <x:c r="F244" s="60" t="n">
        <x:v>0</x:v>
      </x:c>
      <x:c r="G244" s="60" t="n">
        <x:v>0.005</x:v>
      </x:c>
      <x:c r="H244" s="23" t="n">
        <x:f>IF(D244=F244,0,1)+IF(E244=G244,0,1)</x:f>
        <x:v>0</x:v>
      </x:c>
      <x:c r="I244" s="23" t="str">
        <x:v>Timing T20 / fictional rates</x:v>
      </x:c>
    </x:row>
    <x:row r="245" ht="21" customHeight="1">
      <x:c r="A245" s="23" t="str">
        <x:v>middle_low</x:v>
      </x:c>
      <x:c r="B245" s="23" t="n">
        <x:v>46</x:v>
      </x:c>
      <x:c r="C245" s="37" t="n">
        <x:v>50587</x:v>
      </x:c>
      <x:c r="D245" s="55" t="n">
        <x:v>0</x:v>
      </x:c>
      <x:c r="E245" s="55" t="n">
        <x:v>0.005</x:v>
      </x:c>
      <x:c r="F245" s="60" t="n">
        <x:v>0</x:v>
      </x:c>
      <x:c r="G245" s="60" t="n">
        <x:v>0.005</x:v>
      </x:c>
      <x:c r="H245" s="23" t="n">
        <x:f>IF(D245=F245,0,1)+IF(E245=G245,0,1)</x:f>
        <x:v>0</x:v>
      </x:c>
      <x:c r="I245" s="23" t="str">
        <x:v>Timing T20 / fictional rates</x:v>
      </x:c>
    </x:row>
    <x:row r="246" ht="21" customHeight="1">
      <x:c r="A246" s="23" t="str">
        <x:v>middle_low</x:v>
      </x:c>
      <x:c r="B246" s="23" t="n">
        <x:v>47</x:v>
      </x:c>
      <x:c r="C246" s="37" t="n">
        <x:v>50679</x:v>
      </x:c>
      <x:c r="D246" s="55" t="n">
        <x:v>0</x:v>
      </x:c>
      <x:c r="E246" s="55" t="n">
        <x:v>0.005</x:v>
      </x:c>
      <x:c r="F246" s="60" t="n">
        <x:v>0</x:v>
      </x:c>
      <x:c r="G246" s="60" t="n">
        <x:v>0.005</x:v>
      </x:c>
      <x:c r="H246" s="23" t="n">
        <x:f>IF(D246=F246,0,1)+IF(E246=G246,0,1)</x:f>
        <x:v>0</x:v>
      </x:c>
      <x:c r="I246" s="23" t="str">
        <x:v>Timing T20 / fictional rates</x:v>
      </x:c>
    </x:row>
    <x:row r="247" ht="21" customHeight="1">
      <x:c r="A247" s="23" t="str">
        <x:v>middle_low</x:v>
      </x:c>
      <x:c r="B247" s="23" t="n">
        <x:v>48</x:v>
      </x:c>
      <x:c r="C247" s="37" t="n">
        <x:v>50771</x:v>
      </x:c>
      <x:c r="D247" s="55" t="n">
        <x:v>0</x:v>
      </x:c>
      <x:c r="E247" s="55" t="n">
        <x:v>0.005</x:v>
      </x:c>
      <x:c r="F247" s="60" t="n">
        <x:v>0</x:v>
      </x:c>
      <x:c r="G247" s="60" t="n">
        <x:v>0.005</x:v>
      </x:c>
      <x:c r="H247" s="23" t="n">
        <x:f>IF(D247=F247,0,1)+IF(E247=G247,0,1)</x:f>
        <x:v>0</x:v>
      </x:c>
      <x:c r="I247" s="23" t="str">
        <x:v>Timing T20 / fictional rates</x:v>
      </x:c>
    </x:row>
    <x:row r="248" ht="21" customHeight="1">
      <x:c r="A248" s="23" t="str">
        <x:v>middle_high</x:v>
      </x:c>
      <x:c r="B248" s="23" t="n">
        <x:v>1</x:v>
      </x:c>
      <x:c r="C248" s="37" t="n">
        <x:v>46478</x:v>
      </x:c>
      <x:c r="D248" s="55" t="n">
        <x:v>0.04</x:v>
      </x:c>
      <x:c r="E248" s="55" t="n">
        <x:v>0.06</x:v>
      </x:c>
      <x:c r="F248" s="60" t="n">
        <x:v>0.04</x:v>
      </x:c>
      <x:c r="G248" s="60" t="n">
        <x:v>0.06</x:v>
      </x:c>
      <x:c r="H248" s="23" t="n">
        <x:f>IF(D248=F248,0,1)+IF(E248=G248,0,1)</x:f>
        <x:v>0</x:v>
      </x:c>
      <x:c r="I248" s="23" t="str">
        <x:v>Timing T20 / fictional rates</x:v>
      </x:c>
    </x:row>
    <x:row r="249" ht="21" customHeight="1">
      <x:c r="A249" s="23" t="str">
        <x:v>middle_high</x:v>
      </x:c>
      <x:c r="B249" s="23" t="n">
        <x:v>2</x:v>
      </x:c>
      <x:c r="C249" s="37" t="n">
        <x:v>46569</x:v>
      </x:c>
      <x:c r="D249" s="55" t="n">
        <x:v>0.04</x:v>
      </x:c>
      <x:c r="E249" s="55" t="n">
        <x:v>0.06</x:v>
      </x:c>
      <x:c r="F249" s="60" t="n">
        <x:v>0.04</x:v>
      </x:c>
      <x:c r="G249" s="60" t="n">
        <x:v>0.06</x:v>
      </x:c>
      <x:c r="H249" s="23" t="n">
        <x:f>IF(D249=F249,0,1)+IF(E249=G249,0,1)</x:f>
        <x:v>0</x:v>
      </x:c>
      <x:c r="I249" s="23" t="str">
        <x:v>Timing T20 / fictional rates</x:v>
      </x:c>
    </x:row>
    <x:row r="250" ht="21" customHeight="1">
      <x:c r="A250" s="23" t="str">
        <x:v>middle_high</x:v>
      </x:c>
      <x:c r="B250" s="23" t="n">
        <x:v>3</x:v>
      </x:c>
      <x:c r="C250" s="37" t="n">
        <x:v>46661</x:v>
      </x:c>
      <x:c r="D250" s="55" t="n">
        <x:v>0.04</x:v>
      </x:c>
      <x:c r="E250" s="55" t="n">
        <x:v>0.06</x:v>
      </x:c>
      <x:c r="F250" s="60" t="n">
        <x:v>0.04</x:v>
      </x:c>
      <x:c r="G250" s="60" t="n">
        <x:v>0.06</x:v>
      </x:c>
      <x:c r="H250" s="23" t="n">
        <x:f>IF(D250=F250,0,1)+IF(E250=G250,0,1)</x:f>
        <x:v>0</x:v>
      </x:c>
      <x:c r="I250" s="23" t="str">
        <x:v>Timing T20 / fictional rates</x:v>
      </x:c>
    </x:row>
    <x:row r="251" ht="21" customHeight="1">
      <x:c r="A251" s="23" t="str">
        <x:v>middle_high</x:v>
      </x:c>
      <x:c r="B251" s="23" t="n">
        <x:v>4</x:v>
      </x:c>
      <x:c r="C251" s="37" t="n">
        <x:v>46753</x:v>
      </x:c>
      <x:c r="D251" s="55" t="n">
        <x:v>0.04</x:v>
      </x:c>
      <x:c r="E251" s="55" t="n">
        <x:v>0.06</x:v>
      </x:c>
      <x:c r="F251" s="60" t="n">
        <x:v>0.04</x:v>
      </x:c>
      <x:c r="G251" s="60" t="n">
        <x:v>0.06</x:v>
      </x:c>
      <x:c r="H251" s="23" t="n">
        <x:f>IF(D251=F251,0,1)+IF(E251=G251,0,1)</x:f>
        <x:v>0</x:v>
      </x:c>
      <x:c r="I251" s="23" t="str">
        <x:v>Timing T20 / fictional rates</x:v>
      </x:c>
    </x:row>
    <x:row r="252" ht="21" customHeight="1">
      <x:c r="A252" s="23" t="str">
        <x:v>middle_high</x:v>
      </x:c>
      <x:c r="B252" s="23" t="n">
        <x:v>5</x:v>
      </x:c>
      <x:c r="C252" s="37" t="n">
        <x:v>46844</x:v>
      </x:c>
      <x:c r="D252" s="55" t="n">
        <x:v>0.0575</x:v>
      </x:c>
      <x:c r="E252" s="55" t="n">
        <x:v>0.06</x:v>
      </x:c>
      <x:c r="F252" s="60" t="n">
        <x:v>0.0575</x:v>
      </x:c>
      <x:c r="G252" s="60" t="n">
        <x:v>0.06</x:v>
      </x:c>
      <x:c r="H252" s="23" t="n">
        <x:f>IF(D252=F252,0,1)+IF(E252=G252,0,1)</x:f>
        <x:v>0</x:v>
      </x:c>
      <x:c r="I252" s="23" t="str">
        <x:v>Timing T20 / fictional rates</x:v>
      </x:c>
    </x:row>
    <x:row r="253" ht="21" customHeight="1">
      <x:c r="A253" s="23" t="str">
        <x:v>middle_high</x:v>
      </x:c>
      <x:c r="B253" s="23" t="n">
        <x:v>6</x:v>
      </x:c>
      <x:c r="C253" s="37" t="n">
        <x:v>46935</x:v>
      </x:c>
      <x:c r="D253" s="55" t="n">
        <x:v>0.0575</x:v>
      </x:c>
      <x:c r="E253" s="55" t="n">
        <x:v>0.06</x:v>
      </x:c>
      <x:c r="F253" s="60" t="n">
        <x:v>0.0575</x:v>
      </x:c>
      <x:c r="G253" s="60" t="n">
        <x:v>0.06</x:v>
      </x:c>
      <x:c r="H253" s="23" t="n">
        <x:f>IF(D253=F253,0,1)+IF(E253=G253,0,1)</x:f>
        <x:v>0</x:v>
      </x:c>
      <x:c r="I253" s="23" t="str">
        <x:v>Timing T20 / fictional rates</x:v>
      </x:c>
    </x:row>
    <x:row r="254" ht="21" customHeight="1">
      <x:c r="A254" s="23" t="str">
        <x:v>middle_high</x:v>
      </x:c>
      <x:c r="B254" s="23" t="n">
        <x:v>7</x:v>
      </x:c>
      <x:c r="C254" s="37" t="n">
        <x:v>47027</x:v>
      </x:c>
      <x:c r="D254" s="55" t="n">
        <x:v>0.0575</x:v>
      </x:c>
      <x:c r="E254" s="55" t="n">
        <x:v>0.06</x:v>
      </x:c>
      <x:c r="F254" s="60" t="n">
        <x:v>0.0575</x:v>
      </x:c>
      <x:c r="G254" s="60" t="n">
        <x:v>0.06</x:v>
      </x:c>
      <x:c r="H254" s="23" t="n">
        <x:f>IF(D254=F254,0,1)+IF(E254=G254,0,1)</x:f>
        <x:v>0</x:v>
      </x:c>
      <x:c r="I254" s="23" t="str">
        <x:v>Timing T20 / fictional rates</x:v>
      </x:c>
    </x:row>
    <x:row r="255" ht="21" customHeight="1">
      <x:c r="A255" s="23" t="str">
        <x:v>middle_high</x:v>
      </x:c>
      <x:c r="B255" s="23" t="n">
        <x:v>8</x:v>
      </x:c>
      <x:c r="C255" s="37" t="n">
        <x:v>47119</x:v>
      </x:c>
      <x:c r="D255" s="55" t="n">
        <x:v>0.0575</x:v>
      </x:c>
      <x:c r="E255" s="55" t="n">
        <x:v>0.06</x:v>
      </x:c>
      <x:c r="F255" s="60" t="n">
        <x:v>0.0575</x:v>
      </x:c>
      <x:c r="G255" s="60" t="n">
        <x:v>0.06</x:v>
      </x:c>
      <x:c r="H255" s="23" t="n">
        <x:f>IF(D255=F255,0,1)+IF(E255=G255,0,1)</x:f>
        <x:v>0</x:v>
      </x:c>
      <x:c r="I255" s="23" t="str">
        <x:v>Timing T20 / fictional rates</x:v>
      </x:c>
    </x:row>
    <x:row r="256" ht="21" customHeight="1">
      <x:c r="A256" s="23" t="str">
        <x:v>middle_high</x:v>
      </x:c>
      <x:c r="B256" s="23" t="n">
        <x:v>9</x:v>
      </x:c>
      <x:c r="C256" s="37" t="n">
        <x:v>47209</x:v>
      </x:c>
      <x:c r="D256" s="55" t="n">
        <x:v>0.065</x:v>
      </x:c>
      <x:c r="E256" s="55" t="n">
        <x:v>0.06</x:v>
      </x:c>
      <x:c r="F256" s="60" t="n">
        <x:v>0.065</x:v>
      </x:c>
      <x:c r="G256" s="60" t="n">
        <x:v>0.06</x:v>
      </x:c>
      <x:c r="H256" s="23" t="n">
        <x:f>IF(D256=F256,0,1)+IF(E256=G256,0,1)</x:f>
        <x:v>0</x:v>
      </x:c>
      <x:c r="I256" s="23" t="str">
        <x:v>Timing T20 / fictional rates</x:v>
      </x:c>
    </x:row>
    <x:row r="257" ht="21" customHeight="1">
      <x:c r="A257" s="23" t="str">
        <x:v>middle_high</x:v>
      </x:c>
      <x:c r="B257" s="23" t="n">
        <x:v>10</x:v>
      </x:c>
      <x:c r="C257" s="37" t="n">
        <x:v>47300</x:v>
      </x:c>
      <x:c r="D257" s="55" t="n">
        <x:v>0.065</x:v>
      </x:c>
      <x:c r="E257" s="55" t="n">
        <x:v>0.06</x:v>
      </x:c>
      <x:c r="F257" s="60" t="n">
        <x:v>0.065</x:v>
      </x:c>
      <x:c r="G257" s="60" t="n">
        <x:v>0.06</x:v>
      </x:c>
      <x:c r="H257" s="23" t="n">
        <x:f>IF(D257=F257,0,1)+IF(E257=G257,0,1)</x:f>
        <x:v>0</x:v>
      </x:c>
      <x:c r="I257" s="23" t="str">
        <x:v>Timing T20 / fictional rates</x:v>
      </x:c>
    </x:row>
    <x:row r="258" ht="21" customHeight="1">
      <x:c r="A258" s="23" t="str">
        <x:v>middle_high</x:v>
      </x:c>
      <x:c r="B258" s="23" t="n">
        <x:v>11</x:v>
      </x:c>
      <x:c r="C258" s="37" t="n">
        <x:v>47392</x:v>
      </x:c>
      <x:c r="D258" s="55" t="n">
        <x:v>0.065</x:v>
      </x:c>
      <x:c r="E258" s="55" t="n">
        <x:v>0.06</x:v>
      </x:c>
      <x:c r="F258" s="60" t="n">
        <x:v>0.065</x:v>
      </x:c>
      <x:c r="G258" s="60" t="n">
        <x:v>0.06</x:v>
      </x:c>
      <x:c r="H258" s="23" t="n">
        <x:f>IF(D258=F258,0,1)+IF(E258=G258,0,1)</x:f>
        <x:v>0</x:v>
      </x:c>
      <x:c r="I258" s="23" t="str">
        <x:v>Timing T20 / fictional rates</x:v>
      </x:c>
    </x:row>
    <x:row r="259" ht="21" customHeight="1">
      <x:c r="A259" s="23" t="str">
        <x:v>middle_high</x:v>
      </x:c>
      <x:c r="B259" s="23" t="n">
        <x:v>12</x:v>
      </x:c>
      <x:c r="C259" s="37" t="n">
        <x:v>47484</x:v>
      </x:c>
      <x:c r="D259" s="55" t="n">
        <x:v>0.065</x:v>
      </x:c>
      <x:c r="E259" s="55" t="n">
        <x:v>0.06</x:v>
      </x:c>
      <x:c r="F259" s="60" t="n">
        <x:v>0.065</x:v>
      </x:c>
      <x:c r="G259" s="60" t="n">
        <x:v>0.06</x:v>
      </x:c>
      <x:c r="H259" s="23" t="n">
        <x:f>IF(D259=F259,0,1)+IF(E259=G259,0,1)</x:f>
        <x:v>0</x:v>
      </x:c>
      <x:c r="I259" s="23" t="str">
        <x:v>Timing T20 / fictional rates</x:v>
      </x:c>
    </x:row>
    <x:row r="260" ht="21" customHeight="1">
      <x:c r="A260" s="23" t="str">
        <x:v>middle_high</x:v>
      </x:c>
      <x:c r="B260" s="23" t="n">
        <x:v>13</x:v>
      </x:c>
      <x:c r="C260" s="37" t="n">
        <x:v>47574</x:v>
      </x:c>
      <x:c r="D260" s="55" t="n">
        <x:v>0.055</x:v>
      </x:c>
      <x:c r="E260" s="55" t="n">
        <x:v>0.06</x:v>
      </x:c>
      <x:c r="F260" s="60" t="n">
        <x:v>0.055</x:v>
      </x:c>
      <x:c r="G260" s="60" t="n">
        <x:v>0.06</x:v>
      </x:c>
      <x:c r="H260" s="23" t="n">
        <x:f>IF(D260=F260,0,1)+IF(E260=G260,0,1)</x:f>
        <x:v>0</x:v>
      </x:c>
      <x:c r="I260" s="23" t="str">
        <x:v>Timing T20 / fictional rates</x:v>
      </x:c>
    </x:row>
    <x:row r="261" ht="21" customHeight="1">
      <x:c r="A261" s="23" t="str">
        <x:v>middle_high</x:v>
      </x:c>
      <x:c r="B261" s="23" t="n">
        <x:v>14</x:v>
      </x:c>
      <x:c r="C261" s="37" t="n">
        <x:v>47665</x:v>
      </x:c>
      <x:c r="D261" s="55" t="n">
        <x:v>0.055</x:v>
      </x:c>
      <x:c r="E261" s="55" t="n">
        <x:v>0.06</x:v>
      </x:c>
      <x:c r="F261" s="60" t="n">
        <x:v>0.055</x:v>
      </x:c>
      <x:c r="G261" s="60" t="n">
        <x:v>0.06</x:v>
      </x:c>
      <x:c r="H261" s="23" t="n">
        <x:f>IF(D261=F261,0,1)+IF(E261=G261,0,1)</x:f>
        <x:v>0</x:v>
      </x:c>
      <x:c r="I261" s="23" t="str">
        <x:v>Timing T20 / fictional rates</x:v>
      </x:c>
    </x:row>
    <x:row r="262" ht="21" customHeight="1">
      <x:c r="A262" s="23" t="str">
        <x:v>middle_high</x:v>
      </x:c>
      <x:c r="B262" s="23" t="n">
        <x:v>15</x:v>
      </x:c>
      <x:c r="C262" s="37" t="n">
        <x:v>47757</x:v>
      </x:c>
      <x:c r="D262" s="55" t="n">
        <x:v>0.055</x:v>
      </x:c>
      <x:c r="E262" s="55" t="n">
        <x:v>0.06</x:v>
      </x:c>
      <x:c r="F262" s="60" t="n">
        <x:v>0.055</x:v>
      </x:c>
      <x:c r="G262" s="60" t="n">
        <x:v>0.06</x:v>
      </x:c>
      <x:c r="H262" s="23" t="n">
        <x:f>IF(D262=F262,0,1)+IF(E262=G262,0,1)</x:f>
        <x:v>0</x:v>
      </x:c>
      <x:c r="I262" s="23" t="str">
        <x:v>Timing T20 / fictional rates</x:v>
      </x:c>
    </x:row>
    <x:row r="263" ht="21" customHeight="1">
      <x:c r="A263" s="23" t="str">
        <x:v>middle_high</x:v>
      </x:c>
      <x:c r="B263" s="23" t="n">
        <x:v>16</x:v>
      </x:c>
      <x:c r="C263" s="37" t="n">
        <x:v>47849</x:v>
      </x:c>
      <x:c r="D263" s="55" t="n">
        <x:v>0.055</x:v>
      </x:c>
      <x:c r="E263" s="55" t="n">
        <x:v>0.06</x:v>
      </x:c>
      <x:c r="F263" s="60" t="n">
        <x:v>0.055</x:v>
      </x:c>
      <x:c r="G263" s="60" t="n">
        <x:v>0.06</x:v>
      </x:c>
      <x:c r="H263" s="23" t="n">
        <x:f>IF(D263=F263,0,1)+IF(E263=G263,0,1)</x:f>
        <x:v>0</x:v>
      </x:c>
      <x:c r="I263" s="23" t="str">
        <x:v>Timing T20 / fictional rates</x:v>
      </x:c>
    </x:row>
    <x:row r="264" ht="21" customHeight="1">
      <x:c r="A264" s="23" t="str">
        <x:v>middle_high</x:v>
      </x:c>
      <x:c r="B264" s="23" t="n">
        <x:v>17</x:v>
      </x:c>
      <x:c r="C264" s="37" t="n">
        <x:v>47939</x:v>
      </x:c>
      <x:c r="D264" s="55" t="n">
        <x:v>0.0325</x:v>
      </x:c>
      <x:c r="E264" s="55" t="n">
        <x:v>0.06</x:v>
      </x:c>
      <x:c r="F264" s="60" t="n">
        <x:v>0.0325</x:v>
      </x:c>
      <x:c r="G264" s="60" t="n">
        <x:v>0.06</x:v>
      </x:c>
      <x:c r="H264" s="23" t="n">
        <x:f>IF(D264=F264,0,1)+IF(E264=G264,0,1)</x:f>
        <x:v>0</x:v>
      </x:c>
      <x:c r="I264" s="23" t="str">
        <x:v>Timing T20 / fictional rates</x:v>
      </x:c>
    </x:row>
    <x:row r="265" ht="21" customHeight="1">
      <x:c r="A265" s="23" t="str">
        <x:v>middle_high</x:v>
      </x:c>
      <x:c r="B265" s="23" t="n">
        <x:v>18</x:v>
      </x:c>
      <x:c r="C265" s="37" t="n">
        <x:v>48030</x:v>
      </x:c>
      <x:c r="D265" s="55" t="n">
        <x:v>0.0325</x:v>
      </x:c>
      <x:c r="E265" s="55" t="n">
        <x:v>0.06</x:v>
      </x:c>
      <x:c r="F265" s="60" t="n">
        <x:v>0.0325</x:v>
      </x:c>
      <x:c r="G265" s="60" t="n">
        <x:v>0.06</x:v>
      </x:c>
      <x:c r="H265" s="23" t="n">
        <x:f>IF(D265=F265,0,1)+IF(E265=G265,0,1)</x:f>
        <x:v>0</x:v>
      </x:c>
      <x:c r="I265" s="23" t="str">
        <x:v>Timing T20 / fictional rates</x:v>
      </x:c>
    </x:row>
    <x:row r="266" ht="21" customHeight="1">
      <x:c r="A266" s="23" t="str">
        <x:v>middle_high</x:v>
      </x:c>
      <x:c r="B266" s="23" t="n">
        <x:v>19</x:v>
      </x:c>
      <x:c r="C266" s="37" t="n">
        <x:v>48122</x:v>
      </x:c>
      <x:c r="D266" s="55" t="n">
        <x:v>0.0325</x:v>
      </x:c>
      <x:c r="E266" s="55" t="n">
        <x:v>0.06</x:v>
      </x:c>
      <x:c r="F266" s="60" t="n">
        <x:v>0.0325</x:v>
      </x:c>
      <x:c r="G266" s="60" t="n">
        <x:v>0.06</x:v>
      </x:c>
      <x:c r="H266" s="23" t="n">
        <x:f>IF(D266=F266,0,1)+IF(E266=G266,0,1)</x:f>
        <x:v>0</x:v>
      </x:c>
      <x:c r="I266" s="23" t="str">
        <x:v>Timing T20 / fictional rates</x:v>
      </x:c>
    </x:row>
    <x:row r="267" ht="21" customHeight="1">
      <x:c r="A267" s="23" t="str">
        <x:v>middle_high</x:v>
      </x:c>
      <x:c r="B267" s="23" t="n">
        <x:v>20</x:v>
      </x:c>
      <x:c r="C267" s="37" t="n">
        <x:v>48214</x:v>
      </x:c>
      <x:c r="D267" s="55" t="n">
        <x:v>0.0325</x:v>
      </x:c>
      <x:c r="E267" s="55" t="n">
        <x:v>0.06</x:v>
      </x:c>
      <x:c r="F267" s="60" t="n">
        <x:v>0.0325</x:v>
      </x:c>
      <x:c r="G267" s="60" t="n">
        <x:v>0.06</x:v>
      </x:c>
      <x:c r="H267" s="23" t="n">
        <x:f>IF(D267=F267,0,1)+IF(E267=G267,0,1)</x:f>
        <x:v>0</x:v>
      </x:c>
      <x:c r="I267" s="23" t="str">
        <x:v>Timing T20 / fictional rates</x:v>
      </x:c>
    </x:row>
    <x:row r="268" ht="21" customHeight="1">
      <x:c r="A268" s="23" t="str">
        <x:v>middle_high</x:v>
      </x:c>
      <x:c r="B268" s="23" t="n">
        <x:v>21</x:v>
      </x:c>
      <x:c r="C268" s="37" t="n">
        <x:v>48305</x:v>
      </x:c>
      <x:c r="D268" s="55" t="n">
        <x:v>0</x:v>
      </x:c>
      <x:c r="E268" s="55" t="n">
        <x:v>0.06</x:v>
      </x:c>
      <x:c r="F268" s="60" t="n">
        <x:v>0</x:v>
      </x:c>
      <x:c r="G268" s="60" t="n">
        <x:v>0.06</x:v>
      </x:c>
      <x:c r="H268" s="23" t="n">
        <x:f>IF(D268=F268,0,1)+IF(E268=G268,0,1)</x:f>
        <x:v>0</x:v>
      </x:c>
      <x:c r="I268" s="23" t="str">
        <x:v>Timing T20 / fictional rates</x:v>
      </x:c>
    </x:row>
    <x:row r="269" ht="21" customHeight="1">
      <x:c r="A269" s="23" t="str">
        <x:v>middle_high</x:v>
      </x:c>
      <x:c r="B269" s="23" t="n">
        <x:v>22</x:v>
      </x:c>
      <x:c r="C269" s="37" t="n">
        <x:v>48396</x:v>
      </x:c>
      <x:c r="D269" s="55" t="n">
        <x:v>0</x:v>
      </x:c>
      <x:c r="E269" s="55" t="n">
        <x:v>0.06</x:v>
      </x:c>
      <x:c r="F269" s="60" t="n">
        <x:v>0</x:v>
      </x:c>
      <x:c r="G269" s="60" t="n">
        <x:v>0.06</x:v>
      </x:c>
      <x:c r="H269" s="23" t="n">
        <x:f>IF(D269=F269,0,1)+IF(E269=G269,0,1)</x:f>
        <x:v>0</x:v>
      </x:c>
      <x:c r="I269" s="23" t="str">
        <x:v>Timing T20 / fictional rates</x:v>
      </x:c>
    </x:row>
    <x:row r="270" ht="21" customHeight="1">
      <x:c r="A270" s="23" t="str">
        <x:v>middle_high</x:v>
      </x:c>
      <x:c r="B270" s="23" t="n">
        <x:v>23</x:v>
      </x:c>
      <x:c r="C270" s="37" t="n">
        <x:v>48488</x:v>
      </x:c>
      <x:c r="D270" s="55" t="n">
        <x:v>0</x:v>
      </x:c>
      <x:c r="E270" s="55" t="n">
        <x:v>0.06</x:v>
      </x:c>
      <x:c r="F270" s="60" t="n">
        <x:v>0</x:v>
      </x:c>
      <x:c r="G270" s="60" t="n">
        <x:v>0.06</x:v>
      </x:c>
      <x:c r="H270" s="23" t="n">
        <x:f>IF(D270=F270,0,1)+IF(E270=G270,0,1)</x:f>
        <x:v>0</x:v>
      </x:c>
      <x:c r="I270" s="23" t="str">
        <x:v>Timing T20 / fictional rates</x:v>
      </x:c>
    </x:row>
    <x:row r="271" ht="21" customHeight="1">
      <x:c r="A271" s="23" t="str">
        <x:v>middle_high</x:v>
      </x:c>
      <x:c r="B271" s="23" t="n">
        <x:v>24</x:v>
      </x:c>
      <x:c r="C271" s="37" t="n">
        <x:v>48580</x:v>
      </x:c>
      <x:c r="D271" s="55" t="n">
        <x:v>0</x:v>
      </x:c>
      <x:c r="E271" s="55" t="n">
        <x:v>0.06</x:v>
      </x:c>
      <x:c r="F271" s="60" t="n">
        <x:v>0</x:v>
      </x:c>
      <x:c r="G271" s="60" t="n">
        <x:v>0.06</x:v>
      </x:c>
      <x:c r="H271" s="23" t="n">
        <x:f>IF(D271=F271,0,1)+IF(E271=G271,0,1)</x:f>
        <x:v>0</x:v>
      </x:c>
      <x:c r="I271" s="23" t="str">
        <x:v>Timing T20 / fictional rates</x:v>
      </x:c>
    </x:row>
    <x:row r="272" ht="21" customHeight="1">
      <x:c r="A272" s="23" t="str">
        <x:v>middle_high</x:v>
      </x:c>
      <x:c r="B272" s="23" t="n">
        <x:v>25</x:v>
      </x:c>
      <x:c r="C272" s="37" t="n">
        <x:v>48670</x:v>
      </x:c>
      <x:c r="D272" s="55" t="n">
        <x:v>0</x:v>
      </x:c>
      <x:c r="E272" s="55" t="n">
        <x:v>0.06</x:v>
      </x:c>
      <x:c r="F272" s="60" t="n">
        <x:v>0</x:v>
      </x:c>
      <x:c r="G272" s="60" t="n">
        <x:v>0.06</x:v>
      </x:c>
      <x:c r="H272" s="23" t="n">
        <x:f>IF(D272=F272,0,1)+IF(E272=G272,0,1)</x:f>
        <x:v>0</x:v>
      </x:c>
      <x:c r="I272" s="23" t="str">
        <x:v>Timing T20 / fictional rates</x:v>
      </x:c>
    </x:row>
    <x:row r="273" ht="21" customHeight="1">
      <x:c r="A273" s="23" t="str">
        <x:v>middle_high</x:v>
      </x:c>
      <x:c r="B273" s="23" t="n">
        <x:v>26</x:v>
      </x:c>
      <x:c r="C273" s="37" t="n">
        <x:v>48761</x:v>
      </x:c>
      <x:c r="D273" s="55" t="n">
        <x:v>0</x:v>
      </x:c>
      <x:c r="E273" s="55" t="n">
        <x:v>0.06</x:v>
      </x:c>
      <x:c r="F273" s="60" t="n">
        <x:v>0</x:v>
      </x:c>
      <x:c r="G273" s="60" t="n">
        <x:v>0.06</x:v>
      </x:c>
      <x:c r="H273" s="23" t="n">
        <x:f>IF(D273=F273,0,1)+IF(E273=G273,0,1)</x:f>
        <x:v>0</x:v>
      </x:c>
      <x:c r="I273" s="23" t="str">
        <x:v>Timing T20 / fictional rates</x:v>
      </x:c>
    </x:row>
    <x:row r="274" ht="21" customHeight="1">
      <x:c r="A274" s="23" t="str">
        <x:v>middle_high</x:v>
      </x:c>
      <x:c r="B274" s="23" t="n">
        <x:v>27</x:v>
      </x:c>
      <x:c r="C274" s="37" t="n">
        <x:v>48853</x:v>
      </x:c>
      <x:c r="D274" s="55" t="n">
        <x:v>0</x:v>
      </x:c>
      <x:c r="E274" s="55" t="n">
        <x:v>0.06</x:v>
      </x:c>
      <x:c r="F274" s="60" t="n">
        <x:v>0</x:v>
      </x:c>
      <x:c r="G274" s="60" t="n">
        <x:v>0.06</x:v>
      </x:c>
      <x:c r="H274" s="23" t="n">
        <x:f>IF(D274=F274,0,1)+IF(E274=G274,0,1)</x:f>
        <x:v>0</x:v>
      </x:c>
      <x:c r="I274" s="23" t="str">
        <x:v>Timing T20 / fictional rates</x:v>
      </x:c>
    </x:row>
    <x:row r="275" ht="21" customHeight="1">
      <x:c r="A275" s="23" t="str">
        <x:v>middle_high</x:v>
      </x:c>
      <x:c r="B275" s="23" t="n">
        <x:v>28</x:v>
      </x:c>
      <x:c r="C275" s="37" t="n">
        <x:v>48945</x:v>
      </x:c>
      <x:c r="D275" s="55" t="n">
        <x:v>0</x:v>
      </x:c>
      <x:c r="E275" s="55" t="n">
        <x:v>0.06</x:v>
      </x:c>
      <x:c r="F275" s="60" t="n">
        <x:v>0</x:v>
      </x:c>
      <x:c r="G275" s="60" t="n">
        <x:v>0.06</x:v>
      </x:c>
      <x:c r="H275" s="23" t="n">
        <x:f>IF(D275=F275,0,1)+IF(E275=G275,0,1)</x:f>
        <x:v>0</x:v>
      </x:c>
      <x:c r="I275" s="23" t="str">
        <x:v>Timing T20 / fictional rates</x:v>
      </x:c>
    </x:row>
    <x:row r="276" ht="21" customHeight="1">
      <x:c r="A276" s="23" t="str">
        <x:v>middle_high</x:v>
      </x:c>
      <x:c r="B276" s="23" t="n">
        <x:v>29</x:v>
      </x:c>
      <x:c r="C276" s="37" t="n">
        <x:v>49035</x:v>
      </x:c>
      <x:c r="D276" s="55" t="n">
        <x:v>0</x:v>
      </x:c>
      <x:c r="E276" s="55" t="n">
        <x:v>0.06</x:v>
      </x:c>
      <x:c r="F276" s="60" t="n">
        <x:v>0</x:v>
      </x:c>
      <x:c r="G276" s="60" t="n">
        <x:v>0.06</x:v>
      </x:c>
      <x:c r="H276" s="23" t="n">
        <x:f>IF(D276=F276,0,1)+IF(E276=G276,0,1)</x:f>
        <x:v>0</x:v>
      </x:c>
      <x:c r="I276" s="23" t="str">
        <x:v>Timing T20 / fictional rates</x:v>
      </x:c>
    </x:row>
    <x:row r="277" ht="21" customHeight="1">
      <x:c r="A277" s="23" t="str">
        <x:v>middle_high</x:v>
      </x:c>
      <x:c r="B277" s="23" t="n">
        <x:v>30</x:v>
      </x:c>
      <x:c r="C277" s="37" t="n">
        <x:v>49126</x:v>
      </x:c>
      <x:c r="D277" s="55" t="n">
        <x:v>0</x:v>
      </x:c>
      <x:c r="E277" s="55" t="n">
        <x:v>0.06</x:v>
      </x:c>
      <x:c r="F277" s="60" t="n">
        <x:v>0</x:v>
      </x:c>
      <x:c r="G277" s="60" t="n">
        <x:v>0.06</x:v>
      </x:c>
      <x:c r="H277" s="23" t="n">
        <x:f>IF(D277=F277,0,1)+IF(E277=G277,0,1)</x:f>
        <x:v>0</x:v>
      </x:c>
      <x:c r="I277" s="23" t="str">
        <x:v>Timing T20 / fictional rates</x:v>
      </x:c>
    </x:row>
    <x:row r="278" ht="21" customHeight="1">
      <x:c r="A278" s="23" t="str">
        <x:v>middle_high</x:v>
      </x:c>
      <x:c r="B278" s="23" t="n">
        <x:v>31</x:v>
      </x:c>
      <x:c r="C278" s="37" t="n">
        <x:v>49218</x:v>
      </x:c>
      <x:c r="D278" s="55" t="n">
        <x:v>0</x:v>
      </x:c>
      <x:c r="E278" s="55" t="n">
        <x:v>0.06</x:v>
      </x:c>
      <x:c r="F278" s="60" t="n">
        <x:v>0</x:v>
      </x:c>
      <x:c r="G278" s="60" t="n">
        <x:v>0.06</x:v>
      </x:c>
      <x:c r="H278" s="23" t="n">
        <x:f>IF(D278=F278,0,1)+IF(E278=G278,0,1)</x:f>
        <x:v>0</x:v>
      </x:c>
      <x:c r="I278" s="23" t="str">
        <x:v>Timing T20 / fictional rates</x:v>
      </x:c>
    </x:row>
    <x:row r="279" ht="21" customHeight="1">
      <x:c r="A279" s="23" t="str">
        <x:v>middle_high</x:v>
      </x:c>
      <x:c r="B279" s="23" t="n">
        <x:v>32</x:v>
      </x:c>
      <x:c r="C279" s="37" t="n">
        <x:v>49310</x:v>
      </x:c>
      <x:c r="D279" s="55" t="n">
        <x:v>0</x:v>
      </x:c>
      <x:c r="E279" s="55" t="n">
        <x:v>0.06</x:v>
      </x:c>
      <x:c r="F279" s="60" t="n">
        <x:v>0</x:v>
      </x:c>
      <x:c r="G279" s="60" t="n">
        <x:v>0.06</x:v>
      </x:c>
      <x:c r="H279" s="23" t="n">
        <x:f>IF(D279=F279,0,1)+IF(E279=G279,0,1)</x:f>
        <x:v>0</x:v>
      </x:c>
      <x:c r="I279" s="23" t="str">
        <x:v>Timing T20 / fictional rates</x:v>
      </x:c>
    </x:row>
    <x:row r="280" ht="21" customHeight="1">
      <x:c r="A280" s="23" t="str">
        <x:v>middle_high</x:v>
      </x:c>
      <x:c r="B280" s="23" t="n">
        <x:v>33</x:v>
      </x:c>
      <x:c r="C280" s="37" t="n">
        <x:v>49400</x:v>
      </x:c>
      <x:c r="D280" s="55" t="n">
        <x:v>0</x:v>
      </x:c>
      <x:c r="E280" s="55" t="n">
        <x:v>0.06</x:v>
      </x:c>
      <x:c r="F280" s="60" t="n">
        <x:v>0</x:v>
      </x:c>
      <x:c r="G280" s="60" t="n">
        <x:v>0.06</x:v>
      </x:c>
      <x:c r="H280" s="23" t="n">
        <x:f>IF(D280=F280,0,1)+IF(E280=G280,0,1)</x:f>
        <x:v>0</x:v>
      </x:c>
      <x:c r="I280" s="23" t="str">
        <x:v>Timing T20 / fictional rates</x:v>
      </x:c>
    </x:row>
    <x:row r="281" ht="21" customHeight="1">
      <x:c r="A281" s="23" t="str">
        <x:v>middle_high</x:v>
      </x:c>
      <x:c r="B281" s="23" t="n">
        <x:v>34</x:v>
      </x:c>
      <x:c r="C281" s="37" t="n">
        <x:v>49491</x:v>
      </x:c>
      <x:c r="D281" s="55" t="n">
        <x:v>0</x:v>
      </x:c>
      <x:c r="E281" s="55" t="n">
        <x:v>0.06</x:v>
      </x:c>
      <x:c r="F281" s="60" t="n">
        <x:v>0</x:v>
      </x:c>
      <x:c r="G281" s="60" t="n">
        <x:v>0.06</x:v>
      </x:c>
      <x:c r="H281" s="23" t="n">
        <x:f>IF(D281=F281,0,1)+IF(E281=G281,0,1)</x:f>
        <x:v>0</x:v>
      </x:c>
      <x:c r="I281" s="23" t="str">
        <x:v>Timing T20 / fictional rates</x:v>
      </x:c>
    </x:row>
    <x:row r="282" ht="21" customHeight="1">
      <x:c r="A282" s="23" t="str">
        <x:v>middle_high</x:v>
      </x:c>
      <x:c r="B282" s="23" t="n">
        <x:v>35</x:v>
      </x:c>
      <x:c r="C282" s="37" t="n">
        <x:v>49583</x:v>
      </x:c>
      <x:c r="D282" s="55" t="n">
        <x:v>0</x:v>
      </x:c>
      <x:c r="E282" s="55" t="n">
        <x:v>0.06</x:v>
      </x:c>
      <x:c r="F282" s="60" t="n">
        <x:v>0</x:v>
      </x:c>
      <x:c r="G282" s="60" t="n">
        <x:v>0.06</x:v>
      </x:c>
      <x:c r="H282" s="23" t="n">
        <x:f>IF(D282=F282,0,1)+IF(E282=G282,0,1)</x:f>
        <x:v>0</x:v>
      </x:c>
      <x:c r="I282" s="23" t="str">
        <x:v>Timing T20 / fictional rates</x:v>
      </x:c>
    </x:row>
    <x:row r="283" ht="21" customHeight="1">
      <x:c r="A283" s="23" t="str">
        <x:v>middle_high</x:v>
      </x:c>
      <x:c r="B283" s="23" t="n">
        <x:v>36</x:v>
      </x:c>
      <x:c r="C283" s="37" t="n">
        <x:v>49675</x:v>
      </x:c>
      <x:c r="D283" s="55" t="n">
        <x:v>0</x:v>
      </x:c>
      <x:c r="E283" s="55" t="n">
        <x:v>0.06</x:v>
      </x:c>
      <x:c r="F283" s="60" t="n">
        <x:v>0</x:v>
      </x:c>
      <x:c r="G283" s="60" t="n">
        <x:v>0.06</x:v>
      </x:c>
      <x:c r="H283" s="23" t="n">
        <x:f>IF(D283=F283,0,1)+IF(E283=G283,0,1)</x:f>
        <x:v>0</x:v>
      </x:c>
      <x:c r="I283" s="23" t="str">
        <x:v>Timing T20 / fictional rates</x:v>
      </x:c>
    </x:row>
    <x:row r="284" ht="21" customHeight="1">
      <x:c r="A284" s="23" t="str">
        <x:v>middle_high</x:v>
      </x:c>
      <x:c r="B284" s="23" t="n">
        <x:v>37</x:v>
      </x:c>
      <x:c r="C284" s="37" t="n">
        <x:v>49766</x:v>
      </x:c>
      <x:c r="D284" s="55" t="n">
        <x:v>0</x:v>
      </x:c>
      <x:c r="E284" s="55" t="n">
        <x:v>0.06</x:v>
      </x:c>
      <x:c r="F284" s="60" t="n">
        <x:v>0</x:v>
      </x:c>
      <x:c r="G284" s="60" t="n">
        <x:v>0.06</x:v>
      </x:c>
      <x:c r="H284" s="23" t="n">
        <x:f>IF(D284=F284,0,1)+IF(E284=G284,0,1)</x:f>
        <x:v>0</x:v>
      </x:c>
      <x:c r="I284" s="23" t="str">
        <x:v>Timing T20 / fictional rates</x:v>
      </x:c>
    </x:row>
    <x:row r="285" ht="21" customHeight="1">
      <x:c r="A285" s="23" t="str">
        <x:v>middle_high</x:v>
      </x:c>
      <x:c r="B285" s="23" t="n">
        <x:v>38</x:v>
      </x:c>
      <x:c r="C285" s="37" t="n">
        <x:v>49857</x:v>
      </x:c>
      <x:c r="D285" s="55" t="n">
        <x:v>0</x:v>
      </x:c>
      <x:c r="E285" s="55" t="n">
        <x:v>0.06</x:v>
      </x:c>
      <x:c r="F285" s="60" t="n">
        <x:v>0</x:v>
      </x:c>
      <x:c r="G285" s="60" t="n">
        <x:v>0.06</x:v>
      </x:c>
      <x:c r="H285" s="23" t="n">
        <x:f>IF(D285=F285,0,1)+IF(E285=G285,0,1)</x:f>
        <x:v>0</x:v>
      </x:c>
      <x:c r="I285" s="23" t="str">
        <x:v>Timing T20 / fictional rates</x:v>
      </x:c>
    </x:row>
    <x:row r="286" ht="21" customHeight="1">
      <x:c r="A286" s="23" t="str">
        <x:v>middle_high</x:v>
      </x:c>
      <x:c r="B286" s="23" t="n">
        <x:v>39</x:v>
      </x:c>
      <x:c r="C286" s="37" t="n">
        <x:v>49949</x:v>
      </x:c>
      <x:c r="D286" s="55" t="n">
        <x:v>0</x:v>
      </x:c>
      <x:c r="E286" s="55" t="n">
        <x:v>0.06</x:v>
      </x:c>
      <x:c r="F286" s="60" t="n">
        <x:v>0</x:v>
      </x:c>
      <x:c r="G286" s="60" t="n">
        <x:v>0.06</x:v>
      </x:c>
      <x:c r="H286" s="23" t="n">
        <x:f>IF(D286=F286,0,1)+IF(E286=G286,0,1)</x:f>
        <x:v>0</x:v>
      </x:c>
      <x:c r="I286" s="23" t="str">
        <x:v>Timing T20 / fictional rates</x:v>
      </x:c>
    </x:row>
    <x:row r="287" ht="21" customHeight="1">
      <x:c r="A287" s="23" t="str">
        <x:v>middle_high</x:v>
      </x:c>
      <x:c r="B287" s="23" t="n">
        <x:v>40</x:v>
      </x:c>
      <x:c r="C287" s="37" t="n">
        <x:v>50041</x:v>
      </x:c>
      <x:c r="D287" s="55" t="n">
        <x:v>0</x:v>
      </x:c>
      <x:c r="E287" s="55" t="n">
        <x:v>0.06</x:v>
      </x:c>
      <x:c r="F287" s="60" t="n">
        <x:v>0</x:v>
      </x:c>
      <x:c r="G287" s="60" t="n">
        <x:v>0.06</x:v>
      </x:c>
      <x:c r="H287" s="23" t="n">
        <x:f>IF(D287=F287,0,1)+IF(E287=G287,0,1)</x:f>
        <x:v>0</x:v>
      </x:c>
      <x:c r="I287" s="23" t="str">
        <x:v>Timing T20 / fictional rates</x:v>
      </x:c>
    </x:row>
    <x:row r="288" ht="21" customHeight="1">
      <x:c r="A288" s="23" t="str">
        <x:v>middle_high</x:v>
      </x:c>
      <x:c r="B288" s="23" t="n">
        <x:v>41</x:v>
      </x:c>
      <x:c r="C288" s="37" t="n">
        <x:v>50131</x:v>
      </x:c>
      <x:c r="D288" s="55" t="n">
        <x:v>0</x:v>
      </x:c>
      <x:c r="E288" s="55" t="n">
        <x:v>0.06</x:v>
      </x:c>
      <x:c r="F288" s="60" t="n">
        <x:v>0</x:v>
      </x:c>
      <x:c r="G288" s="60" t="n">
        <x:v>0.06</x:v>
      </x:c>
      <x:c r="H288" s="23" t="n">
        <x:f>IF(D288=F288,0,1)+IF(E288=G288,0,1)</x:f>
        <x:v>0</x:v>
      </x:c>
      <x:c r="I288" s="23" t="str">
        <x:v>Timing T20 / fictional rates</x:v>
      </x:c>
    </x:row>
    <x:row r="289" ht="21" customHeight="1">
      <x:c r="A289" s="23" t="str">
        <x:v>middle_high</x:v>
      </x:c>
      <x:c r="B289" s="23" t="n">
        <x:v>42</x:v>
      </x:c>
      <x:c r="C289" s="37" t="n">
        <x:v>50222</x:v>
      </x:c>
      <x:c r="D289" s="55" t="n">
        <x:v>0</x:v>
      </x:c>
      <x:c r="E289" s="55" t="n">
        <x:v>0.06</x:v>
      </x:c>
      <x:c r="F289" s="60" t="n">
        <x:v>0</x:v>
      </x:c>
      <x:c r="G289" s="60" t="n">
        <x:v>0.06</x:v>
      </x:c>
      <x:c r="H289" s="23" t="n">
        <x:f>IF(D289=F289,0,1)+IF(E289=G289,0,1)</x:f>
        <x:v>0</x:v>
      </x:c>
      <x:c r="I289" s="23" t="str">
        <x:v>Timing T20 / fictional rates</x:v>
      </x:c>
    </x:row>
    <x:row r="290" ht="21" customHeight="1">
      <x:c r="A290" s="23" t="str">
        <x:v>middle_high</x:v>
      </x:c>
      <x:c r="B290" s="23" t="n">
        <x:v>43</x:v>
      </x:c>
      <x:c r="C290" s="37" t="n">
        <x:v>50314</x:v>
      </x:c>
      <x:c r="D290" s="55" t="n">
        <x:v>0</x:v>
      </x:c>
      <x:c r="E290" s="55" t="n">
        <x:v>0.06</x:v>
      </x:c>
      <x:c r="F290" s="60" t="n">
        <x:v>0</x:v>
      </x:c>
      <x:c r="G290" s="60" t="n">
        <x:v>0.06</x:v>
      </x:c>
      <x:c r="H290" s="23" t="n">
        <x:f>IF(D290=F290,0,1)+IF(E290=G290,0,1)</x:f>
        <x:v>0</x:v>
      </x:c>
      <x:c r="I290" s="23" t="str">
        <x:v>Timing T20 / fictional rates</x:v>
      </x:c>
    </x:row>
    <x:row r="291" ht="21" customHeight="1">
      <x:c r="A291" s="23" t="str">
        <x:v>middle_high</x:v>
      </x:c>
      <x:c r="B291" s="23" t="n">
        <x:v>44</x:v>
      </x:c>
      <x:c r="C291" s="37" t="n">
        <x:v>50406</x:v>
      </x:c>
      <x:c r="D291" s="55" t="n">
        <x:v>0</x:v>
      </x:c>
      <x:c r="E291" s="55" t="n">
        <x:v>0.06</x:v>
      </x:c>
      <x:c r="F291" s="60" t="n">
        <x:v>0</x:v>
      </x:c>
      <x:c r="G291" s="60" t="n">
        <x:v>0.06</x:v>
      </x:c>
      <x:c r="H291" s="23" t="n">
        <x:f>IF(D291=F291,0,1)+IF(E291=G291,0,1)</x:f>
        <x:v>0</x:v>
      </x:c>
      <x:c r="I291" s="23" t="str">
        <x:v>Timing T20 / fictional rates</x:v>
      </x:c>
    </x:row>
    <x:row r="292" ht="21" customHeight="1">
      <x:c r="A292" s="23" t="str">
        <x:v>middle_high</x:v>
      </x:c>
      <x:c r="B292" s="23" t="n">
        <x:v>45</x:v>
      </x:c>
      <x:c r="C292" s="37" t="n">
        <x:v>50496</x:v>
      </x:c>
      <x:c r="D292" s="55" t="n">
        <x:v>0</x:v>
      </x:c>
      <x:c r="E292" s="55" t="n">
        <x:v>0.06</x:v>
      </x:c>
      <x:c r="F292" s="60" t="n">
        <x:v>0</x:v>
      </x:c>
      <x:c r="G292" s="60" t="n">
        <x:v>0.06</x:v>
      </x:c>
      <x:c r="H292" s="23" t="n">
        <x:f>IF(D292=F292,0,1)+IF(E292=G292,0,1)</x:f>
        <x:v>0</x:v>
      </x:c>
      <x:c r="I292" s="23" t="str">
        <x:v>Timing T20 / fictional rates</x:v>
      </x:c>
    </x:row>
    <x:row r="293" ht="21" customHeight="1">
      <x:c r="A293" s="23" t="str">
        <x:v>middle_high</x:v>
      </x:c>
      <x:c r="B293" s="23" t="n">
        <x:v>46</x:v>
      </x:c>
      <x:c r="C293" s="37" t="n">
        <x:v>50587</x:v>
      </x:c>
      <x:c r="D293" s="55" t="n">
        <x:v>0</x:v>
      </x:c>
      <x:c r="E293" s="55" t="n">
        <x:v>0.06</x:v>
      </x:c>
      <x:c r="F293" s="60" t="n">
        <x:v>0</x:v>
      </x:c>
      <x:c r="G293" s="60" t="n">
        <x:v>0.06</x:v>
      </x:c>
      <x:c r="H293" s="23" t="n">
        <x:f>IF(D293=F293,0,1)+IF(E293=G293,0,1)</x:f>
        <x:v>0</x:v>
      </x:c>
      <x:c r="I293" s="23" t="str">
        <x:v>Timing T20 / fictional rates</x:v>
      </x:c>
    </x:row>
    <x:row r="294" ht="21" customHeight="1">
      <x:c r="A294" s="23" t="str">
        <x:v>middle_high</x:v>
      </x:c>
      <x:c r="B294" s="23" t="n">
        <x:v>47</x:v>
      </x:c>
      <x:c r="C294" s="37" t="n">
        <x:v>50679</x:v>
      </x:c>
      <x:c r="D294" s="55" t="n">
        <x:v>0</x:v>
      </x:c>
      <x:c r="E294" s="55" t="n">
        <x:v>0.06</x:v>
      </x:c>
      <x:c r="F294" s="60" t="n">
        <x:v>0</x:v>
      </x:c>
      <x:c r="G294" s="60" t="n">
        <x:v>0.06</x:v>
      </x:c>
      <x:c r="H294" s="23" t="n">
        <x:f>IF(D294=F294,0,1)+IF(E294=G294,0,1)</x:f>
        <x:v>0</x:v>
      </x:c>
      <x:c r="I294" s="23" t="str">
        <x:v>Timing T20 / fictional rates</x:v>
      </x:c>
    </x:row>
    <x:row r="295" ht="21" customHeight="1">
      <x:c r="A295" s="23" t="str">
        <x:v>middle_high</x:v>
      </x:c>
      <x:c r="B295" s="23" t="n">
        <x:v>48</x:v>
      </x:c>
      <x:c r="C295" s="37" t="n">
        <x:v>50771</x:v>
      </x:c>
      <x:c r="D295" s="55" t="n">
        <x:v>0</x:v>
      </x:c>
      <x:c r="E295" s="55" t="n">
        <x:v>0.06</x:v>
      </x:c>
      <x:c r="F295" s="60" t="n">
        <x:v>0</x:v>
      </x:c>
      <x:c r="G295" s="60" t="n">
        <x:v>0.06</x:v>
      </x:c>
      <x:c r="H295" s="23" t="n">
        <x:f>IF(D295=F295,0,1)+IF(E295=G295,0,1)</x:f>
        <x:v>0</x:v>
      </x:c>
      <x:c r="I295" s="23" t="str">
        <x:v>Timing T20 / fictional rates</x:v>
      </x:c>
    </x:row>
    <x:row r="296" ht="21" customHeight="1">
      <x:c r="A296" s="23" t="str">
        <x:v>back_flat</x:v>
      </x:c>
      <x:c r="B296" s="23" t="n">
        <x:v>1</x:v>
      </x:c>
      <x:c r="C296" s="37" t="n">
        <x:v>46478</x:v>
      </x:c>
      <x:c r="D296" s="55" t="n">
        <x:v>0.03</x:v>
      </x:c>
      <x:c r="E296" s="55" t="n">
        <x:v>0.03</x:v>
      </x:c>
      <x:c r="F296" s="60" t="n">
        <x:v>0.03</x:v>
      </x:c>
      <x:c r="G296" s="60" t="n">
        <x:v>0.03</x:v>
      </x:c>
      <x:c r="H296" s="23" t="n">
        <x:f>IF(D296=F296,0,1)+IF(E296=G296,0,1)</x:f>
        <x:v>0</x:v>
      </x:c>
      <x:c r="I296" s="23" t="str">
        <x:v>Timing T20 / fictional rates</x:v>
      </x:c>
    </x:row>
    <x:row r="297" ht="21" customHeight="1">
      <x:c r="A297" s="23" t="str">
        <x:v>back_flat</x:v>
      </x:c>
      <x:c r="B297" s="23" t="n">
        <x:v>2</x:v>
      </x:c>
      <x:c r="C297" s="37" t="n">
        <x:v>46569</x:v>
      </x:c>
      <x:c r="D297" s="55" t="n">
        <x:v>0.03</x:v>
      </x:c>
      <x:c r="E297" s="55" t="n">
        <x:v>0.03</x:v>
      </x:c>
      <x:c r="F297" s="60" t="n">
        <x:v>0.03</x:v>
      </x:c>
      <x:c r="G297" s="60" t="n">
        <x:v>0.03</x:v>
      </x:c>
      <x:c r="H297" s="23" t="n">
        <x:f>IF(D297=F297,0,1)+IF(E297=G297,0,1)</x:f>
        <x:v>0</x:v>
      </x:c>
      <x:c r="I297" s="23" t="str">
        <x:v>Timing T20 / fictional rates</x:v>
      </x:c>
    </x:row>
    <x:row r="298" ht="21" customHeight="1">
      <x:c r="A298" s="23" t="str">
        <x:v>back_flat</x:v>
      </x:c>
      <x:c r="B298" s="23" t="n">
        <x:v>3</x:v>
      </x:c>
      <x:c r="C298" s="37" t="n">
        <x:v>46661</x:v>
      </x:c>
      <x:c r="D298" s="55" t="n">
        <x:v>0.03</x:v>
      </x:c>
      <x:c r="E298" s="55" t="n">
        <x:v>0.03</x:v>
      </x:c>
      <x:c r="F298" s="60" t="n">
        <x:v>0.03</x:v>
      </x:c>
      <x:c r="G298" s="60" t="n">
        <x:v>0.03</x:v>
      </x:c>
      <x:c r="H298" s="23" t="n">
        <x:f>IF(D298=F298,0,1)+IF(E298=G298,0,1)</x:f>
        <x:v>0</x:v>
      </x:c>
      <x:c r="I298" s="23" t="str">
        <x:v>Timing T20 / fictional rates</x:v>
      </x:c>
    </x:row>
    <x:row r="299" ht="21" customHeight="1">
      <x:c r="A299" s="23" t="str">
        <x:v>back_flat</x:v>
      </x:c>
      <x:c r="B299" s="23" t="n">
        <x:v>4</x:v>
      </x:c>
      <x:c r="C299" s="37" t="n">
        <x:v>46753</x:v>
      </x:c>
      <x:c r="D299" s="55" t="n">
        <x:v>0.03</x:v>
      </x:c>
      <x:c r="E299" s="55" t="n">
        <x:v>0.03</x:v>
      </x:c>
      <x:c r="F299" s="60" t="n">
        <x:v>0.03</x:v>
      </x:c>
      <x:c r="G299" s="60" t="n">
        <x:v>0.03</x:v>
      </x:c>
      <x:c r="H299" s="23" t="n">
        <x:f>IF(D299=F299,0,1)+IF(E299=G299,0,1)</x:f>
        <x:v>0</x:v>
      </x:c>
      <x:c r="I299" s="23" t="str">
        <x:v>Timing T20 / fictional rates</x:v>
      </x:c>
    </x:row>
    <x:row r="300" ht="21" customHeight="1">
      <x:c r="A300" s="23" t="str">
        <x:v>back_flat</x:v>
      </x:c>
      <x:c r="B300" s="23" t="n">
        <x:v>5</x:v>
      </x:c>
      <x:c r="C300" s="37" t="n">
        <x:v>46844</x:v>
      </x:c>
      <x:c r="D300" s="55" t="n">
        <x:v>0.045</x:v>
      </x:c>
      <x:c r="E300" s="55" t="n">
        <x:v>0.03</x:v>
      </x:c>
      <x:c r="F300" s="60" t="n">
        <x:v>0.045</x:v>
      </x:c>
      <x:c r="G300" s="60" t="n">
        <x:v>0.03</x:v>
      </x:c>
      <x:c r="H300" s="23" t="n">
        <x:f>IF(D300=F300,0,1)+IF(E300=G300,0,1)</x:f>
        <x:v>0</x:v>
      </x:c>
      <x:c r="I300" s="23" t="str">
        <x:v>Timing T20 / fictional rates</x:v>
      </x:c>
    </x:row>
    <x:row r="301" ht="21" customHeight="1">
      <x:c r="A301" s="23" t="str">
        <x:v>back_flat</x:v>
      </x:c>
      <x:c r="B301" s="23" t="n">
        <x:v>6</x:v>
      </x:c>
      <x:c r="C301" s="37" t="n">
        <x:v>46935</x:v>
      </x:c>
      <x:c r="D301" s="55" t="n">
        <x:v>0.045</x:v>
      </x:c>
      <x:c r="E301" s="55" t="n">
        <x:v>0.03</x:v>
      </x:c>
      <x:c r="F301" s="60" t="n">
        <x:v>0.045</x:v>
      </x:c>
      <x:c r="G301" s="60" t="n">
        <x:v>0.03</x:v>
      </x:c>
      <x:c r="H301" s="23" t="n">
        <x:f>IF(D301=F301,0,1)+IF(E301=G301,0,1)</x:f>
        <x:v>0</x:v>
      </x:c>
      <x:c r="I301" s="23" t="str">
        <x:v>Timing T20 / fictional rates</x:v>
      </x:c>
    </x:row>
    <x:row r="302" ht="21" customHeight="1">
      <x:c r="A302" s="23" t="str">
        <x:v>back_flat</x:v>
      </x:c>
      <x:c r="B302" s="23" t="n">
        <x:v>7</x:v>
      </x:c>
      <x:c r="C302" s="37" t="n">
        <x:v>47027</x:v>
      </x:c>
      <x:c r="D302" s="55" t="n">
        <x:v>0.045</x:v>
      </x:c>
      <x:c r="E302" s="55" t="n">
        <x:v>0.03</x:v>
      </x:c>
      <x:c r="F302" s="60" t="n">
        <x:v>0.045</x:v>
      </x:c>
      <x:c r="G302" s="60" t="n">
        <x:v>0.03</x:v>
      </x:c>
      <x:c r="H302" s="23" t="n">
        <x:f>IF(D302=F302,0,1)+IF(E302=G302,0,1)</x:f>
        <x:v>0</x:v>
      </x:c>
      <x:c r="I302" s="23" t="str">
        <x:v>Timing T20 / fictional rates</x:v>
      </x:c>
    </x:row>
    <x:row r="303" ht="21" customHeight="1">
      <x:c r="A303" s="23" t="str">
        <x:v>back_flat</x:v>
      </x:c>
      <x:c r="B303" s="23" t="n">
        <x:v>8</x:v>
      </x:c>
      <x:c r="C303" s="37" t="n">
        <x:v>47119</x:v>
      </x:c>
      <x:c r="D303" s="55" t="n">
        <x:v>0.045</x:v>
      </x:c>
      <x:c r="E303" s="55" t="n">
        <x:v>0.03</x:v>
      </x:c>
      <x:c r="F303" s="60" t="n">
        <x:v>0.045</x:v>
      </x:c>
      <x:c r="G303" s="60" t="n">
        <x:v>0.03</x:v>
      </x:c>
      <x:c r="H303" s="23" t="n">
        <x:f>IF(D303=F303,0,1)+IF(E303=G303,0,1)</x:f>
        <x:v>0</x:v>
      </x:c>
      <x:c r="I303" s="23" t="str">
        <x:v>Timing T20 / fictional rates</x:v>
      </x:c>
    </x:row>
    <x:row r="304" ht="21" customHeight="1">
      <x:c r="A304" s="23" t="str">
        <x:v>back_flat</x:v>
      </x:c>
      <x:c r="B304" s="23" t="n">
        <x:v>9</x:v>
      </x:c>
      <x:c r="C304" s="37" t="n">
        <x:v>47209</x:v>
      </x:c>
      <x:c r="D304" s="55" t="n">
        <x:v>0.055</x:v>
      </x:c>
      <x:c r="E304" s="55" t="n">
        <x:v>0.03</x:v>
      </x:c>
      <x:c r="F304" s="60" t="n">
        <x:v>0.055</x:v>
      </x:c>
      <x:c r="G304" s="60" t="n">
        <x:v>0.03</x:v>
      </x:c>
      <x:c r="H304" s="23" t="n">
        <x:f>IF(D304=F304,0,1)+IF(E304=G304,0,1)</x:f>
        <x:v>0</x:v>
      </x:c>
      <x:c r="I304" s="23" t="str">
        <x:v>Timing T20 / fictional rates</x:v>
      </x:c>
    </x:row>
    <x:row r="305" ht="21" customHeight="1">
      <x:c r="A305" s="23" t="str">
        <x:v>back_flat</x:v>
      </x:c>
      <x:c r="B305" s="23" t="n">
        <x:v>10</x:v>
      </x:c>
      <x:c r="C305" s="37" t="n">
        <x:v>47300</x:v>
      </x:c>
      <x:c r="D305" s="55" t="n">
        <x:v>0.055</x:v>
      </x:c>
      <x:c r="E305" s="55" t="n">
        <x:v>0.03</x:v>
      </x:c>
      <x:c r="F305" s="60" t="n">
        <x:v>0.055</x:v>
      </x:c>
      <x:c r="G305" s="60" t="n">
        <x:v>0.03</x:v>
      </x:c>
      <x:c r="H305" s="23" t="n">
        <x:f>IF(D305=F305,0,1)+IF(E305=G305,0,1)</x:f>
        <x:v>0</x:v>
      </x:c>
      <x:c r="I305" s="23" t="str">
        <x:v>Timing T20 / fictional rates</x:v>
      </x:c>
    </x:row>
    <x:row r="306" ht="21" customHeight="1">
      <x:c r="A306" s="23" t="str">
        <x:v>back_flat</x:v>
      </x:c>
      <x:c r="B306" s="23" t="n">
        <x:v>11</x:v>
      </x:c>
      <x:c r="C306" s="37" t="n">
        <x:v>47392</x:v>
      </x:c>
      <x:c r="D306" s="55" t="n">
        <x:v>0.055</x:v>
      </x:c>
      <x:c r="E306" s="55" t="n">
        <x:v>0.03</x:v>
      </x:c>
      <x:c r="F306" s="60" t="n">
        <x:v>0.055</x:v>
      </x:c>
      <x:c r="G306" s="60" t="n">
        <x:v>0.03</x:v>
      </x:c>
      <x:c r="H306" s="23" t="n">
        <x:f>IF(D306=F306,0,1)+IF(E306=G306,0,1)</x:f>
        <x:v>0</x:v>
      </x:c>
      <x:c r="I306" s="23" t="str">
        <x:v>Timing T20 / fictional rates</x:v>
      </x:c>
    </x:row>
    <x:row r="307" ht="21" customHeight="1">
      <x:c r="A307" s="23" t="str">
        <x:v>back_flat</x:v>
      </x:c>
      <x:c r="B307" s="23" t="n">
        <x:v>12</x:v>
      </x:c>
      <x:c r="C307" s="37" t="n">
        <x:v>47484</x:v>
      </x:c>
      <x:c r="D307" s="55" t="n">
        <x:v>0.055</x:v>
      </x:c>
      <x:c r="E307" s="55" t="n">
        <x:v>0.03</x:v>
      </x:c>
      <x:c r="F307" s="60" t="n">
        <x:v>0.055</x:v>
      </x:c>
      <x:c r="G307" s="60" t="n">
        <x:v>0.03</x:v>
      </x:c>
      <x:c r="H307" s="23" t="n">
        <x:f>IF(D307=F307,0,1)+IF(E307=G307,0,1)</x:f>
        <x:v>0</x:v>
      </x:c>
      <x:c r="I307" s="23" t="str">
        <x:v>Timing T20 / fictional rates</x:v>
      </x:c>
    </x:row>
    <x:row r="308" ht="21" customHeight="1">
      <x:c r="A308" s="23" t="str">
        <x:v>back_flat</x:v>
      </x:c>
      <x:c r="B308" s="23" t="n">
        <x:v>13</x:v>
      </x:c>
      <x:c r="C308" s="37" t="n">
        <x:v>47574</x:v>
      </x:c>
      <x:c r="D308" s="55" t="n">
        <x:v>0.0575</x:v>
      </x:c>
      <x:c r="E308" s="55" t="n">
        <x:v>0.03</x:v>
      </x:c>
      <x:c r="F308" s="60" t="n">
        <x:v>0.0575</x:v>
      </x:c>
      <x:c r="G308" s="60" t="n">
        <x:v>0.03</x:v>
      </x:c>
      <x:c r="H308" s="23" t="n">
        <x:f>IF(D308=F308,0,1)+IF(E308=G308,0,1)</x:f>
        <x:v>0</x:v>
      </x:c>
      <x:c r="I308" s="23" t="str">
        <x:v>Timing T20 / fictional rates</x:v>
      </x:c>
    </x:row>
    <x:row r="309" ht="21" customHeight="1">
      <x:c r="A309" s="23" t="str">
        <x:v>back_flat</x:v>
      </x:c>
      <x:c r="B309" s="23" t="n">
        <x:v>14</x:v>
      </x:c>
      <x:c r="C309" s="37" t="n">
        <x:v>47665</x:v>
      </x:c>
      <x:c r="D309" s="55" t="n">
        <x:v>0.0575</x:v>
      </x:c>
      <x:c r="E309" s="55" t="n">
        <x:v>0.03</x:v>
      </x:c>
      <x:c r="F309" s="60" t="n">
        <x:v>0.0575</x:v>
      </x:c>
      <x:c r="G309" s="60" t="n">
        <x:v>0.03</x:v>
      </x:c>
      <x:c r="H309" s="23" t="n">
        <x:f>IF(D309=F309,0,1)+IF(E309=G309,0,1)</x:f>
        <x:v>0</x:v>
      </x:c>
      <x:c r="I309" s="23" t="str">
        <x:v>Timing T20 / fictional rates</x:v>
      </x:c>
    </x:row>
    <x:row r="310" ht="21" customHeight="1">
      <x:c r="A310" s="23" t="str">
        <x:v>back_flat</x:v>
      </x:c>
      <x:c r="B310" s="23" t="n">
        <x:v>15</x:v>
      </x:c>
      <x:c r="C310" s="37" t="n">
        <x:v>47757</x:v>
      </x:c>
      <x:c r="D310" s="55" t="n">
        <x:v>0.0575</x:v>
      </x:c>
      <x:c r="E310" s="55" t="n">
        <x:v>0.03</x:v>
      </x:c>
      <x:c r="F310" s="60" t="n">
        <x:v>0.0575</x:v>
      </x:c>
      <x:c r="G310" s="60" t="n">
        <x:v>0.03</x:v>
      </x:c>
      <x:c r="H310" s="23" t="n">
        <x:f>IF(D310=F310,0,1)+IF(E310=G310,0,1)</x:f>
        <x:v>0</x:v>
      </x:c>
      <x:c r="I310" s="23" t="str">
        <x:v>Timing T20 / fictional rates</x:v>
      </x:c>
    </x:row>
    <x:row r="311" ht="21" customHeight="1">
      <x:c r="A311" s="23" t="str">
        <x:v>back_flat</x:v>
      </x:c>
      <x:c r="B311" s="23" t="n">
        <x:v>16</x:v>
      </x:c>
      <x:c r="C311" s="37" t="n">
        <x:v>47849</x:v>
      </x:c>
      <x:c r="D311" s="55" t="n">
        <x:v>0.0575</x:v>
      </x:c>
      <x:c r="E311" s="55" t="n">
        <x:v>0.03</x:v>
      </x:c>
      <x:c r="F311" s="60" t="n">
        <x:v>0.0575</x:v>
      </x:c>
      <x:c r="G311" s="60" t="n">
        <x:v>0.03</x:v>
      </x:c>
      <x:c r="H311" s="23" t="n">
        <x:f>IF(D311=F311,0,1)+IF(E311=G311,0,1)</x:f>
        <x:v>0</x:v>
      </x:c>
      <x:c r="I311" s="23" t="str">
        <x:v>Timing T20 / fictional rates</x:v>
      </x:c>
    </x:row>
    <x:row r="312" ht="21" customHeight="1">
      <x:c r="A312" s="23" t="str">
        <x:v>back_flat</x:v>
      </x:c>
      <x:c r="B312" s="23" t="n">
        <x:v>17</x:v>
      </x:c>
      <x:c r="C312" s="37" t="n">
        <x:v>47939</x:v>
      </x:c>
      <x:c r="D312" s="55" t="n">
        <x:v>0.0625</x:v>
      </x:c>
      <x:c r="E312" s="55" t="n">
        <x:v>0.03</x:v>
      </x:c>
      <x:c r="F312" s="60" t="n">
        <x:v>0.0625</x:v>
      </x:c>
      <x:c r="G312" s="60" t="n">
        <x:v>0.03</x:v>
      </x:c>
      <x:c r="H312" s="23" t="n">
        <x:f>IF(D312=F312,0,1)+IF(E312=G312,0,1)</x:f>
        <x:v>0</x:v>
      </x:c>
      <x:c r="I312" s="23" t="str">
        <x:v>Timing T20 / fictional rates</x:v>
      </x:c>
    </x:row>
    <x:row r="313" ht="21" customHeight="1">
      <x:c r="A313" s="23" t="str">
        <x:v>back_flat</x:v>
      </x:c>
      <x:c r="B313" s="23" t="n">
        <x:v>18</x:v>
      </x:c>
      <x:c r="C313" s="37" t="n">
        <x:v>48030</x:v>
      </x:c>
      <x:c r="D313" s="55" t="n">
        <x:v>0.0625</x:v>
      </x:c>
      <x:c r="E313" s="55" t="n">
        <x:v>0.03</x:v>
      </x:c>
      <x:c r="F313" s="60" t="n">
        <x:v>0.0625</x:v>
      </x:c>
      <x:c r="G313" s="60" t="n">
        <x:v>0.03</x:v>
      </x:c>
      <x:c r="H313" s="23" t="n">
        <x:f>IF(D313=F313,0,1)+IF(E313=G313,0,1)</x:f>
        <x:v>0</x:v>
      </x:c>
      <x:c r="I313" s="23" t="str">
        <x:v>Timing T20 / fictional rates</x:v>
      </x:c>
    </x:row>
    <x:row r="314" ht="21" customHeight="1">
      <x:c r="A314" s="23" t="str">
        <x:v>back_flat</x:v>
      </x:c>
      <x:c r="B314" s="23" t="n">
        <x:v>19</x:v>
      </x:c>
      <x:c r="C314" s="37" t="n">
        <x:v>48122</x:v>
      </x:c>
      <x:c r="D314" s="55" t="n">
        <x:v>0.0625</x:v>
      </x:c>
      <x:c r="E314" s="55" t="n">
        <x:v>0.03</x:v>
      </x:c>
      <x:c r="F314" s="60" t="n">
        <x:v>0.0625</x:v>
      </x:c>
      <x:c r="G314" s="60" t="n">
        <x:v>0.03</x:v>
      </x:c>
      <x:c r="H314" s="23" t="n">
        <x:f>IF(D314=F314,0,1)+IF(E314=G314,0,1)</x:f>
        <x:v>0</x:v>
      </x:c>
      <x:c r="I314" s="23" t="str">
        <x:v>Timing T20 / fictional rates</x:v>
      </x:c>
    </x:row>
    <x:row r="315" ht="21" customHeight="1">
      <x:c r="A315" s="23" t="str">
        <x:v>back_flat</x:v>
      </x:c>
      <x:c r="B315" s="23" t="n">
        <x:v>20</x:v>
      </x:c>
      <x:c r="C315" s="37" t="n">
        <x:v>48214</x:v>
      </x:c>
      <x:c r="D315" s="55" t="n">
        <x:v>0.0625</x:v>
      </x:c>
      <x:c r="E315" s="55" t="n">
        <x:v>0.03</x:v>
      </x:c>
      <x:c r="F315" s="60" t="n">
        <x:v>0.0625</x:v>
      </x:c>
      <x:c r="G315" s="60" t="n">
        <x:v>0.03</x:v>
      </x:c>
      <x:c r="H315" s="23" t="n">
        <x:f>IF(D315=F315,0,1)+IF(E315=G315,0,1)</x:f>
        <x:v>0</x:v>
      </x:c>
      <x:c r="I315" s="23" t="str">
        <x:v>Timing T20 / fictional rates</x:v>
      </x:c>
    </x:row>
    <x:row r="316" ht="21" customHeight="1">
      <x:c r="A316" s="23" t="str">
        <x:v>back_flat</x:v>
      </x:c>
      <x:c r="B316" s="23" t="n">
        <x:v>21</x:v>
      </x:c>
      <x:c r="C316" s="37" t="n">
        <x:v>48305</x:v>
      </x:c>
      <x:c r="D316" s="55" t="n">
        <x:v>0</x:v>
      </x:c>
      <x:c r="E316" s="55" t="n">
        <x:v>0.03</x:v>
      </x:c>
      <x:c r="F316" s="60" t="n">
        <x:v>0</x:v>
      </x:c>
      <x:c r="G316" s="60" t="n">
        <x:v>0.03</x:v>
      </x:c>
      <x:c r="H316" s="23" t="n">
        <x:f>IF(D316=F316,0,1)+IF(E316=G316,0,1)</x:f>
        <x:v>0</x:v>
      </x:c>
      <x:c r="I316" s="23" t="str">
        <x:v>Timing T20 / fictional rates</x:v>
      </x:c>
    </x:row>
    <x:row r="317" ht="21" customHeight="1">
      <x:c r="A317" s="23" t="str">
        <x:v>back_flat</x:v>
      </x:c>
      <x:c r="B317" s="23" t="n">
        <x:v>22</x:v>
      </x:c>
      <x:c r="C317" s="37" t="n">
        <x:v>48396</x:v>
      </x:c>
      <x:c r="D317" s="55" t="n">
        <x:v>0</x:v>
      </x:c>
      <x:c r="E317" s="55" t="n">
        <x:v>0.03</x:v>
      </x:c>
      <x:c r="F317" s="60" t="n">
        <x:v>0</x:v>
      </x:c>
      <x:c r="G317" s="60" t="n">
        <x:v>0.03</x:v>
      </x:c>
      <x:c r="H317" s="23" t="n">
        <x:f>IF(D317=F317,0,1)+IF(E317=G317,0,1)</x:f>
        <x:v>0</x:v>
      </x:c>
      <x:c r="I317" s="23" t="str">
        <x:v>Timing T20 / fictional rates</x:v>
      </x:c>
    </x:row>
    <x:row r="318" ht="21" customHeight="1">
      <x:c r="A318" s="23" t="str">
        <x:v>back_flat</x:v>
      </x:c>
      <x:c r="B318" s="23" t="n">
        <x:v>23</x:v>
      </x:c>
      <x:c r="C318" s="37" t="n">
        <x:v>48488</x:v>
      </x:c>
      <x:c r="D318" s="55" t="n">
        <x:v>0</x:v>
      </x:c>
      <x:c r="E318" s="55" t="n">
        <x:v>0.03</x:v>
      </x:c>
      <x:c r="F318" s="60" t="n">
        <x:v>0</x:v>
      </x:c>
      <x:c r="G318" s="60" t="n">
        <x:v>0.03</x:v>
      </x:c>
      <x:c r="H318" s="23" t="n">
        <x:f>IF(D318=F318,0,1)+IF(E318=G318,0,1)</x:f>
        <x:v>0</x:v>
      </x:c>
      <x:c r="I318" s="23" t="str">
        <x:v>Timing T20 / fictional rates</x:v>
      </x:c>
    </x:row>
    <x:row r="319" ht="21" customHeight="1">
      <x:c r="A319" s="23" t="str">
        <x:v>back_flat</x:v>
      </x:c>
      <x:c r="B319" s="23" t="n">
        <x:v>24</x:v>
      </x:c>
      <x:c r="C319" s="37" t="n">
        <x:v>48580</x:v>
      </x:c>
      <x:c r="D319" s="55" t="n">
        <x:v>0</x:v>
      </x:c>
      <x:c r="E319" s="55" t="n">
        <x:v>0.03</x:v>
      </x:c>
      <x:c r="F319" s="60" t="n">
        <x:v>0</x:v>
      </x:c>
      <x:c r="G319" s="60" t="n">
        <x:v>0.03</x:v>
      </x:c>
      <x:c r="H319" s="23" t="n">
        <x:f>IF(D319=F319,0,1)+IF(E319=G319,0,1)</x:f>
        <x:v>0</x:v>
      </x:c>
      <x:c r="I319" s="23" t="str">
        <x:v>Timing T20 / fictional rates</x:v>
      </x:c>
    </x:row>
    <x:row r="320" ht="21" customHeight="1">
      <x:c r="A320" s="23" t="str">
        <x:v>back_flat</x:v>
      </x:c>
      <x:c r="B320" s="23" t="n">
        <x:v>25</x:v>
      </x:c>
      <x:c r="C320" s="37" t="n">
        <x:v>48670</x:v>
      </x:c>
      <x:c r="D320" s="55" t="n">
        <x:v>0</x:v>
      </x:c>
      <x:c r="E320" s="55" t="n">
        <x:v>0.03</x:v>
      </x:c>
      <x:c r="F320" s="60" t="n">
        <x:v>0</x:v>
      </x:c>
      <x:c r="G320" s="60" t="n">
        <x:v>0.03</x:v>
      </x:c>
      <x:c r="H320" s="23" t="n">
        <x:f>IF(D320=F320,0,1)+IF(E320=G320,0,1)</x:f>
        <x:v>0</x:v>
      </x:c>
      <x:c r="I320" s="23" t="str">
        <x:v>Timing T20 / fictional rates</x:v>
      </x:c>
    </x:row>
    <x:row r="321" ht="21" customHeight="1">
      <x:c r="A321" s="23" t="str">
        <x:v>back_flat</x:v>
      </x:c>
      <x:c r="B321" s="23" t="n">
        <x:v>26</x:v>
      </x:c>
      <x:c r="C321" s="37" t="n">
        <x:v>48761</x:v>
      </x:c>
      <x:c r="D321" s="55" t="n">
        <x:v>0</x:v>
      </x:c>
      <x:c r="E321" s="55" t="n">
        <x:v>0.03</x:v>
      </x:c>
      <x:c r="F321" s="60" t="n">
        <x:v>0</x:v>
      </x:c>
      <x:c r="G321" s="60" t="n">
        <x:v>0.03</x:v>
      </x:c>
      <x:c r="H321" s="23" t="n">
        <x:f>IF(D321=F321,0,1)+IF(E321=G321,0,1)</x:f>
        <x:v>0</x:v>
      </x:c>
      <x:c r="I321" s="23" t="str">
        <x:v>Timing T20 / fictional rates</x:v>
      </x:c>
    </x:row>
    <x:row r="322" ht="21" customHeight="1">
      <x:c r="A322" s="23" t="str">
        <x:v>back_flat</x:v>
      </x:c>
      <x:c r="B322" s="23" t="n">
        <x:v>27</x:v>
      </x:c>
      <x:c r="C322" s="37" t="n">
        <x:v>48853</x:v>
      </x:c>
      <x:c r="D322" s="55" t="n">
        <x:v>0</x:v>
      </x:c>
      <x:c r="E322" s="55" t="n">
        <x:v>0.03</x:v>
      </x:c>
      <x:c r="F322" s="60" t="n">
        <x:v>0</x:v>
      </x:c>
      <x:c r="G322" s="60" t="n">
        <x:v>0.03</x:v>
      </x:c>
      <x:c r="H322" s="23" t="n">
        <x:f>IF(D322=F322,0,1)+IF(E322=G322,0,1)</x:f>
        <x:v>0</x:v>
      </x:c>
      <x:c r="I322" s="23" t="str">
        <x:v>Timing T20 / fictional rates</x:v>
      </x:c>
    </x:row>
    <x:row r="323" ht="21" customHeight="1">
      <x:c r="A323" s="23" t="str">
        <x:v>back_flat</x:v>
      </x:c>
      <x:c r="B323" s="23" t="n">
        <x:v>28</x:v>
      </x:c>
      <x:c r="C323" s="37" t="n">
        <x:v>48945</x:v>
      </x:c>
      <x:c r="D323" s="55" t="n">
        <x:v>0</x:v>
      </x:c>
      <x:c r="E323" s="55" t="n">
        <x:v>0.03</x:v>
      </x:c>
      <x:c r="F323" s="60" t="n">
        <x:v>0</x:v>
      </x:c>
      <x:c r="G323" s="60" t="n">
        <x:v>0.03</x:v>
      </x:c>
      <x:c r="H323" s="23" t="n">
        <x:f>IF(D323=F323,0,1)+IF(E323=G323,0,1)</x:f>
        <x:v>0</x:v>
      </x:c>
      <x:c r="I323" s="23" t="str">
        <x:v>Timing T20 / fictional rates</x:v>
      </x:c>
    </x:row>
    <x:row r="324" ht="21" customHeight="1">
      <x:c r="A324" s="23" t="str">
        <x:v>back_flat</x:v>
      </x:c>
      <x:c r="B324" s="23" t="n">
        <x:v>29</x:v>
      </x:c>
      <x:c r="C324" s="37" t="n">
        <x:v>49035</x:v>
      </x:c>
      <x:c r="D324" s="55" t="n">
        <x:v>0</x:v>
      </x:c>
      <x:c r="E324" s="55" t="n">
        <x:v>0.03</x:v>
      </x:c>
      <x:c r="F324" s="60" t="n">
        <x:v>0</x:v>
      </x:c>
      <x:c r="G324" s="60" t="n">
        <x:v>0.03</x:v>
      </x:c>
      <x:c r="H324" s="23" t="n">
        <x:f>IF(D324=F324,0,1)+IF(E324=G324,0,1)</x:f>
        <x:v>0</x:v>
      </x:c>
      <x:c r="I324" s="23" t="str">
        <x:v>Timing T20 / fictional rates</x:v>
      </x:c>
    </x:row>
    <x:row r="325" ht="21" customHeight="1">
      <x:c r="A325" s="23" t="str">
        <x:v>back_flat</x:v>
      </x:c>
      <x:c r="B325" s="23" t="n">
        <x:v>30</x:v>
      </x:c>
      <x:c r="C325" s="37" t="n">
        <x:v>49126</x:v>
      </x:c>
      <x:c r="D325" s="55" t="n">
        <x:v>0</x:v>
      </x:c>
      <x:c r="E325" s="55" t="n">
        <x:v>0.03</x:v>
      </x:c>
      <x:c r="F325" s="60" t="n">
        <x:v>0</x:v>
      </x:c>
      <x:c r="G325" s="60" t="n">
        <x:v>0.03</x:v>
      </x:c>
      <x:c r="H325" s="23" t="n">
        <x:f>IF(D325=F325,0,1)+IF(E325=G325,0,1)</x:f>
        <x:v>0</x:v>
      </x:c>
      <x:c r="I325" s="23" t="str">
        <x:v>Timing T20 / fictional rates</x:v>
      </x:c>
    </x:row>
    <x:row r="326" ht="21" customHeight="1">
      <x:c r="A326" s="23" t="str">
        <x:v>back_flat</x:v>
      </x:c>
      <x:c r="B326" s="23" t="n">
        <x:v>31</x:v>
      </x:c>
      <x:c r="C326" s="37" t="n">
        <x:v>49218</x:v>
      </x:c>
      <x:c r="D326" s="55" t="n">
        <x:v>0</x:v>
      </x:c>
      <x:c r="E326" s="55" t="n">
        <x:v>0.03</x:v>
      </x:c>
      <x:c r="F326" s="60" t="n">
        <x:v>0</x:v>
      </x:c>
      <x:c r="G326" s="60" t="n">
        <x:v>0.03</x:v>
      </x:c>
      <x:c r="H326" s="23" t="n">
        <x:f>IF(D326=F326,0,1)+IF(E326=G326,0,1)</x:f>
        <x:v>0</x:v>
      </x:c>
      <x:c r="I326" s="23" t="str">
        <x:v>Timing T20 / fictional rates</x:v>
      </x:c>
    </x:row>
    <x:row r="327" ht="21" customHeight="1">
      <x:c r="A327" s="23" t="str">
        <x:v>back_flat</x:v>
      </x:c>
      <x:c r="B327" s="23" t="n">
        <x:v>32</x:v>
      </x:c>
      <x:c r="C327" s="37" t="n">
        <x:v>49310</x:v>
      </x:c>
      <x:c r="D327" s="55" t="n">
        <x:v>0</x:v>
      </x:c>
      <x:c r="E327" s="55" t="n">
        <x:v>0.03</x:v>
      </x:c>
      <x:c r="F327" s="60" t="n">
        <x:v>0</x:v>
      </x:c>
      <x:c r="G327" s="60" t="n">
        <x:v>0.03</x:v>
      </x:c>
      <x:c r="H327" s="23" t="n">
        <x:f>IF(D327=F327,0,1)+IF(E327=G327,0,1)</x:f>
        <x:v>0</x:v>
      </x:c>
      <x:c r="I327" s="23" t="str">
        <x:v>Timing T20 / fictional rates</x:v>
      </x:c>
    </x:row>
    <x:row r="328" ht="21" customHeight="1">
      <x:c r="A328" s="23" t="str">
        <x:v>back_flat</x:v>
      </x:c>
      <x:c r="B328" s="23" t="n">
        <x:v>33</x:v>
      </x:c>
      <x:c r="C328" s="37" t="n">
        <x:v>49400</x:v>
      </x:c>
      <x:c r="D328" s="55" t="n">
        <x:v>0</x:v>
      </x:c>
      <x:c r="E328" s="55" t="n">
        <x:v>0.03</x:v>
      </x:c>
      <x:c r="F328" s="60" t="n">
        <x:v>0</x:v>
      </x:c>
      <x:c r="G328" s="60" t="n">
        <x:v>0.03</x:v>
      </x:c>
      <x:c r="H328" s="23" t="n">
        <x:f>IF(D328=F328,0,1)+IF(E328=G328,0,1)</x:f>
        <x:v>0</x:v>
      </x:c>
      <x:c r="I328" s="23" t="str">
        <x:v>Timing T20 / fictional rates</x:v>
      </x:c>
    </x:row>
    <x:row r="329" ht="21" customHeight="1">
      <x:c r="A329" s="23" t="str">
        <x:v>back_flat</x:v>
      </x:c>
      <x:c r="B329" s="23" t="n">
        <x:v>34</x:v>
      </x:c>
      <x:c r="C329" s="37" t="n">
        <x:v>49491</x:v>
      </x:c>
      <x:c r="D329" s="55" t="n">
        <x:v>0</x:v>
      </x:c>
      <x:c r="E329" s="55" t="n">
        <x:v>0.03</x:v>
      </x:c>
      <x:c r="F329" s="60" t="n">
        <x:v>0</x:v>
      </x:c>
      <x:c r="G329" s="60" t="n">
        <x:v>0.03</x:v>
      </x:c>
      <x:c r="H329" s="23" t="n">
        <x:f>IF(D329=F329,0,1)+IF(E329=G329,0,1)</x:f>
        <x:v>0</x:v>
      </x:c>
      <x:c r="I329" s="23" t="str">
        <x:v>Timing T20 / fictional rates</x:v>
      </x:c>
    </x:row>
    <x:row r="330" ht="21" customHeight="1">
      <x:c r="A330" s="23" t="str">
        <x:v>back_flat</x:v>
      </x:c>
      <x:c r="B330" s="23" t="n">
        <x:v>35</x:v>
      </x:c>
      <x:c r="C330" s="37" t="n">
        <x:v>49583</x:v>
      </x:c>
      <x:c r="D330" s="55" t="n">
        <x:v>0</x:v>
      </x:c>
      <x:c r="E330" s="55" t="n">
        <x:v>0.03</x:v>
      </x:c>
      <x:c r="F330" s="60" t="n">
        <x:v>0</x:v>
      </x:c>
      <x:c r="G330" s="60" t="n">
        <x:v>0.03</x:v>
      </x:c>
      <x:c r="H330" s="23" t="n">
        <x:f>IF(D330=F330,0,1)+IF(E330=G330,0,1)</x:f>
        <x:v>0</x:v>
      </x:c>
      <x:c r="I330" s="23" t="str">
        <x:v>Timing T20 / fictional rates</x:v>
      </x:c>
    </x:row>
    <x:row r="331" ht="21" customHeight="1">
      <x:c r="A331" s="23" t="str">
        <x:v>back_flat</x:v>
      </x:c>
      <x:c r="B331" s="23" t="n">
        <x:v>36</x:v>
      </x:c>
      <x:c r="C331" s="37" t="n">
        <x:v>49675</x:v>
      </x:c>
      <x:c r="D331" s="55" t="n">
        <x:v>0</x:v>
      </x:c>
      <x:c r="E331" s="55" t="n">
        <x:v>0.03</x:v>
      </x:c>
      <x:c r="F331" s="60" t="n">
        <x:v>0</x:v>
      </x:c>
      <x:c r="G331" s="60" t="n">
        <x:v>0.03</x:v>
      </x:c>
      <x:c r="H331" s="23" t="n">
        <x:f>IF(D331=F331,0,1)+IF(E331=G331,0,1)</x:f>
        <x:v>0</x:v>
      </x:c>
      <x:c r="I331" s="23" t="str">
        <x:v>Timing T20 / fictional rates</x:v>
      </x:c>
    </x:row>
    <x:row r="332" ht="21" customHeight="1">
      <x:c r="A332" s="23" t="str">
        <x:v>back_flat</x:v>
      </x:c>
      <x:c r="B332" s="23" t="n">
        <x:v>37</x:v>
      </x:c>
      <x:c r="C332" s="37" t="n">
        <x:v>49766</x:v>
      </x:c>
      <x:c r="D332" s="55" t="n">
        <x:v>0</x:v>
      </x:c>
      <x:c r="E332" s="55" t="n">
        <x:v>0.03</x:v>
      </x:c>
      <x:c r="F332" s="60" t="n">
        <x:v>0</x:v>
      </x:c>
      <x:c r="G332" s="60" t="n">
        <x:v>0.03</x:v>
      </x:c>
      <x:c r="H332" s="23" t="n">
        <x:f>IF(D332=F332,0,1)+IF(E332=G332,0,1)</x:f>
        <x:v>0</x:v>
      </x:c>
      <x:c r="I332" s="23" t="str">
        <x:v>Timing T20 / fictional rates</x:v>
      </x:c>
    </x:row>
    <x:row r="333" ht="21" customHeight="1">
      <x:c r="A333" s="23" t="str">
        <x:v>back_flat</x:v>
      </x:c>
      <x:c r="B333" s="23" t="n">
        <x:v>38</x:v>
      </x:c>
      <x:c r="C333" s="37" t="n">
        <x:v>49857</x:v>
      </x:c>
      <x:c r="D333" s="55" t="n">
        <x:v>0</x:v>
      </x:c>
      <x:c r="E333" s="55" t="n">
        <x:v>0.03</x:v>
      </x:c>
      <x:c r="F333" s="60" t="n">
        <x:v>0</x:v>
      </x:c>
      <x:c r="G333" s="60" t="n">
        <x:v>0.03</x:v>
      </x:c>
      <x:c r="H333" s="23" t="n">
        <x:f>IF(D333=F333,0,1)+IF(E333=G333,0,1)</x:f>
        <x:v>0</x:v>
      </x:c>
      <x:c r="I333" s="23" t="str">
        <x:v>Timing T20 / fictional rates</x:v>
      </x:c>
    </x:row>
    <x:row r="334" ht="21" customHeight="1">
      <x:c r="A334" s="23" t="str">
        <x:v>back_flat</x:v>
      </x:c>
      <x:c r="B334" s="23" t="n">
        <x:v>39</x:v>
      </x:c>
      <x:c r="C334" s="37" t="n">
        <x:v>49949</x:v>
      </x:c>
      <x:c r="D334" s="55" t="n">
        <x:v>0</x:v>
      </x:c>
      <x:c r="E334" s="55" t="n">
        <x:v>0.03</x:v>
      </x:c>
      <x:c r="F334" s="60" t="n">
        <x:v>0</x:v>
      </x:c>
      <x:c r="G334" s="60" t="n">
        <x:v>0.03</x:v>
      </x:c>
      <x:c r="H334" s="23" t="n">
        <x:f>IF(D334=F334,0,1)+IF(E334=G334,0,1)</x:f>
        <x:v>0</x:v>
      </x:c>
      <x:c r="I334" s="23" t="str">
        <x:v>Timing T20 / fictional rates</x:v>
      </x:c>
    </x:row>
    <x:row r="335" ht="21" customHeight="1">
      <x:c r="A335" s="23" t="str">
        <x:v>back_flat</x:v>
      </x:c>
      <x:c r="B335" s="23" t="n">
        <x:v>40</x:v>
      </x:c>
      <x:c r="C335" s="37" t="n">
        <x:v>50041</x:v>
      </x:c>
      <x:c r="D335" s="55" t="n">
        <x:v>0</x:v>
      </x:c>
      <x:c r="E335" s="55" t="n">
        <x:v>0.03</x:v>
      </x:c>
      <x:c r="F335" s="60" t="n">
        <x:v>0</x:v>
      </x:c>
      <x:c r="G335" s="60" t="n">
        <x:v>0.03</x:v>
      </x:c>
      <x:c r="H335" s="23" t="n">
        <x:f>IF(D335=F335,0,1)+IF(E335=G335,0,1)</x:f>
        <x:v>0</x:v>
      </x:c>
      <x:c r="I335" s="23" t="str">
        <x:v>Timing T20 / fictional rates</x:v>
      </x:c>
    </x:row>
    <x:row r="336" ht="21" customHeight="1">
      <x:c r="A336" s="23" t="str">
        <x:v>back_flat</x:v>
      </x:c>
      <x:c r="B336" s="23" t="n">
        <x:v>41</x:v>
      </x:c>
      <x:c r="C336" s="37" t="n">
        <x:v>50131</x:v>
      </x:c>
      <x:c r="D336" s="55" t="n">
        <x:v>0</x:v>
      </x:c>
      <x:c r="E336" s="55" t="n">
        <x:v>0.03</x:v>
      </x:c>
      <x:c r="F336" s="60" t="n">
        <x:v>0</x:v>
      </x:c>
      <x:c r="G336" s="60" t="n">
        <x:v>0.03</x:v>
      </x:c>
      <x:c r="H336" s="23" t="n">
        <x:f>IF(D336=F336,0,1)+IF(E336=G336,0,1)</x:f>
        <x:v>0</x:v>
      </x:c>
      <x:c r="I336" s="23" t="str">
        <x:v>Timing T20 / fictional rates</x:v>
      </x:c>
    </x:row>
    <x:row r="337" ht="21" customHeight="1">
      <x:c r="A337" s="23" t="str">
        <x:v>back_flat</x:v>
      </x:c>
      <x:c r="B337" s="23" t="n">
        <x:v>42</x:v>
      </x:c>
      <x:c r="C337" s="37" t="n">
        <x:v>50222</x:v>
      </x:c>
      <x:c r="D337" s="55" t="n">
        <x:v>0</x:v>
      </x:c>
      <x:c r="E337" s="55" t="n">
        <x:v>0.03</x:v>
      </x:c>
      <x:c r="F337" s="60" t="n">
        <x:v>0</x:v>
      </x:c>
      <x:c r="G337" s="60" t="n">
        <x:v>0.03</x:v>
      </x:c>
      <x:c r="H337" s="23" t="n">
        <x:f>IF(D337=F337,0,1)+IF(E337=G337,0,1)</x:f>
        <x:v>0</x:v>
      </x:c>
      <x:c r="I337" s="23" t="str">
        <x:v>Timing T20 / fictional rates</x:v>
      </x:c>
    </x:row>
    <x:row r="338" ht="21" customHeight="1">
      <x:c r="A338" s="23" t="str">
        <x:v>back_flat</x:v>
      </x:c>
      <x:c r="B338" s="23" t="n">
        <x:v>43</x:v>
      </x:c>
      <x:c r="C338" s="37" t="n">
        <x:v>50314</x:v>
      </x:c>
      <x:c r="D338" s="55" t="n">
        <x:v>0</x:v>
      </x:c>
      <x:c r="E338" s="55" t="n">
        <x:v>0.03</x:v>
      </x:c>
      <x:c r="F338" s="60" t="n">
        <x:v>0</x:v>
      </x:c>
      <x:c r="G338" s="60" t="n">
        <x:v>0.03</x:v>
      </x:c>
      <x:c r="H338" s="23" t="n">
        <x:f>IF(D338=F338,0,1)+IF(E338=G338,0,1)</x:f>
        <x:v>0</x:v>
      </x:c>
      <x:c r="I338" s="23" t="str">
        <x:v>Timing T20 / fictional rates</x:v>
      </x:c>
    </x:row>
    <x:row r="339" ht="21" customHeight="1">
      <x:c r="A339" s="23" t="str">
        <x:v>back_flat</x:v>
      </x:c>
      <x:c r="B339" s="23" t="n">
        <x:v>44</x:v>
      </x:c>
      <x:c r="C339" s="37" t="n">
        <x:v>50406</x:v>
      </x:c>
      <x:c r="D339" s="55" t="n">
        <x:v>0</x:v>
      </x:c>
      <x:c r="E339" s="55" t="n">
        <x:v>0.03</x:v>
      </x:c>
      <x:c r="F339" s="60" t="n">
        <x:v>0</x:v>
      </x:c>
      <x:c r="G339" s="60" t="n">
        <x:v>0.03</x:v>
      </x:c>
      <x:c r="H339" s="23" t="n">
        <x:f>IF(D339=F339,0,1)+IF(E339=G339,0,1)</x:f>
        <x:v>0</x:v>
      </x:c>
      <x:c r="I339" s="23" t="str">
        <x:v>Timing T20 / fictional rates</x:v>
      </x:c>
    </x:row>
    <x:row r="340" ht="21" customHeight="1">
      <x:c r="A340" s="23" t="str">
        <x:v>back_flat</x:v>
      </x:c>
      <x:c r="B340" s="23" t="n">
        <x:v>45</x:v>
      </x:c>
      <x:c r="C340" s="37" t="n">
        <x:v>50496</x:v>
      </x:c>
      <x:c r="D340" s="55" t="n">
        <x:v>0</x:v>
      </x:c>
      <x:c r="E340" s="55" t="n">
        <x:v>0.03</x:v>
      </x:c>
      <x:c r="F340" s="60" t="n">
        <x:v>0</x:v>
      </x:c>
      <x:c r="G340" s="60" t="n">
        <x:v>0.03</x:v>
      </x:c>
      <x:c r="H340" s="23" t="n">
        <x:f>IF(D340=F340,0,1)+IF(E340=G340,0,1)</x:f>
        <x:v>0</x:v>
      </x:c>
      <x:c r="I340" s="23" t="str">
        <x:v>Timing T20 / fictional rates</x:v>
      </x:c>
    </x:row>
    <x:row r="341" ht="21" customHeight="1">
      <x:c r="A341" s="23" t="str">
        <x:v>back_flat</x:v>
      </x:c>
      <x:c r="B341" s="23" t="n">
        <x:v>46</x:v>
      </x:c>
      <x:c r="C341" s="37" t="n">
        <x:v>50587</x:v>
      </x:c>
      <x:c r="D341" s="55" t="n">
        <x:v>0</x:v>
      </x:c>
      <x:c r="E341" s="55" t="n">
        <x:v>0.03</x:v>
      </x:c>
      <x:c r="F341" s="60" t="n">
        <x:v>0</x:v>
      </x:c>
      <x:c r="G341" s="60" t="n">
        <x:v>0.03</x:v>
      </x:c>
      <x:c r="H341" s="23" t="n">
        <x:f>IF(D341=F341,0,1)+IF(E341=G341,0,1)</x:f>
        <x:v>0</x:v>
      </x:c>
      <x:c r="I341" s="23" t="str">
        <x:v>Timing T20 / fictional rates</x:v>
      </x:c>
    </x:row>
    <x:row r="342" ht="21" customHeight="1">
      <x:c r="A342" s="23" t="str">
        <x:v>back_flat</x:v>
      </x:c>
      <x:c r="B342" s="23" t="n">
        <x:v>47</x:v>
      </x:c>
      <x:c r="C342" s="37" t="n">
        <x:v>50679</x:v>
      </x:c>
      <x:c r="D342" s="55" t="n">
        <x:v>0</x:v>
      </x:c>
      <x:c r="E342" s="55" t="n">
        <x:v>0.03</x:v>
      </x:c>
      <x:c r="F342" s="60" t="n">
        <x:v>0</x:v>
      </x:c>
      <x:c r="G342" s="60" t="n">
        <x:v>0.03</x:v>
      </x:c>
      <x:c r="H342" s="23" t="n">
        <x:f>IF(D342=F342,0,1)+IF(E342=G342,0,1)</x:f>
        <x:v>0</x:v>
      </x:c>
      <x:c r="I342" s="23" t="str">
        <x:v>Timing T20 / fictional rates</x:v>
      </x:c>
    </x:row>
    <x:row r="343" ht="21" customHeight="1">
      <x:c r="A343" s="23" t="str">
        <x:v>back_flat</x:v>
      </x:c>
      <x:c r="B343" s="23" t="n">
        <x:v>48</x:v>
      </x:c>
      <x:c r="C343" s="37" t="n">
        <x:v>50771</x:v>
      </x:c>
      <x:c r="D343" s="55" t="n">
        <x:v>0</x:v>
      </x:c>
      <x:c r="E343" s="55" t="n">
        <x:v>0.03</x:v>
      </x:c>
      <x:c r="F343" s="60" t="n">
        <x:v>0</x:v>
      </x:c>
      <x:c r="G343" s="60" t="n">
        <x:v>0.03</x:v>
      </x:c>
      <x:c r="H343" s="23" t="n">
        <x:f>IF(D343=F343,0,1)+IF(E343=G343,0,1)</x:f>
        <x:v>0</x:v>
      </x:c>
      <x:c r="I343" s="23" t="str">
        <x:v>Timing T20 / fictional rates</x:v>
      </x:c>
    </x:row>
    <x:row r="344" ht="21" customHeight="1">
      <x:c r="A344" s="23" t="str">
        <x:v>back_low</x:v>
      </x:c>
      <x:c r="B344" s="23" t="n">
        <x:v>1</x:v>
      </x:c>
      <x:c r="C344" s="37" t="n">
        <x:v>46478</x:v>
      </x:c>
      <x:c r="D344" s="55" t="n">
        <x:v>0.03</x:v>
      </x:c>
      <x:c r="E344" s="55" t="n">
        <x:v>0.005</x:v>
      </x:c>
      <x:c r="F344" s="60" t="n">
        <x:v>0.03</x:v>
      </x:c>
      <x:c r="G344" s="60" t="n">
        <x:v>0.005</x:v>
      </x:c>
      <x:c r="H344" s="23" t="n">
        <x:f>IF(D344=F344,0,1)+IF(E344=G344,0,1)</x:f>
        <x:v>0</x:v>
      </x:c>
      <x:c r="I344" s="23" t="str">
        <x:v>Timing T20 / fictional rates</x:v>
      </x:c>
    </x:row>
    <x:row r="345" ht="21" customHeight="1">
      <x:c r="A345" s="23" t="str">
        <x:v>back_low</x:v>
      </x:c>
      <x:c r="B345" s="23" t="n">
        <x:v>2</x:v>
      </x:c>
      <x:c r="C345" s="37" t="n">
        <x:v>46569</x:v>
      </x:c>
      <x:c r="D345" s="55" t="n">
        <x:v>0.03</x:v>
      </x:c>
      <x:c r="E345" s="55" t="n">
        <x:v>0.005</x:v>
      </x:c>
      <x:c r="F345" s="60" t="n">
        <x:v>0.03</x:v>
      </x:c>
      <x:c r="G345" s="60" t="n">
        <x:v>0.005</x:v>
      </x:c>
      <x:c r="H345" s="23" t="n">
        <x:f>IF(D345=F345,0,1)+IF(E345=G345,0,1)</x:f>
        <x:v>0</x:v>
      </x:c>
      <x:c r="I345" s="23" t="str">
        <x:v>Timing T20 / fictional rates</x:v>
      </x:c>
    </x:row>
    <x:row r="346" ht="21" customHeight="1">
      <x:c r="A346" s="23" t="str">
        <x:v>back_low</x:v>
      </x:c>
      <x:c r="B346" s="23" t="n">
        <x:v>3</x:v>
      </x:c>
      <x:c r="C346" s="37" t="n">
        <x:v>46661</x:v>
      </x:c>
      <x:c r="D346" s="55" t="n">
        <x:v>0.03</x:v>
      </x:c>
      <x:c r="E346" s="55" t="n">
        <x:v>0.005</x:v>
      </x:c>
      <x:c r="F346" s="60" t="n">
        <x:v>0.03</x:v>
      </x:c>
      <x:c r="G346" s="60" t="n">
        <x:v>0.005</x:v>
      </x:c>
      <x:c r="H346" s="23" t="n">
        <x:f>IF(D346=F346,0,1)+IF(E346=G346,0,1)</x:f>
        <x:v>0</x:v>
      </x:c>
      <x:c r="I346" s="23" t="str">
        <x:v>Timing T20 / fictional rates</x:v>
      </x:c>
    </x:row>
    <x:row r="347" ht="21" customHeight="1">
      <x:c r="A347" s="23" t="str">
        <x:v>back_low</x:v>
      </x:c>
      <x:c r="B347" s="23" t="n">
        <x:v>4</x:v>
      </x:c>
      <x:c r="C347" s="37" t="n">
        <x:v>46753</x:v>
      </x:c>
      <x:c r="D347" s="55" t="n">
        <x:v>0.03</x:v>
      </x:c>
      <x:c r="E347" s="55" t="n">
        <x:v>0.005</x:v>
      </x:c>
      <x:c r="F347" s="60" t="n">
        <x:v>0.03</x:v>
      </x:c>
      <x:c r="G347" s="60" t="n">
        <x:v>0.005</x:v>
      </x:c>
      <x:c r="H347" s="23" t="n">
        <x:f>IF(D347=F347,0,1)+IF(E347=G347,0,1)</x:f>
        <x:v>0</x:v>
      </x:c>
      <x:c r="I347" s="23" t="str">
        <x:v>Timing T20 / fictional rates</x:v>
      </x:c>
    </x:row>
    <x:row r="348" ht="21" customHeight="1">
      <x:c r="A348" s="23" t="str">
        <x:v>back_low</x:v>
      </x:c>
      <x:c r="B348" s="23" t="n">
        <x:v>5</x:v>
      </x:c>
      <x:c r="C348" s="37" t="n">
        <x:v>46844</x:v>
      </x:c>
      <x:c r="D348" s="55" t="n">
        <x:v>0.045</x:v>
      </x:c>
      <x:c r="E348" s="55" t="n">
        <x:v>0.005</x:v>
      </x:c>
      <x:c r="F348" s="60" t="n">
        <x:v>0.045</x:v>
      </x:c>
      <x:c r="G348" s="60" t="n">
        <x:v>0.005</x:v>
      </x:c>
      <x:c r="H348" s="23" t="n">
        <x:f>IF(D348=F348,0,1)+IF(E348=G348,0,1)</x:f>
        <x:v>0</x:v>
      </x:c>
      <x:c r="I348" s="23" t="str">
        <x:v>Timing T20 / fictional rates</x:v>
      </x:c>
    </x:row>
    <x:row r="349" ht="21" customHeight="1">
      <x:c r="A349" s="23" t="str">
        <x:v>back_low</x:v>
      </x:c>
      <x:c r="B349" s="23" t="n">
        <x:v>6</x:v>
      </x:c>
      <x:c r="C349" s="37" t="n">
        <x:v>46935</x:v>
      </x:c>
      <x:c r="D349" s="55" t="n">
        <x:v>0.045</x:v>
      </x:c>
      <x:c r="E349" s="55" t="n">
        <x:v>0.005</x:v>
      </x:c>
      <x:c r="F349" s="60" t="n">
        <x:v>0.045</x:v>
      </x:c>
      <x:c r="G349" s="60" t="n">
        <x:v>0.005</x:v>
      </x:c>
      <x:c r="H349" s="23" t="n">
        <x:f>IF(D349=F349,0,1)+IF(E349=G349,0,1)</x:f>
        <x:v>0</x:v>
      </x:c>
      <x:c r="I349" s="23" t="str">
        <x:v>Timing T20 / fictional rates</x:v>
      </x:c>
    </x:row>
    <x:row r="350" ht="21" customHeight="1">
      <x:c r="A350" s="23" t="str">
        <x:v>back_low</x:v>
      </x:c>
      <x:c r="B350" s="23" t="n">
        <x:v>7</x:v>
      </x:c>
      <x:c r="C350" s="37" t="n">
        <x:v>47027</x:v>
      </x:c>
      <x:c r="D350" s="55" t="n">
        <x:v>0.045</x:v>
      </x:c>
      <x:c r="E350" s="55" t="n">
        <x:v>0.005</x:v>
      </x:c>
      <x:c r="F350" s="60" t="n">
        <x:v>0.045</x:v>
      </x:c>
      <x:c r="G350" s="60" t="n">
        <x:v>0.005</x:v>
      </x:c>
      <x:c r="H350" s="23" t="n">
        <x:f>IF(D350=F350,0,1)+IF(E350=G350,0,1)</x:f>
        <x:v>0</x:v>
      </x:c>
      <x:c r="I350" s="23" t="str">
        <x:v>Timing T20 / fictional rates</x:v>
      </x:c>
    </x:row>
    <x:row r="351" ht="21" customHeight="1">
      <x:c r="A351" s="23" t="str">
        <x:v>back_low</x:v>
      </x:c>
      <x:c r="B351" s="23" t="n">
        <x:v>8</x:v>
      </x:c>
      <x:c r="C351" s="37" t="n">
        <x:v>47119</x:v>
      </x:c>
      <x:c r="D351" s="55" t="n">
        <x:v>0.045</x:v>
      </x:c>
      <x:c r="E351" s="55" t="n">
        <x:v>0.005</x:v>
      </x:c>
      <x:c r="F351" s="60" t="n">
        <x:v>0.045</x:v>
      </x:c>
      <x:c r="G351" s="60" t="n">
        <x:v>0.005</x:v>
      </x:c>
      <x:c r="H351" s="23" t="n">
        <x:f>IF(D351=F351,0,1)+IF(E351=G351,0,1)</x:f>
        <x:v>0</x:v>
      </x:c>
      <x:c r="I351" s="23" t="str">
        <x:v>Timing T20 / fictional rates</x:v>
      </x:c>
    </x:row>
    <x:row r="352" ht="21" customHeight="1">
      <x:c r="A352" s="23" t="str">
        <x:v>back_low</x:v>
      </x:c>
      <x:c r="B352" s="23" t="n">
        <x:v>9</x:v>
      </x:c>
      <x:c r="C352" s="37" t="n">
        <x:v>47209</x:v>
      </x:c>
      <x:c r="D352" s="55" t="n">
        <x:v>0.055</x:v>
      </x:c>
      <x:c r="E352" s="55" t="n">
        <x:v>0.005</x:v>
      </x:c>
      <x:c r="F352" s="60" t="n">
        <x:v>0.055</x:v>
      </x:c>
      <x:c r="G352" s="60" t="n">
        <x:v>0.005</x:v>
      </x:c>
      <x:c r="H352" s="23" t="n">
        <x:f>IF(D352=F352,0,1)+IF(E352=G352,0,1)</x:f>
        <x:v>0</x:v>
      </x:c>
      <x:c r="I352" s="23" t="str">
        <x:v>Timing T20 / fictional rates</x:v>
      </x:c>
    </x:row>
    <x:row r="353" ht="21" customHeight="1">
      <x:c r="A353" s="23" t="str">
        <x:v>back_low</x:v>
      </x:c>
      <x:c r="B353" s="23" t="n">
        <x:v>10</x:v>
      </x:c>
      <x:c r="C353" s="37" t="n">
        <x:v>47300</x:v>
      </x:c>
      <x:c r="D353" s="55" t="n">
        <x:v>0.055</x:v>
      </x:c>
      <x:c r="E353" s="55" t="n">
        <x:v>0.005</x:v>
      </x:c>
      <x:c r="F353" s="60" t="n">
        <x:v>0.055</x:v>
      </x:c>
      <x:c r="G353" s="60" t="n">
        <x:v>0.005</x:v>
      </x:c>
      <x:c r="H353" s="23" t="n">
        <x:f>IF(D353=F353,0,1)+IF(E353=G353,0,1)</x:f>
        <x:v>0</x:v>
      </x:c>
      <x:c r="I353" s="23" t="str">
        <x:v>Timing T20 / fictional rates</x:v>
      </x:c>
    </x:row>
    <x:row r="354" ht="21" customHeight="1">
      <x:c r="A354" s="23" t="str">
        <x:v>back_low</x:v>
      </x:c>
      <x:c r="B354" s="23" t="n">
        <x:v>11</x:v>
      </x:c>
      <x:c r="C354" s="37" t="n">
        <x:v>47392</x:v>
      </x:c>
      <x:c r="D354" s="55" t="n">
        <x:v>0.055</x:v>
      </x:c>
      <x:c r="E354" s="55" t="n">
        <x:v>0.005</x:v>
      </x:c>
      <x:c r="F354" s="60" t="n">
        <x:v>0.055</x:v>
      </x:c>
      <x:c r="G354" s="60" t="n">
        <x:v>0.005</x:v>
      </x:c>
      <x:c r="H354" s="23" t="n">
        <x:f>IF(D354=F354,0,1)+IF(E354=G354,0,1)</x:f>
        <x:v>0</x:v>
      </x:c>
      <x:c r="I354" s="23" t="str">
        <x:v>Timing T20 / fictional rates</x:v>
      </x:c>
    </x:row>
    <x:row r="355" ht="21" customHeight="1">
      <x:c r="A355" s="23" t="str">
        <x:v>back_low</x:v>
      </x:c>
      <x:c r="B355" s="23" t="n">
        <x:v>12</x:v>
      </x:c>
      <x:c r="C355" s="37" t="n">
        <x:v>47484</x:v>
      </x:c>
      <x:c r="D355" s="55" t="n">
        <x:v>0.055</x:v>
      </x:c>
      <x:c r="E355" s="55" t="n">
        <x:v>0.005</x:v>
      </x:c>
      <x:c r="F355" s="60" t="n">
        <x:v>0.055</x:v>
      </x:c>
      <x:c r="G355" s="60" t="n">
        <x:v>0.005</x:v>
      </x:c>
      <x:c r="H355" s="23" t="n">
        <x:f>IF(D355=F355,0,1)+IF(E355=G355,0,1)</x:f>
        <x:v>0</x:v>
      </x:c>
      <x:c r="I355" s="23" t="str">
        <x:v>Timing T20 / fictional rates</x:v>
      </x:c>
    </x:row>
    <x:row r="356" ht="21" customHeight="1">
      <x:c r="A356" s="23" t="str">
        <x:v>back_low</x:v>
      </x:c>
      <x:c r="B356" s="23" t="n">
        <x:v>13</x:v>
      </x:c>
      <x:c r="C356" s="37" t="n">
        <x:v>47574</x:v>
      </x:c>
      <x:c r="D356" s="55" t="n">
        <x:v>0.0575</x:v>
      </x:c>
      <x:c r="E356" s="55" t="n">
        <x:v>0.005</x:v>
      </x:c>
      <x:c r="F356" s="60" t="n">
        <x:v>0.0575</x:v>
      </x:c>
      <x:c r="G356" s="60" t="n">
        <x:v>0.005</x:v>
      </x:c>
      <x:c r="H356" s="23" t="n">
        <x:f>IF(D356=F356,0,1)+IF(E356=G356,0,1)</x:f>
        <x:v>0</x:v>
      </x:c>
      <x:c r="I356" s="23" t="str">
        <x:v>Timing T20 / fictional rates</x:v>
      </x:c>
    </x:row>
    <x:row r="357" ht="21" customHeight="1">
      <x:c r="A357" s="23" t="str">
        <x:v>back_low</x:v>
      </x:c>
      <x:c r="B357" s="23" t="n">
        <x:v>14</x:v>
      </x:c>
      <x:c r="C357" s="37" t="n">
        <x:v>47665</x:v>
      </x:c>
      <x:c r="D357" s="55" t="n">
        <x:v>0.0575</x:v>
      </x:c>
      <x:c r="E357" s="55" t="n">
        <x:v>0.005</x:v>
      </x:c>
      <x:c r="F357" s="60" t="n">
        <x:v>0.0575</x:v>
      </x:c>
      <x:c r="G357" s="60" t="n">
        <x:v>0.005</x:v>
      </x:c>
      <x:c r="H357" s="23" t="n">
        <x:f>IF(D357=F357,0,1)+IF(E357=G357,0,1)</x:f>
        <x:v>0</x:v>
      </x:c>
      <x:c r="I357" s="23" t="str">
        <x:v>Timing T20 / fictional rates</x:v>
      </x:c>
    </x:row>
    <x:row r="358" ht="21" customHeight="1">
      <x:c r="A358" s="23" t="str">
        <x:v>back_low</x:v>
      </x:c>
      <x:c r="B358" s="23" t="n">
        <x:v>15</x:v>
      </x:c>
      <x:c r="C358" s="37" t="n">
        <x:v>47757</x:v>
      </x:c>
      <x:c r="D358" s="55" t="n">
        <x:v>0.0575</x:v>
      </x:c>
      <x:c r="E358" s="55" t="n">
        <x:v>0.005</x:v>
      </x:c>
      <x:c r="F358" s="60" t="n">
        <x:v>0.0575</x:v>
      </x:c>
      <x:c r="G358" s="60" t="n">
        <x:v>0.005</x:v>
      </x:c>
      <x:c r="H358" s="23" t="n">
        <x:f>IF(D358=F358,0,1)+IF(E358=G358,0,1)</x:f>
        <x:v>0</x:v>
      </x:c>
      <x:c r="I358" s="23" t="str">
        <x:v>Timing T20 / fictional rates</x:v>
      </x:c>
    </x:row>
    <x:row r="359" ht="21" customHeight="1">
      <x:c r="A359" s="23" t="str">
        <x:v>back_low</x:v>
      </x:c>
      <x:c r="B359" s="23" t="n">
        <x:v>16</x:v>
      </x:c>
      <x:c r="C359" s="37" t="n">
        <x:v>47849</x:v>
      </x:c>
      <x:c r="D359" s="55" t="n">
        <x:v>0.0575</x:v>
      </x:c>
      <x:c r="E359" s="55" t="n">
        <x:v>0.005</x:v>
      </x:c>
      <x:c r="F359" s="60" t="n">
        <x:v>0.0575</x:v>
      </x:c>
      <x:c r="G359" s="60" t="n">
        <x:v>0.005</x:v>
      </x:c>
      <x:c r="H359" s="23" t="n">
        <x:f>IF(D359=F359,0,1)+IF(E359=G359,0,1)</x:f>
        <x:v>0</x:v>
      </x:c>
      <x:c r="I359" s="23" t="str">
        <x:v>Timing T20 / fictional rates</x:v>
      </x:c>
    </x:row>
    <x:row r="360" ht="21" customHeight="1">
      <x:c r="A360" s="23" t="str">
        <x:v>back_low</x:v>
      </x:c>
      <x:c r="B360" s="23" t="n">
        <x:v>17</x:v>
      </x:c>
      <x:c r="C360" s="37" t="n">
        <x:v>47939</x:v>
      </x:c>
      <x:c r="D360" s="55" t="n">
        <x:v>0.0625</x:v>
      </x:c>
      <x:c r="E360" s="55" t="n">
        <x:v>0.005</x:v>
      </x:c>
      <x:c r="F360" s="60" t="n">
        <x:v>0.0625</x:v>
      </x:c>
      <x:c r="G360" s="60" t="n">
        <x:v>0.005</x:v>
      </x:c>
      <x:c r="H360" s="23" t="n">
        <x:f>IF(D360=F360,0,1)+IF(E360=G360,0,1)</x:f>
        <x:v>0</x:v>
      </x:c>
      <x:c r="I360" s="23" t="str">
        <x:v>Timing T20 / fictional rates</x:v>
      </x:c>
    </x:row>
    <x:row r="361" ht="21" customHeight="1">
      <x:c r="A361" s="23" t="str">
        <x:v>back_low</x:v>
      </x:c>
      <x:c r="B361" s="23" t="n">
        <x:v>18</x:v>
      </x:c>
      <x:c r="C361" s="37" t="n">
        <x:v>48030</x:v>
      </x:c>
      <x:c r="D361" s="55" t="n">
        <x:v>0.0625</x:v>
      </x:c>
      <x:c r="E361" s="55" t="n">
        <x:v>0.005</x:v>
      </x:c>
      <x:c r="F361" s="60" t="n">
        <x:v>0.0625</x:v>
      </x:c>
      <x:c r="G361" s="60" t="n">
        <x:v>0.005</x:v>
      </x:c>
      <x:c r="H361" s="23" t="n">
        <x:f>IF(D361=F361,0,1)+IF(E361=G361,0,1)</x:f>
        <x:v>0</x:v>
      </x:c>
      <x:c r="I361" s="23" t="str">
        <x:v>Timing T20 / fictional rates</x:v>
      </x:c>
    </x:row>
    <x:row r="362" ht="21" customHeight="1">
      <x:c r="A362" s="23" t="str">
        <x:v>back_low</x:v>
      </x:c>
      <x:c r="B362" s="23" t="n">
        <x:v>19</x:v>
      </x:c>
      <x:c r="C362" s="37" t="n">
        <x:v>48122</x:v>
      </x:c>
      <x:c r="D362" s="55" t="n">
        <x:v>0.0625</x:v>
      </x:c>
      <x:c r="E362" s="55" t="n">
        <x:v>0.005</x:v>
      </x:c>
      <x:c r="F362" s="60" t="n">
        <x:v>0.0625</x:v>
      </x:c>
      <x:c r="G362" s="60" t="n">
        <x:v>0.005</x:v>
      </x:c>
      <x:c r="H362" s="23" t="n">
        <x:f>IF(D362=F362,0,1)+IF(E362=G362,0,1)</x:f>
        <x:v>0</x:v>
      </x:c>
      <x:c r="I362" s="23" t="str">
        <x:v>Timing T20 / fictional rates</x:v>
      </x:c>
    </x:row>
    <x:row r="363" ht="21" customHeight="1">
      <x:c r="A363" s="23" t="str">
        <x:v>back_low</x:v>
      </x:c>
      <x:c r="B363" s="23" t="n">
        <x:v>20</x:v>
      </x:c>
      <x:c r="C363" s="37" t="n">
        <x:v>48214</x:v>
      </x:c>
      <x:c r="D363" s="55" t="n">
        <x:v>0.0625</x:v>
      </x:c>
      <x:c r="E363" s="55" t="n">
        <x:v>0.005</x:v>
      </x:c>
      <x:c r="F363" s="60" t="n">
        <x:v>0.0625</x:v>
      </x:c>
      <x:c r="G363" s="60" t="n">
        <x:v>0.005</x:v>
      </x:c>
      <x:c r="H363" s="23" t="n">
        <x:f>IF(D363=F363,0,1)+IF(E363=G363,0,1)</x:f>
        <x:v>0</x:v>
      </x:c>
      <x:c r="I363" s="23" t="str">
        <x:v>Timing T20 / fictional rates</x:v>
      </x:c>
    </x:row>
    <x:row r="364" ht="21" customHeight="1">
      <x:c r="A364" s="23" t="str">
        <x:v>back_low</x:v>
      </x:c>
      <x:c r="B364" s="23" t="n">
        <x:v>21</x:v>
      </x:c>
      <x:c r="C364" s="37" t="n">
        <x:v>48305</x:v>
      </x:c>
      <x:c r="D364" s="55" t="n">
        <x:v>0</x:v>
      </x:c>
      <x:c r="E364" s="55" t="n">
        <x:v>0.005</x:v>
      </x:c>
      <x:c r="F364" s="60" t="n">
        <x:v>0</x:v>
      </x:c>
      <x:c r="G364" s="60" t="n">
        <x:v>0.005</x:v>
      </x:c>
      <x:c r="H364" s="23" t="n">
        <x:f>IF(D364=F364,0,1)+IF(E364=G364,0,1)</x:f>
        <x:v>0</x:v>
      </x:c>
      <x:c r="I364" s="23" t="str">
        <x:v>Timing T20 / fictional rates</x:v>
      </x:c>
    </x:row>
    <x:row r="365" ht="21" customHeight="1">
      <x:c r="A365" s="23" t="str">
        <x:v>back_low</x:v>
      </x:c>
      <x:c r="B365" s="23" t="n">
        <x:v>22</x:v>
      </x:c>
      <x:c r="C365" s="37" t="n">
        <x:v>48396</x:v>
      </x:c>
      <x:c r="D365" s="55" t="n">
        <x:v>0</x:v>
      </x:c>
      <x:c r="E365" s="55" t="n">
        <x:v>0.005</x:v>
      </x:c>
      <x:c r="F365" s="60" t="n">
        <x:v>0</x:v>
      </x:c>
      <x:c r="G365" s="60" t="n">
        <x:v>0.005</x:v>
      </x:c>
      <x:c r="H365" s="23" t="n">
        <x:f>IF(D365=F365,0,1)+IF(E365=G365,0,1)</x:f>
        <x:v>0</x:v>
      </x:c>
      <x:c r="I365" s="23" t="str">
        <x:v>Timing T20 / fictional rates</x:v>
      </x:c>
    </x:row>
    <x:row r="366" ht="21" customHeight="1">
      <x:c r="A366" s="23" t="str">
        <x:v>back_low</x:v>
      </x:c>
      <x:c r="B366" s="23" t="n">
        <x:v>23</x:v>
      </x:c>
      <x:c r="C366" s="37" t="n">
        <x:v>48488</x:v>
      </x:c>
      <x:c r="D366" s="55" t="n">
        <x:v>0</x:v>
      </x:c>
      <x:c r="E366" s="55" t="n">
        <x:v>0.005</x:v>
      </x:c>
      <x:c r="F366" s="60" t="n">
        <x:v>0</x:v>
      </x:c>
      <x:c r="G366" s="60" t="n">
        <x:v>0.005</x:v>
      </x:c>
      <x:c r="H366" s="23" t="n">
        <x:f>IF(D366=F366,0,1)+IF(E366=G366,0,1)</x:f>
        <x:v>0</x:v>
      </x:c>
      <x:c r="I366" s="23" t="str">
        <x:v>Timing T20 / fictional rates</x:v>
      </x:c>
    </x:row>
    <x:row r="367" ht="21" customHeight="1">
      <x:c r="A367" s="23" t="str">
        <x:v>back_low</x:v>
      </x:c>
      <x:c r="B367" s="23" t="n">
        <x:v>24</x:v>
      </x:c>
      <x:c r="C367" s="37" t="n">
        <x:v>48580</x:v>
      </x:c>
      <x:c r="D367" s="55" t="n">
        <x:v>0</x:v>
      </x:c>
      <x:c r="E367" s="55" t="n">
        <x:v>0.005</x:v>
      </x:c>
      <x:c r="F367" s="60" t="n">
        <x:v>0</x:v>
      </x:c>
      <x:c r="G367" s="60" t="n">
        <x:v>0.005</x:v>
      </x:c>
      <x:c r="H367" s="23" t="n">
        <x:f>IF(D367=F367,0,1)+IF(E367=G367,0,1)</x:f>
        <x:v>0</x:v>
      </x:c>
      <x:c r="I367" s="23" t="str">
        <x:v>Timing T20 / fictional rates</x:v>
      </x:c>
    </x:row>
    <x:row r="368" ht="21" customHeight="1">
      <x:c r="A368" s="23" t="str">
        <x:v>back_low</x:v>
      </x:c>
      <x:c r="B368" s="23" t="n">
        <x:v>25</x:v>
      </x:c>
      <x:c r="C368" s="37" t="n">
        <x:v>48670</x:v>
      </x:c>
      <x:c r="D368" s="55" t="n">
        <x:v>0</x:v>
      </x:c>
      <x:c r="E368" s="55" t="n">
        <x:v>0.005</x:v>
      </x:c>
      <x:c r="F368" s="60" t="n">
        <x:v>0</x:v>
      </x:c>
      <x:c r="G368" s="60" t="n">
        <x:v>0.005</x:v>
      </x:c>
      <x:c r="H368" s="23" t="n">
        <x:f>IF(D368=F368,0,1)+IF(E368=G368,0,1)</x:f>
        <x:v>0</x:v>
      </x:c>
      <x:c r="I368" s="23" t="str">
        <x:v>Timing T20 / fictional rates</x:v>
      </x:c>
    </x:row>
    <x:row r="369" ht="21" customHeight="1">
      <x:c r="A369" s="23" t="str">
        <x:v>back_low</x:v>
      </x:c>
      <x:c r="B369" s="23" t="n">
        <x:v>26</x:v>
      </x:c>
      <x:c r="C369" s="37" t="n">
        <x:v>48761</x:v>
      </x:c>
      <x:c r="D369" s="55" t="n">
        <x:v>0</x:v>
      </x:c>
      <x:c r="E369" s="55" t="n">
        <x:v>0.005</x:v>
      </x:c>
      <x:c r="F369" s="60" t="n">
        <x:v>0</x:v>
      </x:c>
      <x:c r="G369" s="60" t="n">
        <x:v>0.005</x:v>
      </x:c>
      <x:c r="H369" s="23" t="n">
        <x:f>IF(D369=F369,0,1)+IF(E369=G369,0,1)</x:f>
        <x:v>0</x:v>
      </x:c>
      <x:c r="I369" s="23" t="str">
        <x:v>Timing T20 / fictional rates</x:v>
      </x:c>
    </x:row>
    <x:row r="370" ht="21" customHeight="1">
      <x:c r="A370" s="23" t="str">
        <x:v>back_low</x:v>
      </x:c>
      <x:c r="B370" s="23" t="n">
        <x:v>27</x:v>
      </x:c>
      <x:c r="C370" s="37" t="n">
        <x:v>48853</x:v>
      </x:c>
      <x:c r="D370" s="55" t="n">
        <x:v>0</x:v>
      </x:c>
      <x:c r="E370" s="55" t="n">
        <x:v>0.005</x:v>
      </x:c>
      <x:c r="F370" s="60" t="n">
        <x:v>0</x:v>
      </x:c>
      <x:c r="G370" s="60" t="n">
        <x:v>0.005</x:v>
      </x:c>
      <x:c r="H370" s="23" t="n">
        <x:f>IF(D370=F370,0,1)+IF(E370=G370,0,1)</x:f>
        <x:v>0</x:v>
      </x:c>
      <x:c r="I370" s="23" t="str">
        <x:v>Timing T20 / fictional rates</x:v>
      </x:c>
    </x:row>
    <x:row r="371" ht="21" customHeight="1">
      <x:c r="A371" s="23" t="str">
        <x:v>back_low</x:v>
      </x:c>
      <x:c r="B371" s="23" t="n">
        <x:v>28</x:v>
      </x:c>
      <x:c r="C371" s="37" t="n">
        <x:v>48945</x:v>
      </x:c>
      <x:c r="D371" s="55" t="n">
        <x:v>0</x:v>
      </x:c>
      <x:c r="E371" s="55" t="n">
        <x:v>0.005</x:v>
      </x:c>
      <x:c r="F371" s="60" t="n">
        <x:v>0</x:v>
      </x:c>
      <x:c r="G371" s="60" t="n">
        <x:v>0.005</x:v>
      </x:c>
      <x:c r="H371" s="23" t="n">
        <x:f>IF(D371=F371,0,1)+IF(E371=G371,0,1)</x:f>
        <x:v>0</x:v>
      </x:c>
      <x:c r="I371" s="23" t="str">
        <x:v>Timing T20 / fictional rates</x:v>
      </x:c>
    </x:row>
    <x:row r="372" ht="21" customHeight="1">
      <x:c r="A372" s="23" t="str">
        <x:v>back_low</x:v>
      </x:c>
      <x:c r="B372" s="23" t="n">
        <x:v>29</x:v>
      </x:c>
      <x:c r="C372" s="37" t="n">
        <x:v>49035</x:v>
      </x:c>
      <x:c r="D372" s="55" t="n">
        <x:v>0</x:v>
      </x:c>
      <x:c r="E372" s="55" t="n">
        <x:v>0.005</x:v>
      </x:c>
      <x:c r="F372" s="60" t="n">
        <x:v>0</x:v>
      </x:c>
      <x:c r="G372" s="60" t="n">
        <x:v>0.005</x:v>
      </x:c>
      <x:c r="H372" s="23" t="n">
        <x:f>IF(D372=F372,0,1)+IF(E372=G372,0,1)</x:f>
        <x:v>0</x:v>
      </x:c>
      <x:c r="I372" s="23" t="str">
        <x:v>Timing T20 / fictional rates</x:v>
      </x:c>
    </x:row>
    <x:row r="373" ht="21" customHeight="1">
      <x:c r="A373" s="23" t="str">
        <x:v>back_low</x:v>
      </x:c>
      <x:c r="B373" s="23" t="n">
        <x:v>30</x:v>
      </x:c>
      <x:c r="C373" s="37" t="n">
        <x:v>49126</x:v>
      </x:c>
      <x:c r="D373" s="55" t="n">
        <x:v>0</x:v>
      </x:c>
      <x:c r="E373" s="55" t="n">
        <x:v>0.005</x:v>
      </x:c>
      <x:c r="F373" s="60" t="n">
        <x:v>0</x:v>
      </x:c>
      <x:c r="G373" s="60" t="n">
        <x:v>0.005</x:v>
      </x:c>
      <x:c r="H373" s="23" t="n">
        <x:f>IF(D373=F373,0,1)+IF(E373=G373,0,1)</x:f>
        <x:v>0</x:v>
      </x:c>
      <x:c r="I373" s="23" t="str">
        <x:v>Timing T20 / fictional rates</x:v>
      </x:c>
    </x:row>
    <x:row r="374" ht="21" customHeight="1">
      <x:c r="A374" s="23" t="str">
        <x:v>back_low</x:v>
      </x:c>
      <x:c r="B374" s="23" t="n">
        <x:v>31</x:v>
      </x:c>
      <x:c r="C374" s="37" t="n">
        <x:v>49218</x:v>
      </x:c>
      <x:c r="D374" s="55" t="n">
        <x:v>0</x:v>
      </x:c>
      <x:c r="E374" s="55" t="n">
        <x:v>0.005</x:v>
      </x:c>
      <x:c r="F374" s="60" t="n">
        <x:v>0</x:v>
      </x:c>
      <x:c r="G374" s="60" t="n">
        <x:v>0.005</x:v>
      </x:c>
      <x:c r="H374" s="23" t="n">
        <x:f>IF(D374=F374,0,1)+IF(E374=G374,0,1)</x:f>
        <x:v>0</x:v>
      </x:c>
      <x:c r="I374" s="23" t="str">
        <x:v>Timing T20 / fictional rates</x:v>
      </x:c>
    </x:row>
    <x:row r="375" ht="21" customHeight="1">
      <x:c r="A375" s="23" t="str">
        <x:v>back_low</x:v>
      </x:c>
      <x:c r="B375" s="23" t="n">
        <x:v>32</x:v>
      </x:c>
      <x:c r="C375" s="37" t="n">
        <x:v>49310</x:v>
      </x:c>
      <x:c r="D375" s="55" t="n">
        <x:v>0</x:v>
      </x:c>
      <x:c r="E375" s="55" t="n">
        <x:v>0.005</x:v>
      </x:c>
      <x:c r="F375" s="60" t="n">
        <x:v>0</x:v>
      </x:c>
      <x:c r="G375" s="60" t="n">
        <x:v>0.005</x:v>
      </x:c>
      <x:c r="H375" s="23" t="n">
        <x:f>IF(D375=F375,0,1)+IF(E375=G375,0,1)</x:f>
        <x:v>0</x:v>
      </x:c>
      <x:c r="I375" s="23" t="str">
        <x:v>Timing T20 / fictional rates</x:v>
      </x:c>
    </x:row>
    <x:row r="376" ht="21" customHeight="1">
      <x:c r="A376" s="23" t="str">
        <x:v>back_low</x:v>
      </x:c>
      <x:c r="B376" s="23" t="n">
        <x:v>33</x:v>
      </x:c>
      <x:c r="C376" s="37" t="n">
        <x:v>49400</x:v>
      </x:c>
      <x:c r="D376" s="55" t="n">
        <x:v>0</x:v>
      </x:c>
      <x:c r="E376" s="55" t="n">
        <x:v>0.005</x:v>
      </x:c>
      <x:c r="F376" s="60" t="n">
        <x:v>0</x:v>
      </x:c>
      <x:c r="G376" s="60" t="n">
        <x:v>0.005</x:v>
      </x:c>
      <x:c r="H376" s="23" t="n">
        <x:f>IF(D376=F376,0,1)+IF(E376=G376,0,1)</x:f>
        <x:v>0</x:v>
      </x:c>
      <x:c r="I376" s="23" t="str">
        <x:v>Timing T20 / fictional rates</x:v>
      </x:c>
    </x:row>
    <x:row r="377" ht="21" customHeight="1">
      <x:c r="A377" s="23" t="str">
        <x:v>back_low</x:v>
      </x:c>
      <x:c r="B377" s="23" t="n">
        <x:v>34</x:v>
      </x:c>
      <x:c r="C377" s="37" t="n">
        <x:v>49491</x:v>
      </x:c>
      <x:c r="D377" s="55" t="n">
        <x:v>0</x:v>
      </x:c>
      <x:c r="E377" s="55" t="n">
        <x:v>0.005</x:v>
      </x:c>
      <x:c r="F377" s="60" t="n">
        <x:v>0</x:v>
      </x:c>
      <x:c r="G377" s="60" t="n">
        <x:v>0.005</x:v>
      </x:c>
      <x:c r="H377" s="23" t="n">
        <x:f>IF(D377=F377,0,1)+IF(E377=G377,0,1)</x:f>
        <x:v>0</x:v>
      </x:c>
      <x:c r="I377" s="23" t="str">
        <x:v>Timing T20 / fictional rates</x:v>
      </x:c>
    </x:row>
    <x:row r="378" ht="21" customHeight="1">
      <x:c r="A378" s="23" t="str">
        <x:v>back_low</x:v>
      </x:c>
      <x:c r="B378" s="23" t="n">
        <x:v>35</x:v>
      </x:c>
      <x:c r="C378" s="37" t="n">
        <x:v>49583</x:v>
      </x:c>
      <x:c r="D378" s="55" t="n">
        <x:v>0</x:v>
      </x:c>
      <x:c r="E378" s="55" t="n">
        <x:v>0.005</x:v>
      </x:c>
      <x:c r="F378" s="60" t="n">
        <x:v>0</x:v>
      </x:c>
      <x:c r="G378" s="60" t="n">
        <x:v>0.005</x:v>
      </x:c>
      <x:c r="H378" s="23" t="n">
        <x:f>IF(D378=F378,0,1)+IF(E378=G378,0,1)</x:f>
        <x:v>0</x:v>
      </x:c>
      <x:c r="I378" s="23" t="str">
        <x:v>Timing T20 / fictional rates</x:v>
      </x:c>
    </x:row>
    <x:row r="379" ht="21" customHeight="1">
      <x:c r="A379" s="23" t="str">
        <x:v>back_low</x:v>
      </x:c>
      <x:c r="B379" s="23" t="n">
        <x:v>36</x:v>
      </x:c>
      <x:c r="C379" s="37" t="n">
        <x:v>49675</x:v>
      </x:c>
      <x:c r="D379" s="55" t="n">
        <x:v>0</x:v>
      </x:c>
      <x:c r="E379" s="55" t="n">
        <x:v>0.005</x:v>
      </x:c>
      <x:c r="F379" s="60" t="n">
        <x:v>0</x:v>
      </x:c>
      <x:c r="G379" s="60" t="n">
        <x:v>0.005</x:v>
      </x:c>
      <x:c r="H379" s="23" t="n">
        <x:f>IF(D379=F379,0,1)+IF(E379=G379,0,1)</x:f>
        <x:v>0</x:v>
      </x:c>
      <x:c r="I379" s="23" t="str">
        <x:v>Timing T20 / fictional rates</x:v>
      </x:c>
    </x:row>
    <x:row r="380" ht="21" customHeight="1">
      <x:c r="A380" s="23" t="str">
        <x:v>back_low</x:v>
      </x:c>
      <x:c r="B380" s="23" t="n">
        <x:v>37</x:v>
      </x:c>
      <x:c r="C380" s="37" t="n">
        <x:v>49766</x:v>
      </x:c>
      <x:c r="D380" s="55" t="n">
        <x:v>0</x:v>
      </x:c>
      <x:c r="E380" s="55" t="n">
        <x:v>0.005</x:v>
      </x:c>
      <x:c r="F380" s="60" t="n">
        <x:v>0</x:v>
      </x:c>
      <x:c r="G380" s="60" t="n">
        <x:v>0.005</x:v>
      </x:c>
      <x:c r="H380" s="23" t="n">
        <x:f>IF(D380=F380,0,1)+IF(E380=G380,0,1)</x:f>
        <x:v>0</x:v>
      </x:c>
      <x:c r="I380" s="23" t="str">
        <x:v>Timing T20 / fictional rates</x:v>
      </x:c>
    </x:row>
    <x:row r="381" ht="21" customHeight="1">
      <x:c r="A381" s="23" t="str">
        <x:v>back_low</x:v>
      </x:c>
      <x:c r="B381" s="23" t="n">
        <x:v>38</x:v>
      </x:c>
      <x:c r="C381" s="37" t="n">
        <x:v>49857</x:v>
      </x:c>
      <x:c r="D381" s="55" t="n">
        <x:v>0</x:v>
      </x:c>
      <x:c r="E381" s="55" t="n">
        <x:v>0.005</x:v>
      </x:c>
      <x:c r="F381" s="60" t="n">
        <x:v>0</x:v>
      </x:c>
      <x:c r="G381" s="60" t="n">
        <x:v>0.005</x:v>
      </x:c>
      <x:c r="H381" s="23" t="n">
        <x:f>IF(D381=F381,0,1)+IF(E381=G381,0,1)</x:f>
        <x:v>0</x:v>
      </x:c>
      <x:c r="I381" s="23" t="str">
        <x:v>Timing T20 / fictional rates</x:v>
      </x:c>
    </x:row>
    <x:row r="382" ht="21" customHeight="1">
      <x:c r="A382" s="23" t="str">
        <x:v>back_low</x:v>
      </x:c>
      <x:c r="B382" s="23" t="n">
        <x:v>39</x:v>
      </x:c>
      <x:c r="C382" s="37" t="n">
        <x:v>49949</x:v>
      </x:c>
      <x:c r="D382" s="55" t="n">
        <x:v>0</x:v>
      </x:c>
      <x:c r="E382" s="55" t="n">
        <x:v>0.005</x:v>
      </x:c>
      <x:c r="F382" s="60" t="n">
        <x:v>0</x:v>
      </x:c>
      <x:c r="G382" s="60" t="n">
        <x:v>0.005</x:v>
      </x:c>
      <x:c r="H382" s="23" t="n">
        <x:f>IF(D382=F382,0,1)+IF(E382=G382,0,1)</x:f>
        <x:v>0</x:v>
      </x:c>
      <x:c r="I382" s="23" t="str">
        <x:v>Timing T20 / fictional rates</x:v>
      </x:c>
    </x:row>
    <x:row r="383" ht="21" customHeight="1">
      <x:c r="A383" s="23" t="str">
        <x:v>back_low</x:v>
      </x:c>
      <x:c r="B383" s="23" t="n">
        <x:v>40</x:v>
      </x:c>
      <x:c r="C383" s="37" t="n">
        <x:v>50041</x:v>
      </x:c>
      <x:c r="D383" s="55" t="n">
        <x:v>0</x:v>
      </x:c>
      <x:c r="E383" s="55" t="n">
        <x:v>0.005</x:v>
      </x:c>
      <x:c r="F383" s="60" t="n">
        <x:v>0</x:v>
      </x:c>
      <x:c r="G383" s="60" t="n">
        <x:v>0.005</x:v>
      </x:c>
      <x:c r="H383" s="23" t="n">
        <x:f>IF(D383=F383,0,1)+IF(E383=G383,0,1)</x:f>
        <x:v>0</x:v>
      </x:c>
      <x:c r="I383" s="23" t="str">
        <x:v>Timing T20 / fictional rates</x:v>
      </x:c>
    </x:row>
    <x:row r="384" ht="21" customHeight="1">
      <x:c r="A384" s="23" t="str">
        <x:v>back_low</x:v>
      </x:c>
      <x:c r="B384" s="23" t="n">
        <x:v>41</x:v>
      </x:c>
      <x:c r="C384" s="37" t="n">
        <x:v>50131</x:v>
      </x:c>
      <x:c r="D384" s="55" t="n">
        <x:v>0</x:v>
      </x:c>
      <x:c r="E384" s="55" t="n">
        <x:v>0.005</x:v>
      </x:c>
      <x:c r="F384" s="60" t="n">
        <x:v>0</x:v>
      </x:c>
      <x:c r="G384" s="60" t="n">
        <x:v>0.005</x:v>
      </x:c>
      <x:c r="H384" s="23" t="n">
        <x:f>IF(D384=F384,0,1)+IF(E384=G384,0,1)</x:f>
        <x:v>0</x:v>
      </x:c>
      <x:c r="I384" s="23" t="str">
        <x:v>Timing T20 / fictional rates</x:v>
      </x:c>
    </x:row>
    <x:row r="385" ht="21" customHeight="1">
      <x:c r="A385" s="23" t="str">
        <x:v>back_low</x:v>
      </x:c>
      <x:c r="B385" s="23" t="n">
        <x:v>42</x:v>
      </x:c>
      <x:c r="C385" s="37" t="n">
        <x:v>50222</x:v>
      </x:c>
      <x:c r="D385" s="55" t="n">
        <x:v>0</x:v>
      </x:c>
      <x:c r="E385" s="55" t="n">
        <x:v>0.005</x:v>
      </x:c>
      <x:c r="F385" s="60" t="n">
        <x:v>0</x:v>
      </x:c>
      <x:c r="G385" s="60" t="n">
        <x:v>0.005</x:v>
      </x:c>
      <x:c r="H385" s="23" t="n">
        <x:f>IF(D385=F385,0,1)+IF(E385=G385,0,1)</x:f>
        <x:v>0</x:v>
      </x:c>
      <x:c r="I385" s="23" t="str">
        <x:v>Timing T20 / fictional rates</x:v>
      </x:c>
    </x:row>
    <x:row r="386" ht="21" customHeight="1">
      <x:c r="A386" s="23" t="str">
        <x:v>back_low</x:v>
      </x:c>
      <x:c r="B386" s="23" t="n">
        <x:v>43</x:v>
      </x:c>
      <x:c r="C386" s="37" t="n">
        <x:v>50314</x:v>
      </x:c>
      <x:c r="D386" s="55" t="n">
        <x:v>0</x:v>
      </x:c>
      <x:c r="E386" s="55" t="n">
        <x:v>0.005</x:v>
      </x:c>
      <x:c r="F386" s="60" t="n">
        <x:v>0</x:v>
      </x:c>
      <x:c r="G386" s="60" t="n">
        <x:v>0.005</x:v>
      </x:c>
      <x:c r="H386" s="23" t="n">
        <x:f>IF(D386=F386,0,1)+IF(E386=G386,0,1)</x:f>
        <x:v>0</x:v>
      </x:c>
      <x:c r="I386" s="23" t="str">
        <x:v>Timing T20 / fictional rates</x:v>
      </x:c>
    </x:row>
    <x:row r="387" ht="21" customHeight="1">
      <x:c r="A387" s="23" t="str">
        <x:v>back_low</x:v>
      </x:c>
      <x:c r="B387" s="23" t="n">
        <x:v>44</x:v>
      </x:c>
      <x:c r="C387" s="37" t="n">
        <x:v>50406</x:v>
      </x:c>
      <x:c r="D387" s="55" t="n">
        <x:v>0</x:v>
      </x:c>
      <x:c r="E387" s="55" t="n">
        <x:v>0.005</x:v>
      </x:c>
      <x:c r="F387" s="60" t="n">
        <x:v>0</x:v>
      </x:c>
      <x:c r="G387" s="60" t="n">
        <x:v>0.005</x:v>
      </x:c>
      <x:c r="H387" s="23" t="n">
        <x:f>IF(D387=F387,0,1)+IF(E387=G387,0,1)</x:f>
        <x:v>0</x:v>
      </x:c>
      <x:c r="I387" s="23" t="str">
        <x:v>Timing T20 / fictional rates</x:v>
      </x:c>
    </x:row>
    <x:row r="388" ht="21" customHeight="1">
      <x:c r="A388" s="23" t="str">
        <x:v>back_low</x:v>
      </x:c>
      <x:c r="B388" s="23" t="n">
        <x:v>45</x:v>
      </x:c>
      <x:c r="C388" s="37" t="n">
        <x:v>50496</x:v>
      </x:c>
      <x:c r="D388" s="55" t="n">
        <x:v>0</x:v>
      </x:c>
      <x:c r="E388" s="55" t="n">
        <x:v>0.005</x:v>
      </x:c>
      <x:c r="F388" s="60" t="n">
        <x:v>0</x:v>
      </x:c>
      <x:c r="G388" s="60" t="n">
        <x:v>0.005</x:v>
      </x:c>
      <x:c r="H388" s="23" t="n">
        <x:f>IF(D388=F388,0,1)+IF(E388=G388,0,1)</x:f>
        <x:v>0</x:v>
      </x:c>
      <x:c r="I388" s="23" t="str">
        <x:v>Timing T20 / fictional rates</x:v>
      </x:c>
    </x:row>
    <x:row r="389" ht="21" customHeight="1">
      <x:c r="A389" s="23" t="str">
        <x:v>back_low</x:v>
      </x:c>
      <x:c r="B389" s="23" t="n">
        <x:v>46</x:v>
      </x:c>
      <x:c r="C389" s="37" t="n">
        <x:v>50587</x:v>
      </x:c>
      <x:c r="D389" s="55" t="n">
        <x:v>0</x:v>
      </x:c>
      <x:c r="E389" s="55" t="n">
        <x:v>0.005</x:v>
      </x:c>
      <x:c r="F389" s="60" t="n">
        <x:v>0</x:v>
      </x:c>
      <x:c r="G389" s="60" t="n">
        <x:v>0.005</x:v>
      </x:c>
      <x:c r="H389" s="23" t="n">
        <x:f>IF(D389=F389,0,1)+IF(E389=G389,0,1)</x:f>
        <x:v>0</x:v>
      </x:c>
      <x:c r="I389" s="23" t="str">
        <x:v>Timing T20 / fictional rates</x:v>
      </x:c>
    </x:row>
    <x:row r="390" ht="21" customHeight="1">
      <x:c r="A390" s="23" t="str">
        <x:v>back_low</x:v>
      </x:c>
      <x:c r="B390" s="23" t="n">
        <x:v>47</x:v>
      </x:c>
      <x:c r="C390" s="37" t="n">
        <x:v>50679</x:v>
      </x:c>
      <x:c r="D390" s="55" t="n">
        <x:v>0</x:v>
      </x:c>
      <x:c r="E390" s="55" t="n">
        <x:v>0.005</x:v>
      </x:c>
      <x:c r="F390" s="60" t="n">
        <x:v>0</x:v>
      </x:c>
      <x:c r="G390" s="60" t="n">
        <x:v>0.005</x:v>
      </x:c>
      <x:c r="H390" s="23" t="n">
        <x:f>IF(D390=F390,0,1)+IF(E390=G390,0,1)</x:f>
        <x:v>0</x:v>
      </x:c>
      <x:c r="I390" s="23" t="str">
        <x:v>Timing T20 / fictional rates</x:v>
      </x:c>
    </x:row>
    <x:row r="391" ht="21" customHeight="1">
      <x:c r="A391" s="23" t="str">
        <x:v>back_low</x:v>
      </x:c>
      <x:c r="B391" s="23" t="n">
        <x:v>48</x:v>
      </x:c>
      <x:c r="C391" s="37" t="n">
        <x:v>50771</x:v>
      </x:c>
      <x:c r="D391" s="55" t="n">
        <x:v>0</x:v>
      </x:c>
      <x:c r="E391" s="55" t="n">
        <x:v>0.005</x:v>
      </x:c>
      <x:c r="F391" s="60" t="n">
        <x:v>0</x:v>
      </x:c>
      <x:c r="G391" s="60" t="n">
        <x:v>0.005</x:v>
      </x:c>
      <x:c r="H391" s="23" t="n">
        <x:f>IF(D391=F391,0,1)+IF(E391=G391,0,1)</x:f>
        <x:v>0</x:v>
      </x:c>
      <x:c r="I391" s="23" t="str">
        <x:v>Timing T20 / fictional rates</x:v>
      </x:c>
    </x:row>
    <x:row r="392" ht="21" customHeight="1">
      <x:c r="A392" s="23" t="str">
        <x:v>back_high</x:v>
      </x:c>
      <x:c r="B392" s="23" t="n">
        <x:v>1</x:v>
      </x:c>
      <x:c r="C392" s="37" t="n">
        <x:v>46478</x:v>
      </x:c>
      <x:c r="D392" s="55" t="n">
        <x:v>0.03</x:v>
      </x:c>
      <x:c r="E392" s="55" t="n">
        <x:v>0.06</x:v>
      </x:c>
      <x:c r="F392" s="60" t="n">
        <x:v>0.03</x:v>
      </x:c>
      <x:c r="G392" s="60" t="n">
        <x:v>0.06</x:v>
      </x:c>
      <x:c r="H392" s="23" t="n">
        <x:f>IF(D392=F392,0,1)+IF(E392=G392,0,1)</x:f>
        <x:v>0</x:v>
      </x:c>
      <x:c r="I392" s="23" t="str">
        <x:v>Timing T20 / fictional rates</x:v>
      </x:c>
    </x:row>
    <x:row r="393" ht="21" customHeight="1">
      <x:c r="A393" s="23" t="str">
        <x:v>back_high</x:v>
      </x:c>
      <x:c r="B393" s="23" t="n">
        <x:v>2</x:v>
      </x:c>
      <x:c r="C393" s="37" t="n">
        <x:v>46569</x:v>
      </x:c>
      <x:c r="D393" s="55" t="n">
        <x:v>0.03</x:v>
      </x:c>
      <x:c r="E393" s="55" t="n">
        <x:v>0.06</x:v>
      </x:c>
      <x:c r="F393" s="60" t="n">
        <x:v>0.03</x:v>
      </x:c>
      <x:c r="G393" s="60" t="n">
        <x:v>0.06</x:v>
      </x:c>
      <x:c r="H393" s="23" t="n">
        <x:f>IF(D393=F393,0,1)+IF(E393=G393,0,1)</x:f>
        <x:v>0</x:v>
      </x:c>
      <x:c r="I393" s="23" t="str">
        <x:v>Timing T20 / fictional rates</x:v>
      </x:c>
    </x:row>
    <x:row r="394" ht="21" customHeight="1">
      <x:c r="A394" s="23" t="str">
        <x:v>back_high</x:v>
      </x:c>
      <x:c r="B394" s="23" t="n">
        <x:v>3</x:v>
      </x:c>
      <x:c r="C394" s="37" t="n">
        <x:v>46661</x:v>
      </x:c>
      <x:c r="D394" s="55" t="n">
        <x:v>0.03</x:v>
      </x:c>
      <x:c r="E394" s="55" t="n">
        <x:v>0.06</x:v>
      </x:c>
      <x:c r="F394" s="60" t="n">
        <x:v>0.03</x:v>
      </x:c>
      <x:c r="G394" s="60" t="n">
        <x:v>0.06</x:v>
      </x:c>
      <x:c r="H394" s="23" t="n">
        <x:f>IF(D394=F394,0,1)+IF(E394=G394,0,1)</x:f>
        <x:v>0</x:v>
      </x:c>
      <x:c r="I394" s="23" t="str">
        <x:v>Timing T20 / fictional rates</x:v>
      </x:c>
    </x:row>
    <x:row r="395" ht="21" customHeight="1">
      <x:c r="A395" s="23" t="str">
        <x:v>back_high</x:v>
      </x:c>
      <x:c r="B395" s="23" t="n">
        <x:v>4</x:v>
      </x:c>
      <x:c r="C395" s="37" t="n">
        <x:v>46753</x:v>
      </x:c>
      <x:c r="D395" s="55" t="n">
        <x:v>0.03</x:v>
      </x:c>
      <x:c r="E395" s="55" t="n">
        <x:v>0.06</x:v>
      </x:c>
      <x:c r="F395" s="60" t="n">
        <x:v>0.03</x:v>
      </x:c>
      <x:c r="G395" s="60" t="n">
        <x:v>0.06</x:v>
      </x:c>
      <x:c r="H395" s="23" t="n">
        <x:f>IF(D395=F395,0,1)+IF(E395=G395,0,1)</x:f>
        <x:v>0</x:v>
      </x:c>
      <x:c r="I395" s="23" t="str">
        <x:v>Timing T20 / fictional rates</x:v>
      </x:c>
    </x:row>
    <x:row r="396" ht="21" customHeight="1">
      <x:c r="A396" s="23" t="str">
        <x:v>back_high</x:v>
      </x:c>
      <x:c r="B396" s="23" t="n">
        <x:v>5</x:v>
      </x:c>
      <x:c r="C396" s="37" t="n">
        <x:v>46844</x:v>
      </x:c>
      <x:c r="D396" s="55" t="n">
        <x:v>0.045</x:v>
      </x:c>
      <x:c r="E396" s="55" t="n">
        <x:v>0.06</x:v>
      </x:c>
      <x:c r="F396" s="60" t="n">
        <x:v>0.045</x:v>
      </x:c>
      <x:c r="G396" s="60" t="n">
        <x:v>0.06</x:v>
      </x:c>
      <x:c r="H396" s="23" t="n">
        <x:f>IF(D396=F396,0,1)+IF(E396=G396,0,1)</x:f>
        <x:v>0</x:v>
      </x:c>
      <x:c r="I396" s="23" t="str">
        <x:v>Timing T20 / fictional rates</x:v>
      </x:c>
    </x:row>
    <x:row r="397" ht="21" customHeight="1">
      <x:c r="A397" s="23" t="str">
        <x:v>back_high</x:v>
      </x:c>
      <x:c r="B397" s="23" t="n">
        <x:v>6</x:v>
      </x:c>
      <x:c r="C397" s="37" t="n">
        <x:v>46935</x:v>
      </x:c>
      <x:c r="D397" s="55" t="n">
        <x:v>0.045</x:v>
      </x:c>
      <x:c r="E397" s="55" t="n">
        <x:v>0.06</x:v>
      </x:c>
      <x:c r="F397" s="60" t="n">
        <x:v>0.045</x:v>
      </x:c>
      <x:c r="G397" s="60" t="n">
        <x:v>0.06</x:v>
      </x:c>
      <x:c r="H397" s="23" t="n">
        <x:f>IF(D397=F397,0,1)+IF(E397=G397,0,1)</x:f>
        <x:v>0</x:v>
      </x:c>
      <x:c r="I397" s="23" t="str">
        <x:v>Timing T20 / fictional rates</x:v>
      </x:c>
    </x:row>
    <x:row r="398" ht="21" customHeight="1">
      <x:c r="A398" s="23" t="str">
        <x:v>back_high</x:v>
      </x:c>
      <x:c r="B398" s="23" t="n">
        <x:v>7</x:v>
      </x:c>
      <x:c r="C398" s="37" t="n">
        <x:v>47027</x:v>
      </x:c>
      <x:c r="D398" s="55" t="n">
        <x:v>0.045</x:v>
      </x:c>
      <x:c r="E398" s="55" t="n">
        <x:v>0.06</x:v>
      </x:c>
      <x:c r="F398" s="60" t="n">
        <x:v>0.045</x:v>
      </x:c>
      <x:c r="G398" s="60" t="n">
        <x:v>0.06</x:v>
      </x:c>
      <x:c r="H398" s="23" t="n">
        <x:f>IF(D398=F398,0,1)+IF(E398=G398,0,1)</x:f>
        <x:v>0</x:v>
      </x:c>
      <x:c r="I398" s="23" t="str">
        <x:v>Timing T20 / fictional rates</x:v>
      </x:c>
    </x:row>
    <x:row r="399" ht="21" customHeight="1">
      <x:c r="A399" s="23" t="str">
        <x:v>back_high</x:v>
      </x:c>
      <x:c r="B399" s="23" t="n">
        <x:v>8</x:v>
      </x:c>
      <x:c r="C399" s="37" t="n">
        <x:v>47119</x:v>
      </x:c>
      <x:c r="D399" s="55" t="n">
        <x:v>0.045</x:v>
      </x:c>
      <x:c r="E399" s="55" t="n">
        <x:v>0.06</x:v>
      </x:c>
      <x:c r="F399" s="60" t="n">
        <x:v>0.045</x:v>
      </x:c>
      <x:c r="G399" s="60" t="n">
        <x:v>0.06</x:v>
      </x:c>
      <x:c r="H399" s="23" t="n">
        <x:f>IF(D399=F399,0,1)+IF(E399=G399,0,1)</x:f>
        <x:v>0</x:v>
      </x:c>
      <x:c r="I399" s="23" t="str">
        <x:v>Timing T20 / fictional rates</x:v>
      </x:c>
    </x:row>
    <x:row r="400" ht="21" customHeight="1">
      <x:c r="A400" s="23" t="str">
        <x:v>back_high</x:v>
      </x:c>
      <x:c r="B400" s="23" t="n">
        <x:v>9</x:v>
      </x:c>
      <x:c r="C400" s="37" t="n">
        <x:v>47209</x:v>
      </x:c>
      <x:c r="D400" s="55" t="n">
        <x:v>0.055</x:v>
      </x:c>
      <x:c r="E400" s="55" t="n">
        <x:v>0.06</x:v>
      </x:c>
      <x:c r="F400" s="60" t="n">
        <x:v>0.055</x:v>
      </x:c>
      <x:c r="G400" s="60" t="n">
        <x:v>0.06</x:v>
      </x:c>
      <x:c r="H400" s="23" t="n">
        <x:f>IF(D400=F400,0,1)+IF(E400=G400,0,1)</x:f>
        <x:v>0</x:v>
      </x:c>
      <x:c r="I400" s="23" t="str">
        <x:v>Timing T20 / fictional rates</x:v>
      </x:c>
    </x:row>
    <x:row r="401" ht="21" customHeight="1">
      <x:c r="A401" s="23" t="str">
        <x:v>back_high</x:v>
      </x:c>
      <x:c r="B401" s="23" t="n">
        <x:v>10</x:v>
      </x:c>
      <x:c r="C401" s="37" t="n">
        <x:v>47300</x:v>
      </x:c>
      <x:c r="D401" s="55" t="n">
        <x:v>0.055</x:v>
      </x:c>
      <x:c r="E401" s="55" t="n">
        <x:v>0.06</x:v>
      </x:c>
      <x:c r="F401" s="60" t="n">
        <x:v>0.055</x:v>
      </x:c>
      <x:c r="G401" s="60" t="n">
        <x:v>0.06</x:v>
      </x:c>
      <x:c r="H401" s="23" t="n">
        <x:f>IF(D401=F401,0,1)+IF(E401=G401,0,1)</x:f>
        <x:v>0</x:v>
      </x:c>
      <x:c r="I401" s="23" t="str">
        <x:v>Timing T20 / fictional rates</x:v>
      </x:c>
    </x:row>
    <x:row r="402" ht="21" customHeight="1">
      <x:c r="A402" s="23" t="str">
        <x:v>back_high</x:v>
      </x:c>
      <x:c r="B402" s="23" t="n">
        <x:v>11</x:v>
      </x:c>
      <x:c r="C402" s="37" t="n">
        <x:v>47392</x:v>
      </x:c>
      <x:c r="D402" s="55" t="n">
        <x:v>0.055</x:v>
      </x:c>
      <x:c r="E402" s="55" t="n">
        <x:v>0.06</x:v>
      </x:c>
      <x:c r="F402" s="60" t="n">
        <x:v>0.055</x:v>
      </x:c>
      <x:c r="G402" s="60" t="n">
        <x:v>0.06</x:v>
      </x:c>
      <x:c r="H402" s="23" t="n">
        <x:f>IF(D402=F402,0,1)+IF(E402=G402,0,1)</x:f>
        <x:v>0</x:v>
      </x:c>
      <x:c r="I402" s="23" t="str">
        <x:v>Timing T20 / fictional rates</x:v>
      </x:c>
    </x:row>
    <x:row r="403" ht="21" customHeight="1">
      <x:c r="A403" s="23" t="str">
        <x:v>back_high</x:v>
      </x:c>
      <x:c r="B403" s="23" t="n">
        <x:v>12</x:v>
      </x:c>
      <x:c r="C403" s="37" t="n">
        <x:v>47484</x:v>
      </x:c>
      <x:c r="D403" s="55" t="n">
        <x:v>0.055</x:v>
      </x:c>
      <x:c r="E403" s="55" t="n">
        <x:v>0.06</x:v>
      </x:c>
      <x:c r="F403" s="60" t="n">
        <x:v>0.055</x:v>
      </x:c>
      <x:c r="G403" s="60" t="n">
        <x:v>0.06</x:v>
      </x:c>
      <x:c r="H403" s="23" t="n">
        <x:f>IF(D403=F403,0,1)+IF(E403=G403,0,1)</x:f>
        <x:v>0</x:v>
      </x:c>
      <x:c r="I403" s="23" t="str">
        <x:v>Timing T20 / fictional rates</x:v>
      </x:c>
    </x:row>
    <x:row r="404" ht="21" customHeight="1">
      <x:c r="A404" s="23" t="str">
        <x:v>back_high</x:v>
      </x:c>
      <x:c r="B404" s="23" t="n">
        <x:v>13</x:v>
      </x:c>
      <x:c r="C404" s="37" t="n">
        <x:v>47574</x:v>
      </x:c>
      <x:c r="D404" s="55" t="n">
        <x:v>0.0575</x:v>
      </x:c>
      <x:c r="E404" s="55" t="n">
        <x:v>0.06</x:v>
      </x:c>
      <x:c r="F404" s="60" t="n">
        <x:v>0.0575</x:v>
      </x:c>
      <x:c r="G404" s="60" t="n">
        <x:v>0.06</x:v>
      </x:c>
      <x:c r="H404" s="23" t="n">
        <x:f>IF(D404=F404,0,1)+IF(E404=G404,0,1)</x:f>
        <x:v>0</x:v>
      </x:c>
      <x:c r="I404" s="23" t="str">
        <x:v>Timing T20 / fictional rates</x:v>
      </x:c>
    </x:row>
    <x:row r="405" ht="21" customHeight="1">
      <x:c r="A405" s="23" t="str">
        <x:v>back_high</x:v>
      </x:c>
      <x:c r="B405" s="23" t="n">
        <x:v>14</x:v>
      </x:c>
      <x:c r="C405" s="37" t="n">
        <x:v>47665</x:v>
      </x:c>
      <x:c r="D405" s="55" t="n">
        <x:v>0.0575</x:v>
      </x:c>
      <x:c r="E405" s="55" t="n">
        <x:v>0.06</x:v>
      </x:c>
      <x:c r="F405" s="60" t="n">
        <x:v>0.0575</x:v>
      </x:c>
      <x:c r="G405" s="60" t="n">
        <x:v>0.06</x:v>
      </x:c>
      <x:c r="H405" s="23" t="n">
        <x:f>IF(D405=F405,0,1)+IF(E405=G405,0,1)</x:f>
        <x:v>0</x:v>
      </x:c>
      <x:c r="I405" s="23" t="str">
        <x:v>Timing T20 / fictional rates</x:v>
      </x:c>
    </x:row>
    <x:row r="406" ht="21" customHeight="1">
      <x:c r="A406" s="23" t="str">
        <x:v>back_high</x:v>
      </x:c>
      <x:c r="B406" s="23" t="n">
        <x:v>15</x:v>
      </x:c>
      <x:c r="C406" s="37" t="n">
        <x:v>47757</x:v>
      </x:c>
      <x:c r="D406" s="55" t="n">
        <x:v>0.0575</x:v>
      </x:c>
      <x:c r="E406" s="55" t="n">
        <x:v>0.06</x:v>
      </x:c>
      <x:c r="F406" s="60" t="n">
        <x:v>0.0575</x:v>
      </x:c>
      <x:c r="G406" s="60" t="n">
        <x:v>0.06</x:v>
      </x:c>
      <x:c r="H406" s="23" t="n">
        <x:f>IF(D406=F406,0,1)+IF(E406=G406,0,1)</x:f>
        <x:v>0</x:v>
      </x:c>
      <x:c r="I406" s="23" t="str">
        <x:v>Timing T20 / fictional rates</x:v>
      </x:c>
    </x:row>
    <x:row r="407" ht="21" customHeight="1">
      <x:c r="A407" s="23" t="str">
        <x:v>back_high</x:v>
      </x:c>
      <x:c r="B407" s="23" t="n">
        <x:v>16</x:v>
      </x:c>
      <x:c r="C407" s="37" t="n">
        <x:v>47849</x:v>
      </x:c>
      <x:c r="D407" s="55" t="n">
        <x:v>0.0575</x:v>
      </x:c>
      <x:c r="E407" s="55" t="n">
        <x:v>0.06</x:v>
      </x:c>
      <x:c r="F407" s="60" t="n">
        <x:v>0.0575</x:v>
      </x:c>
      <x:c r="G407" s="60" t="n">
        <x:v>0.06</x:v>
      </x:c>
      <x:c r="H407" s="23" t="n">
        <x:f>IF(D407=F407,0,1)+IF(E407=G407,0,1)</x:f>
        <x:v>0</x:v>
      </x:c>
      <x:c r="I407" s="23" t="str">
        <x:v>Timing T20 / fictional rates</x:v>
      </x:c>
    </x:row>
    <x:row r="408" ht="21" customHeight="1">
      <x:c r="A408" s="23" t="str">
        <x:v>back_high</x:v>
      </x:c>
      <x:c r="B408" s="23" t="n">
        <x:v>17</x:v>
      </x:c>
      <x:c r="C408" s="37" t="n">
        <x:v>47939</x:v>
      </x:c>
      <x:c r="D408" s="55" t="n">
        <x:v>0.0625</x:v>
      </x:c>
      <x:c r="E408" s="55" t="n">
        <x:v>0.06</x:v>
      </x:c>
      <x:c r="F408" s="60" t="n">
        <x:v>0.0625</x:v>
      </x:c>
      <x:c r="G408" s="60" t="n">
        <x:v>0.06</x:v>
      </x:c>
      <x:c r="H408" s="23" t="n">
        <x:f>IF(D408=F408,0,1)+IF(E408=G408,0,1)</x:f>
        <x:v>0</x:v>
      </x:c>
      <x:c r="I408" s="23" t="str">
        <x:v>Timing T20 / fictional rates</x:v>
      </x:c>
    </x:row>
    <x:row r="409" ht="21" customHeight="1">
      <x:c r="A409" s="23" t="str">
        <x:v>back_high</x:v>
      </x:c>
      <x:c r="B409" s="23" t="n">
        <x:v>18</x:v>
      </x:c>
      <x:c r="C409" s="37" t="n">
        <x:v>48030</x:v>
      </x:c>
      <x:c r="D409" s="55" t="n">
        <x:v>0.0625</x:v>
      </x:c>
      <x:c r="E409" s="55" t="n">
        <x:v>0.06</x:v>
      </x:c>
      <x:c r="F409" s="60" t="n">
        <x:v>0.0625</x:v>
      </x:c>
      <x:c r="G409" s="60" t="n">
        <x:v>0.06</x:v>
      </x:c>
      <x:c r="H409" s="23" t="n">
        <x:f>IF(D409=F409,0,1)+IF(E409=G409,0,1)</x:f>
        <x:v>0</x:v>
      </x:c>
      <x:c r="I409" s="23" t="str">
        <x:v>Timing T20 / fictional rates</x:v>
      </x:c>
    </x:row>
    <x:row r="410" ht="21" customHeight="1">
      <x:c r="A410" s="23" t="str">
        <x:v>back_high</x:v>
      </x:c>
      <x:c r="B410" s="23" t="n">
        <x:v>19</x:v>
      </x:c>
      <x:c r="C410" s="37" t="n">
        <x:v>48122</x:v>
      </x:c>
      <x:c r="D410" s="55" t="n">
        <x:v>0.0625</x:v>
      </x:c>
      <x:c r="E410" s="55" t="n">
        <x:v>0.06</x:v>
      </x:c>
      <x:c r="F410" s="60" t="n">
        <x:v>0.0625</x:v>
      </x:c>
      <x:c r="G410" s="60" t="n">
        <x:v>0.06</x:v>
      </x:c>
      <x:c r="H410" s="23" t="n">
        <x:f>IF(D410=F410,0,1)+IF(E410=G410,0,1)</x:f>
        <x:v>0</x:v>
      </x:c>
      <x:c r="I410" s="23" t="str">
        <x:v>Timing T20 / fictional rates</x:v>
      </x:c>
    </x:row>
    <x:row r="411" ht="21" customHeight="1">
      <x:c r="A411" s="23" t="str">
        <x:v>back_high</x:v>
      </x:c>
      <x:c r="B411" s="23" t="n">
        <x:v>20</x:v>
      </x:c>
      <x:c r="C411" s="37" t="n">
        <x:v>48214</x:v>
      </x:c>
      <x:c r="D411" s="55" t="n">
        <x:v>0.0625</x:v>
      </x:c>
      <x:c r="E411" s="55" t="n">
        <x:v>0.06</x:v>
      </x:c>
      <x:c r="F411" s="60" t="n">
        <x:v>0.0625</x:v>
      </x:c>
      <x:c r="G411" s="60" t="n">
        <x:v>0.06</x:v>
      </x:c>
      <x:c r="H411" s="23" t="n">
        <x:f>IF(D411=F411,0,1)+IF(E411=G411,0,1)</x:f>
        <x:v>0</x:v>
      </x:c>
      <x:c r="I411" s="23" t="str">
        <x:v>Timing T20 / fictional rates</x:v>
      </x:c>
    </x:row>
    <x:row r="412" ht="21" customHeight="1">
      <x:c r="A412" s="23" t="str">
        <x:v>back_high</x:v>
      </x:c>
      <x:c r="B412" s="23" t="n">
        <x:v>21</x:v>
      </x:c>
      <x:c r="C412" s="37" t="n">
        <x:v>48305</x:v>
      </x:c>
      <x:c r="D412" s="55" t="n">
        <x:v>0</x:v>
      </x:c>
      <x:c r="E412" s="55" t="n">
        <x:v>0.06</x:v>
      </x:c>
      <x:c r="F412" s="60" t="n">
        <x:v>0</x:v>
      </x:c>
      <x:c r="G412" s="60" t="n">
        <x:v>0.06</x:v>
      </x:c>
      <x:c r="H412" s="23" t="n">
        <x:f>IF(D412=F412,0,1)+IF(E412=G412,0,1)</x:f>
        <x:v>0</x:v>
      </x:c>
      <x:c r="I412" s="23" t="str">
        <x:v>Timing T20 / fictional rates</x:v>
      </x:c>
    </x:row>
    <x:row r="413" ht="21" customHeight="1">
      <x:c r="A413" s="23" t="str">
        <x:v>back_high</x:v>
      </x:c>
      <x:c r="B413" s="23" t="n">
        <x:v>22</x:v>
      </x:c>
      <x:c r="C413" s="37" t="n">
        <x:v>48396</x:v>
      </x:c>
      <x:c r="D413" s="55" t="n">
        <x:v>0</x:v>
      </x:c>
      <x:c r="E413" s="55" t="n">
        <x:v>0.06</x:v>
      </x:c>
      <x:c r="F413" s="60" t="n">
        <x:v>0</x:v>
      </x:c>
      <x:c r="G413" s="60" t="n">
        <x:v>0.06</x:v>
      </x:c>
      <x:c r="H413" s="23" t="n">
        <x:f>IF(D413=F413,0,1)+IF(E413=G413,0,1)</x:f>
        <x:v>0</x:v>
      </x:c>
      <x:c r="I413" s="23" t="str">
        <x:v>Timing T20 / fictional rates</x:v>
      </x:c>
    </x:row>
    <x:row r="414" ht="21" customHeight="1">
      <x:c r="A414" s="23" t="str">
        <x:v>back_high</x:v>
      </x:c>
      <x:c r="B414" s="23" t="n">
        <x:v>23</x:v>
      </x:c>
      <x:c r="C414" s="37" t="n">
        <x:v>48488</x:v>
      </x:c>
      <x:c r="D414" s="55" t="n">
        <x:v>0</x:v>
      </x:c>
      <x:c r="E414" s="55" t="n">
        <x:v>0.06</x:v>
      </x:c>
      <x:c r="F414" s="60" t="n">
        <x:v>0</x:v>
      </x:c>
      <x:c r="G414" s="60" t="n">
        <x:v>0.06</x:v>
      </x:c>
      <x:c r="H414" s="23" t="n">
        <x:f>IF(D414=F414,0,1)+IF(E414=G414,0,1)</x:f>
        <x:v>0</x:v>
      </x:c>
      <x:c r="I414" s="23" t="str">
        <x:v>Timing T20 / fictional rates</x:v>
      </x:c>
    </x:row>
    <x:row r="415" ht="21" customHeight="1">
      <x:c r="A415" s="23" t="str">
        <x:v>back_high</x:v>
      </x:c>
      <x:c r="B415" s="23" t="n">
        <x:v>24</x:v>
      </x:c>
      <x:c r="C415" s="37" t="n">
        <x:v>48580</x:v>
      </x:c>
      <x:c r="D415" s="55" t="n">
        <x:v>0</x:v>
      </x:c>
      <x:c r="E415" s="55" t="n">
        <x:v>0.06</x:v>
      </x:c>
      <x:c r="F415" s="60" t="n">
        <x:v>0</x:v>
      </x:c>
      <x:c r="G415" s="60" t="n">
        <x:v>0.06</x:v>
      </x:c>
      <x:c r="H415" s="23" t="n">
        <x:f>IF(D415=F415,0,1)+IF(E415=G415,0,1)</x:f>
        <x:v>0</x:v>
      </x:c>
      <x:c r="I415" s="23" t="str">
        <x:v>Timing T20 / fictional rates</x:v>
      </x:c>
    </x:row>
    <x:row r="416" ht="21" customHeight="1">
      <x:c r="A416" s="23" t="str">
        <x:v>back_high</x:v>
      </x:c>
      <x:c r="B416" s="23" t="n">
        <x:v>25</x:v>
      </x:c>
      <x:c r="C416" s="37" t="n">
        <x:v>48670</x:v>
      </x:c>
      <x:c r="D416" s="55" t="n">
        <x:v>0</x:v>
      </x:c>
      <x:c r="E416" s="55" t="n">
        <x:v>0.06</x:v>
      </x:c>
      <x:c r="F416" s="60" t="n">
        <x:v>0</x:v>
      </x:c>
      <x:c r="G416" s="60" t="n">
        <x:v>0.06</x:v>
      </x:c>
      <x:c r="H416" s="23" t="n">
        <x:f>IF(D416=F416,0,1)+IF(E416=G416,0,1)</x:f>
        <x:v>0</x:v>
      </x:c>
      <x:c r="I416" s="23" t="str">
        <x:v>Timing T20 / fictional rates</x:v>
      </x:c>
    </x:row>
    <x:row r="417" ht="21" customHeight="1">
      <x:c r="A417" s="23" t="str">
        <x:v>back_high</x:v>
      </x:c>
      <x:c r="B417" s="23" t="n">
        <x:v>26</x:v>
      </x:c>
      <x:c r="C417" s="37" t="n">
        <x:v>48761</x:v>
      </x:c>
      <x:c r="D417" s="55" t="n">
        <x:v>0</x:v>
      </x:c>
      <x:c r="E417" s="55" t="n">
        <x:v>0.06</x:v>
      </x:c>
      <x:c r="F417" s="60" t="n">
        <x:v>0</x:v>
      </x:c>
      <x:c r="G417" s="60" t="n">
        <x:v>0.06</x:v>
      </x:c>
      <x:c r="H417" s="23" t="n">
        <x:f>IF(D417=F417,0,1)+IF(E417=G417,0,1)</x:f>
        <x:v>0</x:v>
      </x:c>
      <x:c r="I417" s="23" t="str">
        <x:v>Timing T20 / fictional rates</x:v>
      </x:c>
    </x:row>
    <x:row r="418" ht="21" customHeight="1">
      <x:c r="A418" s="23" t="str">
        <x:v>back_high</x:v>
      </x:c>
      <x:c r="B418" s="23" t="n">
        <x:v>27</x:v>
      </x:c>
      <x:c r="C418" s="37" t="n">
        <x:v>48853</x:v>
      </x:c>
      <x:c r="D418" s="55" t="n">
        <x:v>0</x:v>
      </x:c>
      <x:c r="E418" s="55" t="n">
        <x:v>0.06</x:v>
      </x:c>
      <x:c r="F418" s="60" t="n">
        <x:v>0</x:v>
      </x:c>
      <x:c r="G418" s="60" t="n">
        <x:v>0.06</x:v>
      </x:c>
      <x:c r="H418" s="23" t="n">
        <x:f>IF(D418=F418,0,1)+IF(E418=G418,0,1)</x:f>
        <x:v>0</x:v>
      </x:c>
      <x:c r="I418" s="23" t="str">
        <x:v>Timing T20 / fictional rates</x:v>
      </x:c>
    </x:row>
    <x:row r="419" ht="21" customHeight="1">
      <x:c r="A419" s="23" t="str">
        <x:v>back_high</x:v>
      </x:c>
      <x:c r="B419" s="23" t="n">
        <x:v>28</x:v>
      </x:c>
      <x:c r="C419" s="37" t="n">
        <x:v>48945</x:v>
      </x:c>
      <x:c r="D419" s="55" t="n">
        <x:v>0</x:v>
      </x:c>
      <x:c r="E419" s="55" t="n">
        <x:v>0.06</x:v>
      </x:c>
      <x:c r="F419" s="60" t="n">
        <x:v>0</x:v>
      </x:c>
      <x:c r="G419" s="60" t="n">
        <x:v>0.06</x:v>
      </x:c>
      <x:c r="H419" s="23" t="n">
        <x:f>IF(D419=F419,0,1)+IF(E419=G419,0,1)</x:f>
        <x:v>0</x:v>
      </x:c>
      <x:c r="I419" s="23" t="str">
        <x:v>Timing T20 / fictional rates</x:v>
      </x:c>
    </x:row>
    <x:row r="420" ht="21" customHeight="1">
      <x:c r="A420" s="23" t="str">
        <x:v>back_high</x:v>
      </x:c>
      <x:c r="B420" s="23" t="n">
        <x:v>29</x:v>
      </x:c>
      <x:c r="C420" s="37" t="n">
        <x:v>49035</x:v>
      </x:c>
      <x:c r="D420" s="55" t="n">
        <x:v>0</x:v>
      </x:c>
      <x:c r="E420" s="55" t="n">
        <x:v>0.06</x:v>
      </x:c>
      <x:c r="F420" s="60" t="n">
        <x:v>0</x:v>
      </x:c>
      <x:c r="G420" s="60" t="n">
        <x:v>0.06</x:v>
      </x:c>
      <x:c r="H420" s="23" t="n">
        <x:f>IF(D420=F420,0,1)+IF(E420=G420,0,1)</x:f>
        <x:v>0</x:v>
      </x:c>
      <x:c r="I420" s="23" t="str">
        <x:v>Timing T20 / fictional rates</x:v>
      </x:c>
    </x:row>
    <x:row r="421" ht="21" customHeight="1">
      <x:c r="A421" s="23" t="str">
        <x:v>back_high</x:v>
      </x:c>
      <x:c r="B421" s="23" t="n">
        <x:v>30</x:v>
      </x:c>
      <x:c r="C421" s="37" t="n">
        <x:v>49126</x:v>
      </x:c>
      <x:c r="D421" s="55" t="n">
        <x:v>0</x:v>
      </x:c>
      <x:c r="E421" s="55" t="n">
        <x:v>0.06</x:v>
      </x:c>
      <x:c r="F421" s="60" t="n">
        <x:v>0</x:v>
      </x:c>
      <x:c r="G421" s="60" t="n">
        <x:v>0.06</x:v>
      </x:c>
      <x:c r="H421" s="23" t="n">
        <x:f>IF(D421=F421,0,1)+IF(E421=G421,0,1)</x:f>
        <x:v>0</x:v>
      </x:c>
      <x:c r="I421" s="23" t="str">
        <x:v>Timing T20 / fictional rates</x:v>
      </x:c>
    </x:row>
    <x:row r="422" ht="21" customHeight="1">
      <x:c r="A422" s="23" t="str">
        <x:v>back_high</x:v>
      </x:c>
      <x:c r="B422" s="23" t="n">
        <x:v>31</x:v>
      </x:c>
      <x:c r="C422" s="37" t="n">
        <x:v>49218</x:v>
      </x:c>
      <x:c r="D422" s="55" t="n">
        <x:v>0</x:v>
      </x:c>
      <x:c r="E422" s="55" t="n">
        <x:v>0.06</x:v>
      </x:c>
      <x:c r="F422" s="60" t="n">
        <x:v>0</x:v>
      </x:c>
      <x:c r="G422" s="60" t="n">
        <x:v>0.06</x:v>
      </x:c>
      <x:c r="H422" s="23" t="n">
        <x:f>IF(D422=F422,0,1)+IF(E422=G422,0,1)</x:f>
        <x:v>0</x:v>
      </x:c>
      <x:c r="I422" s="23" t="str">
        <x:v>Timing T20 / fictional rates</x:v>
      </x:c>
    </x:row>
    <x:row r="423" ht="21" customHeight="1">
      <x:c r="A423" s="23" t="str">
        <x:v>back_high</x:v>
      </x:c>
      <x:c r="B423" s="23" t="n">
        <x:v>32</x:v>
      </x:c>
      <x:c r="C423" s="37" t="n">
        <x:v>49310</x:v>
      </x:c>
      <x:c r="D423" s="55" t="n">
        <x:v>0</x:v>
      </x:c>
      <x:c r="E423" s="55" t="n">
        <x:v>0.06</x:v>
      </x:c>
      <x:c r="F423" s="60" t="n">
        <x:v>0</x:v>
      </x:c>
      <x:c r="G423" s="60" t="n">
        <x:v>0.06</x:v>
      </x:c>
      <x:c r="H423" s="23" t="n">
        <x:f>IF(D423=F423,0,1)+IF(E423=G423,0,1)</x:f>
        <x:v>0</x:v>
      </x:c>
      <x:c r="I423" s="23" t="str">
        <x:v>Timing T20 / fictional rates</x:v>
      </x:c>
    </x:row>
    <x:row r="424" ht="21" customHeight="1">
      <x:c r="A424" s="23" t="str">
        <x:v>back_high</x:v>
      </x:c>
      <x:c r="B424" s="23" t="n">
        <x:v>33</x:v>
      </x:c>
      <x:c r="C424" s="37" t="n">
        <x:v>49400</x:v>
      </x:c>
      <x:c r="D424" s="55" t="n">
        <x:v>0</x:v>
      </x:c>
      <x:c r="E424" s="55" t="n">
        <x:v>0.06</x:v>
      </x:c>
      <x:c r="F424" s="60" t="n">
        <x:v>0</x:v>
      </x:c>
      <x:c r="G424" s="60" t="n">
        <x:v>0.06</x:v>
      </x:c>
      <x:c r="H424" s="23" t="n">
        <x:f>IF(D424=F424,0,1)+IF(E424=G424,0,1)</x:f>
        <x:v>0</x:v>
      </x:c>
      <x:c r="I424" s="23" t="str">
        <x:v>Timing T20 / fictional rates</x:v>
      </x:c>
    </x:row>
    <x:row r="425" ht="21" customHeight="1">
      <x:c r="A425" s="23" t="str">
        <x:v>back_high</x:v>
      </x:c>
      <x:c r="B425" s="23" t="n">
        <x:v>34</x:v>
      </x:c>
      <x:c r="C425" s="37" t="n">
        <x:v>49491</x:v>
      </x:c>
      <x:c r="D425" s="55" t="n">
        <x:v>0</x:v>
      </x:c>
      <x:c r="E425" s="55" t="n">
        <x:v>0.06</x:v>
      </x:c>
      <x:c r="F425" s="60" t="n">
        <x:v>0</x:v>
      </x:c>
      <x:c r="G425" s="60" t="n">
        <x:v>0.06</x:v>
      </x:c>
      <x:c r="H425" s="23" t="n">
        <x:f>IF(D425=F425,0,1)+IF(E425=G425,0,1)</x:f>
        <x:v>0</x:v>
      </x:c>
      <x:c r="I425" s="23" t="str">
        <x:v>Timing T20 / fictional rates</x:v>
      </x:c>
    </x:row>
    <x:row r="426" ht="21" customHeight="1">
      <x:c r="A426" s="23" t="str">
        <x:v>back_high</x:v>
      </x:c>
      <x:c r="B426" s="23" t="n">
        <x:v>35</x:v>
      </x:c>
      <x:c r="C426" s="37" t="n">
        <x:v>49583</x:v>
      </x:c>
      <x:c r="D426" s="55" t="n">
        <x:v>0</x:v>
      </x:c>
      <x:c r="E426" s="55" t="n">
        <x:v>0.06</x:v>
      </x:c>
      <x:c r="F426" s="60" t="n">
        <x:v>0</x:v>
      </x:c>
      <x:c r="G426" s="60" t="n">
        <x:v>0.06</x:v>
      </x:c>
      <x:c r="H426" s="23" t="n">
        <x:f>IF(D426=F426,0,1)+IF(E426=G426,0,1)</x:f>
        <x:v>0</x:v>
      </x:c>
      <x:c r="I426" s="23" t="str">
        <x:v>Timing T20 / fictional rates</x:v>
      </x:c>
    </x:row>
    <x:row r="427" ht="21" customHeight="1">
      <x:c r="A427" s="23" t="str">
        <x:v>back_high</x:v>
      </x:c>
      <x:c r="B427" s="23" t="n">
        <x:v>36</x:v>
      </x:c>
      <x:c r="C427" s="37" t="n">
        <x:v>49675</x:v>
      </x:c>
      <x:c r="D427" s="55" t="n">
        <x:v>0</x:v>
      </x:c>
      <x:c r="E427" s="55" t="n">
        <x:v>0.06</x:v>
      </x:c>
      <x:c r="F427" s="60" t="n">
        <x:v>0</x:v>
      </x:c>
      <x:c r="G427" s="60" t="n">
        <x:v>0.06</x:v>
      </x:c>
      <x:c r="H427" s="23" t="n">
        <x:f>IF(D427=F427,0,1)+IF(E427=G427,0,1)</x:f>
        <x:v>0</x:v>
      </x:c>
      <x:c r="I427" s="23" t="str">
        <x:v>Timing T20 / fictional rates</x:v>
      </x:c>
    </x:row>
    <x:row r="428" ht="21" customHeight="1">
      <x:c r="A428" s="23" t="str">
        <x:v>back_high</x:v>
      </x:c>
      <x:c r="B428" s="23" t="n">
        <x:v>37</x:v>
      </x:c>
      <x:c r="C428" s="37" t="n">
        <x:v>49766</x:v>
      </x:c>
      <x:c r="D428" s="55" t="n">
        <x:v>0</x:v>
      </x:c>
      <x:c r="E428" s="55" t="n">
        <x:v>0.06</x:v>
      </x:c>
      <x:c r="F428" s="60" t="n">
        <x:v>0</x:v>
      </x:c>
      <x:c r="G428" s="60" t="n">
        <x:v>0.06</x:v>
      </x:c>
      <x:c r="H428" s="23" t="n">
        <x:f>IF(D428=F428,0,1)+IF(E428=G428,0,1)</x:f>
        <x:v>0</x:v>
      </x:c>
      <x:c r="I428" s="23" t="str">
        <x:v>Timing T20 / fictional rates</x:v>
      </x:c>
    </x:row>
    <x:row r="429" ht="21" customHeight="1">
      <x:c r="A429" s="23" t="str">
        <x:v>back_high</x:v>
      </x:c>
      <x:c r="B429" s="23" t="n">
        <x:v>38</x:v>
      </x:c>
      <x:c r="C429" s="37" t="n">
        <x:v>49857</x:v>
      </x:c>
      <x:c r="D429" s="55" t="n">
        <x:v>0</x:v>
      </x:c>
      <x:c r="E429" s="55" t="n">
        <x:v>0.06</x:v>
      </x:c>
      <x:c r="F429" s="60" t="n">
        <x:v>0</x:v>
      </x:c>
      <x:c r="G429" s="60" t="n">
        <x:v>0.06</x:v>
      </x:c>
      <x:c r="H429" s="23" t="n">
        <x:f>IF(D429=F429,0,1)+IF(E429=G429,0,1)</x:f>
        <x:v>0</x:v>
      </x:c>
      <x:c r="I429" s="23" t="str">
        <x:v>Timing T20 / fictional rates</x:v>
      </x:c>
    </x:row>
    <x:row r="430" ht="21" customHeight="1">
      <x:c r="A430" s="23" t="str">
        <x:v>back_high</x:v>
      </x:c>
      <x:c r="B430" s="23" t="n">
        <x:v>39</x:v>
      </x:c>
      <x:c r="C430" s="37" t="n">
        <x:v>49949</x:v>
      </x:c>
      <x:c r="D430" s="55" t="n">
        <x:v>0</x:v>
      </x:c>
      <x:c r="E430" s="55" t="n">
        <x:v>0.06</x:v>
      </x:c>
      <x:c r="F430" s="60" t="n">
        <x:v>0</x:v>
      </x:c>
      <x:c r="G430" s="60" t="n">
        <x:v>0.06</x:v>
      </x:c>
      <x:c r="H430" s="23" t="n">
        <x:f>IF(D430=F430,0,1)+IF(E430=G430,0,1)</x:f>
        <x:v>0</x:v>
      </x:c>
      <x:c r="I430" s="23" t="str">
        <x:v>Timing T20 / fictional rates</x:v>
      </x:c>
    </x:row>
    <x:row r="431" ht="21" customHeight="1">
      <x:c r="A431" s="23" t="str">
        <x:v>back_high</x:v>
      </x:c>
      <x:c r="B431" s="23" t="n">
        <x:v>40</x:v>
      </x:c>
      <x:c r="C431" s="37" t="n">
        <x:v>50041</x:v>
      </x:c>
      <x:c r="D431" s="55" t="n">
        <x:v>0</x:v>
      </x:c>
      <x:c r="E431" s="55" t="n">
        <x:v>0.06</x:v>
      </x:c>
      <x:c r="F431" s="60" t="n">
        <x:v>0</x:v>
      </x:c>
      <x:c r="G431" s="60" t="n">
        <x:v>0.06</x:v>
      </x:c>
      <x:c r="H431" s="23" t="n">
        <x:f>IF(D431=F431,0,1)+IF(E431=G431,0,1)</x:f>
        <x:v>0</x:v>
      </x:c>
      <x:c r="I431" s="23" t="str">
        <x:v>Timing T20 / fictional rates</x:v>
      </x:c>
    </x:row>
    <x:row r="432" ht="21" customHeight="1">
      <x:c r="A432" s="23" t="str">
        <x:v>back_high</x:v>
      </x:c>
      <x:c r="B432" s="23" t="n">
        <x:v>41</x:v>
      </x:c>
      <x:c r="C432" s="37" t="n">
        <x:v>50131</x:v>
      </x:c>
      <x:c r="D432" s="55" t="n">
        <x:v>0</x:v>
      </x:c>
      <x:c r="E432" s="55" t="n">
        <x:v>0.06</x:v>
      </x:c>
      <x:c r="F432" s="60" t="n">
        <x:v>0</x:v>
      </x:c>
      <x:c r="G432" s="60" t="n">
        <x:v>0.06</x:v>
      </x:c>
      <x:c r="H432" s="23" t="n">
        <x:f>IF(D432=F432,0,1)+IF(E432=G432,0,1)</x:f>
        <x:v>0</x:v>
      </x:c>
      <x:c r="I432" s="23" t="str">
        <x:v>Timing T20 / fictional rates</x:v>
      </x:c>
    </x:row>
    <x:row r="433" ht="21" customHeight="1">
      <x:c r="A433" s="23" t="str">
        <x:v>back_high</x:v>
      </x:c>
      <x:c r="B433" s="23" t="n">
        <x:v>42</x:v>
      </x:c>
      <x:c r="C433" s="37" t="n">
        <x:v>50222</x:v>
      </x:c>
      <x:c r="D433" s="55" t="n">
        <x:v>0</x:v>
      </x:c>
      <x:c r="E433" s="55" t="n">
        <x:v>0.06</x:v>
      </x:c>
      <x:c r="F433" s="60" t="n">
        <x:v>0</x:v>
      </x:c>
      <x:c r="G433" s="60" t="n">
        <x:v>0.06</x:v>
      </x:c>
      <x:c r="H433" s="23" t="n">
        <x:f>IF(D433=F433,0,1)+IF(E433=G433,0,1)</x:f>
        <x:v>0</x:v>
      </x:c>
      <x:c r="I433" s="23" t="str">
        <x:v>Timing T20 / fictional rates</x:v>
      </x:c>
    </x:row>
    <x:row r="434" ht="21" customHeight="1">
      <x:c r="A434" s="23" t="str">
        <x:v>back_high</x:v>
      </x:c>
      <x:c r="B434" s="23" t="n">
        <x:v>43</x:v>
      </x:c>
      <x:c r="C434" s="37" t="n">
        <x:v>50314</x:v>
      </x:c>
      <x:c r="D434" s="55" t="n">
        <x:v>0</x:v>
      </x:c>
      <x:c r="E434" s="55" t="n">
        <x:v>0.06</x:v>
      </x:c>
      <x:c r="F434" s="60" t="n">
        <x:v>0</x:v>
      </x:c>
      <x:c r="G434" s="60" t="n">
        <x:v>0.06</x:v>
      </x:c>
      <x:c r="H434" s="23" t="n">
        <x:f>IF(D434=F434,0,1)+IF(E434=G434,0,1)</x:f>
        <x:v>0</x:v>
      </x:c>
      <x:c r="I434" s="23" t="str">
        <x:v>Timing T20 / fictional rates</x:v>
      </x:c>
    </x:row>
    <x:row r="435" ht="21" customHeight="1">
      <x:c r="A435" s="23" t="str">
        <x:v>back_high</x:v>
      </x:c>
      <x:c r="B435" s="23" t="n">
        <x:v>44</x:v>
      </x:c>
      <x:c r="C435" s="37" t="n">
        <x:v>50406</x:v>
      </x:c>
      <x:c r="D435" s="55" t="n">
        <x:v>0</x:v>
      </x:c>
      <x:c r="E435" s="55" t="n">
        <x:v>0.06</x:v>
      </x:c>
      <x:c r="F435" s="60" t="n">
        <x:v>0</x:v>
      </x:c>
      <x:c r="G435" s="60" t="n">
        <x:v>0.06</x:v>
      </x:c>
      <x:c r="H435" s="23" t="n">
        <x:f>IF(D435=F435,0,1)+IF(E435=G435,0,1)</x:f>
        <x:v>0</x:v>
      </x:c>
      <x:c r="I435" s="23" t="str">
        <x:v>Timing T20 / fictional rates</x:v>
      </x:c>
    </x:row>
    <x:row r="436" ht="21" customHeight="1">
      <x:c r="A436" s="23" t="str">
        <x:v>back_high</x:v>
      </x:c>
      <x:c r="B436" s="23" t="n">
        <x:v>45</x:v>
      </x:c>
      <x:c r="C436" s="37" t="n">
        <x:v>50496</x:v>
      </x:c>
      <x:c r="D436" s="55" t="n">
        <x:v>0</x:v>
      </x:c>
      <x:c r="E436" s="55" t="n">
        <x:v>0.06</x:v>
      </x:c>
      <x:c r="F436" s="60" t="n">
        <x:v>0</x:v>
      </x:c>
      <x:c r="G436" s="60" t="n">
        <x:v>0.06</x:v>
      </x:c>
      <x:c r="H436" s="23" t="n">
        <x:f>IF(D436=F436,0,1)+IF(E436=G436,0,1)</x:f>
        <x:v>0</x:v>
      </x:c>
      <x:c r="I436" s="23" t="str">
        <x:v>Timing T20 / fictional rates</x:v>
      </x:c>
    </x:row>
    <x:row r="437" ht="21" customHeight="1">
      <x:c r="A437" s="23" t="str">
        <x:v>back_high</x:v>
      </x:c>
      <x:c r="B437" s="23" t="n">
        <x:v>46</x:v>
      </x:c>
      <x:c r="C437" s="37" t="n">
        <x:v>50587</x:v>
      </x:c>
      <x:c r="D437" s="55" t="n">
        <x:v>0</x:v>
      </x:c>
      <x:c r="E437" s="55" t="n">
        <x:v>0.06</x:v>
      </x:c>
      <x:c r="F437" s="60" t="n">
        <x:v>0</x:v>
      </x:c>
      <x:c r="G437" s="60" t="n">
        <x:v>0.06</x:v>
      </x:c>
      <x:c r="H437" s="23" t="n">
        <x:f>IF(D437=F437,0,1)+IF(E437=G437,0,1)</x:f>
        <x:v>0</x:v>
      </x:c>
      <x:c r="I437" s="23" t="str">
        <x:v>Timing T20 / fictional rates</x:v>
      </x:c>
    </x:row>
    <x:row r="438" ht="21" customHeight="1">
      <x:c r="A438" s="23" t="str">
        <x:v>back_high</x:v>
      </x:c>
      <x:c r="B438" s="23" t="n">
        <x:v>47</x:v>
      </x:c>
      <x:c r="C438" s="37" t="n">
        <x:v>50679</x:v>
      </x:c>
      <x:c r="D438" s="55" t="n">
        <x:v>0</x:v>
      </x:c>
      <x:c r="E438" s="55" t="n">
        <x:v>0.06</x:v>
      </x:c>
      <x:c r="F438" s="60" t="n">
        <x:v>0</x:v>
      </x:c>
      <x:c r="G438" s="60" t="n">
        <x:v>0.06</x:v>
      </x:c>
      <x:c r="H438" s="23" t="n">
        <x:f>IF(D438=F438,0,1)+IF(E438=G438,0,1)</x:f>
        <x:v>0</x:v>
      </x:c>
      <x:c r="I438" s="23" t="str">
        <x:v>Timing T20 / fictional rates</x:v>
      </x:c>
    </x:row>
    <x:row r="439" ht="21" customHeight="1">
      <x:c r="A439" s="23" t="str">
        <x:v>back_high</x:v>
      </x:c>
      <x:c r="B439" s="23" t="n">
        <x:v>48</x:v>
      </x:c>
      <x:c r="C439" s="37" t="n">
        <x:v>50771</x:v>
      </x:c>
      <x:c r="D439" s="55" t="n">
        <x:v>0</x:v>
      </x:c>
      <x:c r="E439" s="55" t="n">
        <x:v>0.06</x:v>
      </x:c>
      <x:c r="F439" s="60" t="n">
        <x:v>0</x:v>
      </x:c>
      <x:c r="G439" s="60" t="n">
        <x:v>0.06</x:v>
      </x:c>
      <x:c r="H439" s="23" t="n">
        <x:f>IF(D439=F439,0,1)+IF(E439=G439,0,1)</x:f>
        <x:v>0</x:v>
      </x:c>
      <x:c r="I439" s="23" t="str">
        <x:v>Timing T20 / fictional rates</x:v>
      </x:c>
    </x:row>
    <x:row r="440" ht="21" customHeight="1">
      <x:c r="A440" s="23" t="str">
        <x:v>level_flat</x:v>
      </x:c>
      <x:c r="B440" s="23" t="n">
        <x:v>1</x:v>
      </x:c>
      <x:c r="C440" s="37" t="n">
        <x:v>46478</x:v>
      </x:c>
      <x:c r="D440" s="55" t="n">
        <x:v>0.05</x:v>
      </x:c>
      <x:c r="E440" s="55" t="n">
        <x:v>0.03</x:v>
      </x:c>
      <x:c r="F440" s="60" t="n">
        <x:v>0.05</x:v>
      </x:c>
      <x:c r="G440" s="60" t="n">
        <x:v>0.03</x:v>
      </x:c>
      <x:c r="H440" s="23" t="n">
        <x:f>IF(D440=F440,0,1)+IF(E440=G440,0,1)</x:f>
        <x:v>0</x:v>
      </x:c>
      <x:c r="I440" s="23" t="str">
        <x:v>Timing T20 / fictional rates</x:v>
      </x:c>
    </x:row>
    <x:row r="441" ht="21" customHeight="1">
      <x:c r="A441" s="23" t="str">
        <x:v>level_flat</x:v>
      </x:c>
      <x:c r="B441" s="23" t="n">
        <x:v>2</x:v>
      </x:c>
      <x:c r="C441" s="37" t="n">
        <x:v>46569</x:v>
      </x:c>
      <x:c r="D441" s="55" t="n">
        <x:v>0.05</x:v>
      </x:c>
      <x:c r="E441" s="55" t="n">
        <x:v>0.03</x:v>
      </x:c>
      <x:c r="F441" s="60" t="n">
        <x:v>0.05</x:v>
      </x:c>
      <x:c r="G441" s="60" t="n">
        <x:v>0.03</x:v>
      </x:c>
      <x:c r="H441" s="23" t="n">
        <x:f>IF(D441=F441,0,1)+IF(E441=G441,0,1)</x:f>
        <x:v>0</x:v>
      </x:c>
      <x:c r="I441" s="23" t="str">
        <x:v>Timing T20 / fictional rates</x:v>
      </x:c>
    </x:row>
    <x:row r="442" ht="21" customHeight="1">
      <x:c r="A442" s="23" t="str">
        <x:v>level_flat</x:v>
      </x:c>
      <x:c r="B442" s="23" t="n">
        <x:v>3</x:v>
      </x:c>
      <x:c r="C442" s="37" t="n">
        <x:v>46661</x:v>
      </x:c>
      <x:c r="D442" s="55" t="n">
        <x:v>0.05</x:v>
      </x:c>
      <x:c r="E442" s="55" t="n">
        <x:v>0.03</x:v>
      </x:c>
      <x:c r="F442" s="60" t="n">
        <x:v>0.05</x:v>
      </x:c>
      <x:c r="G442" s="60" t="n">
        <x:v>0.03</x:v>
      </x:c>
      <x:c r="H442" s="23" t="n">
        <x:f>IF(D442=F442,0,1)+IF(E442=G442,0,1)</x:f>
        <x:v>0</x:v>
      </x:c>
      <x:c r="I442" s="23" t="str">
        <x:v>Timing T20 / fictional rates</x:v>
      </x:c>
    </x:row>
    <x:row r="443" ht="21" customHeight="1">
      <x:c r="A443" s="23" t="str">
        <x:v>level_flat</x:v>
      </x:c>
      <x:c r="B443" s="23" t="n">
        <x:v>4</x:v>
      </x:c>
      <x:c r="C443" s="37" t="n">
        <x:v>46753</x:v>
      </x:c>
      <x:c r="D443" s="55" t="n">
        <x:v>0.05</x:v>
      </x:c>
      <x:c r="E443" s="55" t="n">
        <x:v>0.03</x:v>
      </x:c>
      <x:c r="F443" s="60" t="n">
        <x:v>0.05</x:v>
      </x:c>
      <x:c r="G443" s="60" t="n">
        <x:v>0.03</x:v>
      </x:c>
      <x:c r="H443" s="23" t="n">
        <x:f>IF(D443=F443,0,1)+IF(E443=G443,0,1)</x:f>
        <x:v>0</x:v>
      </x:c>
      <x:c r="I443" s="23" t="str">
        <x:v>Timing T20 / fictional rates</x:v>
      </x:c>
    </x:row>
    <x:row r="444" ht="21" customHeight="1">
      <x:c r="A444" s="23" t="str">
        <x:v>level_flat</x:v>
      </x:c>
      <x:c r="B444" s="23" t="n">
        <x:v>5</x:v>
      </x:c>
      <x:c r="C444" s="37" t="n">
        <x:v>46844</x:v>
      </x:c>
      <x:c r="D444" s="55" t="n">
        <x:v>0.05</x:v>
      </x:c>
      <x:c r="E444" s="55" t="n">
        <x:v>0.03</x:v>
      </x:c>
      <x:c r="F444" s="60" t="n">
        <x:v>0.05</x:v>
      </x:c>
      <x:c r="G444" s="60" t="n">
        <x:v>0.03</x:v>
      </x:c>
      <x:c r="H444" s="23" t="n">
        <x:f>IF(D444=F444,0,1)+IF(E444=G444,0,1)</x:f>
        <x:v>0</x:v>
      </x:c>
      <x:c r="I444" s="23" t="str">
        <x:v>Timing T20 / fictional rates</x:v>
      </x:c>
    </x:row>
    <x:row r="445" ht="21" customHeight="1">
      <x:c r="A445" s="23" t="str">
        <x:v>level_flat</x:v>
      </x:c>
      <x:c r="B445" s="23" t="n">
        <x:v>6</x:v>
      </x:c>
      <x:c r="C445" s="37" t="n">
        <x:v>46935</x:v>
      </x:c>
      <x:c r="D445" s="55" t="n">
        <x:v>0.05</x:v>
      </x:c>
      <x:c r="E445" s="55" t="n">
        <x:v>0.03</x:v>
      </x:c>
      <x:c r="F445" s="60" t="n">
        <x:v>0.05</x:v>
      </x:c>
      <x:c r="G445" s="60" t="n">
        <x:v>0.03</x:v>
      </x:c>
      <x:c r="H445" s="23" t="n">
        <x:f>IF(D445=F445,0,1)+IF(E445=G445,0,1)</x:f>
        <x:v>0</x:v>
      </x:c>
      <x:c r="I445" s="23" t="str">
        <x:v>Timing T20 / fictional rates</x:v>
      </x:c>
    </x:row>
    <x:row r="446" ht="21" customHeight="1">
      <x:c r="A446" s="23" t="str">
        <x:v>level_flat</x:v>
      </x:c>
      <x:c r="B446" s="23" t="n">
        <x:v>7</x:v>
      </x:c>
      <x:c r="C446" s="37" t="n">
        <x:v>47027</x:v>
      </x:c>
      <x:c r="D446" s="55" t="n">
        <x:v>0.05</x:v>
      </x:c>
      <x:c r="E446" s="55" t="n">
        <x:v>0.03</x:v>
      </x:c>
      <x:c r="F446" s="60" t="n">
        <x:v>0.05</x:v>
      </x:c>
      <x:c r="G446" s="60" t="n">
        <x:v>0.03</x:v>
      </x:c>
      <x:c r="H446" s="23" t="n">
        <x:f>IF(D446=F446,0,1)+IF(E446=G446,0,1)</x:f>
        <x:v>0</x:v>
      </x:c>
      <x:c r="I446" s="23" t="str">
        <x:v>Timing T20 / fictional rates</x:v>
      </x:c>
    </x:row>
    <x:row r="447" ht="21" customHeight="1">
      <x:c r="A447" s="23" t="str">
        <x:v>level_flat</x:v>
      </x:c>
      <x:c r="B447" s="23" t="n">
        <x:v>8</x:v>
      </x:c>
      <x:c r="C447" s="37" t="n">
        <x:v>47119</x:v>
      </x:c>
      <x:c r="D447" s="55" t="n">
        <x:v>0.05</x:v>
      </x:c>
      <x:c r="E447" s="55" t="n">
        <x:v>0.03</x:v>
      </x:c>
      <x:c r="F447" s="60" t="n">
        <x:v>0.05</x:v>
      </x:c>
      <x:c r="G447" s="60" t="n">
        <x:v>0.03</x:v>
      </x:c>
      <x:c r="H447" s="23" t="n">
        <x:f>IF(D447=F447,0,1)+IF(E447=G447,0,1)</x:f>
        <x:v>0</x:v>
      </x:c>
      <x:c r="I447" s="23" t="str">
        <x:v>Timing T20 / fictional rates</x:v>
      </x:c>
    </x:row>
    <x:row r="448" ht="21" customHeight="1">
      <x:c r="A448" s="23" t="str">
        <x:v>level_flat</x:v>
      </x:c>
      <x:c r="B448" s="23" t="n">
        <x:v>9</x:v>
      </x:c>
      <x:c r="C448" s="37" t="n">
        <x:v>47209</x:v>
      </x:c>
      <x:c r="D448" s="55" t="n">
        <x:v>0.05</x:v>
      </x:c>
      <x:c r="E448" s="55" t="n">
        <x:v>0.03</x:v>
      </x:c>
      <x:c r="F448" s="60" t="n">
        <x:v>0.05</x:v>
      </x:c>
      <x:c r="G448" s="60" t="n">
        <x:v>0.03</x:v>
      </x:c>
      <x:c r="H448" s="23" t="n">
        <x:f>IF(D448=F448,0,1)+IF(E448=G448,0,1)</x:f>
        <x:v>0</x:v>
      </x:c>
      <x:c r="I448" s="23" t="str">
        <x:v>Timing T20 / fictional rates</x:v>
      </x:c>
    </x:row>
    <x:row r="449" ht="21" customHeight="1">
      <x:c r="A449" s="23" t="str">
        <x:v>level_flat</x:v>
      </x:c>
      <x:c r="B449" s="23" t="n">
        <x:v>10</x:v>
      </x:c>
      <x:c r="C449" s="37" t="n">
        <x:v>47300</x:v>
      </x:c>
      <x:c r="D449" s="55" t="n">
        <x:v>0.05</x:v>
      </x:c>
      <x:c r="E449" s="55" t="n">
        <x:v>0.03</x:v>
      </x:c>
      <x:c r="F449" s="60" t="n">
        <x:v>0.05</x:v>
      </x:c>
      <x:c r="G449" s="60" t="n">
        <x:v>0.03</x:v>
      </x:c>
      <x:c r="H449" s="23" t="n">
        <x:f>IF(D449=F449,0,1)+IF(E449=G449,0,1)</x:f>
        <x:v>0</x:v>
      </x:c>
      <x:c r="I449" s="23" t="str">
        <x:v>Timing T20 / fictional rates</x:v>
      </x:c>
    </x:row>
    <x:row r="450" ht="21" customHeight="1">
      <x:c r="A450" s="23" t="str">
        <x:v>level_flat</x:v>
      </x:c>
      <x:c r="B450" s="23" t="n">
        <x:v>11</x:v>
      </x:c>
      <x:c r="C450" s="37" t="n">
        <x:v>47392</x:v>
      </x:c>
      <x:c r="D450" s="55" t="n">
        <x:v>0.05</x:v>
      </x:c>
      <x:c r="E450" s="55" t="n">
        <x:v>0.03</x:v>
      </x:c>
      <x:c r="F450" s="60" t="n">
        <x:v>0.05</x:v>
      </x:c>
      <x:c r="G450" s="60" t="n">
        <x:v>0.03</x:v>
      </x:c>
      <x:c r="H450" s="23" t="n">
        <x:f>IF(D450=F450,0,1)+IF(E450=G450,0,1)</x:f>
        <x:v>0</x:v>
      </x:c>
      <x:c r="I450" s="23" t="str">
        <x:v>Timing T20 / fictional rates</x:v>
      </x:c>
    </x:row>
    <x:row r="451" ht="21" customHeight="1">
      <x:c r="A451" s="23" t="str">
        <x:v>level_flat</x:v>
      </x:c>
      <x:c r="B451" s="23" t="n">
        <x:v>12</x:v>
      </x:c>
      <x:c r="C451" s="37" t="n">
        <x:v>47484</x:v>
      </x:c>
      <x:c r="D451" s="55" t="n">
        <x:v>0.05</x:v>
      </x:c>
      <x:c r="E451" s="55" t="n">
        <x:v>0.03</x:v>
      </x:c>
      <x:c r="F451" s="60" t="n">
        <x:v>0.05</x:v>
      </x:c>
      <x:c r="G451" s="60" t="n">
        <x:v>0.03</x:v>
      </x:c>
      <x:c r="H451" s="23" t="n">
        <x:f>IF(D451=F451,0,1)+IF(E451=G451,0,1)</x:f>
        <x:v>0</x:v>
      </x:c>
      <x:c r="I451" s="23" t="str">
        <x:v>Timing T20 / fictional rates</x:v>
      </x:c>
    </x:row>
    <x:row r="452" ht="21" customHeight="1">
      <x:c r="A452" s="23" t="str">
        <x:v>level_flat</x:v>
      </x:c>
      <x:c r="B452" s="23" t="n">
        <x:v>13</x:v>
      </x:c>
      <x:c r="C452" s="37" t="n">
        <x:v>47574</x:v>
      </x:c>
      <x:c r="D452" s="55" t="n">
        <x:v>0.05</x:v>
      </x:c>
      <x:c r="E452" s="55" t="n">
        <x:v>0.03</x:v>
      </x:c>
      <x:c r="F452" s="60" t="n">
        <x:v>0.05</x:v>
      </x:c>
      <x:c r="G452" s="60" t="n">
        <x:v>0.03</x:v>
      </x:c>
      <x:c r="H452" s="23" t="n">
        <x:f>IF(D452=F452,0,1)+IF(E452=G452,0,1)</x:f>
        <x:v>0</x:v>
      </x:c>
      <x:c r="I452" s="23" t="str">
        <x:v>Timing T20 / fictional rates</x:v>
      </x:c>
    </x:row>
    <x:row r="453" ht="21" customHeight="1">
      <x:c r="A453" s="23" t="str">
        <x:v>level_flat</x:v>
      </x:c>
      <x:c r="B453" s="23" t="n">
        <x:v>14</x:v>
      </x:c>
      <x:c r="C453" s="37" t="n">
        <x:v>47665</x:v>
      </x:c>
      <x:c r="D453" s="55" t="n">
        <x:v>0.05</x:v>
      </x:c>
      <x:c r="E453" s="55" t="n">
        <x:v>0.03</x:v>
      </x:c>
      <x:c r="F453" s="60" t="n">
        <x:v>0.05</x:v>
      </x:c>
      <x:c r="G453" s="60" t="n">
        <x:v>0.03</x:v>
      </x:c>
      <x:c r="H453" s="23" t="n">
        <x:f>IF(D453=F453,0,1)+IF(E453=G453,0,1)</x:f>
        <x:v>0</x:v>
      </x:c>
      <x:c r="I453" s="23" t="str">
        <x:v>Timing T20 / fictional rates</x:v>
      </x:c>
    </x:row>
    <x:row r="454" ht="21" customHeight="1">
      <x:c r="A454" s="23" t="str">
        <x:v>level_flat</x:v>
      </x:c>
      <x:c r="B454" s="23" t="n">
        <x:v>15</x:v>
      </x:c>
      <x:c r="C454" s="37" t="n">
        <x:v>47757</x:v>
      </x:c>
      <x:c r="D454" s="55" t="n">
        <x:v>0.05</x:v>
      </x:c>
      <x:c r="E454" s="55" t="n">
        <x:v>0.03</x:v>
      </x:c>
      <x:c r="F454" s="60" t="n">
        <x:v>0.05</x:v>
      </x:c>
      <x:c r="G454" s="60" t="n">
        <x:v>0.03</x:v>
      </x:c>
      <x:c r="H454" s="23" t="n">
        <x:f>IF(D454=F454,0,1)+IF(E454=G454,0,1)</x:f>
        <x:v>0</x:v>
      </x:c>
      <x:c r="I454" s="23" t="str">
        <x:v>Timing T20 / fictional rates</x:v>
      </x:c>
    </x:row>
    <x:row r="455" ht="21" customHeight="1">
      <x:c r="A455" s="23" t="str">
        <x:v>level_flat</x:v>
      </x:c>
      <x:c r="B455" s="23" t="n">
        <x:v>16</x:v>
      </x:c>
      <x:c r="C455" s="37" t="n">
        <x:v>47849</x:v>
      </x:c>
      <x:c r="D455" s="55" t="n">
        <x:v>0.05</x:v>
      </x:c>
      <x:c r="E455" s="55" t="n">
        <x:v>0.03</x:v>
      </x:c>
      <x:c r="F455" s="60" t="n">
        <x:v>0.05</x:v>
      </x:c>
      <x:c r="G455" s="60" t="n">
        <x:v>0.03</x:v>
      </x:c>
      <x:c r="H455" s="23" t="n">
        <x:f>IF(D455=F455,0,1)+IF(E455=G455,0,1)</x:f>
        <x:v>0</x:v>
      </x:c>
      <x:c r="I455" s="23" t="str">
        <x:v>Timing T20 / fictional rates</x:v>
      </x:c>
    </x:row>
    <x:row r="456" ht="21" customHeight="1">
      <x:c r="A456" s="23" t="str">
        <x:v>level_flat</x:v>
      </x:c>
      <x:c r="B456" s="23" t="n">
        <x:v>17</x:v>
      </x:c>
      <x:c r="C456" s="37" t="n">
        <x:v>47939</x:v>
      </x:c>
      <x:c r="D456" s="55" t="n">
        <x:v>0.05</x:v>
      </x:c>
      <x:c r="E456" s="55" t="n">
        <x:v>0.03</x:v>
      </x:c>
      <x:c r="F456" s="60" t="n">
        <x:v>0.05</x:v>
      </x:c>
      <x:c r="G456" s="60" t="n">
        <x:v>0.03</x:v>
      </x:c>
      <x:c r="H456" s="23" t="n">
        <x:f>IF(D456=F456,0,1)+IF(E456=G456,0,1)</x:f>
        <x:v>0</x:v>
      </x:c>
      <x:c r="I456" s="23" t="str">
        <x:v>Timing T20 / fictional rates</x:v>
      </x:c>
    </x:row>
    <x:row r="457" ht="21" customHeight="1">
      <x:c r="A457" s="23" t="str">
        <x:v>level_flat</x:v>
      </x:c>
      <x:c r="B457" s="23" t="n">
        <x:v>18</x:v>
      </x:c>
      <x:c r="C457" s="37" t="n">
        <x:v>48030</x:v>
      </x:c>
      <x:c r="D457" s="55" t="n">
        <x:v>0.05</x:v>
      </x:c>
      <x:c r="E457" s="55" t="n">
        <x:v>0.03</x:v>
      </x:c>
      <x:c r="F457" s="60" t="n">
        <x:v>0.05</x:v>
      </x:c>
      <x:c r="G457" s="60" t="n">
        <x:v>0.03</x:v>
      </x:c>
      <x:c r="H457" s="23" t="n">
        <x:f>IF(D457=F457,0,1)+IF(E457=G457,0,1)</x:f>
        <x:v>0</x:v>
      </x:c>
      <x:c r="I457" s="23" t="str">
        <x:v>Timing T20 / fictional rates</x:v>
      </x:c>
    </x:row>
    <x:row r="458" ht="21" customHeight="1">
      <x:c r="A458" s="23" t="str">
        <x:v>level_flat</x:v>
      </x:c>
      <x:c r="B458" s="23" t="n">
        <x:v>19</x:v>
      </x:c>
      <x:c r="C458" s="37" t="n">
        <x:v>48122</x:v>
      </x:c>
      <x:c r="D458" s="55" t="n">
        <x:v>0.05</x:v>
      </x:c>
      <x:c r="E458" s="55" t="n">
        <x:v>0.03</x:v>
      </x:c>
      <x:c r="F458" s="60" t="n">
        <x:v>0.05</x:v>
      </x:c>
      <x:c r="G458" s="60" t="n">
        <x:v>0.03</x:v>
      </x:c>
      <x:c r="H458" s="23" t="n">
        <x:f>IF(D458=F458,0,1)+IF(E458=G458,0,1)</x:f>
        <x:v>0</x:v>
      </x:c>
      <x:c r="I458" s="23" t="str">
        <x:v>Timing T20 / fictional rates</x:v>
      </x:c>
    </x:row>
    <x:row r="459" ht="21" customHeight="1">
      <x:c r="A459" s="23" t="str">
        <x:v>level_flat</x:v>
      </x:c>
      <x:c r="B459" s="23" t="n">
        <x:v>20</x:v>
      </x:c>
      <x:c r="C459" s="37" t="n">
        <x:v>48214</x:v>
      </x:c>
      <x:c r="D459" s="55" t="n">
        <x:v>0.05</x:v>
      </x:c>
      <x:c r="E459" s="55" t="n">
        <x:v>0.03</x:v>
      </x:c>
      <x:c r="F459" s="60" t="n">
        <x:v>0.05</x:v>
      </x:c>
      <x:c r="G459" s="60" t="n">
        <x:v>0.03</x:v>
      </x:c>
      <x:c r="H459" s="23" t="n">
        <x:f>IF(D459=F459,0,1)+IF(E459=G459,0,1)</x:f>
        <x:v>0</x:v>
      </x:c>
      <x:c r="I459" s="23" t="str">
        <x:v>Timing T20 / fictional rates</x:v>
      </x:c>
    </x:row>
    <x:row r="460" ht="21" customHeight="1">
      <x:c r="A460" s="23" t="str">
        <x:v>level_flat</x:v>
      </x:c>
      <x:c r="B460" s="23" t="n">
        <x:v>21</x:v>
      </x:c>
      <x:c r="C460" s="37" t="n">
        <x:v>48305</x:v>
      </x:c>
      <x:c r="D460" s="55" t="n">
        <x:v>0</x:v>
      </x:c>
      <x:c r="E460" s="55" t="n">
        <x:v>0.03</x:v>
      </x:c>
      <x:c r="F460" s="60" t="n">
        <x:v>0</x:v>
      </x:c>
      <x:c r="G460" s="60" t="n">
        <x:v>0.03</x:v>
      </x:c>
      <x:c r="H460" s="23" t="n">
        <x:f>IF(D460=F460,0,1)+IF(E460=G460,0,1)</x:f>
        <x:v>0</x:v>
      </x:c>
      <x:c r="I460" s="23" t="str">
        <x:v>Timing T20 / fictional rates</x:v>
      </x:c>
    </x:row>
    <x:row r="461" ht="21" customHeight="1">
      <x:c r="A461" s="23" t="str">
        <x:v>level_flat</x:v>
      </x:c>
      <x:c r="B461" s="23" t="n">
        <x:v>22</x:v>
      </x:c>
      <x:c r="C461" s="37" t="n">
        <x:v>48396</x:v>
      </x:c>
      <x:c r="D461" s="55" t="n">
        <x:v>0</x:v>
      </x:c>
      <x:c r="E461" s="55" t="n">
        <x:v>0.03</x:v>
      </x:c>
      <x:c r="F461" s="60" t="n">
        <x:v>0</x:v>
      </x:c>
      <x:c r="G461" s="60" t="n">
        <x:v>0.03</x:v>
      </x:c>
      <x:c r="H461" s="23" t="n">
        <x:f>IF(D461=F461,0,1)+IF(E461=G461,0,1)</x:f>
        <x:v>0</x:v>
      </x:c>
      <x:c r="I461" s="23" t="str">
        <x:v>Timing T20 / fictional rates</x:v>
      </x:c>
    </x:row>
    <x:row r="462" ht="21" customHeight="1">
      <x:c r="A462" s="23" t="str">
        <x:v>level_flat</x:v>
      </x:c>
      <x:c r="B462" s="23" t="n">
        <x:v>23</x:v>
      </x:c>
      <x:c r="C462" s="37" t="n">
        <x:v>48488</x:v>
      </x:c>
      <x:c r="D462" s="55" t="n">
        <x:v>0</x:v>
      </x:c>
      <x:c r="E462" s="55" t="n">
        <x:v>0.03</x:v>
      </x:c>
      <x:c r="F462" s="60" t="n">
        <x:v>0</x:v>
      </x:c>
      <x:c r="G462" s="60" t="n">
        <x:v>0.03</x:v>
      </x:c>
      <x:c r="H462" s="23" t="n">
        <x:f>IF(D462=F462,0,1)+IF(E462=G462,0,1)</x:f>
        <x:v>0</x:v>
      </x:c>
      <x:c r="I462" s="23" t="str">
        <x:v>Timing T20 / fictional rates</x:v>
      </x:c>
    </x:row>
    <x:row r="463" ht="21" customHeight="1">
      <x:c r="A463" s="23" t="str">
        <x:v>level_flat</x:v>
      </x:c>
      <x:c r="B463" s="23" t="n">
        <x:v>24</x:v>
      </x:c>
      <x:c r="C463" s="37" t="n">
        <x:v>48580</x:v>
      </x:c>
      <x:c r="D463" s="55" t="n">
        <x:v>0</x:v>
      </x:c>
      <x:c r="E463" s="55" t="n">
        <x:v>0.03</x:v>
      </x:c>
      <x:c r="F463" s="60" t="n">
        <x:v>0</x:v>
      </x:c>
      <x:c r="G463" s="60" t="n">
        <x:v>0.03</x:v>
      </x:c>
      <x:c r="H463" s="23" t="n">
        <x:f>IF(D463=F463,0,1)+IF(E463=G463,0,1)</x:f>
        <x:v>0</x:v>
      </x:c>
      <x:c r="I463" s="23" t="str">
        <x:v>Timing T20 / fictional rates</x:v>
      </x:c>
    </x:row>
    <x:row r="464" ht="21" customHeight="1">
      <x:c r="A464" s="23" t="str">
        <x:v>level_flat</x:v>
      </x:c>
      <x:c r="B464" s="23" t="n">
        <x:v>25</x:v>
      </x:c>
      <x:c r="C464" s="37" t="n">
        <x:v>48670</x:v>
      </x:c>
      <x:c r="D464" s="55" t="n">
        <x:v>0</x:v>
      </x:c>
      <x:c r="E464" s="55" t="n">
        <x:v>0.03</x:v>
      </x:c>
      <x:c r="F464" s="60" t="n">
        <x:v>0</x:v>
      </x:c>
      <x:c r="G464" s="60" t="n">
        <x:v>0.03</x:v>
      </x:c>
      <x:c r="H464" s="23" t="n">
        <x:f>IF(D464=F464,0,1)+IF(E464=G464,0,1)</x:f>
        <x:v>0</x:v>
      </x:c>
      <x:c r="I464" s="23" t="str">
        <x:v>Timing T20 / fictional rates</x:v>
      </x:c>
    </x:row>
    <x:row r="465" ht="21" customHeight="1">
      <x:c r="A465" s="23" t="str">
        <x:v>level_flat</x:v>
      </x:c>
      <x:c r="B465" s="23" t="n">
        <x:v>26</x:v>
      </x:c>
      <x:c r="C465" s="37" t="n">
        <x:v>48761</x:v>
      </x:c>
      <x:c r="D465" s="55" t="n">
        <x:v>0</x:v>
      </x:c>
      <x:c r="E465" s="55" t="n">
        <x:v>0.03</x:v>
      </x:c>
      <x:c r="F465" s="60" t="n">
        <x:v>0</x:v>
      </x:c>
      <x:c r="G465" s="60" t="n">
        <x:v>0.03</x:v>
      </x:c>
      <x:c r="H465" s="23" t="n">
        <x:f>IF(D465=F465,0,1)+IF(E465=G465,0,1)</x:f>
        <x:v>0</x:v>
      </x:c>
      <x:c r="I465" s="23" t="str">
        <x:v>Timing T20 / fictional rates</x:v>
      </x:c>
    </x:row>
    <x:row r="466" ht="21" customHeight="1">
      <x:c r="A466" s="23" t="str">
        <x:v>level_flat</x:v>
      </x:c>
      <x:c r="B466" s="23" t="n">
        <x:v>27</x:v>
      </x:c>
      <x:c r="C466" s="37" t="n">
        <x:v>48853</x:v>
      </x:c>
      <x:c r="D466" s="55" t="n">
        <x:v>0</x:v>
      </x:c>
      <x:c r="E466" s="55" t="n">
        <x:v>0.03</x:v>
      </x:c>
      <x:c r="F466" s="60" t="n">
        <x:v>0</x:v>
      </x:c>
      <x:c r="G466" s="60" t="n">
        <x:v>0.03</x:v>
      </x:c>
      <x:c r="H466" s="23" t="n">
        <x:f>IF(D466=F466,0,1)+IF(E466=G466,0,1)</x:f>
        <x:v>0</x:v>
      </x:c>
      <x:c r="I466" s="23" t="str">
        <x:v>Timing T20 / fictional rates</x:v>
      </x:c>
    </x:row>
    <x:row r="467" ht="21" customHeight="1">
      <x:c r="A467" s="23" t="str">
        <x:v>level_flat</x:v>
      </x:c>
      <x:c r="B467" s="23" t="n">
        <x:v>28</x:v>
      </x:c>
      <x:c r="C467" s="37" t="n">
        <x:v>48945</x:v>
      </x:c>
      <x:c r="D467" s="55" t="n">
        <x:v>0</x:v>
      </x:c>
      <x:c r="E467" s="55" t="n">
        <x:v>0.03</x:v>
      </x:c>
      <x:c r="F467" s="60" t="n">
        <x:v>0</x:v>
      </x:c>
      <x:c r="G467" s="60" t="n">
        <x:v>0.03</x:v>
      </x:c>
      <x:c r="H467" s="23" t="n">
        <x:f>IF(D467=F467,0,1)+IF(E467=G467,0,1)</x:f>
        <x:v>0</x:v>
      </x:c>
      <x:c r="I467" s="23" t="str">
        <x:v>Timing T20 / fictional rates</x:v>
      </x:c>
    </x:row>
    <x:row r="468" ht="21" customHeight="1">
      <x:c r="A468" s="23" t="str">
        <x:v>level_flat</x:v>
      </x:c>
      <x:c r="B468" s="23" t="n">
        <x:v>29</x:v>
      </x:c>
      <x:c r="C468" s="37" t="n">
        <x:v>49035</x:v>
      </x:c>
      <x:c r="D468" s="55" t="n">
        <x:v>0</x:v>
      </x:c>
      <x:c r="E468" s="55" t="n">
        <x:v>0.03</x:v>
      </x:c>
      <x:c r="F468" s="60" t="n">
        <x:v>0</x:v>
      </x:c>
      <x:c r="G468" s="60" t="n">
        <x:v>0.03</x:v>
      </x:c>
      <x:c r="H468" s="23" t="n">
        <x:f>IF(D468=F468,0,1)+IF(E468=G468,0,1)</x:f>
        <x:v>0</x:v>
      </x:c>
      <x:c r="I468" s="23" t="str">
        <x:v>Timing T20 / fictional rates</x:v>
      </x:c>
    </x:row>
    <x:row r="469" ht="21" customHeight="1">
      <x:c r="A469" s="23" t="str">
        <x:v>level_flat</x:v>
      </x:c>
      <x:c r="B469" s="23" t="n">
        <x:v>30</x:v>
      </x:c>
      <x:c r="C469" s="37" t="n">
        <x:v>49126</x:v>
      </x:c>
      <x:c r="D469" s="55" t="n">
        <x:v>0</x:v>
      </x:c>
      <x:c r="E469" s="55" t="n">
        <x:v>0.03</x:v>
      </x:c>
      <x:c r="F469" s="60" t="n">
        <x:v>0</x:v>
      </x:c>
      <x:c r="G469" s="60" t="n">
        <x:v>0.03</x:v>
      </x:c>
      <x:c r="H469" s="23" t="n">
        <x:f>IF(D469=F469,0,1)+IF(E469=G469,0,1)</x:f>
        <x:v>0</x:v>
      </x:c>
      <x:c r="I469" s="23" t="str">
        <x:v>Timing T20 / fictional rates</x:v>
      </x:c>
    </x:row>
    <x:row r="470" ht="21" customHeight="1">
      <x:c r="A470" s="23" t="str">
        <x:v>level_flat</x:v>
      </x:c>
      <x:c r="B470" s="23" t="n">
        <x:v>31</x:v>
      </x:c>
      <x:c r="C470" s="37" t="n">
        <x:v>49218</x:v>
      </x:c>
      <x:c r="D470" s="55" t="n">
        <x:v>0</x:v>
      </x:c>
      <x:c r="E470" s="55" t="n">
        <x:v>0.03</x:v>
      </x:c>
      <x:c r="F470" s="60" t="n">
        <x:v>0</x:v>
      </x:c>
      <x:c r="G470" s="60" t="n">
        <x:v>0.03</x:v>
      </x:c>
      <x:c r="H470" s="23" t="n">
        <x:f>IF(D470=F470,0,1)+IF(E470=G470,0,1)</x:f>
        <x:v>0</x:v>
      </x:c>
      <x:c r="I470" s="23" t="str">
        <x:v>Timing T20 / fictional rates</x:v>
      </x:c>
    </x:row>
    <x:row r="471" ht="21" customHeight="1">
      <x:c r="A471" s="23" t="str">
        <x:v>level_flat</x:v>
      </x:c>
      <x:c r="B471" s="23" t="n">
        <x:v>32</x:v>
      </x:c>
      <x:c r="C471" s="37" t="n">
        <x:v>49310</x:v>
      </x:c>
      <x:c r="D471" s="55" t="n">
        <x:v>0</x:v>
      </x:c>
      <x:c r="E471" s="55" t="n">
        <x:v>0.03</x:v>
      </x:c>
      <x:c r="F471" s="60" t="n">
        <x:v>0</x:v>
      </x:c>
      <x:c r="G471" s="60" t="n">
        <x:v>0.03</x:v>
      </x:c>
      <x:c r="H471" s="23" t="n">
        <x:f>IF(D471=F471,0,1)+IF(E471=G471,0,1)</x:f>
        <x:v>0</x:v>
      </x:c>
      <x:c r="I471" s="23" t="str">
        <x:v>Timing T20 / fictional rates</x:v>
      </x:c>
    </x:row>
    <x:row r="472" ht="21" customHeight="1">
      <x:c r="A472" s="23" t="str">
        <x:v>level_flat</x:v>
      </x:c>
      <x:c r="B472" s="23" t="n">
        <x:v>33</x:v>
      </x:c>
      <x:c r="C472" s="37" t="n">
        <x:v>49400</x:v>
      </x:c>
      <x:c r="D472" s="55" t="n">
        <x:v>0</x:v>
      </x:c>
      <x:c r="E472" s="55" t="n">
        <x:v>0.03</x:v>
      </x:c>
      <x:c r="F472" s="60" t="n">
        <x:v>0</x:v>
      </x:c>
      <x:c r="G472" s="60" t="n">
        <x:v>0.03</x:v>
      </x:c>
      <x:c r="H472" s="23" t="n">
        <x:f>IF(D472=F472,0,1)+IF(E472=G472,0,1)</x:f>
        <x:v>0</x:v>
      </x:c>
      <x:c r="I472" s="23" t="str">
        <x:v>Timing T20 / fictional rates</x:v>
      </x:c>
    </x:row>
    <x:row r="473" ht="21" customHeight="1">
      <x:c r="A473" s="23" t="str">
        <x:v>level_flat</x:v>
      </x:c>
      <x:c r="B473" s="23" t="n">
        <x:v>34</x:v>
      </x:c>
      <x:c r="C473" s="37" t="n">
        <x:v>49491</x:v>
      </x:c>
      <x:c r="D473" s="55" t="n">
        <x:v>0</x:v>
      </x:c>
      <x:c r="E473" s="55" t="n">
        <x:v>0.03</x:v>
      </x:c>
      <x:c r="F473" s="60" t="n">
        <x:v>0</x:v>
      </x:c>
      <x:c r="G473" s="60" t="n">
        <x:v>0.03</x:v>
      </x:c>
      <x:c r="H473" s="23" t="n">
        <x:f>IF(D473=F473,0,1)+IF(E473=G473,0,1)</x:f>
        <x:v>0</x:v>
      </x:c>
      <x:c r="I473" s="23" t="str">
        <x:v>Timing T20 / fictional rates</x:v>
      </x:c>
    </x:row>
    <x:row r="474" ht="21" customHeight="1">
      <x:c r="A474" s="23" t="str">
        <x:v>level_flat</x:v>
      </x:c>
      <x:c r="B474" s="23" t="n">
        <x:v>35</x:v>
      </x:c>
      <x:c r="C474" s="37" t="n">
        <x:v>49583</x:v>
      </x:c>
      <x:c r="D474" s="55" t="n">
        <x:v>0</x:v>
      </x:c>
      <x:c r="E474" s="55" t="n">
        <x:v>0.03</x:v>
      </x:c>
      <x:c r="F474" s="60" t="n">
        <x:v>0</x:v>
      </x:c>
      <x:c r="G474" s="60" t="n">
        <x:v>0.03</x:v>
      </x:c>
      <x:c r="H474" s="23" t="n">
        <x:f>IF(D474=F474,0,1)+IF(E474=G474,0,1)</x:f>
        <x:v>0</x:v>
      </x:c>
      <x:c r="I474" s="23" t="str">
        <x:v>Timing T20 / fictional rates</x:v>
      </x:c>
    </x:row>
    <x:row r="475" ht="21" customHeight="1">
      <x:c r="A475" s="23" t="str">
        <x:v>level_flat</x:v>
      </x:c>
      <x:c r="B475" s="23" t="n">
        <x:v>36</x:v>
      </x:c>
      <x:c r="C475" s="37" t="n">
        <x:v>49675</x:v>
      </x:c>
      <x:c r="D475" s="55" t="n">
        <x:v>0</x:v>
      </x:c>
      <x:c r="E475" s="55" t="n">
        <x:v>0.03</x:v>
      </x:c>
      <x:c r="F475" s="60" t="n">
        <x:v>0</x:v>
      </x:c>
      <x:c r="G475" s="60" t="n">
        <x:v>0.03</x:v>
      </x:c>
      <x:c r="H475" s="23" t="n">
        <x:f>IF(D475=F475,0,1)+IF(E475=G475,0,1)</x:f>
        <x:v>0</x:v>
      </x:c>
      <x:c r="I475" s="23" t="str">
        <x:v>Timing T20 / fictional rates</x:v>
      </x:c>
    </x:row>
    <x:row r="476" ht="21" customHeight="1">
      <x:c r="A476" s="23" t="str">
        <x:v>level_flat</x:v>
      </x:c>
      <x:c r="B476" s="23" t="n">
        <x:v>37</x:v>
      </x:c>
      <x:c r="C476" s="37" t="n">
        <x:v>49766</x:v>
      </x:c>
      <x:c r="D476" s="55" t="n">
        <x:v>0</x:v>
      </x:c>
      <x:c r="E476" s="55" t="n">
        <x:v>0.03</x:v>
      </x:c>
      <x:c r="F476" s="60" t="n">
        <x:v>0</x:v>
      </x:c>
      <x:c r="G476" s="60" t="n">
        <x:v>0.03</x:v>
      </x:c>
      <x:c r="H476" s="23" t="n">
        <x:f>IF(D476=F476,0,1)+IF(E476=G476,0,1)</x:f>
        <x:v>0</x:v>
      </x:c>
      <x:c r="I476" s="23" t="str">
        <x:v>Timing T20 / fictional rates</x:v>
      </x:c>
    </x:row>
    <x:row r="477" ht="21" customHeight="1">
      <x:c r="A477" s="23" t="str">
        <x:v>level_flat</x:v>
      </x:c>
      <x:c r="B477" s="23" t="n">
        <x:v>38</x:v>
      </x:c>
      <x:c r="C477" s="37" t="n">
        <x:v>49857</x:v>
      </x:c>
      <x:c r="D477" s="55" t="n">
        <x:v>0</x:v>
      </x:c>
      <x:c r="E477" s="55" t="n">
        <x:v>0.03</x:v>
      </x:c>
      <x:c r="F477" s="60" t="n">
        <x:v>0</x:v>
      </x:c>
      <x:c r="G477" s="60" t="n">
        <x:v>0.03</x:v>
      </x:c>
      <x:c r="H477" s="23" t="n">
        <x:f>IF(D477=F477,0,1)+IF(E477=G477,0,1)</x:f>
        <x:v>0</x:v>
      </x:c>
      <x:c r="I477" s="23" t="str">
        <x:v>Timing T20 / fictional rates</x:v>
      </x:c>
    </x:row>
    <x:row r="478" ht="21" customHeight="1">
      <x:c r="A478" s="23" t="str">
        <x:v>level_flat</x:v>
      </x:c>
      <x:c r="B478" s="23" t="n">
        <x:v>39</x:v>
      </x:c>
      <x:c r="C478" s="37" t="n">
        <x:v>49949</x:v>
      </x:c>
      <x:c r="D478" s="55" t="n">
        <x:v>0</x:v>
      </x:c>
      <x:c r="E478" s="55" t="n">
        <x:v>0.03</x:v>
      </x:c>
      <x:c r="F478" s="60" t="n">
        <x:v>0</x:v>
      </x:c>
      <x:c r="G478" s="60" t="n">
        <x:v>0.03</x:v>
      </x:c>
      <x:c r="H478" s="23" t="n">
        <x:f>IF(D478=F478,0,1)+IF(E478=G478,0,1)</x:f>
        <x:v>0</x:v>
      </x:c>
      <x:c r="I478" s="23" t="str">
        <x:v>Timing T20 / fictional rates</x:v>
      </x:c>
    </x:row>
    <x:row r="479" ht="21" customHeight="1">
      <x:c r="A479" s="23" t="str">
        <x:v>level_flat</x:v>
      </x:c>
      <x:c r="B479" s="23" t="n">
        <x:v>40</x:v>
      </x:c>
      <x:c r="C479" s="37" t="n">
        <x:v>50041</x:v>
      </x:c>
      <x:c r="D479" s="55" t="n">
        <x:v>0</x:v>
      </x:c>
      <x:c r="E479" s="55" t="n">
        <x:v>0.03</x:v>
      </x:c>
      <x:c r="F479" s="60" t="n">
        <x:v>0</x:v>
      </x:c>
      <x:c r="G479" s="60" t="n">
        <x:v>0.03</x:v>
      </x:c>
      <x:c r="H479" s="23" t="n">
        <x:f>IF(D479=F479,0,1)+IF(E479=G479,0,1)</x:f>
        <x:v>0</x:v>
      </x:c>
      <x:c r="I479" s="23" t="str">
        <x:v>Timing T20 / fictional rates</x:v>
      </x:c>
    </x:row>
    <x:row r="480" ht="21" customHeight="1">
      <x:c r="A480" s="23" t="str">
        <x:v>level_flat</x:v>
      </x:c>
      <x:c r="B480" s="23" t="n">
        <x:v>41</x:v>
      </x:c>
      <x:c r="C480" s="37" t="n">
        <x:v>50131</x:v>
      </x:c>
      <x:c r="D480" s="55" t="n">
        <x:v>0</x:v>
      </x:c>
      <x:c r="E480" s="55" t="n">
        <x:v>0.03</x:v>
      </x:c>
      <x:c r="F480" s="60" t="n">
        <x:v>0</x:v>
      </x:c>
      <x:c r="G480" s="60" t="n">
        <x:v>0.03</x:v>
      </x:c>
      <x:c r="H480" s="23" t="n">
        <x:f>IF(D480=F480,0,1)+IF(E480=G480,0,1)</x:f>
        <x:v>0</x:v>
      </x:c>
      <x:c r="I480" s="23" t="str">
        <x:v>Timing T20 / fictional rates</x:v>
      </x:c>
    </x:row>
    <x:row r="481" ht="21" customHeight="1">
      <x:c r="A481" s="23" t="str">
        <x:v>level_flat</x:v>
      </x:c>
      <x:c r="B481" s="23" t="n">
        <x:v>42</x:v>
      </x:c>
      <x:c r="C481" s="37" t="n">
        <x:v>50222</x:v>
      </x:c>
      <x:c r="D481" s="55" t="n">
        <x:v>0</x:v>
      </x:c>
      <x:c r="E481" s="55" t="n">
        <x:v>0.03</x:v>
      </x:c>
      <x:c r="F481" s="60" t="n">
        <x:v>0</x:v>
      </x:c>
      <x:c r="G481" s="60" t="n">
        <x:v>0.03</x:v>
      </x:c>
      <x:c r="H481" s="23" t="n">
        <x:f>IF(D481=F481,0,1)+IF(E481=G481,0,1)</x:f>
        <x:v>0</x:v>
      </x:c>
      <x:c r="I481" s="23" t="str">
        <x:v>Timing T20 / fictional rates</x:v>
      </x:c>
    </x:row>
    <x:row r="482" ht="21" customHeight="1">
      <x:c r="A482" s="23" t="str">
        <x:v>level_flat</x:v>
      </x:c>
      <x:c r="B482" s="23" t="n">
        <x:v>43</x:v>
      </x:c>
      <x:c r="C482" s="37" t="n">
        <x:v>50314</x:v>
      </x:c>
      <x:c r="D482" s="55" t="n">
        <x:v>0</x:v>
      </x:c>
      <x:c r="E482" s="55" t="n">
        <x:v>0.03</x:v>
      </x:c>
      <x:c r="F482" s="60" t="n">
        <x:v>0</x:v>
      </x:c>
      <x:c r="G482" s="60" t="n">
        <x:v>0.03</x:v>
      </x:c>
      <x:c r="H482" s="23" t="n">
        <x:f>IF(D482=F482,0,1)+IF(E482=G482,0,1)</x:f>
        <x:v>0</x:v>
      </x:c>
      <x:c r="I482" s="23" t="str">
        <x:v>Timing T20 / fictional rates</x:v>
      </x:c>
    </x:row>
    <x:row r="483" ht="21" customHeight="1">
      <x:c r="A483" s="23" t="str">
        <x:v>level_flat</x:v>
      </x:c>
      <x:c r="B483" s="23" t="n">
        <x:v>44</x:v>
      </x:c>
      <x:c r="C483" s="37" t="n">
        <x:v>50406</x:v>
      </x:c>
      <x:c r="D483" s="55" t="n">
        <x:v>0</x:v>
      </x:c>
      <x:c r="E483" s="55" t="n">
        <x:v>0.03</x:v>
      </x:c>
      <x:c r="F483" s="60" t="n">
        <x:v>0</x:v>
      </x:c>
      <x:c r="G483" s="60" t="n">
        <x:v>0.03</x:v>
      </x:c>
      <x:c r="H483" s="23" t="n">
        <x:f>IF(D483=F483,0,1)+IF(E483=G483,0,1)</x:f>
        <x:v>0</x:v>
      </x:c>
      <x:c r="I483" s="23" t="str">
        <x:v>Timing T20 / fictional rates</x:v>
      </x:c>
    </x:row>
    <x:row r="484" ht="21" customHeight="1">
      <x:c r="A484" s="23" t="str">
        <x:v>level_flat</x:v>
      </x:c>
      <x:c r="B484" s="23" t="n">
        <x:v>45</x:v>
      </x:c>
      <x:c r="C484" s="37" t="n">
        <x:v>50496</x:v>
      </x:c>
      <x:c r="D484" s="55" t="n">
        <x:v>0</x:v>
      </x:c>
      <x:c r="E484" s="55" t="n">
        <x:v>0.03</x:v>
      </x:c>
      <x:c r="F484" s="60" t="n">
        <x:v>0</x:v>
      </x:c>
      <x:c r="G484" s="60" t="n">
        <x:v>0.03</x:v>
      </x:c>
      <x:c r="H484" s="23" t="n">
        <x:f>IF(D484=F484,0,1)+IF(E484=G484,0,1)</x:f>
        <x:v>0</x:v>
      </x:c>
      <x:c r="I484" s="23" t="str">
        <x:v>Timing T20 / fictional rates</x:v>
      </x:c>
    </x:row>
    <x:row r="485" ht="21" customHeight="1">
      <x:c r="A485" s="23" t="str">
        <x:v>level_flat</x:v>
      </x:c>
      <x:c r="B485" s="23" t="n">
        <x:v>46</x:v>
      </x:c>
      <x:c r="C485" s="37" t="n">
        <x:v>50587</x:v>
      </x:c>
      <x:c r="D485" s="55" t="n">
        <x:v>0</x:v>
      </x:c>
      <x:c r="E485" s="55" t="n">
        <x:v>0.03</x:v>
      </x:c>
      <x:c r="F485" s="60" t="n">
        <x:v>0</x:v>
      </x:c>
      <x:c r="G485" s="60" t="n">
        <x:v>0.03</x:v>
      </x:c>
      <x:c r="H485" s="23" t="n">
        <x:f>IF(D485=F485,0,1)+IF(E485=G485,0,1)</x:f>
        <x:v>0</x:v>
      </x:c>
      <x:c r="I485" s="23" t="str">
        <x:v>Timing T20 / fictional rates</x:v>
      </x:c>
    </x:row>
    <x:row r="486" ht="21" customHeight="1">
      <x:c r="A486" s="23" t="str">
        <x:v>level_flat</x:v>
      </x:c>
      <x:c r="B486" s="23" t="n">
        <x:v>47</x:v>
      </x:c>
      <x:c r="C486" s="37" t="n">
        <x:v>50679</x:v>
      </x:c>
      <x:c r="D486" s="55" t="n">
        <x:v>0</x:v>
      </x:c>
      <x:c r="E486" s="55" t="n">
        <x:v>0.03</x:v>
      </x:c>
      <x:c r="F486" s="60" t="n">
        <x:v>0</x:v>
      </x:c>
      <x:c r="G486" s="60" t="n">
        <x:v>0.03</x:v>
      </x:c>
      <x:c r="H486" s="23" t="n">
        <x:f>IF(D486=F486,0,1)+IF(E486=G486,0,1)</x:f>
        <x:v>0</x:v>
      </x:c>
      <x:c r="I486" s="23" t="str">
        <x:v>Timing T20 / fictional rates</x:v>
      </x:c>
    </x:row>
    <x:row r="487" ht="21" customHeight="1">
      <x:c r="A487" s="23" t="str">
        <x:v>level_flat</x:v>
      </x:c>
      <x:c r="B487" s="23" t="n">
        <x:v>48</x:v>
      </x:c>
      <x:c r="C487" s="37" t="n">
        <x:v>50771</x:v>
      </x:c>
      <x:c r="D487" s="55" t="n">
        <x:v>0</x:v>
      </x:c>
      <x:c r="E487" s="55" t="n">
        <x:v>0.03</x:v>
      </x:c>
      <x:c r="F487" s="60" t="n">
        <x:v>0</x:v>
      </x:c>
      <x:c r="G487" s="60" t="n">
        <x:v>0.03</x:v>
      </x:c>
      <x:c r="H487" s="23" t="n">
        <x:f>IF(D487=F487,0,1)+IF(E487=G487,0,1)</x:f>
        <x:v>0</x:v>
      </x:c>
      <x:c r="I487" s="23" t="str">
        <x:v>Timing T20 / fictional rates</x:v>
      </x:c>
    </x:row>
    <x:row r="488" ht="21" customHeight="1">
      <x:c r="A488" s="23" t="str">
        <x:v>level_low</x:v>
      </x:c>
      <x:c r="B488" s="23" t="n">
        <x:v>1</x:v>
      </x:c>
      <x:c r="C488" s="37" t="n">
        <x:v>46478</x:v>
      </x:c>
      <x:c r="D488" s="55" t="n">
        <x:v>0.05</x:v>
      </x:c>
      <x:c r="E488" s="55" t="n">
        <x:v>0.005</x:v>
      </x:c>
      <x:c r="F488" s="60" t="n">
        <x:v>0.05</x:v>
      </x:c>
      <x:c r="G488" s="60" t="n">
        <x:v>0.005</x:v>
      </x:c>
      <x:c r="H488" s="23" t="n">
        <x:f>IF(D488=F488,0,1)+IF(E488=G488,0,1)</x:f>
        <x:v>0</x:v>
      </x:c>
      <x:c r="I488" s="23" t="str">
        <x:v>Timing T20 / fictional rates</x:v>
      </x:c>
    </x:row>
    <x:row r="489" ht="21" customHeight="1">
      <x:c r="A489" s="23" t="str">
        <x:v>level_low</x:v>
      </x:c>
      <x:c r="B489" s="23" t="n">
        <x:v>2</x:v>
      </x:c>
      <x:c r="C489" s="37" t="n">
        <x:v>46569</x:v>
      </x:c>
      <x:c r="D489" s="55" t="n">
        <x:v>0.05</x:v>
      </x:c>
      <x:c r="E489" s="55" t="n">
        <x:v>0.005</x:v>
      </x:c>
      <x:c r="F489" s="60" t="n">
        <x:v>0.05</x:v>
      </x:c>
      <x:c r="G489" s="60" t="n">
        <x:v>0.005</x:v>
      </x:c>
      <x:c r="H489" s="23" t="n">
        <x:f>IF(D489=F489,0,1)+IF(E489=G489,0,1)</x:f>
        <x:v>0</x:v>
      </x:c>
      <x:c r="I489" s="23" t="str">
        <x:v>Timing T20 / fictional rates</x:v>
      </x:c>
    </x:row>
    <x:row r="490" ht="21" customHeight="1">
      <x:c r="A490" s="23" t="str">
        <x:v>level_low</x:v>
      </x:c>
      <x:c r="B490" s="23" t="n">
        <x:v>3</x:v>
      </x:c>
      <x:c r="C490" s="37" t="n">
        <x:v>46661</x:v>
      </x:c>
      <x:c r="D490" s="55" t="n">
        <x:v>0.05</x:v>
      </x:c>
      <x:c r="E490" s="55" t="n">
        <x:v>0.005</x:v>
      </x:c>
      <x:c r="F490" s="60" t="n">
        <x:v>0.05</x:v>
      </x:c>
      <x:c r="G490" s="60" t="n">
        <x:v>0.005</x:v>
      </x:c>
      <x:c r="H490" s="23" t="n">
        <x:f>IF(D490=F490,0,1)+IF(E490=G490,0,1)</x:f>
        <x:v>0</x:v>
      </x:c>
      <x:c r="I490" s="23" t="str">
        <x:v>Timing T20 / fictional rates</x:v>
      </x:c>
    </x:row>
    <x:row r="491" ht="21" customHeight="1">
      <x:c r="A491" s="23" t="str">
        <x:v>level_low</x:v>
      </x:c>
      <x:c r="B491" s="23" t="n">
        <x:v>4</x:v>
      </x:c>
      <x:c r="C491" s="37" t="n">
        <x:v>46753</x:v>
      </x:c>
      <x:c r="D491" s="55" t="n">
        <x:v>0.05</x:v>
      </x:c>
      <x:c r="E491" s="55" t="n">
        <x:v>0.005</x:v>
      </x:c>
      <x:c r="F491" s="60" t="n">
        <x:v>0.05</x:v>
      </x:c>
      <x:c r="G491" s="60" t="n">
        <x:v>0.005</x:v>
      </x:c>
      <x:c r="H491" s="23" t="n">
        <x:f>IF(D491=F491,0,1)+IF(E491=G491,0,1)</x:f>
        <x:v>0</x:v>
      </x:c>
      <x:c r="I491" s="23" t="str">
        <x:v>Timing T20 / fictional rates</x:v>
      </x:c>
    </x:row>
    <x:row r="492" ht="21" customHeight="1">
      <x:c r="A492" s="23" t="str">
        <x:v>level_low</x:v>
      </x:c>
      <x:c r="B492" s="23" t="n">
        <x:v>5</x:v>
      </x:c>
      <x:c r="C492" s="37" t="n">
        <x:v>46844</x:v>
      </x:c>
      <x:c r="D492" s="55" t="n">
        <x:v>0.05</x:v>
      </x:c>
      <x:c r="E492" s="55" t="n">
        <x:v>0.005</x:v>
      </x:c>
      <x:c r="F492" s="60" t="n">
        <x:v>0.05</x:v>
      </x:c>
      <x:c r="G492" s="60" t="n">
        <x:v>0.005</x:v>
      </x:c>
      <x:c r="H492" s="23" t="n">
        <x:f>IF(D492=F492,0,1)+IF(E492=G492,0,1)</x:f>
        <x:v>0</x:v>
      </x:c>
      <x:c r="I492" s="23" t="str">
        <x:v>Timing T20 / fictional rates</x:v>
      </x:c>
    </x:row>
    <x:row r="493" ht="21" customHeight="1">
      <x:c r="A493" s="23" t="str">
        <x:v>level_low</x:v>
      </x:c>
      <x:c r="B493" s="23" t="n">
        <x:v>6</x:v>
      </x:c>
      <x:c r="C493" s="37" t="n">
        <x:v>46935</x:v>
      </x:c>
      <x:c r="D493" s="55" t="n">
        <x:v>0.05</x:v>
      </x:c>
      <x:c r="E493" s="55" t="n">
        <x:v>0.005</x:v>
      </x:c>
      <x:c r="F493" s="60" t="n">
        <x:v>0.05</x:v>
      </x:c>
      <x:c r="G493" s="60" t="n">
        <x:v>0.005</x:v>
      </x:c>
      <x:c r="H493" s="23" t="n">
        <x:f>IF(D493=F493,0,1)+IF(E493=G493,0,1)</x:f>
        <x:v>0</x:v>
      </x:c>
      <x:c r="I493" s="23" t="str">
        <x:v>Timing T20 / fictional rates</x:v>
      </x:c>
    </x:row>
    <x:row r="494" ht="21" customHeight="1">
      <x:c r="A494" s="23" t="str">
        <x:v>level_low</x:v>
      </x:c>
      <x:c r="B494" s="23" t="n">
        <x:v>7</x:v>
      </x:c>
      <x:c r="C494" s="37" t="n">
        <x:v>47027</x:v>
      </x:c>
      <x:c r="D494" s="55" t="n">
        <x:v>0.05</x:v>
      </x:c>
      <x:c r="E494" s="55" t="n">
        <x:v>0.005</x:v>
      </x:c>
      <x:c r="F494" s="60" t="n">
        <x:v>0.05</x:v>
      </x:c>
      <x:c r="G494" s="60" t="n">
        <x:v>0.005</x:v>
      </x:c>
      <x:c r="H494" s="23" t="n">
        <x:f>IF(D494=F494,0,1)+IF(E494=G494,0,1)</x:f>
        <x:v>0</x:v>
      </x:c>
      <x:c r="I494" s="23" t="str">
        <x:v>Timing T20 / fictional rates</x:v>
      </x:c>
    </x:row>
    <x:row r="495" ht="21" customHeight="1">
      <x:c r="A495" s="23" t="str">
        <x:v>level_low</x:v>
      </x:c>
      <x:c r="B495" s="23" t="n">
        <x:v>8</x:v>
      </x:c>
      <x:c r="C495" s="37" t="n">
        <x:v>47119</x:v>
      </x:c>
      <x:c r="D495" s="55" t="n">
        <x:v>0.05</x:v>
      </x:c>
      <x:c r="E495" s="55" t="n">
        <x:v>0.005</x:v>
      </x:c>
      <x:c r="F495" s="60" t="n">
        <x:v>0.05</x:v>
      </x:c>
      <x:c r="G495" s="60" t="n">
        <x:v>0.005</x:v>
      </x:c>
      <x:c r="H495" s="23" t="n">
        <x:f>IF(D495=F495,0,1)+IF(E495=G495,0,1)</x:f>
        <x:v>0</x:v>
      </x:c>
      <x:c r="I495" s="23" t="str">
        <x:v>Timing T20 / fictional rates</x:v>
      </x:c>
    </x:row>
    <x:row r="496" ht="21" customHeight="1">
      <x:c r="A496" s="23" t="str">
        <x:v>level_low</x:v>
      </x:c>
      <x:c r="B496" s="23" t="n">
        <x:v>9</x:v>
      </x:c>
      <x:c r="C496" s="37" t="n">
        <x:v>47209</x:v>
      </x:c>
      <x:c r="D496" s="55" t="n">
        <x:v>0.05</x:v>
      </x:c>
      <x:c r="E496" s="55" t="n">
        <x:v>0.005</x:v>
      </x:c>
      <x:c r="F496" s="60" t="n">
        <x:v>0.05</x:v>
      </x:c>
      <x:c r="G496" s="60" t="n">
        <x:v>0.005</x:v>
      </x:c>
      <x:c r="H496" s="23" t="n">
        <x:f>IF(D496=F496,0,1)+IF(E496=G496,0,1)</x:f>
        <x:v>0</x:v>
      </x:c>
      <x:c r="I496" s="23" t="str">
        <x:v>Timing T20 / fictional rates</x:v>
      </x:c>
    </x:row>
    <x:row r="497" ht="21" customHeight="1">
      <x:c r="A497" s="23" t="str">
        <x:v>level_low</x:v>
      </x:c>
      <x:c r="B497" s="23" t="n">
        <x:v>10</x:v>
      </x:c>
      <x:c r="C497" s="37" t="n">
        <x:v>47300</x:v>
      </x:c>
      <x:c r="D497" s="55" t="n">
        <x:v>0.05</x:v>
      </x:c>
      <x:c r="E497" s="55" t="n">
        <x:v>0.005</x:v>
      </x:c>
      <x:c r="F497" s="60" t="n">
        <x:v>0.05</x:v>
      </x:c>
      <x:c r="G497" s="60" t="n">
        <x:v>0.005</x:v>
      </x:c>
      <x:c r="H497" s="23" t="n">
        <x:f>IF(D497=F497,0,1)+IF(E497=G497,0,1)</x:f>
        <x:v>0</x:v>
      </x:c>
      <x:c r="I497" s="23" t="str">
        <x:v>Timing T20 / fictional rates</x:v>
      </x:c>
    </x:row>
    <x:row r="498" ht="21" customHeight="1">
      <x:c r="A498" s="23" t="str">
        <x:v>level_low</x:v>
      </x:c>
      <x:c r="B498" s="23" t="n">
        <x:v>11</x:v>
      </x:c>
      <x:c r="C498" s="37" t="n">
        <x:v>47392</x:v>
      </x:c>
      <x:c r="D498" s="55" t="n">
        <x:v>0.05</x:v>
      </x:c>
      <x:c r="E498" s="55" t="n">
        <x:v>0.005</x:v>
      </x:c>
      <x:c r="F498" s="60" t="n">
        <x:v>0.05</x:v>
      </x:c>
      <x:c r="G498" s="60" t="n">
        <x:v>0.005</x:v>
      </x:c>
      <x:c r="H498" s="23" t="n">
        <x:f>IF(D498=F498,0,1)+IF(E498=G498,0,1)</x:f>
        <x:v>0</x:v>
      </x:c>
      <x:c r="I498" s="23" t="str">
        <x:v>Timing T20 / fictional rates</x:v>
      </x:c>
    </x:row>
    <x:row r="499" ht="21" customHeight="1">
      <x:c r="A499" s="23" t="str">
        <x:v>level_low</x:v>
      </x:c>
      <x:c r="B499" s="23" t="n">
        <x:v>12</x:v>
      </x:c>
      <x:c r="C499" s="37" t="n">
        <x:v>47484</x:v>
      </x:c>
      <x:c r="D499" s="55" t="n">
        <x:v>0.05</x:v>
      </x:c>
      <x:c r="E499" s="55" t="n">
        <x:v>0.005</x:v>
      </x:c>
      <x:c r="F499" s="60" t="n">
        <x:v>0.05</x:v>
      </x:c>
      <x:c r="G499" s="60" t="n">
        <x:v>0.005</x:v>
      </x:c>
      <x:c r="H499" s="23" t="n">
        <x:f>IF(D499=F499,0,1)+IF(E499=G499,0,1)</x:f>
        <x:v>0</x:v>
      </x:c>
      <x:c r="I499" s="23" t="str">
        <x:v>Timing T20 / fictional rates</x:v>
      </x:c>
    </x:row>
    <x:row r="500" ht="21" customHeight="1">
      <x:c r="A500" s="23" t="str">
        <x:v>level_low</x:v>
      </x:c>
      <x:c r="B500" s="23" t="n">
        <x:v>13</x:v>
      </x:c>
      <x:c r="C500" s="37" t="n">
        <x:v>47574</x:v>
      </x:c>
      <x:c r="D500" s="55" t="n">
        <x:v>0.05</x:v>
      </x:c>
      <x:c r="E500" s="55" t="n">
        <x:v>0.005</x:v>
      </x:c>
      <x:c r="F500" s="60" t="n">
        <x:v>0.05</x:v>
      </x:c>
      <x:c r="G500" s="60" t="n">
        <x:v>0.005</x:v>
      </x:c>
      <x:c r="H500" s="23" t="n">
        <x:f>IF(D500=F500,0,1)+IF(E500=G500,0,1)</x:f>
        <x:v>0</x:v>
      </x:c>
      <x:c r="I500" s="23" t="str">
        <x:v>Timing T20 / fictional rates</x:v>
      </x:c>
    </x:row>
    <x:row r="501" ht="21" customHeight="1">
      <x:c r="A501" s="23" t="str">
        <x:v>level_low</x:v>
      </x:c>
      <x:c r="B501" s="23" t="n">
        <x:v>14</x:v>
      </x:c>
      <x:c r="C501" s="37" t="n">
        <x:v>47665</x:v>
      </x:c>
      <x:c r="D501" s="55" t="n">
        <x:v>0.05</x:v>
      </x:c>
      <x:c r="E501" s="55" t="n">
        <x:v>0.005</x:v>
      </x:c>
      <x:c r="F501" s="60" t="n">
        <x:v>0.05</x:v>
      </x:c>
      <x:c r="G501" s="60" t="n">
        <x:v>0.005</x:v>
      </x:c>
      <x:c r="H501" s="23" t="n">
        <x:f>IF(D501=F501,0,1)+IF(E501=G501,0,1)</x:f>
        <x:v>0</x:v>
      </x:c>
      <x:c r="I501" s="23" t="str">
        <x:v>Timing T20 / fictional rates</x:v>
      </x:c>
    </x:row>
    <x:row r="502" ht="21" customHeight="1">
      <x:c r="A502" s="23" t="str">
        <x:v>level_low</x:v>
      </x:c>
      <x:c r="B502" s="23" t="n">
        <x:v>15</x:v>
      </x:c>
      <x:c r="C502" s="37" t="n">
        <x:v>47757</x:v>
      </x:c>
      <x:c r="D502" s="55" t="n">
        <x:v>0.05</x:v>
      </x:c>
      <x:c r="E502" s="55" t="n">
        <x:v>0.005</x:v>
      </x:c>
      <x:c r="F502" s="60" t="n">
        <x:v>0.05</x:v>
      </x:c>
      <x:c r="G502" s="60" t="n">
        <x:v>0.005</x:v>
      </x:c>
      <x:c r="H502" s="23" t="n">
        <x:f>IF(D502=F502,0,1)+IF(E502=G502,0,1)</x:f>
        <x:v>0</x:v>
      </x:c>
      <x:c r="I502" s="23" t="str">
        <x:v>Timing T20 / fictional rates</x:v>
      </x:c>
    </x:row>
    <x:row r="503" ht="21" customHeight="1">
      <x:c r="A503" s="23" t="str">
        <x:v>level_low</x:v>
      </x:c>
      <x:c r="B503" s="23" t="n">
        <x:v>16</x:v>
      </x:c>
      <x:c r="C503" s="37" t="n">
        <x:v>47849</x:v>
      </x:c>
      <x:c r="D503" s="55" t="n">
        <x:v>0.05</x:v>
      </x:c>
      <x:c r="E503" s="55" t="n">
        <x:v>0.005</x:v>
      </x:c>
      <x:c r="F503" s="60" t="n">
        <x:v>0.05</x:v>
      </x:c>
      <x:c r="G503" s="60" t="n">
        <x:v>0.005</x:v>
      </x:c>
      <x:c r="H503" s="23" t="n">
        <x:f>IF(D503=F503,0,1)+IF(E503=G503,0,1)</x:f>
        <x:v>0</x:v>
      </x:c>
      <x:c r="I503" s="23" t="str">
        <x:v>Timing T20 / fictional rates</x:v>
      </x:c>
    </x:row>
    <x:row r="504" ht="21" customHeight="1">
      <x:c r="A504" s="23" t="str">
        <x:v>level_low</x:v>
      </x:c>
      <x:c r="B504" s="23" t="n">
        <x:v>17</x:v>
      </x:c>
      <x:c r="C504" s="37" t="n">
        <x:v>47939</x:v>
      </x:c>
      <x:c r="D504" s="55" t="n">
        <x:v>0.05</x:v>
      </x:c>
      <x:c r="E504" s="55" t="n">
        <x:v>0.005</x:v>
      </x:c>
      <x:c r="F504" s="60" t="n">
        <x:v>0.05</x:v>
      </x:c>
      <x:c r="G504" s="60" t="n">
        <x:v>0.005</x:v>
      </x:c>
      <x:c r="H504" s="23" t="n">
        <x:f>IF(D504=F504,0,1)+IF(E504=G504,0,1)</x:f>
        <x:v>0</x:v>
      </x:c>
      <x:c r="I504" s="23" t="str">
        <x:v>Timing T20 / fictional rates</x:v>
      </x:c>
    </x:row>
    <x:row r="505" ht="21" customHeight="1">
      <x:c r="A505" s="23" t="str">
        <x:v>level_low</x:v>
      </x:c>
      <x:c r="B505" s="23" t="n">
        <x:v>18</x:v>
      </x:c>
      <x:c r="C505" s="37" t="n">
        <x:v>48030</x:v>
      </x:c>
      <x:c r="D505" s="55" t="n">
        <x:v>0.05</x:v>
      </x:c>
      <x:c r="E505" s="55" t="n">
        <x:v>0.005</x:v>
      </x:c>
      <x:c r="F505" s="60" t="n">
        <x:v>0.05</x:v>
      </x:c>
      <x:c r="G505" s="60" t="n">
        <x:v>0.005</x:v>
      </x:c>
      <x:c r="H505" s="23" t="n">
        <x:f>IF(D505=F505,0,1)+IF(E505=G505,0,1)</x:f>
        <x:v>0</x:v>
      </x:c>
      <x:c r="I505" s="23" t="str">
        <x:v>Timing T20 / fictional rates</x:v>
      </x:c>
    </x:row>
    <x:row r="506" ht="21" customHeight="1">
      <x:c r="A506" s="23" t="str">
        <x:v>level_low</x:v>
      </x:c>
      <x:c r="B506" s="23" t="n">
        <x:v>19</x:v>
      </x:c>
      <x:c r="C506" s="37" t="n">
        <x:v>48122</x:v>
      </x:c>
      <x:c r="D506" s="55" t="n">
        <x:v>0.05</x:v>
      </x:c>
      <x:c r="E506" s="55" t="n">
        <x:v>0.005</x:v>
      </x:c>
      <x:c r="F506" s="60" t="n">
        <x:v>0.05</x:v>
      </x:c>
      <x:c r="G506" s="60" t="n">
        <x:v>0.005</x:v>
      </x:c>
      <x:c r="H506" s="23" t="n">
        <x:f>IF(D506=F506,0,1)+IF(E506=G506,0,1)</x:f>
        <x:v>0</x:v>
      </x:c>
      <x:c r="I506" s="23" t="str">
        <x:v>Timing T20 / fictional rates</x:v>
      </x:c>
    </x:row>
    <x:row r="507" ht="21" customHeight="1">
      <x:c r="A507" s="23" t="str">
        <x:v>level_low</x:v>
      </x:c>
      <x:c r="B507" s="23" t="n">
        <x:v>20</x:v>
      </x:c>
      <x:c r="C507" s="37" t="n">
        <x:v>48214</x:v>
      </x:c>
      <x:c r="D507" s="55" t="n">
        <x:v>0.05</x:v>
      </x:c>
      <x:c r="E507" s="55" t="n">
        <x:v>0.005</x:v>
      </x:c>
      <x:c r="F507" s="60" t="n">
        <x:v>0.05</x:v>
      </x:c>
      <x:c r="G507" s="60" t="n">
        <x:v>0.005</x:v>
      </x:c>
      <x:c r="H507" s="23" t="n">
        <x:f>IF(D507=F507,0,1)+IF(E507=G507,0,1)</x:f>
        <x:v>0</x:v>
      </x:c>
      <x:c r="I507" s="23" t="str">
        <x:v>Timing T20 / fictional rates</x:v>
      </x:c>
    </x:row>
    <x:row r="508" ht="21" customHeight="1">
      <x:c r="A508" s="23" t="str">
        <x:v>level_low</x:v>
      </x:c>
      <x:c r="B508" s="23" t="n">
        <x:v>21</x:v>
      </x:c>
      <x:c r="C508" s="37" t="n">
        <x:v>48305</x:v>
      </x:c>
      <x:c r="D508" s="55" t="n">
        <x:v>0</x:v>
      </x:c>
      <x:c r="E508" s="55" t="n">
        <x:v>0.005</x:v>
      </x:c>
      <x:c r="F508" s="60" t="n">
        <x:v>0</x:v>
      </x:c>
      <x:c r="G508" s="60" t="n">
        <x:v>0.005</x:v>
      </x:c>
      <x:c r="H508" s="23" t="n">
        <x:f>IF(D508=F508,0,1)+IF(E508=G508,0,1)</x:f>
        <x:v>0</x:v>
      </x:c>
      <x:c r="I508" s="23" t="str">
        <x:v>Timing T20 / fictional rates</x:v>
      </x:c>
    </x:row>
    <x:row r="509" ht="21" customHeight="1">
      <x:c r="A509" s="23" t="str">
        <x:v>level_low</x:v>
      </x:c>
      <x:c r="B509" s="23" t="n">
        <x:v>22</x:v>
      </x:c>
      <x:c r="C509" s="37" t="n">
        <x:v>48396</x:v>
      </x:c>
      <x:c r="D509" s="55" t="n">
        <x:v>0</x:v>
      </x:c>
      <x:c r="E509" s="55" t="n">
        <x:v>0.005</x:v>
      </x:c>
      <x:c r="F509" s="60" t="n">
        <x:v>0</x:v>
      </x:c>
      <x:c r="G509" s="60" t="n">
        <x:v>0.005</x:v>
      </x:c>
      <x:c r="H509" s="23" t="n">
        <x:f>IF(D509=F509,0,1)+IF(E509=G509,0,1)</x:f>
        <x:v>0</x:v>
      </x:c>
      <x:c r="I509" s="23" t="str">
        <x:v>Timing T20 / fictional rates</x:v>
      </x:c>
    </x:row>
    <x:row r="510" ht="21" customHeight="1">
      <x:c r="A510" s="23" t="str">
        <x:v>level_low</x:v>
      </x:c>
      <x:c r="B510" s="23" t="n">
        <x:v>23</x:v>
      </x:c>
      <x:c r="C510" s="37" t="n">
        <x:v>48488</x:v>
      </x:c>
      <x:c r="D510" s="55" t="n">
        <x:v>0</x:v>
      </x:c>
      <x:c r="E510" s="55" t="n">
        <x:v>0.005</x:v>
      </x:c>
      <x:c r="F510" s="60" t="n">
        <x:v>0</x:v>
      </x:c>
      <x:c r="G510" s="60" t="n">
        <x:v>0.005</x:v>
      </x:c>
      <x:c r="H510" s="23" t="n">
        <x:f>IF(D510=F510,0,1)+IF(E510=G510,0,1)</x:f>
        <x:v>0</x:v>
      </x:c>
      <x:c r="I510" s="23" t="str">
        <x:v>Timing T20 / fictional rates</x:v>
      </x:c>
    </x:row>
    <x:row r="511" ht="21" customHeight="1">
      <x:c r="A511" s="23" t="str">
        <x:v>level_low</x:v>
      </x:c>
      <x:c r="B511" s="23" t="n">
        <x:v>24</x:v>
      </x:c>
      <x:c r="C511" s="37" t="n">
        <x:v>48580</x:v>
      </x:c>
      <x:c r="D511" s="55" t="n">
        <x:v>0</x:v>
      </x:c>
      <x:c r="E511" s="55" t="n">
        <x:v>0.005</x:v>
      </x:c>
      <x:c r="F511" s="60" t="n">
        <x:v>0</x:v>
      </x:c>
      <x:c r="G511" s="60" t="n">
        <x:v>0.005</x:v>
      </x:c>
      <x:c r="H511" s="23" t="n">
        <x:f>IF(D511=F511,0,1)+IF(E511=G511,0,1)</x:f>
        <x:v>0</x:v>
      </x:c>
      <x:c r="I511" s="23" t="str">
        <x:v>Timing T20 / fictional rates</x:v>
      </x:c>
    </x:row>
    <x:row r="512" ht="21" customHeight="1">
      <x:c r="A512" s="23" t="str">
        <x:v>level_low</x:v>
      </x:c>
      <x:c r="B512" s="23" t="n">
        <x:v>25</x:v>
      </x:c>
      <x:c r="C512" s="37" t="n">
        <x:v>48670</x:v>
      </x:c>
      <x:c r="D512" s="55" t="n">
        <x:v>0</x:v>
      </x:c>
      <x:c r="E512" s="55" t="n">
        <x:v>0.005</x:v>
      </x:c>
      <x:c r="F512" s="60" t="n">
        <x:v>0</x:v>
      </x:c>
      <x:c r="G512" s="60" t="n">
        <x:v>0.005</x:v>
      </x:c>
      <x:c r="H512" s="23" t="n">
        <x:f>IF(D512=F512,0,1)+IF(E512=G512,0,1)</x:f>
        <x:v>0</x:v>
      </x:c>
      <x:c r="I512" s="23" t="str">
        <x:v>Timing T20 / fictional rates</x:v>
      </x:c>
    </x:row>
    <x:row r="513" ht="21" customHeight="1">
      <x:c r="A513" s="23" t="str">
        <x:v>level_low</x:v>
      </x:c>
      <x:c r="B513" s="23" t="n">
        <x:v>26</x:v>
      </x:c>
      <x:c r="C513" s="37" t="n">
        <x:v>48761</x:v>
      </x:c>
      <x:c r="D513" s="55" t="n">
        <x:v>0</x:v>
      </x:c>
      <x:c r="E513" s="55" t="n">
        <x:v>0.005</x:v>
      </x:c>
      <x:c r="F513" s="60" t="n">
        <x:v>0</x:v>
      </x:c>
      <x:c r="G513" s="60" t="n">
        <x:v>0.005</x:v>
      </x:c>
      <x:c r="H513" s="23" t="n">
        <x:f>IF(D513=F513,0,1)+IF(E513=G513,0,1)</x:f>
        <x:v>0</x:v>
      </x:c>
      <x:c r="I513" s="23" t="str">
        <x:v>Timing T20 / fictional rates</x:v>
      </x:c>
    </x:row>
    <x:row r="514" ht="21" customHeight="1">
      <x:c r="A514" s="23" t="str">
        <x:v>level_low</x:v>
      </x:c>
      <x:c r="B514" s="23" t="n">
        <x:v>27</x:v>
      </x:c>
      <x:c r="C514" s="37" t="n">
        <x:v>48853</x:v>
      </x:c>
      <x:c r="D514" s="55" t="n">
        <x:v>0</x:v>
      </x:c>
      <x:c r="E514" s="55" t="n">
        <x:v>0.005</x:v>
      </x:c>
      <x:c r="F514" s="60" t="n">
        <x:v>0</x:v>
      </x:c>
      <x:c r="G514" s="60" t="n">
        <x:v>0.005</x:v>
      </x:c>
      <x:c r="H514" s="23" t="n">
        <x:f>IF(D514=F514,0,1)+IF(E514=G514,0,1)</x:f>
        <x:v>0</x:v>
      </x:c>
      <x:c r="I514" s="23" t="str">
        <x:v>Timing T20 / fictional rates</x:v>
      </x:c>
    </x:row>
    <x:row r="515" ht="21" customHeight="1">
      <x:c r="A515" s="23" t="str">
        <x:v>level_low</x:v>
      </x:c>
      <x:c r="B515" s="23" t="n">
        <x:v>28</x:v>
      </x:c>
      <x:c r="C515" s="37" t="n">
        <x:v>48945</x:v>
      </x:c>
      <x:c r="D515" s="55" t="n">
        <x:v>0</x:v>
      </x:c>
      <x:c r="E515" s="55" t="n">
        <x:v>0.005</x:v>
      </x:c>
      <x:c r="F515" s="60" t="n">
        <x:v>0</x:v>
      </x:c>
      <x:c r="G515" s="60" t="n">
        <x:v>0.005</x:v>
      </x:c>
      <x:c r="H515" s="23" t="n">
        <x:f>IF(D515=F515,0,1)+IF(E515=G515,0,1)</x:f>
        <x:v>0</x:v>
      </x:c>
      <x:c r="I515" s="23" t="str">
        <x:v>Timing T20 / fictional rates</x:v>
      </x:c>
    </x:row>
    <x:row r="516" ht="21" customHeight="1">
      <x:c r="A516" s="23" t="str">
        <x:v>level_low</x:v>
      </x:c>
      <x:c r="B516" s="23" t="n">
        <x:v>29</x:v>
      </x:c>
      <x:c r="C516" s="37" t="n">
        <x:v>49035</x:v>
      </x:c>
      <x:c r="D516" s="55" t="n">
        <x:v>0</x:v>
      </x:c>
      <x:c r="E516" s="55" t="n">
        <x:v>0.005</x:v>
      </x:c>
      <x:c r="F516" s="60" t="n">
        <x:v>0</x:v>
      </x:c>
      <x:c r="G516" s="60" t="n">
        <x:v>0.005</x:v>
      </x:c>
      <x:c r="H516" s="23" t="n">
        <x:f>IF(D516=F516,0,1)+IF(E516=G516,0,1)</x:f>
        <x:v>0</x:v>
      </x:c>
      <x:c r="I516" s="23" t="str">
        <x:v>Timing T20 / fictional rates</x:v>
      </x:c>
    </x:row>
    <x:row r="517" ht="21" customHeight="1">
      <x:c r="A517" s="23" t="str">
        <x:v>level_low</x:v>
      </x:c>
      <x:c r="B517" s="23" t="n">
        <x:v>30</x:v>
      </x:c>
      <x:c r="C517" s="37" t="n">
        <x:v>49126</x:v>
      </x:c>
      <x:c r="D517" s="55" t="n">
        <x:v>0</x:v>
      </x:c>
      <x:c r="E517" s="55" t="n">
        <x:v>0.005</x:v>
      </x:c>
      <x:c r="F517" s="60" t="n">
        <x:v>0</x:v>
      </x:c>
      <x:c r="G517" s="60" t="n">
        <x:v>0.005</x:v>
      </x:c>
      <x:c r="H517" s="23" t="n">
        <x:f>IF(D517=F517,0,1)+IF(E517=G517,0,1)</x:f>
        <x:v>0</x:v>
      </x:c>
      <x:c r="I517" s="23" t="str">
        <x:v>Timing T20 / fictional rates</x:v>
      </x:c>
    </x:row>
    <x:row r="518" ht="21" customHeight="1">
      <x:c r="A518" s="23" t="str">
        <x:v>level_low</x:v>
      </x:c>
      <x:c r="B518" s="23" t="n">
        <x:v>31</x:v>
      </x:c>
      <x:c r="C518" s="37" t="n">
        <x:v>49218</x:v>
      </x:c>
      <x:c r="D518" s="55" t="n">
        <x:v>0</x:v>
      </x:c>
      <x:c r="E518" s="55" t="n">
        <x:v>0.005</x:v>
      </x:c>
      <x:c r="F518" s="60" t="n">
        <x:v>0</x:v>
      </x:c>
      <x:c r="G518" s="60" t="n">
        <x:v>0.005</x:v>
      </x:c>
      <x:c r="H518" s="23" t="n">
        <x:f>IF(D518=F518,0,1)+IF(E518=G518,0,1)</x:f>
        <x:v>0</x:v>
      </x:c>
      <x:c r="I518" s="23" t="str">
        <x:v>Timing T20 / fictional rates</x:v>
      </x:c>
    </x:row>
    <x:row r="519" ht="21" customHeight="1">
      <x:c r="A519" s="23" t="str">
        <x:v>level_low</x:v>
      </x:c>
      <x:c r="B519" s="23" t="n">
        <x:v>32</x:v>
      </x:c>
      <x:c r="C519" s="37" t="n">
        <x:v>49310</x:v>
      </x:c>
      <x:c r="D519" s="55" t="n">
        <x:v>0</x:v>
      </x:c>
      <x:c r="E519" s="55" t="n">
        <x:v>0.005</x:v>
      </x:c>
      <x:c r="F519" s="60" t="n">
        <x:v>0</x:v>
      </x:c>
      <x:c r="G519" s="60" t="n">
        <x:v>0.005</x:v>
      </x:c>
      <x:c r="H519" s="23" t="n">
        <x:f>IF(D519=F519,0,1)+IF(E519=G519,0,1)</x:f>
        <x:v>0</x:v>
      </x:c>
      <x:c r="I519" s="23" t="str">
        <x:v>Timing T20 / fictional rates</x:v>
      </x:c>
    </x:row>
    <x:row r="520" ht="21" customHeight="1">
      <x:c r="A520" s="23" t="str">
        <x:v>level_low</x:v>
      </x:c>
      <x:c r="B520" s="23" t="n">
        <x:v>33</x:v>
      </x:c>
      <x:c r="C520" s="37" t="n">
        <x:v>49400</x:v>
      </x:c>
      <x:c r="D520" s="55" t="n">
        <x:v>0</x:v>
      </x:c>
      <x:c r="E520" s="55" t="n">
        <x:v>0.005</x:v>
      </x:c>
      <x:c r="F520" s="60" t="n">
        <x:v>0</x:v>
      </x:c>
      <x:c r="G520" s="60" t="n">
        <x:v>0.005</x:v>
      </x:c>
      <x:c r="H520" s="23" t="n">
        <x:f>IF(D520=F520,0,1)+IF(E520=G520,0,1)</x:f>
        <x:v>0</x:v>
      </x:c>
      <x:c r="I520" s="23" t="str">
        <x:v>Timing T20 / fictional rates</x:v>
      </x:c>
    </x:row>
    <x:row r="521" ht="21" customHeight="1">
      <x:c r="A521" s="23" t="str">
        <x:v>level_low</x:v>
      </x:c>
      <x:c r="B521" s="23" t="n">
        <x:v>34</x:v>
      </x:c>
      <x:c r="C521" s="37" t="n">
        <x:v>49491</x:v>
      </x:c>
      <x:c r="D521" s="55" t="n">
        <x:v>0</x:v>
      </x:c>
      <x:c r="E521" s="55" t="n">
        <x:v>0.005</x:v>
      </x:c>
      <x:c r="F521" s="60" t="n">
        <x:v>0</x:v>
      </x:c>
      <x:c r="G521" s="60" t="n">
        <x:v>0.005</x:v>
      </x:c>
      <x:c r="H521" s="23" t="n">
        <x:f>IF(D521=F521,0,1)+IF(E521=G521,0,1)</x:f>
        <x:v>0</x:v>
      </x:c>
      <x:c r="I521" s="23" t="str">
        <x:v>Timing T20 / fictional rates</x:v>
      </x:c>
    </x:row>
    <x:row r="522" ht="21" customHeight="1">
      <x:c r="A522" s="23" t="str">
        <x:v>level_low</x:v>
      </x:c>
      <x:c r="B522" s="23" t="n">
        <x:v>35</x:v>
      </x:c>
      <x:c r="C522" s="37" t="n">
        <x:v>49583</x:v>
      </x:c>
      <x:c r="D522" s="55" t="n">
        <x:v>0</x:v>
      </x:c>
      <x:c r="E522" s="55" t="n">
        <x:v>0.005</x:v>
      </x:c>
      <x:c r="F522" s="60" t="n">
        <x:v>0</x:v>
      </x:c>
      <x:c r="G522" s="60" t="n">
        <x:v>0.005</x:v>
      </x:c>
      <x:c r="H522" s="23" t="n">
        <x:f>IF(D522=F522,0,1)+IF(E522=G522,0,1)</x:f>
        <x:v>0</x:v>
      </x:c>
      <x:c r="I522" s="23" t="str">
        <x:v>Timing T20 / fictional rates</x:v>
      </x:c>
    </x:row>
    <x:row r="523" ht="21" customHeight="1">
      <x:c r="A523" s="23" t="str">
        <x:v>level_low</x:v>
      </x:c>
      <x:c r="B523" s="23" t="n">
        <x:v>36</x:v>
      </x:c>
      <x:c r="C523" s="37" t="n">
        <x:v>49675</x:v>
      </x:c>
      <x:c r="D523" s="55" t="n">
        <x:v>0</x:v>
      </x:c>
      <x:c r="E523" s="55" t="n">
        <x:v>0.005</x:v>
      </x:c>
      <x:c r="F523" s="60" t="n">
        <x:v>0</x:v>
      </x:c>
      <x:c r="G523" s="60" t="n">
        <x:v>0.005</x:v>
      </x:c>
      <x:c r="H523" s="23" t="n">
        <x:f>IF(D523=F523,0,1)+IF(E523=G523,0,1)</x:f>
        <x:v>0</x:v>
      </x:c>
      <x:c r="I523" s="23" t="str">
        <x:v>Timing T20 / fictional rates</x:v>
      </x:c>
    </x:row>
    <x:row r="524" ht="21" customHeight="1">
      <x:c r="A524" s="23" t="str">
        <x:v>level_low</x:v>
      </x:c>
      <x:c r="B524" s="23" t="n">
        <x:v>37</x:v>
      </x:c>
      <x:c r="C524" s="37" t="n">
        <x:v>49766</x:v>
      </x:c>
      <x:c r="D524" s="55" t="n">
        <x:v>0</x:v>
      </x:c>
      <x:c r="E524" s="55" t="n">
        <x:v>0.005</x:v>
      </x:c>
      <x:c r="F524" s="60" t="n">
        <x:v>0</x:v>
      </x:c>
      <x:c r="G524" s="60" t="n">
        <x:v>0.005</x:v>
      </x:c>
      <x:c r="H524" s="23" t="n">
        <x:f>IF(D524=F524,0,1)+IF(E524=G524,0,1)</x:f>
        <x:v>0</x:v>
      </x:c>
      <x:c r="I524" s="23" t="str">
        <x:v>Timing T20 / fictional rates</x:v>
      </x:c>
    </x:row>
    <x:row r="525" ht="21" customHeight="1">
      <x:c r="A525" s="23" t="str">
        <x:v>level_low</x:v>
      </x:c>
      <x:c r="B525" s="23" t="n">
        <x:v>38</x:v>
      </x:c>
      <x:c r="C525" s="37" t="n">
        <x:v>49857</x:v>
      </x:c>
      <x:c r="D525" s="55" t="n">
        <x:v>0</x:v>
      </x:c>
      <x:c r="E525" s="55" t="n">
        <x:v>0.005</x:v>
      </x:c>
      <x:c r="F525" s="60" t="n">
        <x:v>0</x:v>
      </x:c>
      <x:c r="G525" s="60" t="n">
        <x:v>0.005</x:v>
      </x:c>
      <x:c r="H525" s="23" t="n">
        <x:f>IF(D525=F525,0,1)+IF(E525=G525,0,1)</x:f>
        <x:v>0</x:v>
      </x:c>
      <x:c r="I525" s="23" t="str">
        <x:v>Timing T20 / fictional rates</x:v>
      </x:c>
    </x:row>
    <x:row r="526" ht="21" customHeight="1">
      <x:c r="A526" s="23" t="str">
        <x:v>level_low</x:v>
      </x:c>
      <x:c r="B526" s="23" t="n">
        <x:v>39</x:v>
      </x:c>
      <x:c r="C526" s="37" t="n">
        <x:v>49949</x:v>
      </x:c>
      <x:c r="D526" s="55" t="n">
        <x:v>0</x:v>
      </x:c>
      <x:c r="E526" s="55" t="n">
        <x:v>0.005</x:v>
      </x:c>
      <x:c r="F526" s="60" t="n">
        <x:v>0</x:v>
      </x:c>
      <x:c r="G526" s="60" t="n">
        <x:v>0.005</x:v>
      </x:c>
      <x:c r="H526" s="23" t="n">
        <x:f>IF(D526=F526,0,1)+IF(E526=G526,0,1)</x:f>
        <x:v>0</x:v>
      </x:c>
      <x:c r="I526" s="23" t="str">
        <x:v>Timing T20 / fictional rates</x:v>
      </x:c>
    </x:row>
    <x:row r="527" ht="21" customHeight="1">
      <x:c r="A527" s="23" t="str">
        <x:v>level_low</x:v>
      </x:c>
      <x:c r="B527" s="23" t="n">
        <x:v>40</x:v>
      </x:c>
      <x:c r="C527" s="37" t="n">
        <x:v>50041</x:v>
      </x:c>
      <x:c r="D527" s="55" t="n">
        <x:v>0</x:v>
      </x:c>
      <x:c r="E527" s="55" t="n">
        <x:v>0.005</x:v>
      </x:c>
      <x:c r="F527" s="60" t="n">
        <x:v>0</x:v>
      </x:c>
      <x:c r="G527" s="60" t="n">
        <x:v>0.005</x:v>
      </x:c>
      <x:c r="H527" s="23" t="n">
        <x:f>IF(D527=F527,0,1)+IF(E527=G527,0,1)</x:f>
        <x:v>0</x:v>
      </x:c>
      <x:c r="I527" s="23" t="str">
        <x:v>Timing T20 / fictional rates</x:v>
      </x:c>
    </x:row>
    <x:row r="528" ht="21" customHeight="1">
      <x:c r="A528" s="23" t="str">
        <x:v>level_low</x:v>
      </x:c>
      <x:c r="B528" s="23" t="n">
        <x:v>41</x:v>
      </x:c>
      <x:c r="C528" s="37" t="n">
        <x:v>50131</x:v>
      </x:c>
      <x:c r="D528" s="55" t="n">
        <x:v>0</x:v>
      </x:c>
      <x:c r="E528" s="55" t="n">
        <x:v>0.005</x:v>
      </x:c>
      <x:c r="F528" s="60" t="n">
        <x:v>0</x:v>
      </x:c>
      <x:c r="G528" s="60" t="n">
        <x:v>0.005</x:v>
      </x:c>
      <x:c r="H528" s="23" t="n">
        <x:f>IF(D528=F528,0,1)+IF(E528=G528,0,1)</x:f>
        <x:v>0</x:v>
      </x:c>
      <x:c r="I528" s="23" t="str">
        <x:v>Timing T20 / fictional rates</x:v>
      </x:c>
    </x:row>
    <x:row r="529" ht="21" customHeight="1">
      <x:c r="A529" s="23" t="str">
        <x:v>level_low</x:v>
      </x:c>
      <x:c r="B529" s="23" t="n">
        <x:v>42</x:v>
      </x:c>
      <x:c r="C529" s="37" t="n">
        <x:v>50222</x:v>
      </x:c>
      <x:c r="D529" s="55" t="n">
        <x:v>0</x:v>
      </x:c>
      <x:c r="E529" s="55" t="n">
        <x:v>0.005</x:v>
      </x:c>
      <x:c r="F529" s="60" t="n">
        <x:v>0</x:v>
      </x:c>
      <x:c r="G529" s="60" t="n">
        <x:v>0.005</x:v>
      </x:c>
      <x:c r="H529" s="23" t="n">
        <x:f>IF(D529=F529,0,1)+IF(E529=G529,0,1)</x:f>
        <x:v>0</x:v>
      </x:c>
      <x:c r="I529" s="23" t="str">
        <x:v>Timing T20 / fictional rates</x:v>
      </x:c>
    </x:row>
    <x:row r="530" ht="21" customHeight="1">
      <x:c r="A530" s="23" t="str">
        <x:v>level_low</x:v>
      </x:c>
      <x:c r="B530" s="23" t="n">
        <x:v>43</x:v>
      </x:c>
      <x:c r="C530" s="37" t="n">
        <x:v>50314</x:v>
      </x:c>
      <x:c r="D530" s="55" t="n">
        <x:v>0</x:v>
      </x:c>
      <x:c r="E530" s="55" t="n">
        <x:v>0.005</x:v>
      </x:c>
      <x:c r="F530" s="60" t="n">
        <x:v>0</x:v>
      </x:c>
      <x:c r="G530" s="60" t="n">
        <x:v>0.005</x:v>
      </x:c>
      <x:c r="H530" s="23" t="n">
        <x:f>IF(D530=F530,0,1)+IF(E530=G530,0,1)</x:f>
        <x:v>0</x:v>
      </x:c>
      <x:c r="I530" s="23" t="str">
        <x:v>Timing T20 / fictional rates</x:v>
      </x:c>
    </x:row>
    <x:row r="531" ht="21" customHeight="1">
      <x:c r="A531" s="23" t="str">
        <x:v>level_low</x:v>
      </x:c>
      <x:c r="B531" s="23" t="n">
        <x:v>44</x:v>
      </x:c>
      <x:c r="C531" s="37" t="n">
        <x:v>50406</x:v>
      </x:c>
      <x:c r="D531" s="55" t="n">
        <x:v>0</x:v>
      </x:c>
      <x:c r="E531" s="55" t="n">
        <x:v>0.005</x:v>
      </x:c>
      <x:c r="F531" s="60" t="n">
        <x:v>0</x:v>
      </x:c>
      <x:c r="G531" s="60" t="n">
        <x:v>0.005</x:v>
      </x:c>
      <x:c r="H531" s="23" t="n">
        <x:f>IF(D531=F531,0,1)+IF(E531=G531,0,1)</x:f>
        <x:v>0</x:v>
      </x:c>
      <x:c r="I531" s="23" t="str">
        <x:v>Timing T20 / fictional rates</x:v>
      </x:c>
    </x:row>
    <x:row r="532" ht="21" customHeight="1">
      <x:c r="A532" s="23" t="str">
        <x:v>level_low</x:v>
      </x:c>
      <x:c r="B532" s="23" t="n">
        <x:v>45</x:v>
      </x:c>
      <x:c r="C532" s="37" t="n">
        <x:v>50496</x:v>
      </x:c>
      <x:c r="D532" s="55" t="n">
        <x:v>0</x:v>
      </x:c>
      <x:c r="E532" s="55" t="n">
        <x:v>0.005</x:v>
      </x:c>
      <x:c r="F532" s="60" t="n">
        <x:v>0</x:v>
      </x:c>
      <x:c r="G532" s="60" t="n">
        <x:v>0.005</x:v>
      </x:c>
      <x:c r="H532" s="23" t="n">
        <x:f>IF(D532=F532,0,1)+IF(E532=G532,0,1)</x:f>
        <x:v>0</x:v>
      </x:c>
      <x:c r="I532" s="23" t="str">
        <x:v>Timing T20 / fictional rates</x:v>
      </x:c>
    </x:row>
    <x:row r="533" ht="21" customHeight="1">
      <x:c r="A533" s="23" t="str">
        <x:v>level_low</x:v>
      </x:c>
      <x:c r="B533" s="23" t="n">
        <x:v>46</x:v>
      </x:c>
      <x:c r="C533" s="37" t="n">
        <x:v>50587</x:v>
      </x:c>
      <x:c r="D533" s="55" t="n">
        <x:v>0</x:v>
      </x:c>
      <x:c r="E533" s="55" t="n">
        <x:v>0.005</x:v>
      </x:c>
      <x:c r="F533" s="60" t="n">
        <x:v>0</x:v>
      </x:c>
      <x:c r="G533" s="60" t="n">
        <x:v>0.005</x:v>
      </x:c>
      <x:c r="H533" s="23" t="n">
        <x:f>IF(D533=F533,0,1)+IF(E533=G533,0,1)</x:f>
        <x:v>0</x:v>
      </x:c>
      <x:c r="I533" s="23" t="str">
        <x:v>Timing T20 / fictional rates</x:v>
      </x:c>
    </x:row>
    <x:row r="534" ht="21" customHeight="1">
      <x:c r="A534" s="23" t="str">
        <x:v>level_low</x:v>
      </x:c>
      <x:c r="B534" s="23" t="n">
        <x:v>47</x:v>
      </x:c>
      <x:c r="C534" s="37" t="n">
        <x:v>50679</x:v>
      </x:c>
      <x:c r="D534" s="55" t="n">
        <x:v>0</x:v>
      </x:c>
      <x:c r="E534" s="55" t="n">
        <x:v>0.005</x:v>
      </x:c>
      <x:c r="F534" s="60" t="n">
        <x:v>0</x:v>
      </x:c>
      <x:c r="G534" s="60" t="n">
        <x:v>0.005</x:v>
      </x:c>
      <x:c r="H534" s="23" t="n">
        <x:f>IF(D534=F534,0,1)+IF(E534=G534,0,1)</x:f>
        <x:v>0</x:v>
      </x:c>
      <x:c r="I534" s="23" t="str">
        <x:v>Timing T20 / fictional rates</x:v>
      </x:c>
    </x:row>
    <x:row r="535" ht="21" customHeight="1">
      <x:c r="A535" s="23" t="str">
        <x:v>level_low</x:v>
      </x:c>
      <x:c r="B535" s="23" t="n">
        <x:v>48</x:v>
      </x:c>
      <x:c r="C535" s="37" t="n">
        <x:v>50771</x:v>
      </x:c>
      <x:c r="D535" s="55" t="n">
        <x:v>0</x:v>
      </x:c>
      <x:c r="E535" s="55" t="n">
        <x:v>0.005</x:v>
      </x:c>
      <x:c r="F535" s="60" t="n">
        <x:v>0</x:v>
      </x:c>
      <x:c r="G535" s="60" t="n">
        <x:v>0.005</x:v>
      </x:c>
      <x:c r="H535" s="23" t="n">
        <x:f>IF(D535=F535,0,1)+IF(E535=G535,0,1)</x:f>
        <x:v>0</x:v>
      </x:c>
      <x:c r="I535" s="23" t="str">
        <x:v>Timing T20 / fictional rates</x:v>
      </x:c>
    </x:row>
    <x:row r="536" ht="21" customHeight="1">
      <x:c r="A536" s="23" t="str">
        <x:v>level_high</x:v>
      </x:c>
      <x:c r="B536" s="23" t="n">
        <x:v>1</x:v>
      </x:c>
      <x:c r="C536" s="37" t="n">
        <x:v>46478</x:v>
      </x:c>
      <x:c r="D536" s="55" t="n">
        <x:v>0.05</x:v>
      </x:c>
      <x:c r="E536" s="55" t="n">
        <x:v>0.06</x:v>
      </x:c>
      <x:c r="F536" s="60" t="n">
        <x:v>0.05</x:v>
      </x:c>
      <x:c r="G536" s="60" t="n">
        <x:v>0.06</x:v>
      </x:c>
      <x:c r="H536" s="23" t="n">
        <x:f>IF(D536=F536,0,1)+IF(E536=G536,0,1)</x:f>
        <x:v>0</x:v>
      </x:c>
      <x:c r="I536" s="23" t="str">
        <x:v>Timing T20 / fictional rates</x:v>
      </x:c>
    </x:row>
    <x:row r="537" ht="21" customHeight="1">
      <x:c r="A537" s="23" t="str">
        <x:v>level_high</x:v>
      </x:c>
      <x:c r="B537" s="23" t="n">
        <x:v>2</x:v>
      </x:c>
      <x:c r="C537" s="37" t="n">
        <x:v>46569</x:v>
      </x:c>
      <x:c r="D537" s="55" t="n">
        <x:v>0.05</x:v>
      </x:c>
      <x:c r="E537" s="55" t="n">
        <x:v>0.06</x:v>
      </x:c>
      <x:c r="F537" s="60" t="n">
        <x:v>0.05</x:v>
      </x:c>
      <x:c r="G537" s="60" t="n">
        <x:v>0.06</x:v>
      </x:c>
      <x:c r="H537" s="23" t="n">
        <x:f>IF(D537=F537,0,1)+IF(E537=G537,0,1)</x:f>
        <x:v>0</x:v>
      </x:c>
      <x:c r="I537" s="23" t="str">
        <x:v>Timing T20 / fictional rates</x:v>
      </x:c>
    </x:row>
    <x:row r="538" ht="21" customHeight="1">
      <x:c r="A538" s="23" t="str">
        <x:v>level_high</x:v>
      </x:c>
      <x:c r="B538" s="23" t="n">
        <x:v>3</x:v>
      </x:c>
      <x:c r="C538" s="37" t="n">
        <x:v>46661</x:v>
      </x:c>
      <x:c r="D538" s="55" t="n">
        <x:v>0.05</x:v>
      </x:c>
      <x:c r="E538" s="55" t="n">
        <x:v>0.06</x:v>
      </x:c>
      <x:c r="F538" s="60" t="n">
        <x:v>0.05</x:v>
      </x:c>
      <x:c r="G538" s="60" t="n">
        <x:v>0.06</x:v>
      </x:c>
      <x:c r="H538" s="23" t="n">
        <x:f>IF(D538=F538,0,1)+IF(E538=G538,0,1)</x:f>
        <x:v>0</x:v>
      </x:c>
      <x:c r="I538" s="23" t="str">
        <x:v>Timing T20 / fictional rates</x:v>
      </x:c>
    </x:row>
    <x:row r="539" ht="21" customHeight="1">
      <x:c r="A539" s="23" t="str">
        <x:v>level_high</x:v>
      </x:c>
      <x:c r="B539" s="23" t="n">
        <x:v>4</x:v>
      </x:c>
      <x:c r="C539" s="37" t="n">
        <x:v>46753</x:v>
      </x:c>
      <x:c r="D539" s="55" t="n">
        <x:v>0.05</x:v>
      </x:c>
      <x:c r="E539" s="55" t="n">
        <x:v>0.06</x:v>
      </x:c>
      <x:c r="F539" s="60" t="n">
        <x:v>0.05</x:v>
      </x:c>
      <x:c r="G539" s="60" t="n">
        <x:v>0.06</x:v>
      </x:c>
      <x:c r="H539" s="23" t="n">
        <x:f>IF(D539=F539,0,1)+IF(E539=G539,0,1)</x:f>
        <x:v>0</x:v>
      </x:c>
      <x:c r="I539" s="23" t="str">
        <x:v>Timing T20 / fictional rates</x:v>
      </x:c>
    </x:row>
    <x:row r="540" ht="21" customHeight="1">
      <x:c r="A540" s="23" t="str">
        <x:v>level_high</x:v>
      </x:c>
      <x:c r="B540" s="23" t="n">
        <x:v>5</x:v>
      </x:c>
      <x:c r="C540" s="37" t="n">
        <x:v>46844</x:v>
      </x:c>
      <x:c r="D540" s="55" t="n">
        <x:v>0.05</x:v>
      </x:c>
      <x:c r="E540" s="55" t="n">
        <x:v>0.06</x:v>
      </x:c>
      <x:c r="F540" s="60" t="n">
        <x:v>0.05</x:v>
      </x:c>
      <x:c r="G540" s="60" t="n">
        <x:v>0.06</x:v>
      </x:c>
      <x:c r="H540" s="23" t="n">
        <x:f>IF(D540=F540,0,1)+IF(E540=G540,0,1)</x:f>
        <x:v>0</x:v>
      </x:c>
      <x:c r="I540" s="23" t="str">
        <x:v>Timing T20 / fictional rates</x:v>
      </x:c>
    </x:row>
    <x:row r="541" ht="21" customHeight="1">
      <x:c r="A541" s="23" t="str">
        <x:v>level_high</x:v>
      </x:c>
      <x:c r="B541" s="23" t="n">
        <x:v>6</x:v>
      </x:c>
      <x:c r="C541" s="37" t="n">
        <x:v>46935</x:v>
      </x:c>
      <x:c r="D541" s="55" t="n">
        <x:v>0.05</x:v>
      </x:c>
      <x:c r="E541" s="55" t="n">
        <x:v>0.06</x:v>
      </x:c>
      <x:c r="F541" s="60" t="n">
        <x:v>0.05</x:v>
      </x:c>
      <x:c r="G541" s="60" t="n">
        <x:v>0.06</x:v>
      </x:c>
      <x:c r="H541" s="23" t="n">
        <x:f>IF(D541=F541,0,1)+IF(E541=G541,0,1)</x:f>
        <x:v>0</x:v>
      </x:c>
      <x:c r="I541" s="23" t="str">
        <x:v>Timing T20 / fictional rates</x:v>
      </x:c>
    </x:row>
    <x:row r="542" ht="21" customHeight="1">
      <x:c r="A542" s="23" t="str">
        <x:v>level_high</x:v>
      </x:c>
      <x:c r="B542" s="23" t="n">
        <x:v>7</x:v>
      </x:c>
      <x:c r="C542" s="37" t="n">
        <x:v>47027</x:v>
      </x:c>
      <x:c r="D542" s="55" t="n">
        <x:v>0.05</x:v>
      </x:c>
      <x:c r="E542" s="55" t="n">
        <x:v>0.06</x:v>
      </x:c>
      <x:c r="F542" s="60" t="n">
        <x:v>0.05</x:v>
      </x:c>
      <x:c r="G542" s="60" t="n">
        <x:v>0.06</x:v>
      </x:c>
      <x:c r="H542" s="23" t="n">
        <x:f>IF(D542=F542,0,1)+IF(E542=G542,0,1)</x:f>
        <x:v>0</x:v>
      </x:c>
      <x:c r="I542" s="23" t="str">
        <x:v>Timing T20 / fictional rates</x:v>
      </x:c>
    </x:row>
    <x:row r="543" ht="21" customHeight="1">
      <x:c r="A543" s="23" t="str">
        <x:v>level_high</x:v>
      </x:c>
      <x:c r="B543" s="23" t="n">
        <x:v>8</x:v>
      </x:c>
      <x:c r="C543" s="37" t="n">
        <x:v>47119</x:v>
      </x:c>
      <x:c r="D543" s="55" t="n">
        <x:v>0.05</x:v>
      </x:c>
      <x:c r="E543" s="55" t="n">
        <x:v>0.06</x:v>
      </x:c>
      <x:c r="F543" s="60" t="n">
        <x:v>0.05</x:v>
      </x:c>
      <x:c r="G543" s="60" t="n">
        <x:v>0.06</x:v>
      </x:c>
      <x:c r="H543" s="23" t="n">
        <x:f>IF(D543=F543,0,1)+IF(E543=G543,0,1)</x:f>
        <x:v>0</x:v>
      </x:c>
      <x:c r="I543" s="23" t="str">
        <x:v>Timing T20 / fictional rates</x:v>
      </x:c>
    </x:row>
    <x:row r="544" ht="21" customHeight="1">
      <x:c r="A544" s="23" t="str">
        <x:v>level_high</x:v>
      </x:c>
      <x:c r="B544" s="23" t="n">
        <x:v>9</x:v>
      </x:c>
      <x:c r="C544" s="37" t="n">
        <x:v>47209</x:v>
      </x:c>
      <x:c r="D544" s="55" t="n">
        <x:v>0.05</x:v>
      </x:c>
      <x:c r="E544" s="55" t="n">
        <x:v>0.06</x:v>
      </x:c>
      <x:c r="F544" s="60" t="n">
        <x:v>0.05</x:v>
      </x:c>
      <x:c r="G544" s="60" t="n">
        <x:v>0.06</x:v>
      </x:c>
      <x:c r="H544" s="23" t="n">
        <x:f>IF(D544=F544,0,1)+IF(E544=G544,0,1)</x:f>
        <x:v>0</x:v>
      </x:c>
      <x:c r="I544" s="23" t="str">
        <x:v>Timing T20 / fictional rates</x:v>
      </x:c>
    </x:row>
    <x:row r="545" ht="21" customHeight="1">
      <x:c r="A545" s="23" t="str">
        <x:v>level_high</x:v>
      </x:c>
      <x:c r="B545" s="23" t="n">
        <x:v>10</x:v>
      </x:c>
      <x:c r="C545" s="37" t="n">
        <x:v>47300</x:v>
      </x:c>
      <x:c r="D545" s="55" t="n">
        <x:v>0.05</x:v>
      </x:c>
      <x:c r="E545" s="55" t="n">
        <x:v>0.06</x:v>
      </x:c>
      <x:c r="F545" s="60" t="n">
        <x:v>0.05</x:v>
      </x:c>
      <x:c r="G545" s="60" t="n">
        <x:v>0.06</x:v>
      </x:c>
      <x:c r="H545" s="23" t="n">
        <x:f>IF(D545=F545,0,1)+IF(E545=G545,0,1)</x:f>
        <x:v>0</x:v>
      </x:c>
      <x:c r="I545" s="23" t="str">
        <x:v>Timing T20 / fictional rates</x:v>
      </x:c>
    </x:row>
    <x:row r="546" ht="21" customHeight="1">
      <x:c r="A546" s="23" t="str">
        <x:v>level_high</x:v>
      </x:c>
      <x:c r="B546" s="23" t="n">
        <x:v>11</x:v>
      </x:c>
      <x:c r="C546" s="37" t="n">
        <x:v>47392</x:v>
      </x:c>
      <x:c r="D546" s="55" t="n">
        <x:v>0.05</x:v>
      </x:c>
      <x:c r="E546" s="55" t="n">
        <x:v>0.06</x:v>
      </x:c>
      <x:c r="F546" s="60" t="n">
        <x:v>0.05</x:v>
      </x:c>
      <x:c r="G546" s="60" t="n">
        <x:v>0.06</x:v>
      </x:c>
      <x:c r="H546" s="23" t="n">
        <x:f>IF(D546=F546,0,1)+IF(E546=G546,0,1)</x:f>
        <x:v>0</x:v>
      </x:c>
      <x:c r="I546" s="23" t="str">
        <x:v>Timing T20 / fictional rates</x:v>
      </x:c>
    </x:row>
    <x:row r="547" ht="21" customHeight="1">
      <x:c r="A547" s="23" t="str">
        <x:v>level_high</x:v>
      </x:c>
      <x:c r="B547" s="23" t="n">
        <x:v>12</x:v>
      </x:c>
      <x:c r="C547" s="37" t="n">
        <x:v>47484</x:v>
      </x:c>
      <x:c r="D547" s="55" t="n">
        <x:v>0.05</x:v>
      </x:c>
      <x:c r="E547" s="55" t="n">
        <x:v>0.06</x:v>
      </x:c>
      <x:c r="F547" s="60" t="n">
        <x:v>0.05</x:v>
      </x:c>
      <x:c r="G547" s="60" t="n">
        <x:v>0.06</x:v>
      </x:c>
      <x:c r="H547" s="23" t="n">
        <x:f>IF(D547=F547,0,1)+IF(E547=G547,0,1)</x:f>
        <x:v>0</x:v>
      </x:c>
      <x:c r="I547" s="23" t="str">
        <x:v>Timing T20 / fictional rates</x:v>
      </x:c>
    </x:row>
    <x:row r="548" ht="21" customHeight="1">
      <x:c r="A548" s="23" t="str">
        <x:v>level_high</x:v>
      </x:c>
      <x:c r="B548" s="23" t="n">
        <x:v>13</x:v>
      </x:c>
      <x:c r="C548" s="37" t="n">
        <x:v>47574</x:v>
      </x:c>
      <x:c r="D548" s="55" t="n">
        <x:v>0.05</x:v>
      </x:c>
      <x:c r="E548" s="55" t="n">
        <x:v>0.06</x:v>
      </x:c>
      <x:c r="F548" s="60" t="n">
        <x:v>0.05</x:v>
      </x:c>
      <x:c r="G548" s="60" t="n">
        <x:v>0.06</x:v>
      </x:c>
      <x:c r="H548" s="23" t="n">
        <x:f>IF(D548=F548,0,1)+IF(E548=G548,0,1)</x:f>
        <x:v>0</x:v>
      </x:c>
      <x:c r="I548" s="23" t="str">
        <x:v>Timing T20 / fictional rates</x:v>
      </x:c>
    </x:row>
    <x:row r="549" ht="21" customHeight="1">
      <x:c r="A549" s="23" t="str">
        <x:v>level_high</x:v>
      </x:c>
      <x:c r="B549" s="23" t="n">
        <x:v>14</x:v>
      </x:c>
      <x:c r="C549" s="37" t="n">
        <x:v>47665</x:v>
      </x:c>
      <x:c r="D549" s="55" t="n">
        <x:v>0.05</x:v>
      </x:c>
      <x:c r="E549" s="55" t="n">
        <x:v>0.06</x:v>
      </x:c>
      <x:c r="F549" s="60" t="n">
        <x:v>0.05</x:v>
      </x:c>
      <x:c r="G549" s="60" t="n">
        <x:v>0.06</x:v>
      </x:c>
      <x:c r="H549" s="23" t="n">
        <x:f>IF(D549=F549,0,1)+IF(E549=G549,0,1)</x:f>
        <x:v>0</x:v>
      </x:c>
      <x:c r="I549" s="23" t="str">
        <x:v>Timing T20 / fictional rates</x:v>
      </x:c>
    </x:row>
    <x:row r="550" ht="21" customHeight="1">
      <x:c r="A550" s="23" t="str">
        <x:v>level_high</x:v>
      </x:c>
      <x:c r="B550" s="23" t="n">
        <x:v>15</x:v>
      </x:c>
      <x:c r="C550" s="37" t="n">
        <x:v>47757</x:v>
      </x:c>
      <x:c r="D550" s="55" t="n">
        <x:v>0.05</x:v>
      </x:c>
      <x:c r="E550" s="55" t="n">
        <x:v>0.06</x:v>
      </x:c>
      <x:c r="F550" s="60" t="n">
        <x:v>0.05</x:v>
      </x:c>
      <x:c r="G550" s="60" t="n">
        <x:v>0.06</x:v>
      </x:c>
      <x:c r="H550" s="23" t="n">
        <x:f>IF(D550=F550,0,1)+IF(E550=G550,0,1)</x:f>
        <x:v>0</x:v>
      </x:c>
      <x:c r="I550" s="23" t="str">
        <x:v>Timing T20 / fictional rates</x:v>
      </x:c>
    </x:row>
    <x:row r="551" ht="21" customHeight="1">
      <x:c r="A551" s="23" t="str">
        <x:v>level_high</x:v>
      </x:c>
      <x:c r="B551" s="23" t="n">
        <x:v>16</x:v>
      </x:c>
      <x:c r="C551" s="37" t="n">
        <x:v>47849</x:v>
      </x:c>
      <x:c r="D551" s="55" t="n">
        <x:v>0.05</x:v>
      </x:c>
      <x:c r="E551" s="55" t="n">
        <x:v>0.06</x:v>
      </x:c>
      <x:c r="F551" s="60" t="n">
        <x:v>0.05</x:v>
      </x:c>
      <x:c r="G551" s="60" t="n">
        <x:v>0.06</x:v>
      </x:c>
      <x:c r="H551" s="23" t="n">
        <x:f>IF(D551=F551,0,1)+IF(E551=G551,0,1)</x:f>
        <x:v>0</x:v>
      </x:c>
      <x:c r="I551" s="23" t="str">
        <x:v>Timing T20 / fictional rates</x:v>
      </x:c>
    </x:row>
    <x:row r="552" ht="21" customHeight="1">
      <x:c r="A552" s="23" t="str">
        <x:v>level_high</x:v>
      </x:c>
      <x:c r="B552" s="23" t="n">
        <x:v>17</x:v>
      </x:c>
      <x:c r="C552" s="37" t="n">
        <x:v>47939</x:v>
      </x:c>
      <x:c r="D552" s="55" t="n">
        <x:v>0.05</x:v>
      </x:c>
      <x:c r="E552" s="55" t="n">
        <x:v>0.06</x:v>
      </x:c>
      <x:c r="F552" s="60" t="n">
        <x:v>0.05</x:v>
      </x:c>
      <x:c r="G552" s="60" t="n">
        <x:v>0.06</x:v>
      </x:c>
      <x:c r="H552" s="23" t="n">
        <x:f>IF(D552=F552,0,1)+IF(E552=G552,0,1)</x:f>
        <x:v>0</x:v>
      </x:c>
      <x:c r="I552" s="23" t="str">
        <x:v>Timing T20 / fictional rates</x:v>
      </x:c>
    </x:row>
    <x:row r="553" ht="21" customHeight="1">
      <x:c r="A553" s="23" t="str">
        <x:v>level_high</x:v>
      </x:c>
      <x:c r="B553" s="23" t="n">
        <x:v>18</x:v>
      </x:c>
      <x:c r="C553" s="37" t="n">
        <x:v>48030</x:v>
      </x:c>
      <x:c r="D553" s="55" t="n">
        <x:v>0.05</x:v>
      </x:c>
      <x:c r="E553" s="55" t="n">
        <x:v>0.06</x:v>
      </x:c>
      <x:c r="F553" s="60" t="n">
        <x:v>0.05</x:v>
      </x:c>
      <x:c r="G553" s="60" t="n">
        <x:v>0.06</x:v>
      </x:c>
      <x:c r="H553" s="23" t="n">
        <x:f>IF(D553=F553,0,1)+IF(E553=G553,0,1)</x:f>
        <x:v>0</x:v>
      </x:c>
      <x:c r="I553" s="23" t="str">
        <x:v>Timing T20 / fictional rates</x:v>
      </x:c>
    </x:row>
    <x:row r="554" ht="21" customHeight="1">
      <x:c r="A554" s="23" t="str">
        <x:v>level_high</x:v>
      </x:c>
      <x:c r="B554" s="23" t="n">
        <x:v>19</x:v>
      </x:c>
      <x:c r="C554" s="37" t="n">
        <x:v>48122</x:v>
      </x:c>
      <x:c r="D554" s="55" t="n">
        <x:v>0.05</x:v>
      </x:c>
      <x:c r="E554" s="55" t="n">
        <x:v>0.06</x:v>
      </x:c>
      <x:c r="F554" s="60" t="n">
        <x:v>0.05</x:v>
      </x:c>
      <x:c r="G554" s="60" t="n">
        <x:v>0.06</x:v>
      </x:c>
      <x:c r="H554" s="23" t="n">
        <x:f>IF(D554=F554,0,1)+IF(E554=G554,0,1)</x:f>
        <x:v>0</x:v>
      </x:c>
      <x:c r="I554" s="23" t="str">
        <x:v>Timing T20 / fictional rates</x:v>
      </x:c>
    </x:row>
    <x:row r="555" ht="21" customHeight="1">
      <x:c r="A555" s="23" t="str">
        <x:v>level_high</x:v>
      </x:c>
      <x:c r="B555" s="23" t="n">
        <x:v>20</x:v>
      </x:c>
      <x:c r="C555" s="37" t="n">
        <x:v>48214</x:v>
      </x:c>
      <x:c r="D555" s="55" t="n">
        <x:v>0.05</x:v>
      </x:c>
      <x:c r="E555" s="55" t="n">
        <x:v>0.06</x:v>
      </x:c>
      <x:c r="F555" s="60" t="n">
        <x:v>0.05</x:v>
      </x:c>
      <x:c r="G555" s="60" t="n">
        <x:v>0.06</x:v>
      </x:c>
      <x:c r="H555" s="23" t="n">
        <x:f>IF(D555=F555,0,1)+IF(E555=G555,0,1)</x:f>
        <x:v>0</x:v>
      </x:c>
      <x:c r="I555" s="23" t="str">
        <x:v>Timing T20 / fictional rates</x:v>
      </x:c>
    </x:row>
    <x:row r="556" ht="21" customHeight="1">
      <x:c r="A556" s="23" t="str">
        <x:v>level_high</x:v>
      </x:c>
      <x:c r="B556" s="23" t="n">
        <x:v>21</x:v>
      </x:c>
      <x:c r="C556" s="37" t="n">
        <x:v>48305</x:v>
      </x:c>
      <x:c r="D556" s="55" t="n">
        <x:v>0</x:v>
      </x:c>
      <x:c r="E556" s="55" t="n">
        <x:v>0.06</x:v>
      </x:c>
      <x:c r="F556" s="60" t="n">
        <x:v>0</x:v>
      </x:c>
      <x:c r="G556" s="60" t="n">
        <x:v>0.06</x:v>
      </x:c>
      <x:c r="H556" s="23" t="n">
        <x:f>IF(D556=F556,0,1)+IF(E556=G556,0,1)</x:f>
        <x:v>0</x:v>
      </x:c>
      <x:c r="I556" s="23" t="str">
        <x:v>Timing T20 / fictional rates</x:v>
      </x:c>
    </x:row>
    <x:row r="557" ht="21" customHeight="1">
      <x:c r="A557" s="23" t="str">
        <x:v>level_high</x:v>
      </x:c>
      <x:c r="B557" s="23" t="n">
        <x:v>22</x:v>
      </x:c>
      <x:c r="C557" s="37" t="n">
        <x:v>48396</x:v>
      </x:c>
      <x:c r="D557" s="55" t="n">
        <x:v>0</x:v>
      </x:c>
      <x:c r="E557" s="55" t="n">
        <x:v>0.06</x:v>
      </x:c>
      <x:c r="F557" s="60" t="n">
        <x:v>0</x:v>
      </x:c>
      <x:c r="G557" s="60" t="n">
        <x:v>0.06</x:v>
      </x:c>
      <x:c r="H557" s="23" t="n">
        <x:f>IF(D557=F557,0,1)+IF(E557=G557,0,1)</x:f>
        <x:v>0</x:v>
      </x:c>
      <x:c r="I557" s="23" t="str">
        <x:v>Timing T20 / fictional rates</x:v>
      </x:c>
    </x:row>
    <x:row r="558" ht="21" customHeight="1">
      <x:c r="A558" s="23" t="str">
        <x:v>level_high</x:v>
      </x:c>
      <x:c r="B558" s="23" t="n">
        <x:v>23</x:v>
      </x:c>
      <x:c r="C558" s="37" t="n">
        <x:v>48488</x:v>
      </x:c>
      <x:c r="D558" s="55" t="n">
        <x:v>0</x:v>
      </x:c>
      <x:c r="E558" s="55" t="n">
        <x:v>0.06</x:v>
      </x:c>
      <x:c r="F558" s="60" t="n">
        <x:v>0</x:v>
      </x:c>
      <x:c r="G558" s="60" t="n">
        <x:v>0.06</x:v>
      </x:c>
      <x:c r="H558" s="23" t="n">
        <x:f>IF(D558=F558,0,1)+IF(E558=G558,0,1)</x:f>
        <x:v>0</x:v>
      </x:c>
      <x:c r="I558" s="23" t="str">
        <x:v>Timing T20 / fictional rates</x:v>
      </x:c>
    </x:row>
    <x:row r="559" ht="21" customHeight="1">
      <x:c r="A559" s="23" t="str">
        <x:v>level_high</x:v>
      </x:c>
      <x:c r="B559" s="23" t="n">
        <x:v>24</x:v>
      </x:c>
      <x:c r="C559" s="37" t="n">
        <x:v>48580</x:v>
      </x:c>
      <x:c r="D559" s="55" t="n">
        <x:v>0</x:v>
      </x:c>
      <x:c r="E559" s="55" t="n">
        <x:v>0.06</x:v>
      </x:c>
      <x:c r="F559" s="60" t="n">
        <x:v>0</x:v>
      </x:c>
      <x:c r="G559" s="60" t="n">
        <x:v>0.06</x:v>
      </x:c>
      <x:c r="H559" s="23" t="n">
        <x:f>IF(D559=F559,0,1)+IF(E559=G559,0,1)</x:f>
        <x:v>0</x:v>
      </x:c>
      <x:c r="I559" s="23" t="str">
        <x:v>Timing T20 / fictional rates</x:v>
      </x:c>
    </x:row>
    <x:row r="560" ht="21" customHeight="1">
      <x:c r="A560" s="23" t="str">
        <x:v>level_high</x:v>
      </x:c>
      <x:c r="B560" s="23" t="n">
        <x:v>25</x:v>
      </x:c>
      <x:c r="C560" s="37" t="n">
        <x:v>48670</x:v>
      </x:c>
      <x:c r="D560" s="55" t="n">
        <x:v>0</x:v>
      </x:c>
      <x:c r="E560" s="55" t="n">
        <x:v>0.06</x:v>
      </x:c>
      <x:c r="F560" s="60" t="n">
        <x:v>0</x:v>
      </x:c>
      <x:c r="G560" s="60" t="n">
        <x:v>0.06</x:v>
      </x:c>
      <x:c r="H560" s="23" t="n">
        <x:f>IF(D560=F560,0,1)+IF(E560=G560,0,1)</x:f>
        <x:v>0</x:v>
      </x:c>
      <x:c r="I560" s="23" t="str">
        <x:v>Timing T20 / fictional rates</x:v>
      </x:c>
    </x:row>
    <x:row r="561" ht="21" customHeight="1">
      <x:c r="A561" s="23" t="str">
        <x:v>level_high</x:v>
      </x:c>
      <x:c r="B561" s="23" t="n">
        <x:v>26</x:v>
      </x:c>
      <x:c r="C561" s="37" t="n">
        <x:v>48761</x:v>
      </x:c>
      <x:c r="D561" s="55" t="n">
        <x:v>0</x:v>
      </x:c>
      <x:c r="E561" s="55" t="n">
        <x:v>0.06</x:v>
      </x:c>
      <x:c r="F561" s="60" t="n">
        <x:v>0</x:v>
      </x:c>
      <x:c r="G561" s="60" t="n">
        <x:v>0.06</x:v>
      </x:c>
      <x:c r="H561" s="23" t="n">
        <x:f>IF(D561=F561,0,1)+IF(E561=G561,0,1)</x:f>
        <x:v>0</x:v>
      </x:c>
      <x:c r="I561" s="23" t="str">
        <x:v>Timing T20 / fictional rates</x:v>
      </x:c>
    </x:row>
    <x:row r="562" ht="21" customHeight="1">
      <x:c r="A562" s="23" t="str">
        <x:v>level_high</x:v>
      </x:c>
      <x:c r="B562" s="23" t="n">
        <x:v>27</x:v>
      </x:c>
      <x:c r="C562" s="37" t="n">
        <x:v>48853</x:v>
      </x:c>
      <x:c r="D562" s="55" t="n">
        <x:v>0</x:v>
      </x:c>
      <x:c r="E562" s="55" t="n">
        <x:v>0.06</x:v>
      </x:c>
      <x:c r="F562" s="60" t="n">
        <x:v>0</x:v>
      </x:c>
      <x:c r="G562" s="60" t="n">
        <x:v>0.06</x:v>
      </x:c>
      <x:c r="H562" s="23" t="n">
        <x:f>IF(D562=F562,0,1)+IF(E562=G562,0,1)</x:f>
        <x:v>0</x:v>
      </x:c>
      <x:c r="I562" s="23" t="str">
        <x:v>Timing T20 / fictional rates</x:v>
      </x:c>
    </x:row>
    <x:row r="563" ht="21" customHeight="1">
      <x:c r="A563" s="23" t="str">
        <x:v>level_high</x:v>
      </x:c>
      <x:c r="B563" s="23" t="n">
        <x:v>28</x:v>
      </x:c>
      <x:c r="C563" s="37" t="n">
        <x:v>48945</x:v>
      </x:c>
      <x:c r="D563" s="55" t="n">
        <x:v>0</x:v>
      </x:c>
      <x:c r="E563" s="55" t="n">
        <x:v>0.06</x:v>
      </x:c>
      <x:c r="F563" s="60" t="n">
        <x:v>0</x:v>
      </x:c>
      <x:c r="G563" s="60" t="n">
        <x:v>0.06</x:v>
      </x:c>
      <x:c r="H563" s="23" t="n">
        <x:f>IF(D563=F563,0,1)+IF(E563=G563,0,1)</x:f>
        <x:v>0</x:v>
      </x:c>
      <x:c r="I563" s="23" t="str">
        <x:v>Timing T20 / fictional rates</x:v>
      </x:c>
    </x:row>
    <x:row r="564" ht="21" customHeight="1">
      <x:c r="A564" s="23" t="str">
        <x:v>level_high</x:v>
      </x:c>
      <x:c r="B564" s="23" t="n">
        <x:v>29</x:v>
      </x:c>
      <x:c r="C564" s="37" t="n">
        <x:v>49035</x:v>
      </x:c>
      <x:c r="D564" s="55" t="n">
        <x:v>0</x:v>
      </x:c>
      <x:c r="E564" s="55" t="n">
        <x:v>0.06</x:v>
      </x:c>
      <x:c r="F564" s="60" t="n">
        <x:v>0</x:v>
      </x:c>
      <x:c r="G564" s="60" t="n">
        <x:v>0.06</x:v>
      </x:c>
      <x:c r="H564" s="23" t="n">
        <x:f>IF(D564=F564,0,1)+IF(E564=G564,0,1)</x:f>
        <x:v>0</x:v>
      </x:c>
      <x:c r="I564" s="23" t="str">
        <x:v>Timing T20 / fictional rates</x:v>
      </x:c>
    </x:row>
    <x:row r="565" ht="21" customHeight="1">
      <x:c r="A565" s="23" t="str">
        <x:v>level_high</x:v>
      </x:c>
      <x:c r="B565" s="23" t="n">
        <x:v>30</x:v>
      </x:c>
      <x:c r="C565" s="37" t="n">
        <x:v>49126</x:v>
      </x:c>
      <x:c r="D565" s="55" t="n">
        <x:v>0</x:v>
      </x:c>
      <x:c r="E565" s="55" t="n">
        <x:v>0.06</x:v>
      </x:c>
      <x:c r="F565" s="60" t="n">
        <x:v>0</x:v>
      </x:c>
      <x:c r="G565" s="60" t="n">
        <x:v>0.06</x:v>
      </x:c>
      <x:c r="H565" s="23" t="n">
        <x:f>IF(D565=F565,0,1)+IF(E565=G565,0,1)</x:f>
        <x:v>0</x:v>
      </x:c>
      <x:c r="I565" s="23" t="str">
        <x:v>Timing T20 / fictional rates</x:v>
      </x:c>
    </x:row>
    <x:row r="566" ht="21" customHeight="1">
      <x:c r="A566" s="23" t="str">
        <x:v>level_high</x:v>
      </x:c>
      <x:c r="B566" s="23" t="n">
        <x:v>31</x:v>
      </x:c>
      <x:c r="C566" s="37" t="n">
        <x:v>49218</x:v>
      </x:c>
      <x:c r="D566" s="55" t="n">
        <x:v>0</x:v>
      </x:c>
      <x:c r="E566" s="55" t="n">
        <x:v>0.06</x:v>
      </x:c>
      <x:c r="F566" s="60" t="n">
        <x:v>0</x:v>
      </x:c>
      <x:c r="G566" s="60" t="n">
        <x:v>0.06</x:v>
      </x:c>
      <x:c r="H566" s="23" t="n">
        <x:f>IF(D566=F566,0,1)+IF(E566=G566,0,1)</x:f>
        <x:v>0</x:v>
      </x:c>
      <x:c r="I566" s="23" t="str">
        <x:v>Timing T20 / fictional rates</x:v>
      </x:c>
    </x:row>
    <x:row r="567" ht="21" customHeight="1">
      <x:c r="A567" s="23" t="str">
        <x:v>level_high</x:v>
      </x:c>
      <x:c r="B567" s="23" t="n">
        <x:v>32</x:v>
      </x:c>
      <x:c r="C567" s="37" t="n">
        <x:v>49310</x:v>
      </x:c>
      <x:c r="D567" s="55" t="n">
        <x:v>0</x:v>
      </x:c>
      <x:c r="E567" s="55" t="n">
        <x:v>0.06</x:v>
      </x:c>
      <x:c r="F567" s="60" t="n">
        <x:v>0</x:v>
      </x:c>
      <x:c r="G567" s="60" t="n">
        <x:v>0.06</x:v>
      </x:c>
      <x:c r="H567" s="23" t="n">
        <x:f>IF(D567=F567,0,1)+IF(E567=G567,0,1)</x:f>
        <x:v>0</x:v>
      </x:c>
      <x:c r="I567" s="23" t="str">
        <x:v>Timing T20 / fictional rates</x:v>
      </x:c>
    </x:row>
    <x:row r="568" ht="21" customHeight="1">
      <x:c r="A568" s="23" t="str">
        <x:v>level_high</x:v>
      </x:c>
      <x:c r="B568" s="23" t="n">
        <x:v>33</x:v>
      </x:c>
      <x:c r="C568" s="37" t="n">
        <x:v>49400</x:v>
      </x:c>
      <x:c r="D568" s="55" t="n">
        <x:v>0</x:v>
      </x:c>
      <x:c r="E568" s="55" t="n">
        <x:v>0.06</x:v>
      </x:c>
      <x:c r="F568" s="60" t="n">
        <x:v>0</x:v>
      </x:c>
      <x:c r="G568" s="60" t="n">
        <x:v>0.06</x:v>
      </x:c>
      <x:c r="H568" s="23" t="n">
        <x:f>IF(D568=F568,0,1)+IF(E568=G568,0,1)</x:f>
        <x:v>0</x:v>
      </x:c>
      <x:c r="I568" s="23" t="str">
        <x:v>Timing T20 / fictional rates</x:v>
      </x:c>
    </x:row>
    <x:row r="569" ht="21" customHeight="1">
      <x:c r="A569" s="23" t="str">
        <x:v>level_high</x:v>
      </x:c>
      <x:c r="B569" s="23" t="n">
        <x:v>34</x:v>
      </x:c>
      <x:c r="C569" s="37" t="n">
        <x:v>49491</x:v>
      </x:c>
      <x:c r="D569" s="55" t="n">
        <x:v>0</x:v>
      </x:c>
      <x:c r="E569" s="55" t="n">
        <x:v>0.06</x:v>
      </x:c>
      <x:c r="F569" s="60" t="n">
        <x:v>0</x:v>
      </x:c>
      <x:c r="G569" s="60" t="n">
        <x:v>0.06</x:v>
      </x:c>
      <x:c r="H569" s="23" t="n">
        <x:f>IF(D569=F569,0,1)+IF(E569=G569,0,1)</x:f>
        <x:v>0</x:v>
      </x:c>
      <x:c r="I569" s="23" t="str">
        <x:v>Timing T20 / fictional rates</x:v>
      </x:c>
    </x:row>
    <x:row r="570" ht="21" customHeight="1">
      <x:c r="A570" s="23" t="str">
        <x:v>level_high</x:v>
      </x:c>
      <x:c r="B570" s="23" t="n">
        <x:v>35</x:v>
      </x:c>
      <x:c r="C570" s="37" t="n">
        <x:v>49583</x:v>
      </x:c>
      <x:c r="D570" s="55" t="n">
        <x:v>0</x:v>
      </x:c>
      <x:c r="E570" s="55" t="n">
        <x:v>0.06</x:v>
      </x:c>
      <x:c r="F570" s="60" t="n">
        <x:v>0</x:v>
      </x:c>
      <x:c r="G570" s="60" t="n">
        <x:v>0.06</x:v>
      </x:c>
      <x:c r="H570" s="23" t="n">
        <x:f>IF(D570=F570,0,1)+IF(E570=G570,0,1)</x:f>
        <x:v>0</x:v>
      </x:c>
      <x:c r="I570" s="23" t="str">
        <x:v>Timing T20 / fictional rates</x:v>
      </x:c>
    </x:row>
    <x:row r="571" ht="21" customHeight="1">
      <x:c r="A571" s="23" t="str">
        <x:v>level_high</x:v>
      </x:c>
      <x:c r="B571" s="23" t="n">
        <x:v>36</x:v>
      </x:c>
      <x:c r="C571" s="37" t="n">
        <x:v>49675</x:v>
      </x:c>
      <x:c r="D571" s="55" t="n">
        <x:v>0</x:v>
      </x:c>
      <x:c r="E571" s="55" t="n">
        <x:v>0.06</x:v>
      </x:c>
      <x:c r="F571" s="60" t="n">
        <x:v>0</x:v>
      </x:c>
      <x:c r="G571" s="60" t="n">
        <x:v>0.06</x:v>
      </x:c>
      <x:c r="H571" s="23" t="n">
        <x:f>IF(D571=F571,0,1)+IF(E571=G571,0,1)</x:f>
        <x:v>0</x:v>
      </x:c>
      <x:c r="I571" s="23" t="str">
        <x:v>Timing T20 / fictional rates</x:v>
      </x:c>
    </x:row>
    <x:row r="572" ht="21" customHeight="1">
      <x:c r="A572" s="23" t="str">
        <x:v>level_high</x:v>
      </x:c>
      <x:c r="B572" s="23" t="n">
        <x:v>37</x:v>
      </x:c>
      <x:c r="C572" s="37" t="n">
        <x:v>49766</x:v>
      </x:c>
      <x:c r="D572" s="55" t="n">
        <x:v>0</x:v>
      </x:c>
      <x:c r="E572" s="55" t="n">
        <x:v>0.06</x:v>
      </x:c>
      <x:c r="F572" s="60" t="n">
        <x:v>0</x:v>
      </x:c>
      <x:c r="G572" s="60" t="n">
        <x:v>0.06</x:v>
      </x:c>
      <x:c r="H572" s="23" t="n">
        <x:f>IF(D572=F572,0,1)+IF(E572=G572,0,1)</x:f>
        <x:v>0</x:v>
      </x:c>
      <x:c r="I572" s="23" t="str">
        <x:v>Timing T20 / fictional rates</x:v>
      </x:c>
    </x:row>
    <x:row r="573" ht="21" customHeight="1">
      <x:c r="A573" s="23" t="str">
        <x:v>level_high</x:v>
      </x:c>
      <x:c r="B573" s="23" t="n">
        <x:v>38</x:v>
      </x:c>
      <x:c r="C573" s="37" t="n">
        <x:v>49857</x:v>
      </x:c>
      <x:c r="D573" s="55" t="n">
        <x:v>0</x:v>
      </x:c>
      <x:c r="E573" s="55" t="n">
        <x:v>0.06</x:v>
      </x:c>
      <x:c r="F573" s="60" t="n">
        <x:v>0</x:v>
      </x:c>
      <x:c r="G573" s="60" t="n">
        <x:v>0.06</x:v>
      </x:c>
      <x:c r="H573" s="23" t="n">
        <x:f>IF(D573=F573,0,1)+IF(E573=G573,0,1)</x:f>
        <x:v>0</x:v>
      </x:c>
      <x:c r="I573" s="23" t="str">
        <x:v>Timing T20 / fictional rates</x:v>
      </x:c>
    </x:row>
    <x:row r="574" ht="21" customHeight="1">
      <x:c r="A574" s="23" t="str">
        <x:v>level_high</x:v>
      </x:c>
      <x:c r="B574" s="23" t="n">
        <x:v>39</x:v>
      </x:c>
      <x:c r="C574" s="37" t="n">
        <x:v>49949</x:v>
      </x:c>
      <x:c r="D574" s="55" t="n">
        <x:v>0</x:v>
      </x:c>
      <x:c r="E574" s="55" t="n">
        <x:v>0.06</x:v>
      </x:c>
      <x:c r="F574" s="60" t="n">
        <x:v>0</x:v>
      </x:c>
      <x:c r="G574" s="60" t="n">
        <x:v>0.06</x:v>
      </x:c>
      <x:c r="H574" s="23" t="n">
        <x:f>IF(D574=F574,0,1)+IF(E574=G574,0,1)</x:f>
        <x:v>0</x:v>
      </x:c>
      <x:c r="I574" s="23" t="str">
        <x:v>Timing T20 / fictional rates</x:v>
      </x:c>
    </x:row>
    <x:row r="575" ht="21" customHeight="1">
      <x:c r="A575" s="23" t="str">
        <x:v>level_high</x:v>
      </x:c>
      <x:c r="B575" s="23" t="n">
        <x:v>40</x:v>
      </x:c>
      <x:c r="C575" s="37" t="n">
        <x:v>50041</x:v>
      </x:c>
      <x:c r="D575" s="55" t="n">
        <x:v>0</x:v>
      </x:c>
      <x:c r="E575" s="55" t="n">
        <x:v>0.06</x:v>
      </x:c>
      <x:c r="F575" s="60" t="n">
        <x:v>0</x:v>
      </x:c>
      <x:c r="G575" s="60" t="n">
        <x:v>0.06</x:v>
      </x:c>
      <x:c r="H575" s="23" t="n">
        <x:f>IF(D575=F575,0,1)+IF(E575=G575,0,1)</x:f>
        <x:v>0</x:v>
      </x:c>
      <x:c r="I575" s="23" t="str">
        <x:v>Timing T20 / fictional rates</x:v>
      </x:c>
    </x:row>
    <x:row r="576" ht="21" customHeight="1">
      <x:c r="A576" s="23" t="str">
        <x:v>level_high</x:v>
      </x:c>
      <x:c r="B576" s="23" t="n">
        <x:v>41</x:v>
      </x:c>
      <x:c r="C576" s="37" t="n">
        <x:v>50131</x:v>
      </x:c>
      <x:c r="D576" s="55" t="n">
        <x:v>0</x:v>
      </x:c>
      <x:c r="E576" s="55" t="n">
        <x:v>0.06</x:v>
      </x:c>
      <x:c r="F576" s="60" t="n">
        <x:v>0</x:v>
      </x:c>
      <x:c r="G576" s="60" t="n">
        <x:v>0.06</x:v>
      </x:c>
      <x:c r="H576" s="23" t="n">
        <x:f>IF(D576=F576,0,1)+IF(E576=G576,0,1)</x:f>
        <x:v>0</x:v>
      </x:c>
      <x:c r="I576" s="23" t="str">
        <x:v>Timing T20 / fictional rates</x:v>
      </x:c>
    </x:row>
    <x:row r="577" ht="21" customHeight="1">
      <x:c r="A577" s="23" t="str">
        <x:v>level_high</x:v>
      </x:c>
      <x:c r="B577" s="23" t="n">
        <x:v>42</x:v>
      </x:c>
      <x:c r="C577" s="37" t="n">
        <x:v>50222</x:v>
      </x:c>
      <x:c r="D577" s="55" t="n">
        <x:v>0</x:v>
      </x:c>
      <x:c r="E577" s="55" t="n">
        <x:v>0.06</x:v>
      </x:c>
      <x:c r="F577" s="60" t="n">
        <x:v>0</x:v>
      </x:c>
      <x:c r="G577" s="60" t="n">
        <x:v>0.06</x:v>
      </x:c>
      <x:c r="H577" s="23" t="n">
        <x:f>IF(D577=F577,0,1)+IF(E577=G577,0,1)</x:f>
        <x:v>0</x:v>
      </x:c>
      <x:c r="I577" s="23" t="str">
        <x:v>Timing T20 / fictional rates</x:v>
      </x:c>
    </x:row>
    <x:row r="578" ht="21" customHeight="1">
      <x:c r="A578" s="23" t="str">
        <x:v>level_high</x:v>
      </x:c>
      <x:c r="B578" s="23" t="n">
        <x:v>43</x:v>
      </x:c>
      <x:c r="C578" s="37" t="n">
        <x:v>50314</x:v>
      </x:c>
      <x:c r="D578" s="55" t="n">
        <x:v>0</x:v>
      </x:c>
      <x:c r="E578" s="55" t="n">
        <x:v>0.06</x:v>
      </x:c>
      <x:c r="F578" s="60" t="n">
        <x:v>0</x:v>
      </x:c>
      <x:c r="G578" s="60" t="n">
        <x:v>0.06</x:v>
      </x:c>
      <x:c r="H578" s="23" t="n">
        <x:f>IF(D578=F578,0,1)+IF(E578=G578,0,1)</x:f>
        <x:v>0</x:v>
      </x:c>
      <x:c r="I578" s="23" t="str">
        <x:v>Timing T20 / fictional rates</x:v>
      </x:c>
    </x:row>
    <x:row r="579" ht="21" customHeight="1">
      <x:c r="A579" s="23" t="str">
        <x:v>level_high</x:v>
      </x:c>
      <x:c r="B579" s="23" t="n">
        <x:v>44</x:v>
      </x:c>
      <x:c r="C579" s="37" t="n">
        <x:v>50406</x:v>
      </x:c>
      <x:c r="D579" s="55" t="n">
        <x:v>0</x:v>
      </x:c>
      <x:c r="E579" s="55" t="n">
        <x:v>0.06</x:v>
      </x:c>
      <x:c r="F579" s="60" t="n">
        <x:v>0</x:v>
      </x:c>
      <x:c r="G579" s="60" t="n">
        <x:v>0.06</x:v>
      </x:c>
      <x:c r="H579" s="23" t="n">
        <x:f>IF(D579=F579,0,1)+IF(E579=G579,0,1)</x:f>
        <x:v>0</x:v>
      </x:c>
      <x:c r="I579" s="23" t="str">
        <x:v>Timing T20 / fictional rates</x:v>
      </x:c>
    </x:row>
    <x:row r="580" ht="21" customHeight="1">
      <x:c r="A580" s="23" t="str">
        <x:v>level_high</x:v>
      </x:c>
      <x:c r="B580" s="23" t="n">
        <x:v>45</x:v>
      </x:c>
      <x:c r="C580" s="37" t="n">
        <x:v>50496</x:v>
      </x:c>
      <x:c r="D580" s="55" t="n">
        <x:v>0</x:v>
      </x:c>
      <x:c r="E580" s="55" t="n">
        <x:v>0.06</x:v>
      </x:c>
      <x:c r="F580" s="60" t="n">
        <x:v>0</x:v>
      </x:c>
      <x:c r="G580" s="60" t="n">
        <x:v>0.06</x:v>
      </x:c>
      <x:c r="H580" s="23" t="n">
        <x:f>IF(D580=F580,0,1)+IF(E580=G580,0,1)</x:f>
        <x:v>0</x:v>
      </x:c>
      <x:c r="I580" s="23" t="str">
        <x:v>Timing T20 / fictional rates</x:v>
      </x:c>
    </x:row>
    <x:row r="581" ht="21" customHeight="1">
      <x:c r="A581" s="23" t="str">
        <x:v>level_high</x:v>
      </x:c>
      <x:c r="B581" s="23" t="n">
        <x:v>46</x:v>
      </x:c>
      <x:c r="C581" s="37" t="n">
        <x:v>50587</x:v>
      </x:c>
      <x:c r="D581" s="55" t="n">
        <x:v>0</x:v>
      </x:c>
      <x:c r="E581" s="55" t="n">
        <x:v>0.06</x:v>
      </x:c>
      <x:c r="F581" s="60" t="n">
        <x:v>0</x:v>
      </x:c>
      <x:c r="G581" s="60" t="n">
        <x:v>0.06</x:v>
      </x:c>
      <x:c r="H581" s="23" t="n">
        <x:f>IF(D581=F581,0,1)+IF(E581=G581,0,1)</x:f>
        <x:v>0</x:v>
      </x:c>
      <x:c r="I581" s="23" t="str">
        <x:v>Timing T20 / fictional rates</x:v>
      </x:c>
    </x:row>
    <x:row r="582" ht="21" customHeight="1">
      <x:c r="A582" s="23" t="str">
        <x:v>level_high</x:v>
      </x:c>
      <x:c r="B582" s="23" t="n">
        <x:v>47</x:v>
      </x:c>
      <x:c r="C582" s="37" t="n">
        <x:v>50679</x:v>
      </x:c>
      <x:c r="D582" s="55" t="n">
        <x:v>0</x:v>
      </x:c>
      <x:c r="E582" s="55" t="n">
        <x:v>0.06</x:v>
      </x:c>
      <x:c r="F582" s="60" t="n">
        <x:v>0</x:v>
      </x:c>
      <x:c r="G582" s="60" t="n">
        <x:v>0.06</x:v>
      </x:c>
      <x:c r="H582" s="23" t="n">
        <x:f>IF(D582=F582,0,1)+IF(E582=G582,0,1)</x:f>
        <x:v>0</x:v>
      </x:c>
      <x:c r="I582" s="23" t="str">
        <x:v>Timing T20 / fictional rates</x:v>
      </x:c>
    </x:row>
    <x:row r="583" ht="21" customHeight="1">
      <x:c r="A583" s="23" t="str">
        <x:v>level_high</x:v>
      </x:c>
      <x:c r="B583" s="23" t="n">
        <x:v>48</x:v>
      </x:c>
      <x:c r="C583" s="37" t="n">
        <x:v>50771</x:v>
      </x:c>
      <x:c r="D583" s="55" t="n">
        <x:v>0</x:v>
      </x:c>
      <x:c r="E583" s="55" t="n">
        <x:v>0.06</x:v>
      </x:c>
      <x:c r="F583" s="60" t="n">
        <x:v>0</x:v>
      </x:c>
      <x:c r="G583" s="60" t="n">
        <x:v>0.06</x:v>
      </x:c>
      <x:c r="H583" s="23" t="n">
        <x:f>IF(D583=F583,0,1)+IF(E583=G583,0,1)</x:f>
        <x:v>0</x:v>
      </x:c>
      <x:c r="I583" s="23" t="str">
        <x:v>Timing T20 / fictional rates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>
      <x:c r="A1" s="23"/>
      <x:c r="B1" s="23"/>
      <x:c r="C1" s="116" t="str">
        <x:v>Development cash flow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2">
      <x:c r="A2" s="23"/>
      <x:c r="B2" s="23"/>
      <x:c r="C2" s="24" t="str">
        <x:v>Development Cash Flow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</x:row>
    <x:row r="3" ht="22" customHeight="1">
      <x:c r="A3" s="23"/>
      <x:c r="B3" s="23"/>
      <x:c r="C3" s="26" t="str">
        <x:v>Python simulation; front_flat, 30% target defaults, 64% senior. ACT/365.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</x:row>
    <x:row r="7" ht="38" customHeight="1">
      <x:c r="A7" s="23"/>
      <x:c r="B7" s="23"/>
      <x:c r="C7" s="7" t="str">
        <x:v>Cash flow line</x:v>
      </x:c>
      <x:c r="D7" s="7" t="str">
        <x:v>Unit</x:v>
      </x:c>
      <x:c r="E7" s="82" t="n">
        <x:v>46478</x:v>
      </x:c>
      <x:c r="F7" s="82" t="n">
        <x:v>46569</x:v>
      </x:c>
      <x:c r="G7" s="82" t="n">
        <x:v>46661</x:v>
      </x:c>
      <x:c r="H7" s="82" t="n">
        <x:v>46753</x:v>
      </x:c>
      <x:c r="I7" s="82" t="n">
        <x:v>46844</x:v>
      </x:c>
      <x:c r="J7" s="82" t="n">
        <x:v>46935</x:v>
      </x:c>
      <x:c r="K7" s="82" t="n">
        <x:v>47027</x:v>
      </x:c>
      <x:c r="L7" s="82" t="n">
        <x:v>47119</x:v>
      </x:c>
      <x:c r="M7" s="82" t="n">
        <x:v>47209</x:v>
      </x:c>
      <x:c r="N7" s="82" t="n">
        <x:v>47300</x:v>
      </x:c>
      <x:c r="O7" s="82" t="n">
        <x:v>47392</x:v>
      </x:c>
      <x:c r="P7" s="82" t="n">
        <x:v>47484</x:v>
      </x:c>
      <x:c r="Q7" s="82" t="n">
        <x:v>47574</x:v>
      </x:c>
      <x:c r="R7" s="82" t="n">
        <x:v>47665</x:v>
      </x:c>
      <x:c r="S7" s="82" t="n">
        <x:v>47757</x:v>
      </x:c>
      <x:c r="T7" s="82" t="n">
        <x:v>47849</x:v>
      </x:c>
      <x:c r="U7" s="82" t="n">
        <x:v>47939</x:v>
      </x:c>
      <x:c r="V7" s="82" t="n">
        <x:v>48030</x:v>
      </x:c>
      <x:c r="W7" s="82" t="n">
        <x:v>48122</x:v>
      </x:c>
      <x:c r="X7" s="82" t="n">
        <x:v>48214</x:v>
      </x:c>
      <x:c r="Y7" s="82" t="n">
        <x:v>48305</x:v>
      </x:c>
      <x:c r="Z7" s="82" t="n">
        <x:v>48396</x:v>
      </x:c>
      <x:c r="AA7" s="82" t="n">
        <x:v>48488</x:v>
      </x:c>
      <x:c r="AB7" s="82" t="n">
        <x:v>48580</x:v>
      </x:c>
      <x:c r="AC7" s="82" t="n">
        <x:v>48670</x:v>
      </x:c>
      <x:c r="AD7" s="82" t="n">
        <x:v>48761</x:v>
      </x:c>
      <x:c r="AE7" s="82" t="n">
        <x:v>48853</x:v>
      </x:c>
      <x:c r="AF7" s="82" t="n">
        <x:v>48945</x:v>
      </x:c>
      <x:c r="AG7" s="82" t="n">
        <x:v>49035</x:v>
      </x:c>
      <x:c r="AH7" s="82" t="n">
        <x:v>49126</x:v>
      </x:c>
      <x:c r="AI7" s="82" t="n">
        <x:v>49218</x:v>
      </x:c>
      <x:c r="AJ7" s="82" t="n">
        <x:v>49310</x:v>
      </x:c>
      <x:c r="AK7" s="82" t="n">
        <x:v>49400</x:v>
      </x:c>
      <x:c r="AL7" s="82" t="n">
        <x:v>49491</x:v>
      </x:c>
      <x:c r="AM7" s="82" t="n">
        <x:v>49583</x:v>
      </x:c>
      <x:c r="AN7" s="82" t="n">
        <x:v>49675</x:v>
      </x:c>
      <x:c r="AO7" s="82" t="n">
        <x:v>49766</x:v>
      </x:c>
      <x:c r="AP7" s="82" t="n">
        <x:v>49857</x:v>
      </x:c>
      <x:c r="AQ7" s="82" t="n">
        <x:v>49949</x:v>
      </x:c>
      <x:c r="AR7" s="82" t="n">
        <x:v>50041</x:v>
      </x:c>
      <x:c r="AS7" s="82" t="n">
        <x:v>50131</x:v>
      </x:c>
      <x:c r="AT7" s="82" t="n">
        <x:v>50222</x:v>
      </x:c>
      <x:c r="AU7" s="82" t="n">
        <x:v>50314</x:v>
      </x:c>
      <x:c r="AV7" s="82" t="n">
        <x:v>50406</x:v>
      </x:c>
      <x:c r="AW7" s="82" t="n">
        <x:v>50496</x:v>
      </x:c>
      <x:c r="AX7" s="82" t="n">
        <x:v>50587</x:v>
      </x:c>
      <x:c r="AY7" s="82" t="n">
        <x:v>50679</x:v>
      </x:c>
      <x:c r="AZ7" s="82" t="n">
        <x:v>50771</x:v>
      </x:c>
    </x:row>
    <x:row r="8" ht="21" customHeight="1">
      <x:c r="A8" s="23"/>
      <x:c r="B8" s="23"/>
      <x:c r="C8" s="23" t="str">
        <x:v>performing begin</x:v>
      </x:c>
      <x:c r="D8" s="23" t="str">
        <x:v>USD</x:v>
      </x:c>
      <x:c r="E8" s="85" t="n">
        <x:v>55744000</x:v>
      </x:c>
      <x:c r="F8" s="85" t="n">
        <x:v>54113488</x:v>
      </x:c>
      <x:c r="G8" s="85" t="n">
        <x:v>52482976</x:v>
      </x:c>
      <x:c r="H8" s="85" t="n">
        <x:v>50852464</x:v>
      </x:c>
      <x:c r="I8" s="85" t="n">
        <x:v>49221952</x:v>
      </x:c>
      <x:c r="J8" s="85" t="n">
        <x:v>48302176</x:v>
      </x:c>
      <x:c r="K8" s="85" t="n">
        <x:v>47382400</x:v>
      </x:c>
      <x:c r="L8" s="85" t="n">
        <x:v>46462624</x:v>
      </x:c>
      <x:c r="M8" s="85" t="n">
        <x:v>45542848</x:v>
      </x:c>
      <x:c r="N8" s="85" t="n">
        <x:v>43922410</x:v>
      </x:c>
      <x:c r="O8" s="85" t="n">
        <x:v>43253482</x:v>
      </x:c>
      <x:c r="P8" s="85" t="n">
        <x:v>41662026.54814706</x:v>
      </x:c>
      <x:c r="Q8" s="85" t="n">
        <x:v>39177667.9567679</x:v>
      </x:c>
      <x:c r="R8" s="85" t="n">
        <x:v>37739041.214943774</x:v>
      </x:c>
      <x:c r="S8" s="85" t="n">
        <x:v>36725312.299315594</x:v>
      </x:c>
      <x:c r="T8" s="85" t="n">
        <x:v>35312633.081654616</x:v>
      </x:c>
      <x:c r="U8" s="85" t="n">
        <x:v>31745600.635421854</x:v>
      </x:c>
      <x:c r="V8" s="85" t="n">
        <x:v>30064302.63415775</x:v>
      </x:c>
      <x:c r="W8" s="85" t="n">
        <x:v>25024348.484243903</x:v>
      </x:c>
      <x:c r="X8" s="85" t="n">
        <x:v>23418838.331025984</x:v>
      </x:c>
      <x:c r="Y8" s="85" t="n">
        <x:v>20588005.726546686</x:v>
      </x:c>
      <x:c r="Z8" s="85" t="n">
        <x:v>18979503.990227155</x:v>
      </x:c>
      <x:c r="AA8" s="85" t="n">
        <x:v>17371002.253907625</x:v>
      </x:c>
      <x:c r="AB8" s="85" t="n">
        <x:v>17371002.253907625</x:v>
      </x:c>
      <x:c r="AC8" s="85" t="n">
        <x:v>12921086.28287136</x:v>
      </x:c>
      <x:c r="AD8" s="85" t="n">
        <x:v>9704082.810232297</x:v>
      </x:c>
      <x:c r="AE8" s="85" t="n">
        <x:v>7291330.205753001</x:v>
      </x:c>
      <x:c r="AF8" s="85" t="n">
        <x:v>6487079.337593235</x:v>
      </x:c>
      <x:c r="AG8" s="85" t="n">
        <x:v>1661574.1286346423</x:v>
      </x:c>
      <x:c r="AH8" s="85" t="n">
        <x:v>1232912.498397204</x:v>
      </x:c>
      <x:c r="AI8" s="85" t="n">
        <x:v>1232912.498397204</x:v>
      </x:c>
      <x:c r="AJ8" s="85" t="n">
        <x:v>428661.6302374385</x:v>
      </x:c>
      <x:c r="AK8" s="85" t="n">
        <x:v>428661.6302374385</x:v>
      </x:c>
      <x:c r="AL8" s="85" t="n">
        <x:v>428661.6302374385</x:v>
      </x:c>
      <x:c r="AM8" s="85" t="n">
        <x:v>428661.6302374385</x:v>
      </x:c>
      <x:c r="AN8" s="85" t="n">
        <x:v>0</x:v>
      </x:c>
      <x:c r="AO8" s="85" t="n">
        <x:v>0</x:v>
      </x:c>
      <x:c r="AP8" s="85" t="n">
        <x:v>0</x:v>
      </x:c>
      <x:c r="AQ8" s="85" t="n">
        <x:v>0</x:v>
      </x:c>
      <x:c r="AR8" s="85" t="n">
        <x:v>0</x:v>
      </x:c>
      <x:c r="AS8" s="85" t="n">
        <x:v>0</x:v>
      </x:c>
      <x:c r="AT8" s="85" t="n">
        <x:v>0</x:v>
      </x:c>
      <x:c r="AU8" s="85" t="n">
        <x:v>0</x:v>
      </x:c>
      <x:c r="AV8" s="85" t="n">
        <x:v>0</x:v>
      </x:c>
      <x:c r="AW8" s="85" t="n">
        <x:v>0</x:v>
      </x:c>
      <x:c r="AX8" s="85" t="n">
        <x:v>0</x:v>
      </x:c>
      <x:c r="AY8" s="85" t="n">
        <x:v>0</x:v>
      </x:c>
      <x:c r="AZ8" s="85" t="n">
        <x:v>0</x:v>
      </x:c>
    </x:row>
    <x:row r="9" ht="21" customHeight="1">
      <x:c r="A9" s="150"/>
      <x:c r="B9" s="150"/>
      <x:c r="C9" s="23" t="str">
        <x:v>requested defaults</x:v>
      </x:c>
      <x:c r="D9" s="23" t="str">
        <x:v>USD</x:v>
      </x:c>
      <x:c r="E9" s="85" t="n">
        <x:v>1630512</x:v>
      </x:c>
      <x:c r="F9" s="85" t="n">
        <x:v>1630512</x:v>
      </x:c>
      <x:c r="G9" s="85" t="n">
        <x:v>1630512</x:v>
      </x:c>
      <x:c r="H9" s="85" t="n">
        <x:v>1630512</x:v>
      </x:c>
      <x:c r="I9" s="85" t="n">
        <x:v>919776</x:v>
      </x:c>
      <x:c r="J9" s="85" t="n">
        <x:v>919776</x:v>
      </x:c>
      <x:c r="K9" s="85" t="n">
        <x:v>919776</x:v>
      </x:c>
      <x:c r="L9" s="85" t="n">
        <x:v>919776</x:v>
      </x:c>
      <x:c r="M9" s="85" t="n">
        <x:v>668928</x:v>
      </x:c>
      <x:c r="N9" s="85" t="n">
        <x:v>668928</x:v>
      </x:c>
      <x:c r="O9" s="85" t="n">
        <x:v>668928</x:v>
      </x:c>
      <x:c r="P9" s="85" t="n">
        <x:v>668928</x:v>
      </x:c>
      <x:c r="Q9" s="85" t="n">
        <x:v>543504</x:v>
      </x:c>
      <x:c r="R9" s="85" t="n">
        <x:v>543504</x:v>
      </x:c>
      <x:c r="S9" s="85" t="n">
        <x:v>543504</x:v>
      </x:c>
      <x:c r="T9" s="85" t="n">
        <x:v>543504</x:v>
      </x:c>
      <x:c r="U9" s="85" t="n">
        <x:v>418080</x:v>
      </x:c>
      <x:c r="V9" s="85" t="n">
        <x:v>418080</x:v>
      </x:c>
      <x:c r="W9" s="85" t="n">
        <x:v>418080</x:v>
      </x:c>
      <x:c r="X9" s="85" t="n">
        <x:v>418080</x:v>
      </x:c>
      <x:c r="Y9" s="85" t="n">
        <x:v>0</x:v>
      </x:c>
      <x:c r="Z9" s="85" t="n">
        <x:v>0</x:v>
      </x:c>
      <x:c r="AA9" s="85" t="n">
        <x:v>0</x:v>
      </x:c>
      <x:c r="AB9" s="85" t="n">
        <x:v>0</x:v>
      </x:c>
      <x:c r="AC9" s="85" t="n">
        <x:v>0</x:v>
      </x:c>
      <x:c r="AD9" s="85" t="n">
        <x:v>0</x:v>
      </x:c>
      <x:c r="AE9" s="85" t="n">
        <x:v>0</x:v>
      </x:c>
      <x:c r="AF9" s="85" t="n">
        <x:v>0</x:v>
      </x:c>
      <x:c r="AG9" s="85" t="n">
        <x:v>0</x:v>
      </x:c>
      <x:c r="AH9" s="85" t="n">
        <x:v>0</x:v>
      </x:c>
      <x:c r="AI9" s="85" t="n">
        <x:v>0</x:v>
      </x:c>
      <x:c r="AJ9" s="85" t="n">
        <x:v>0</x:v>
      </x:c>
      <x:c r="AK9" s="85" t="n">
        <x:v>0</x:v>
      </x:c>
      <x:c r="AL9" s="85" t="n">
        <x:v>0</x:v>
      </x:c>
      <x:c r="AM9" s="85" t="n">
        <x:v>0</x:v>
      </x:c>
      <x:c r="AN9" s="85" t="n">
        <x:v>0</x:v>
      </x:c>
      <x:c r="AO9" s="85" t="n">
        <x:v>0</x:v>
      </x:c>
      <x:c r="AP9" s="85" t="n">
        <x:v>0</x:v>
      </x:c>
      <x:c r="AQ9" s="85" t="n">
        <x:v>0</x:v>
      </x:c>
      <x:c r="AR9" s="85" t="n">
        <x:v>0</x:v>
      </x:c>
      <x:c r="AS9" s="85" t="n">
        <x:v>0</x:v>
      </x:c>
      <x:c r="AT9" s="85" t="n">
        <x:v>0</x:v>
      </x:c>
      <x:c r="AU9" s="85" t="n">
        <x:v>0</x:v>
      </x:c>
      <x:c r="AV9" s="85" t="n">
        <x:v>0</x:v>
      </x:c>
      <x:c r="AW9" s="85" t="n">
        <x:v>0</x:v>
      </x:c>
      <x:c r="AX9" s="85" t="n">
        <x:v>0</x:v>
      </x:c>
      <x:c r="AY9" s="85" t="n">
        <x:v>0</x:v>
      </x:c>
      <x:c r="AZ9" s="85" t="n">
        <x:v>0</x:v>
      </x:c>
    </x:row>
    <x:row r="10" ht="21" customHeight="1">
      <x:c r="A10" s="150"/>
      <x:c r="B10" s="150"/>
      <x:c r="C10" s="23" t="str">
        <x:v>defaults</x:v>
      </x:c>
      <x:c r="D10" s="23" t="str">
        <x:v>USD</x:v>
      </x:c>
      <x:c r="E10" s="85" t="n">
        <x:v>1630512</x:v>
      </x:c>
      <x:c r="F10" s="85" t="n">
        <x:v>1630512</x:v>
      </x:c>
      <x:c r="G10" s="85" t="n">
        <x:v>1630512</x:v>
      </x:c>
      <x:c r="H10" s="85" t="n">
        <x:v>1630512</x:v>
      </x:c>
      <x:c r="I10" s="85" t="n">
        <x:v>919776</x:v>
      </x:c>
      <x:c r="J10" s="85" t="n">
        <x:v>919776</x:v>
      </x:c>
      <x:c r="K10" s="85" t="n">
        <x:v>919776</x:v>
      </x:c>
      <x:c r="L10" s="85" t="n">
        <x:v>919776</x:v>
      </x:c>
      <x:c r="M10" s="85" t="n">
        <x:v>668928</x:v>
      </x:c>
      <x:c r="N10" s="85" t="n">
        <x:v>668928</x:v>
      </x:c>
      <x:c r="O10" s="85" t="n">
        <x:v>668928</x:v>
      </x:c>
      <x:c r="P10" s="85" t="n">
        <x:v>668928</x:v>
      </x:c>
      <x:c r="Q10" s="85" t="n">
        <x:v>543504</x:v>
      </x:c>
      <x:c r="R10" s="85" t="n">
        <x:v>543504</x:v>
      </x:c>
      <x:c r="S10" s="85" t="n">
        <x:v>543504</x:v>
      </x:c>
      <x:c r="T10" s="85" t="n">
        <x:v>543504</x:v>
      </x:c>
      <x:c r="U10" s="85" t="n">
        <x:v>418080</x:v>
      </x:c>
      <x:c r="V10" s="85" t="n">
        <x:v>418080</x:v>
      </x:c>
      <x:c r="W10" s="85" t="n">
        <x:v>418080</x:v>
      </x:c>
      <x:c r="X10" s="85" t="n">
        <x:v>418080</x:v>
      </x:c>
      <x:c r="Y10" s="85" t="n">
        <x:v>0</x:v>
      </x:c>
      <x:c r="Z10" s="85" t="n">
        <x:v>0</x:v>
      </x:c>
      <x:c r="AA10" s="85" t="n">
        <x:v>0</x:v>
      </x:c>
      <x:c r="AB10" s="85" t="n">
        <x:v>0</x:v>
      </x:c>
      <x:c r="AC10" s="85" t="n">
        <x:v>0</x:v>
      </x:c>
      <x:c r="AD10" s="85" t="n">
        <x:v>0</x:v>
      </x:c>
      <x:c r="AE10" s="85" t="n">
        <x:v>0</x:v>
      </x:c>
      <x:c r="AF10" s="85" t="n">
        <x:v>0</x:v>
      </x:c>
      <x:c r="AG10" s="85" t="n">
        <x:v>0</x:v>
      </x:c>
      <x:c r="AH10" s="85" t="n">
        <x:v>0</x:v>
      </x:c>
      <x:c r="AI10" s="85" t="n">
        <x:v>0</x:v>
      </x:c>
      <x:c r="AJ10" s="85" t="n">
        <x:v>0</x:v>
      </x:c>
      <x:c r="AK10" s="85" t="n">
        <x:v>0</x:v>
      </x:c>
      <x:c r="AL10" s="85" t="n">
        <x:v>0</x:v>
      </x:c>
      <x:c r="AM10" s="85" t="n">
        <x:v>0</x:v>
      </x:c>
      <x:c r="AN10" s="85" t="n">
        <x:v>0</x:v>
      </x:c>
      <x:c r="AO10" s="85" t="n">
        <x:v>0</x:v>
      </x:c>
      <x:c r="AP10" s="85" t="n">
        <x:v>0</x:v>
      </x:c>
      <x:c r="AQ10" s="85" t="n">
        <x:v>0</x:v>
      </x:c>
      <x:c r="AR10" s="85" t="n">
        <x:v>0</x:v>
      </x:c>
      <x:c r="AS10" s="85" t="n">
        <x:v>0</x:v>
      </x:c>
      <x:c r="AT10" s="85" t="n">
        <x:v>0</x:v>
      </x:c>
      <x:c r="AU10" s="85" t="n">
        <x:v>0</x:v>
      </x:c>
      <x:c r="AV10" s="85" t="n">
        <x:v>0</x:v>
      </x:c>
      <x:c r="AW10" s="85" t="n">
        <x:v>0</x:v>
      </x:c>
      <x:c r="AX10" s="85" t="n">
        <x:v>0</x:v>
      </x:c>
      <x:c r="AY10" s="85" t="n">
        <x:v>0</x:v>
      </x:c>
      <x:c r="AZ10" s="85" t="n">
        <x:v>0</x:v>
      </x:c>
    </x:row>
    <x:row r="11" ht="21" customHeight="1">
      <x:c r="A11" s="150"/>
      <x:c r="B11" s="150"/>
      <x:c r="C11" s="23" t="str">
        <x:v>prepayments</x:v>
      </x:c>
      <x:c r="D11" s="23" t="str">
        <x:v>USD</x:v>
      </x:c>
      <x:c r="E11" s="85" t="n">
        <x:v>0</x:v>
      </x:c>
      <x:c r="F11" s="85" t="n">
        <x:v>0</x:v>
      </x:c>
      <x:c r="G11" s="85" t="n">
        <x:v>0</x:v>
      </x:c>
      <x:c r="H11" s="85" t="n">
        <x:v>0</x:v>
      </x:c>
      <x:c r="I11" s="85" t="n">
        <x:v>0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n">
        <x:v>0</x:v>
      </x:c>
      <x:c r="P11" s="85" t="n">
        <x:v>0</x:v>
      </x:c>
      <x:c r="Q11" s="85" t="n">
        <x:v>0</x:v>
      </x:c>
      <x:c r="R11" s="85" t="n">
        <x:v>0</x:v>
      </x:c>
      <x:c r="S11" s="85" t="n">
        <x:v>0</x:v>
      </x:c>
      <x:c r="T11" s="85" t="n">
        <x:v>0</x:v>
      </x:c>
      <x:c r="U11" s="85" t="n">
        <x:v>0</x:v>
      </x:c>
      <x:c r="V11" s="85" t="n">
        <x:v>0</x:v>
      </x:c>
      <x:c r="W11" s="85" t="n">
        <x:v>0</x:v>
      </x:c>
      <x:c r="X11" s="85" t="n">
        <x:v>0</x:v>
      </x:c>
      <x:c r="Y11" s="85" t="n">
        <x:v>0</x:v>
      </x:c>
      <x:c r="Z11" s="85" t="n">
        <x:v>0</x:v>
      </x:c>
      <x:c r="AA11" s="85" t="n">
        <x:v>0</x:v>
      </x:c>
      <x:c r="AB11" s="85" t="n">
        <x:v>0</x:v>
      </x:c>
      <x:c r="AC11" s="85" t="n">
        <x:v>0</x:v>
      </x:c>
      <x:c r="AD11" s="85" t="n">
        <x:v>0</x:v>
      </x:c>
      <x:c r="AE11" s="85" t="n">
        <x:v>0</x:v>
      </x:c>
      <x:c r="AF11" s="85" t="n">
        <x:v>0</x:v>
      </x:c>
      <x:c r="AG11" s="85" t="n">
        <x:v>0</x:v>
      </x:c>
      <x:c r="AH11" s="85" t="n">
        <x:v>0</x:v>
      </x:c>
      <x:c r="AI11" s="85" t="n">
        <x:v>0</x:v>
      </x:c>
      <x:c r="AJ11" s="85" t="n">
        <x:v>0</x:v>
      </x:c>
      <x:c r="AK11" s="85" t="n">
        <x:v>0</x:v>
      </x:c>
      <x:c r="AL11" s="85" t="n">
        <x:v>0</x:v>
      </x:c>
      <x:c r="AM11" s="85" t="n">
        <x:v>0</x:v>
      </x:c>
      <x:c r="AN11" s="85" t="n">
        <x:v>0</x:v>
      </x:c>
      <x:c r="AO11" s="85" t="n">
        <x:v>0</x:v>
      </x:c>
      <x:c r="AP11" s="85" t="n">
        <x:v>0</x:v>
      </x:c>
      <x:c r="AQ11" s="85" t="n">
        <x:v>0</x:v>
      </x:c>
      <x:c r="AR11" s="85" t="n">
        <x:v>0</x:v>
      </x:c>
      <x:c r="AS11" s="85" t="n">
        <x:v>0</x:v>
      </x:c>
      <x:c r="AT11" s="85" t="n">
        <x:v>0</x:v>
      </x:c>
      <x:c r="AU11" s="85" t="n">
        <x:v>0</x:v>
      </x:c>
      <x:c r="AV11" s="85" t="n">
        <x:v>0</x:v>
      </x:c>
      <x:c r="AW11" s="85" t="n">
        <x:v>0</x:v>
      </x:c>
      <x:c r="AX11" s="85" t="n">
        <x:v>0</x:v>
      </x:c>
      <x:c r="AY11" s="85" t="n">
        <x:v>0</x:v>
      </x:c>
      <x:c r="AZ11" s="85" t="n">
        <x:v>0</x:v>
      </x:c>
    </x:row>
    <x:row r="12" ht="21" customHeight="1">
      <x:c r="A12" s="150"/>
      <x:c r="B12" s="150"/>
      <x:c r="C12" s="23" t="str">
        <x:v>maturities</x:v>
      </x:c>
      <x:c r="D12" s="23" t="str">
        <x:v>USD</x:v>
      </x:c>
      <x:c r="E12" s="85" t="n">
        <x:v>0</x:v>
      </x:c>
      <x:c r="F12" s="85" t="n">
        <x:v>0</x:v>
      </x:c>
      <x:c r="G12" s="85" t="n">
        <x:v>0</x:v>
      </x:c>
      <x:c r="H12" s="85" t="n">
        <x:v>0</x:v>
      </x:c>
      <x:c r="I12" s="85" t="n">
        <x:v>0</x:v>
      </x:c>
      <x:c r="J12" s="85" t="n">
        <x:v>0</x:v>
      </x:c>
      <x:c r="K12" s="85" t="n">
        <x:v>0</x:v>
      </x:c>
      <x:c r="L12" s="85" t="n">
        <x:v>0</x:v>
      </x:c>
      <x:c r="M12" s="85" t="n">
        <x:v>951510</x:v>
      </x:c>
      <x:c r="N12" s="85" t="n">
        <x:v>0</x:v>
      </x:c>
      <x:c r="O12" s="85" t="n">
        <x:v>922527.4518529379</x:v>
      </x:c>
      <x:c r="P12" s="85" t="n">
        <x:v>1815430.5913791617</x:v>
      </x:c>
      <x:c r="Q12" s="85" t="n">
        <x:v>895122.7418241269</x:v>
      </x:c>
      <x:c r="R12" s="85" t="n">
        <x:v>470224.9156281771</x:v>
      </x:c>
      <x:c r="S12" s="85" t="n">
        <x:v>869175.2176609836</x:v>
      </x:c>
      <x:c r="T12" s="85" t="n">
        <x:v>3023528.4462327617</x:v>
      </x:c>
      <x:c r="U12" s="85" t="n">
        <x:v>1263218.0012641023</x:v>
      </x:c>
      <x:c r="V12" s="85" t="n">
        <x:v>4621874.1499138465</x:v>
      </x:c>
      <x:c r="W12" s="85" t="n">
        <x:v>1187430.153217919</x:v>
      </x:c>
      <x:c r="X12" s="85" t="n">
        <x:v>2412752.6044792966</x:v>
      </x:c>
      <x:c r="Y12" s="85" t="n">
        <x:v>1608501.736319531</x:v>
      </x:c>
      <x:c r="Z12" s="85" t="n">
        <x:v>1608501.736319531</x:v>
      </x:c>
      <x:c r="AA12" s="85" t="n">
        <x:v>0</x:v>
      </x:c>
      <x:c r="AB12" s="85" t="n">
        <x:v>4449915.971036266</x:v>
      </x:c>
      <x:c r="AC12" s="85" t="n">
        <x:v>3217003.472639062</x:v>
      </x:c>
      <x:c r="AD12" s="85" t="n">
        <x:v>2412752.6044792966</x:v>
      </x:c>
      <x:c r="AE12" s="85" t="n">
        <x:v>804250.8681597655</x:v>
      </x:c>
      <x:c r="AF12" s="85" t="n">
        <x:v>4825505.208958593</x:v>
      </x:c>
      <x:c r="AG12" s="85" t="n">
        <x:v>428661.6302374385</x:v>
      </x:c>
      <x:c r="AH12" s="85" t="n">
        <x:v>0</x:v>
      </x:c>
      <x:c r="AI12" s="85" t="n">
        <x:v>804250.8681597655</x:v>
      </x:c>
      <x:c r="AJ12" s="85" t="n">
        <x:v>0</x:v>
      </x:c>
      <x:c r="AK12" s="85" t="n">
        <x:v>0</x:v>
      </x:c>
      <x:c r="AL12" s="85" t="n">
        <x:v>0</x:v>
      </x:c>
      <x:c r="AM12" s="85" t="n">
        <x:v>428661.6302374385</x:v>
      </x:c>
      <x:c r="AN12" s="85" t="n">
        <x:v>0</x:v>
      </x:c>
      <x:c r="AO12" s="85" t="n">
        <x:v>0</x:v>
      </x:c>
      <x:c r="AP12" s="85" t="n">
        <x:v>0</x:v>
      </x:c>
      <x:c r="AQ12" s="85" t="n">
        <x:v>0</x:v>
      </x:c>
      <x:c r="AR12" s="85" t="n">
        <x:v>0</x:v>
      </x:c>
      <x:c r="AS12" s="85" t="n">
        <x:v>0</x:v>
      </x:c>
      <x:c r="AT12" s="85" t="n">
        <x:v>0</x:v>
      </x:c>
      <x:c r="AU12" s="85" t="n">
        <x:v>0</x:v>
      </x:c>
      <x:c r="AV12" s="85" t="n">
        <x:v>0</x:v>
      </x:c>
      <x:c r="AW12" s="85" t="n">
        <x:v>0</x:v>
      </x:c>
      <x:c r="AX12" s="85" t="n">
        <x:v>0</x:v>
      </x:c>
      <x:c r="AY12" s="85" t="n">
        <x:v>0</x:v>
      </x:c>
      <x:c r="AZ12" s="85" t="n">
        <x:v>0</x:v>
      </x:c>
    </x:row>
    <x:row r="13" ht="21" customHeight="1">
      <x:c r="A13" s="150"/>
      <x:c r="B13" s="150"/>
      <x:c r="C13" s="23" t="str">
        <x:v>liquidated par</x:v>
      </x:c>
      <x:c r="D13" s="23" t="str">
        <x:v>USD</x:v>
      </x:c>
      <x:c r="E13" s="85" t="n">
        <x:v>0</x:v>
      </x:c>
      <x:c r="F13" s="85" t="n">
        <x:v>0</x:v>
      </x:c>
      <x:c r="G13" s="85" t="n">
        <x:v>0</x:v>
      </x:c>
      <x:c r="H13" s="85" t="n">
        <x:v>0</x:v>
      </x:c>
      <x:c r="I13" s="85" t="n">
        <x:v>0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0</x:v>
      </x:c>
      <x:c r="O13" s="85" t="n">
        <x:v>0</x:v>
      </x:c>
      <x:c r="P13" s="85" t="n">
        <x:v>0</x:v>
      </x:c>
      <x:c r="Q13" s="85" t="n">
        <x:v>0</x:v>
      </x:c>
      <x:c r="R13" s="85" t="n">
        <x:v>0</x:v>
      </x:c>
      <x:c r="S13" s="85" t="n">
        <x:v>0</x:v>
      </x:c>
      <x:c r="T13" s="85" t="n">
        <x:v>0</x:v>
      </x:c>
      <x:c r="U13" s="85" t="n">
        <x:v>0</x:v>
      </x:c>
      <x:c r="V13" s="85" t="n">
        <x:v>0</x:v>
      </x:c>
      <x:c r="W13" s="85" t="n">
        <x:v>0</x:v>
      </x:c>
      <x:c r="X13" s="85" t="n">
        <x:v>0</x:v>
      </x:c>
      <x:c r="Y13" s="85" t="n">
        <x:v>0</x:v>
      </x:c>
      <x:c r="Z13" s="85" t="n">
        <x:v>0</x:v>
      </x:c>
      <x:c r="AA13" s="85" t="n">
        <x:v>0</x:v>
      </x:c>
      <x:c r="AB13" s="85" t="n">
        <x:v>0</x:v>
      </x:c>
      <x:c r="AC13" s="85" t="n">
        <x:v>0</x:v>
      </x:c>
      <x:c r="AD13" s="85" t="n">
        <x:v>0</x:v>
      </x:c>
      <x:c r="AE13" s="85" t="n">
        <x:v>0</x:v>
      </x:c>
      <x:c r="AF13" s="85" t="n">
        <x:v>0</x:v>
      </x:c>
      <x:c r="AG13" s="85" t="n">
        <x:v>0</x:v>
      </x:c>
      <x:c r="AH13" s="85" t="n">
        <x:v>0</x:v>
      </x:c>
      <x:c r="AI13" s="85" t="n">
        <x:v>0</x:v>
      </x:c>
      <x:c r="AJ13" s="85" t="n">
        <x:v>0</x:v>
      </x:c>
      <x:c r="AK13" s="85" t="n">
        <x:v>0</x:v>
      </x:c>
      <x:c r="AL13" s="85" t="n">
        <x:v>0</x:v>
      </x:c>
      <x:c r="AM13" s="85" t="n">
        <x:v>0</x:v>
      </x:c>
      <x:c r="AN13" s="85" t="n">
        <x:v>0</x:v>
      </x:c>
      <x:c r="AO13" s="85" t="n">
        <x:v>0</x:v>
      </x:c>
      <x:c r="AP13" s="85" t="n">
        <x:v>0</x:v>
      </x:c>
      <x:c r="AQ13" s="85" t="n">
        <x:v>0</x:v>
      </x:c>
      <x:c r="AR13" s="85" t="n">
        <x:v>0</x:v>
      </x:c>
      <x:c r="AS13" s="85" t="n">
        <x:v>0</x:v>
      </x:c>
      <x:c r="AT13" s="85" t="n">
        <x:v>0</x:v>
      </x:c>
      <x:c r="AU13" s="85" t="n">
        <x:v>0</x:v>
      </x:c>
      <x:c r="AV13" s="85" t="n">
        <x:v>0</x:v>
      </x:c>
      <x:c r="AW13" s="85" t="n">
        <x:v>0</x:v>
      </x:c>
      <x:c r="AX13" s="85" t="n">
        <x:v>0</x:v>
      </x:c>
      <x:c r="AY13" s="85" t="n">
        <x:v>0</x:v>
      </x:c>
      <x:c r="AZ13" s="85" t="n">
        <x:v>0</x:v>
      </x:c>
    </x:row>
    <x:row r="14" ht="21" customHeight="1">
      <x:c r="A14" s="150"/>
      <x:c r="B14" s="150"/>
      <x:c r="C14" s="23" t="str">
        <x:v>purchased par</x:v>
      </x:c>
      <x:c r="D14" s="23" t="str">
        <x:v>USD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  <x:c r="I14" s="85" t="n">
        <x:v>0</x:v>
      </x:c>
      <x:c r="J14" s="85" t="n">
        <x:v>0</x:v>
      </x:c>
      <x:c r="K14" s="85" t="n">
        <x:v>0</x:v>
      </x:c>
      <x:c r="L14" s="85" t="n">
        <x:v>0</x:v>
      </x:c>
      <x:c r="M14" s="85" t="n">
        <x:v>0</x:v>
      </x:c>
      <x:c r="N14" s="85" t="n">
        <x:v>0</x:v>
      </x:c>
      <x:c r="O14" s="85" t="n">
        <x:v>0</x:v>
      </x:c>
      <x:c r="P14" s="85" t="n">
        <x:v>0</x:v>
      </x:c>
      <x:c r="Q14" s="85" t="n">
        <x:v>0</x:v>
      </x:c>
      <x:c r="R14" s="85" t="n">
        <x:v>0</x:v>
      </x:c>
      <x:c r="S14" s="85" t="n">
        <x:v>0</x:v>
      </x:c>
      <x:c r="T14" s="85" t="n">
        <x:v>0</x:v>
      </x:c>
      <x:c r="U14" s="85" t="n">
        <x:v>0</x:v>
      </x:c>
      <x:c r="V14" s="85" t="n">
        <x:v>0</x:v>
      </x:c>
      <x:c r="W14" s="85" t="n">
        <x:v>0</x:v>
      </x:c>
      <x:c r="X14" s="85" t="n">
        <x:v>0</x:v>
      </x:c>
      <x:c r="Y14" s="85" t="n">
        <x:v>0</x:v>
      </x:c>
      <x:c r="Z14" s="85" t="n">
        <x:v>0</x:v>
      </x:c>
      <x:c r="AA14" s="85" t="n">
        <x:v>0</x:v>
      </x:c>
      <x:c r="AB14" s="85" t="n">
        <x:v>0</x:v>
      </x:c>
      <x:c r="AC14" s="85" t="n">
        <x:v>0</x:v>
      </x:c>
      <x:c r="AD14" s="85" t="n">
        <x:v>0</x:v>
      </x:c>
      <x:c r="AE14" s="85" t="n">
        <x:v>0</x:v>
      </x:c>
      <x:c r="AF14" s="85" t="n">
        <x:v>0</x:v>
      </x:c>
      <x:c r="AG14" s="85" t="n">
        <x:v>0</x:v>
      </x:c>
      <x:c r="AH14" s="85" t="n">
        <x:v>0</x:v>
      </x:c>
      <x:c r="AI14" s="85" t="n">
        <x:v>0</x:v>
      </x:c>
      <x:c r="AJ14" s="85" t="n">
        <x:v>0</x:v>
      </x:c>
      <x:c r="AK14" s="85" t="n">
        <x:v>0</x:v>
      </x:c>
      <x:c r="AL14" s="85" t="n">
        <x:v>0</x:v>
      </x:c>
      <x:c r="AM14" s="85" t="n">
        <x:v>0</x:v>
      </x:c>
      <x:c r="AN14" s="85" t="n">
        <x:v>0</x:v>
      </x:c>
      <x:c r="AO14" s="85" t="n">
        <x:v>0</x:v>
      </x:c>
      <x:c r="AP14" s="85" t="n">
        <x:v>0</x:v>
      </x:c>
      <x:c r="AQ14" s="85" t="n">
        <x:v>0</x:v>
      </x:c>
      <x:c r="AR14" s="85" t="n">
        <x:v>0</x:v>
      </x:c>
      <x:c r="AS14" s="85" t="n">
        <x:v>0</x:v>
      </x:c>
      <x:c r="AT14" s="85" t="n">
        <x:v>0</x:v>
      </x:c>
      <x:c r="AU14" s="85" t="n">
        <x:v>0</x:v>
      </x:c>
      <x:c r="AV14" s="85" t="n">
        <x:v>0</x:v>
      </x:c>
      <x:c r="AW14" s="85" t="n">
        <x:v>0</x:v>
      </x:c>
      <x:c r="AX14" s="85" t="n">
        <x:v>0</x:v>
      </x:c>
      <x:c r="AY14" s="85" t="n">
        <x:v>0</x:v>
      </x:c>
      <x:c r="AZ14" s="85" t="n">
        <x:v>0</x:v>
      </x:c>
    </x:row>
    <x:row r="15" ht="21" customHeight="1">
      <x:c r="A15" s="150"/>
      <x:c r="B15" s="150"/>
      <x:c r="C15" s="23" t="str">
        <x:v>performing end</x:v>
      </x:c>
      <x:c r="D15" s="23" t="str">
        <x:v>USD</x:v>
      </x:c>
      <x:c r="E15" s="85" t="n">
        <x:v>54113488</x:v>
      </x:c>
      <x:c r="F15" s="85" t="n">
        <x:v>52482976</x:v>
      </x:c>
      <x:c r="G15" s="85" t="n">
        <x:v>50852464</x:v>
      </x:c>
      <x:c r="H15" s="85" t="n">
        <x:v>49221952</x:v>
      </x:c>
      <x:c r="I15" s="85" t="n">
        <x:v>48302176</x:v>
      </x:c>
      <x:c r="J15" s="85" t="n">
        <x:v>47382400</x:v>
      </x:c>
      <x:c r="K15" s="85" t="n">
        <x:v>46462624</x:v>
      </x:c>
      <x:c r="L15" s="85" t="n">
        <x:v>45542848</x:v>
      </x:c>
      <x:c r="M15" s="85" t="n">
        <x:v>43922410</x:v>
      </x:c>
      <x:c r="N15" s="85" t="n">
        <x:v>43253482</x:v>
      </x:c>
      <x:c r="O15" s="85" t="n">
        <x:v>41662026.54814706</x:v>
      </x:c>
      <x:c r="P15" s="85" t="n">
        <x:v>39177667.9567679</x:v>
      </x:c>
      <x:c r="Q15" s="85" t="n">
        <x:v>37739041.214943774</x:v>
      </x:c>
      <x:c r="R15" s="85" t="n">
        <x:v>36725312.299315594</x:v>
      </x:c>
      <x:c r="S15" s="85" t="n">
        <x:v>35312633.081654616</x:v>
      </x:c>
      <x:c r="T15" s="85" t="n">
        <x:v>31745600.635421854</x:v>
      </x:c>
      <x:c r="U15" s="85" t="n">
        <x:v>30064302.63415775</x:v>
      </x:c>
      <x:c r="V15" s="85" t="n">
        <x:v>25024348.484243903</x:v>
      </x:c>
      <x:c r="W15" s="85" t="n">
        <x:v>23418838.331025984</x:v>
      </x:c>
      <x:c r="X15" s="85" t="n">
        <x:v>20588005.726546686</x:v>
      </x:c>
      <x:c r="Y15" s="85" t="n">
        <x:v>18979503.990227155</x:v>
      </x:c>
      <x:c r="Z15" s="85" t="n">
        <x:v>17371002.253907625</x:v>
      </x:c>
      <x:c r="AA15" s="85" t="n">
        <x:v>17371002.253907625</x:v>
      </x:c>
      <x:c r="AB15" s="85" t="n">
        <x:v>12921086.28287136</x:v>
      </x:c>
      <x:c r="AC15" s="85" t="n">
        <x:v>9704082.810232297</x:v>
      </x:c>
      <x:c r="AD15" s="85" t="n">
        <x:v>7291330.205753001</x:v>
      </x:c>
      <x:c r="AE15" s="85" t="n">
        <x:v>6487079.337593235</x:v>
      </x:c>
      <x:c r="AF15" s="85" t="n">
        <x:v>1661574.1286346423</x:v>
      </x:c>
      <x:c r="AG15" s="85" t="n">
        <x:v>1232912.498397204</x:v>
      </x:c>
      <x:c r="AH15" s="85" t="n">
        <x:v>1232912.498397204</x:v>
      </x:c>
      <x:c r="AI15" s="85" t="n">
        <x:v>428661.6302374385</x:v>
      </x:c>
      <x:c r="AJ15" s="85" t="n">
        <x:v>428661.6302374385</x:v>
      </x:c>
      <x:c r="AK15" s="85" t="n">
        <x:v>428661.6302374385</x:v>
      </x:c>
      <x:c r="AL15" s="85" t="n">
        <x:v>428661.6302374385</x:v>
      </x:c>
      <x:c r="AM15" s="85" t="n">
        <x:v>0</x:v>
      </x:c>
      <x:c r="AN15" s="85" t="n">
        <x:v>0</x:v>
      </x:c>
      <x:c r="AO15" s="85" t="n">
        <x:v>0</x:v>
      </x:c>
      <x:c r="AP15" s="85" t="n">
        <x:v>0</x:v>
      </x:c>
      <x:c r="AQ15" s="85" t="n">
        <x:v>0</x:v>
      </x:c>
      <x:c r="AR15" s="85" t="n">
        <x:v>0</x:v>
      </x:c>
      <x:c r="AS15" s="85" t="n">
        <x:v>0</x:v>
      </x:c>
      <x:c r="AT15" s="85" t="n">
        <x:v>0</x:v>
      </x:c>
      <x:c r="AU15" s="85" t="n">
        <x:v>0</x:v>
      </x:c>
      <x:c r="AV15" s="85" t="n">
        <x:v>0</x:v>
      </x:c>
      <x:c r="AW15" s="85" t="n">
        <x:v>0</x:v>
      </x:c>
      <x:c r="AX15" s="85" t="n">
        <x:v>0</x:v>
      </x:c>
      <x:c r="AY15" s="85" t="n">
        <x:v>0</x:v>
      </x:c>
      <x:c r="AZ15" s="85" t="n">
        <x:v>0</x:v>
      </x:c>
    </x:row>
    <x:row r="16" ht="21" customHeight="1">
      <x:c r="A16" s="150"/>
      <x:c r="B16" s="150"/>
      <x:c r="C16" s="23" t="str">
        <x:v>asset interest accrued</x:v>
      </x:c>
      <x:c r="D16" s="23" t="str">
        <x:v>USD</x:v>
      </x:c>
      <x:c r="E16" s="85" t="n">
        <x:v>785468.5326369863</x:v>
      </x:c>
      <x:c r="F16" s="85" t="n">
        <x:v>770265.7708698633</x:v>
      </x:c>
      <x:c r="G16" s="85" t="n">
        <x:v>754537.0708630137</x:v>
      </x:c>
      <x:c r="H16" s="85" t="n">
        <x:v>730343.9118356166</x:v>
      </x:c>
      <x:c r="I16" s="85" t="n">
        <x:v>708906.3095684932</x:v>
      </x:c>
      <x:c r="J16" s="85" t="n">
        <x:v>695407.2280821918</x:v>
      </x:c>
      <x:c r="K16" s="85" t="n">
        <x:v>689401.6427123288</x:v>
      </x:c>
      <x:c r="L16" s="85" t="n">
        <x:v>675754.219671233</x:v>
      </x:c>
      <x:c r="M16" s="85" t="n">
        <x:v>639665.0463287672</x:v>
      </x:c>
      <x:c r="N16" s="85" t="n">
        <x:v>634778.1960999768</x:v>
      </x:c>
      <x:c r="O16" s="85" t="n">
        <x:v>624436.0100664606</x:v>
      </x:c>
      <x:c r="P16" s="85" t="n">
        <x:v>602154.6280549569</x:v>
      </x:c>
      <x:c r="Q16" s="85" t="n">
        <x:v>551947.459198626</x:v>
      </x:c>
      <x:c r="R16" s="85" t="n">
        <x:v>540796.2137084345</x:v>
      </x:c>
      <x:c r="S16" s="85" t="n">
        <x:v>529220.9257043427</x:v>
      </x:c>
      <x:c r="T16" s="85" t="n">
        <x:v>505169.39473981725</x:v>
      </x:c>
      <x:c r="U16" s="85" t="n">
        <x:v>450248.52675270237</x:v>
      </x:c>
      <x:c r="V16" s="85" t="n">
        <x:v>406376.1960629197</x:v>
      </x:c>
      <x:c r="W16" s="85" t="n">
        <x:v>351897.2348666351</x:v>
      </x:c>
      <x:c r="X16" s="85" t="n">
        <x:v>323621.13724672387</x:v>
      </x:c>
      <x:c r="Y16" s="85" t="n">
        <x:v>298630.0299849756</x:v>
      </x:c>
      <x:c r="Z16" s="85" t="n">
        <x:v>261870.25674248414</x:v>
      </x:c>
      <x:c r="AA16" s="85" t="n">
        <x:v>257332.13658055288</x:v>
      </x:c>
      <x:c r="AB16" s="85" t="n">
        <x:v>227509.579330812</x:v>
      </x:c>
      <x:c r="AC16" s="85" t="n">
        <x:v>161085.2524529189</x:v>
      </x:c>
      <x:c r="AD16" s="85" t="n">
        <x:v>131837.43174250622</x:v>
      </x:c>
      <x:c r="AE16" s="85" t="n">
        <x:v>107133.07758043721</x:v>
      </x:c>
      <x:c r="AF16" s="85" t="n">
        <x:v>59723.699668797984</x:v>
      </x:c>
      <x:c r="AG16" s="85" t="n">
        <x:v>20341.04293996762</x:v>
      </x:c>
      <x:c r="AH16" s="85" t="n">
        <x:v>17433.335750719452</x:v>
      </x:c>
      <x:c r="AI16" s="85" t="n">
        <x:v>8773.744465029698</x:v>
      </x:c>
      <x:c r="AJ16" s="85" t="n">
        <x:v>7185.073572034655</x:v>
      </x:c>
      <x:c r="AK16" s="85" t="n">
        <x:v>7028.876320468683</x:v>
      </x:c>
      <x:c r="AL16" s="85" t="n">
        <x:v>7106.974946251668</x:v>
      </x:c>
      <x:c r="AM16" s="85" t="n">
        <x:v>7106.974946251668</x:v>
      </x:c>
      <x:c r="AN16" s="85" t="n">
        <x:v>0</x:v>
      </x:c>
      <x:c r="AO16" s="85" t="n">
        <x:v>0</x:v>
      </x:c>
      <x:c r="AP16" s="85" t="n">
        <x:v>0</x:v>
      </x:c>
      <x:c r="AQ16" s="85" t="n">
        <x:v>0</x:v>
      </x:c>
      <x:c r="AR16" s="85" t="n">
        <x:v>0</x:v>
      </x:c>
      <x:c r="AS16" s="85" t="n">
        <x:v>0</x:v>
      </x:c>
      <x:c r="AT16" s="85" t="n">
        <x:v>0</x:v>
      </x:c>
      <x:c r="AU16" s="85" t="n">
        <x:v>0</x:v>
      </x:c>
      <x:c r="AV16" s="85" t="n">
        <x:v>0</x:v>
      </x:c>
      <x:c r="AW16" s="85" t="n">
        <x:v>0</x:v>
      </x:c>
      <x:c r="AX16" s="85" t="n">
        <x:v>0</x:v>
      </x:c>
      <x:c r="AY16" s="85" t="n">
        <x:v>0</x:v>
      </x:c>
      <x:c r="AZ16" s="85" t="n">
        <x:v>0</x:v>
      </x:c>
    </x:row>
    <x:row r="17" ht="21" customHeight="1">
      <x:c r="A17" s="150"/>
      <x:c r="B17" s="150"/>
      <x:c r="C17" s="23" t="str">
        <x:v>asset interest forfeited</x:v>
      </x:c>
      <x:c r="D17" s="23" t="str">
        <x:v>USD</x:v>
      </x:c>
      <x:c r="E17" s="85" t="n">
        <x:v>0</x:v>
      </x:c>
      <x:c r="F17" s="85" t="n">
        <x:v>206.74140410958898</x:v>
      </x:c>
      <x:c r="G17" s="85" t="n">
        <x:v>0</x:v>
      </x:c>
      <x:c r="H17" s="85" t="n">
        <x:v>211.33565753424656</x:v>
      </x:c>
      <x:c r="I17" s="85" t="n">
        <x:v>0</x:v>
      </x:c>
      <x:c r="J17" s="85" t="n">
        <x:v>117.9191712328767</x:v>
      </x:c>
      <x:c r="K17" s="85" t="n">
        <x:v>0</x:v>
      </x:c>
      <x:c r="L17" s="85" t="n">
        <x:v>119.21498630136988</x:v>
      </x:c>
      <x:c r="M17" s="85" t="n">
        <x:v>0</x:v>
      </x:c>
      <x:c r="N17" s="85" t="n">
        <x:v>86.65441304174263</x:v>
      </x:c>
      <x:c r="O17" s="85" t="n">
        <x:v>0</x:v>
      </x:c>
      <x:c r="P17" s="85" t="n">
        <x:v>90.54150613281872</x:v>
      </x:c>
      <x:c r="Q17" s="85" t="n">
        <x:v>0</x:v>
      </x:c>
      <x:c r="R17" s="85" t="n">
        <x:v>77.08654620463226</x:v>
      </x:c>
      <x:c r="S17" s="85" t="n">
        <x:v>0</x:v>
      </x:c>
      <x:c r="T17" s="85" t="n">
        <x:v>81.77290195874836</x:v>
      </x:c>
      <x:c r="U17" s="85" t="n">
        <x:v>0</x:v>
      </x:c>
      <x:c r="V17" s="85" t="n">
        <x:v>70.22728748371419</x:v>
      </x:c>
      <x:c r="W17" s="85" t="n">
        <x:v>0</x:v>
      </x:c>
      <x:c r="X17" s="85" t="n">
        <x:v>89.35898113703006</x:v>
      </x:c>
      <x:c r="Y17" s="85" t="n">
        <x:v>0</x:v>
      </x:c>
      <x:c r="Z17" s="85" t="n">
        <x:v>0</x:v>
      </x:c>
      <x:c r="AA17" s="85" t="n">
        <x:v>0</x:v>
      </x:c>
      <x:c r="AB17" s="85" t="n">
        <x:v>0</x:v>
      </x:c>
      <x:c r="AC17" s="85" t="n">
        <x:v>0</x:v>
      </x:c>
      <x:c r="AD17" s="85" t="n">
        <x:v>0</x:v>
      </x:c>
      <x:c r="AE17" s="85" t="n">
        <x:v>0</x:v>
      </x:c>
      <x:c r="AF17" s="85" t="n">
        <x:v>0</x:v>
      </x:c>
      <x:c r="AG17" s="85" t="n">
        <x:v>0</x:v>
      </x:c>
      <x:c r="AH17" s="85" t="n">
        <x:v>0</x:v>
      </x:c>
      <x:c r="AI17" s="85" t="n">
        <x:v>0</x:v>
      </x:c>
      <x:c r="AJ17" s="85" t="n">
        <x:v>0</x:v>
      </x:c>
      <x:c r="AK17" s="85" t="n">
        <x:v>0</x:v>
      </x:c>
      <x:c r="AL17" s="85" t="n">
        <x:v>0</x:v>
      </x:c>
      <x:c r="AM17" s="85" t="n">
        <x:v>0</x:v>
      </x:c>
      <x:c r="AN17" s="85" t="n">
        <x:v>0</x:v>
      </x:c>
      <x:c r="AO17" s="85" t="n">
        <x:v>0</x:v>
      </x:c>
      <x:c r="AP17" s="85" t="n">
        <x:v>0</x:v>
      </x:c>
      <x:c r="AQ17" s="85" t="n">
        <x:v>0</x:v>
      </x:c>
      <x:c r="AR17" s="85" t="n">
        <x:v>0</x:v>
      </x:c>
      <x:c r="AS17" s="85" t="n">
        <x:v>0</x:v>
      </x:c>
      <x:c r="AT17" s="85" t="n">
        <x:v>0</x:v>
      </x:c>
      <x:c r="AU17" s="85" t="n">
        <x:v>0</x:v>
      </x:c>
      <x:c r="AV17" s="85" t="n">
        <x:v>0</x:v>
      </x:c>
      <x:c r="AW17" s="85" t="n">
        <x:v>0</x:v>
      </x:c>
      <x:c r="AX17" s="85" t="n">
        <x:v>0</x:v>
      </x:c>
      <x:c r="AY17" s="85" t="n">
        <x:v>0</x:v>
      </x:c>
      <x:c r="AZ17" s="85" t="n">
        <x:v>0</x:v>
      </x:c>
    </x:row>
    <x:row r="18" ht="21" customHeight="1">
      <x:c r="A18" s="150"/>
      <x:c r="B18" s="150"/>
      <x:c r="C18" s="23" t="str">
        <x:v>asset interest receivable</x:v>
      </x:c>
      <x:c r="D18" s="23" t="str">
        <x:v>USD</x:v>
      </x:c>
      <x:c r="E18" s="85" t="n">
        <x:v>6861.340787671232</x:v>
      </x:c>
      <x:c r="F18" s="85" t="n">
        <x:v>0</x:v>
      </x:c>
      <x:c r="G18" s="85" t="n">
        <x:v>6591.143712328767</x:v>
      </x:c>
      <x:c r="H18" s="85" t="n">
        <x:v>0</x:v>
      </x:c>
      <x:c r="I18" s="85" t="n">
        <x:v>6192.543143835616</x:v>
      </x:c>
      <x:c r="J18" s="85" t="n">
        <x:v>0</x:v>
      </x:c>
      <x:c r="K18" s="85" t="n">
        <x:v>6022.163095890412</x:v>
      </x:c>
      <x:c r="L18" s="85" t="n">
        <x:v>0</x:v>
      </x:c>
      <x:c r="M18" s="85" t="n">
        <x:v>5689.806164383562</x:v>
      </x:c>
      <x:c r="N18" s="85" t="n">
        <x:v>0</x:v>
      </x:c>
      <x:c r="O18" s="85" t="n">
        <x:v>5639.0861680400785</x:v>
      </x:c>
      <x:c r="P18" s="85" t="n">
        <x:v>0</x:v>
      </x:c>
      <x:c r="Q18" s="85" t="n">
        <x:v>5352.623613320756</x:v>
      </x:c>
      <x:c r="R18" s="85" t="n">
        <x:v>0</x:v>
      </x:c>
      <x:c r="S18" s="85" t="n">
        <x:v>5312.962706606386</x:v>
      </x:c>
      <x:c r="T18" s="85" t="n">
        <x:v>0</x:v>
      </x:c>
      <x:c r="U18" s="85" t="n">
        <x:v>5050.072770968193</x:v>
      </x:c>
      <x:c r="V18" s="85" t="n">
        <x:v>0</x:v>
      </x:c>
      <x:c r="W18" s="85" t="n">
        <x:v>5005.46195147653</x:v>
      </x:c>
      <x:c r="X18" s="85" t="n">
        <x:v>0</x:v>
      </x:c>
      <x:c r="Y18" s="85" t="n">
        <x:v>4862.667068487984</x:v>
      </x:c>
      <x:c r="Z18" s="85" t="n">
        <x:v>0</x:v>
      </x:c>
      <x:c r="AA18" s="85" t="n">
        <x:v>4916.102970339501</x:v>
      </x:c>
      <x:c r="AB18" s="85" t="n">
        <x:v>0</x:v>
      </x:c>
      <x:c r="AC18" s="85" t="n">
        <x:v>4809.231166636468</x:v>
      </x:c>
      <x:c r="AD18" s="85" t="n">
        <x:v>0</x:v>
      </x:c>
      <x:c r="AE18" s="85" t="n">
        <x:v>4916.102970339501</x:v>
      </x:c>
      <x:c r="AF18" s="85" t="n">
        <x:v>0</x:v>
      </x:c>
      <x:c r="AG18" s="85" t="n">
        <x:v>0</x:v>
      </x:c>
      <x:c r="AH18" s="85" t="n">
        <x:v>0</x:v>
      </x:c>
      <x:c r="AI18" s="85" t="n">
        <x:v>0</x:v>
      </x:c>
      <x:c r="AJ18" s="85" t="n">
        <x:v>0</x:v>
      </x:c>
      <x:c r="AK18" s="85" t="n">
        <x:v>0</x:v>
      </x:c>
      <x:c r="AL18" s="85" t="n">
        <x:v>0</x:v>
      </x:c>
      <x:c r="AM18" s="85" t="n">
        <x:v>0</x:v>
      </x:c>
      <x:c r="AN18" s="85" t="n">
        <x:v>0</x:v>
      </x:c>
      <x:c r="AO18" s="85" t="n">
        <x:v>0</x:v>
      </x:c>
      <x:c r="AP18" s="85" t="n">
        <x:v>0</x:v>
      </x:c>
      <x:c r="AQ18" s="85" t="n">
        <x:v>0</x:v>
      </x:c>
      <x:c r="AR18" s="85" t="n">
        <x:v>0</x:v>
      </x:c>
      <x:c r="AS18" s="85" t="n">
        <x:v>0</x:v>
      </x:c>
      <x:c r="AT18" s="85" t="n">
        <x:v>0</x:v>
      </x:c>
      <x:c r="AU18" s="85" t="n">
        <x:v>0</x:v>
      </x:c>
      <x:c r="AV18" s="85" t="n">
        <x:v>0</x:v>
      </x:c>
      <x:c r="AW18" s="85" t="n">
        <x:v>0</x:v>
      </x:c>
      <x:c r="AX18" s="85" t="n">
        <x:v>0</x:v>
      </x:c>
      <x:c r="AY18" s="85" t="n">
        <x:v>0</x:v>
      </x:c>
      <x:c r="AZ18" s="85" t="n">
        <x:v>0</x:v>
      </x:c>
    </x:row>
    <x:row r="19" ht="21" customHeight="1">
      <x:c r="A19" s="150"/>
      <x:c r="B19" s="150"/>
      <x:c r="C19" s="23" t="str">
        <x:v>asset interest</x:v>
      </x:c>
      <x:c r="D19" s="23" t="str">
        <x:v>USD</x:v>
      </x:c>
      <x:c r="E19" s="85" t="n">
        <x:v>778607.1918493152</x:v>
      </x:c>
      <x:c r="F19" s="85" t="n">
        <x:v>776920.370253425</x:v>
      </x:c>
      <x:c r="G19" s="85" t="n">
        <x:v>747945.927150685</x:v>
      </x:c>
      <x:c r="H19" s="85" t="n">
        <x:v>736723.7198904111</x:v>
      </x:c>
      <x:c r="I19" s="85" t="n">
        <x:v>702713.7664246575</x:v>
      </x:c>
      <x:c r="J19" s="85" t="n">
        <x:v>701481.8520547944</x:v>
      </x:c>
      <x:c r="K19" s="85" t="n">
        <x:v>683379.4796164384</x:v>
      </x:c>
      <x:c r="L19" s="85" t="n">
        <x:v>681657.167780822</x:v>
      </x:c>
      <x:c r="M19" s="85" t="n">
        <x:v>633975.2401643835</x:v>
      </x:c>
      <x:c r="N19" s="85" t="n">
        <x:v>640381.3478513187</x:v>
      </x:c>
      <x:c r="O19" s="85" t="n">
        <x:v>618796.9238984205</x:v>
      </x:c>
      <x:c r="P19" s="85" t="n">
        <x:v>607703.1727168643</x:v>
      </x:c>
      <x:c r="Q19" s="85" t="n">
        <x:v>546594.8355853052</x:v>
      </x:c>
      <x:c r="R19" s="85" t="n">
        <x:v>546071.7507755506</x:v>
      </x:c>
      <x:c r="S19" s="85" t="n">
        <x:v>523907.96299773623</x:v>
      </x:c>
      <x:c r="T19" s="85" t="n">
        <x:v>510400.58454446483</x:v>
      </x:c>
      <x:c r="U19" s="85" t="n">
        <x:v>445198.4539817342</x:v>
      </x:c>
      <x:c r="V19" s="85" t="n">
        <x:v>411356.0415464041</x:v>
      </x:c>
      <x:c r="W19" s="85" t="n">
        <x:v>346891.77291515854</x:v>
      </x:c>
      <x:c r="X19" s="85" t="n">
        <x:v>328537.24021706346</x:v>
      </x:c>
      <x:c r="Y19" s="85" t="n">
        <x:v>293767.3629164875</x:v>
      </x:c>
      <x:c r="Z19" s="85" t="n">
        <x:v>266732.92381097213</x:v>
      </x:c>
      <x:c r="AA19" s="85" t="n">
        <x:v>252416.03361021334</x:v>
      </x:c>
      <x:c r="AB19" s="85" t="n">
        <x:v>232425.68230115148</x:v>
      </x:c>
      <x:c r="AC19" s="85" t="n">
        <x:v>156276.02128628243</x:v>
      </x:c>
      <x:c r="AD19" s="85" t="n">
        <x:v>136646.66290914267</x:v>
      </x:c>
      <x:c r="AE19" s="85" t="n">
        <x:v>102216.9746100977</x:v>
      </x:c>
      <x:c r="AF19" s="85" t="n">
        <x:v>64639.80263913748</x:v>
      </x:c>
      <x:c r="AG19" s="85" t="n">
        <x:v>20341.04293996762</x:v>
      </x:c>
      <x:c r="AH19" s="85" t="n">
        <x:v>17433.335750719452</x:v>
      </x:c>
      <x:c r="AI19" s="85" t="n">
        <x:v>8773.744465029698</x:v>
      </x:c>
      <x:c r="AJ19" s="85" t="n">
        <x:v>7185.073572034655</x:v>
      </x:c>
      <x:c r="AK19" s="85" t="n">
        <x:v>7028.876320468683</x:v>
      </x:c>
      <x:c r="AL19" s="85" t="n">
        <x:v>7106.974946251668</x:v>
      </x:c>
      <x:c r="AM19" s="85" t="n">
        <x:v>7106.974946251668</x:v>
      </x:c>
      <x:c r="AN19" s="85" t="n">
        <x:v>0</x:v>
      </x:c>
      <x:c r="AO19" s="85" t="n">
        <x:v>0</x:v>
      </x:c>
      <x:c r="AP19" s="85" t="n">
        <x:v>0</x:v>
      </x:c>
      <x:c r="AQ19" s="85" t="n">
        <x:v>0</x:v>
      </x:c>
      <x:c r="AR19" s="85" t="n">
        <x:v>0</x:v>
      </x:c>
      <x:c r="AS19" s="85" t="n">
        <x:v>0</x:v>
      </x:c>
      <x:c r="AT19" s="85" t="n">
        <x:v>0</x:v>
      </x:c>
      <x:c r="AU19" s="85" t="n">
        <x:v>0</x:v>
      </x:c>
      <x:c r="AV19" s="85" t="n">
        <x:v>0</x:v>
      </x:c>
      <x:c r="AW19" s="85" t="n">
        <x:v>0</x:v>
      </x:c>
      <x:c r="AX19" s="85" t="n">
        <x:v>0</x:v>
      </x:c>
      <x:c r="AY19" s="85" t="n">
        <x:v>0</x:v>
      </x:c>
      <x:c r="AZ19" s="85" t="n">
        <x:v>0</x:v>
      </x:c>
    </x:row>
    <x:row r="20" ht="21" customHeight="1">
      <x:c r="A20" s="150"/>
      <x:c r="B20" s="150"/>
      <x:c r="C20" s="23" t="str">
        <x:v>recoveries created</x:v>
      </x:c>
      <x:c r="D20" s="23" t="str">
        <x:v>USD</x:v>
      </x:c>
      <x:c r="E20" s="85" t="n">
        <x:v>631176.6825</x:v>
      </x:c>
      <x:c r="F20" s="85" t="n">
        <x:v>631176.6825</x:v>
      </x:c>
      <x:c r="G20" s="85" t="n">
        <x:v>631176.6825</x:v>
      </x:c>
      <x:c r="H20" s="85" t="n">
        <x:v>631176.6825</x:v>
      </x:c>
      <x:c r="I20" s="85" t="n">
        <x:v>356048.38499999995</x:v>
      </x:c>
      <x:c r="J20" s="85" t="n">
        <x:v>356048.38499999995</x:v>
      </x:c>
      <x:c r="K20" s="85" t="n">
        <x:v>356048.38499999995</x:v>
      </x:c>
      <x:c r="L20" s="85" t="n">
        <x:v>356048.38499999995</x:v>
      </x:c>
      <x:c r="M20" s="85" t="n">
        <x:v>258944.28</x:v>
      </x:c>
      <x:c r="N20" s="85" t="n">
        <x:v>258032.82762948575</x:v>
      </x:c>
      <x:c r="O20" s="85" t="n">
        <x:v>258032.82762948575</x:v>
      </x:c>
      <x:c r="P20" s="85" t="n">
        <x:v>258710.34762982387</x:v>
      </x:c>
      <x:c r="Q20" s="85" t="n">
        <x:v>211631.5043155088</x:v>
      </x:c>
      <x:c r="R20" s="85" t="n">
        <x:v>210012.15303286913</x:v>
      </x:c>
      <x:c r="S20" s="85" t="n">
        <x:v>210404.66532477035</x:v>
      </x:c>
      <x:c r="T20" s="85" t="n">
        <x:v>209563.5620140769</x:v>
      </x:c>
      <x:c r="U20" s="85" t="n">
        <x:v>160065.2548282626</x:v>
      </x:c>
      <x:c r="V20" s="85" t="n">
        <x:v>161398.3741052332</x:v>
      </x:c>
      <x:c r="W20" s="85" t="n">
        <x:v>165583.48082662307</x:v>
      </x:c>
      <x:c r="X20" s="85" t="n">
        <x:v>169180.29435569752</x:v>
      </x:c>
      <x:c r="Y20" s="85" t="n">
        <x:v>0</x:v>
      </x:c>
      <x:c r="Z20" s="85" t="n">
        <x:v>0</x:v>
      </x:c>
      <x:c r="AA20" s="85" t="n">
        <x:v>0</x:v>
      </x:c>
      <x:c r="AB20" s="85" t="n">
        <x:v>0</x:v>
      </x:c>
      <x:c r="AC20" s="85" t="n">
        <x:v>0</x:v>
      </x:c>
      <x:c r="AD20" s="85" t="n">
        <x:v>0</x:v>
      </x:c>
      <x:c r="AE20" s="85" t="n">
        <x:v>0</x:v>
      </x:c>
      <x:c r="AF20" s="85" t="n">
        <x:v>0</x:v>
      </x:c>
      <x:c r="AG20" s="85" t="n">
        <x:v>0</x:v>
      </x:c>
      <x:c r="AH20" s="85" t="n">
        <x:v>0</x:v>
      </x:c>
      <x:c r="AI20" s="85" t="n">
        <x:v>0</x:v>
      </x:c>
      <x:c r="AJ20" s="85" t="n">
        <x:v>0</x:v>
      </x:c>
      <x:c r="AK20" s="85" t="n">
        <x:v>0</x:v>
      </x:c>
      <x:c r="AL20" s="85" t="n">
        <x:v>0</x:v>
      </x:c>
      <x:c r="AM20" s="85" t="n">
        <x:v>0</x:v>
      </x:c>
      <x:c r="AN20" s="85" t="n">
        <x:v>0</x:v>
      </x:c>
      <x:c r="AO20" s="85" t="n">
        <x:v>0</x:v>
      </x:c>
      <x:c r="AP20" s="85" t="n">
        <x:v>0</x:v>
      </x:c>
      <x:c r="AQ20" s="85" t="n">
        <x:v>0</x:v>
      </x:c>
      <x:c r="AR20" s="85" t="n">
        <x:v>0</x:v>
      </x:c>
      <x:c r="AS20" s="85" t="n">
        <x:v>0</x:v>
      </x:c>
      <x:c r="AT20" s="85" t="n">
        <x:v>0</x:v>
      </x:c>
      <x:c r="AU20" s="85" t="n">
        <x:v>0</x:v>
      </x:c>
      <x:c r="AV20" s="85" t="n">
        <x:v>0</x:v>
      </x:c>
      <x:c r="AW20" s="85" t="n">
        <x:v>0</x:v>
      </x:c>
      <x:c r="AX20" s="85" t="n">
        <x:v>0</x:v>
      </x:c>
      <x:c r="AY20" s="85" t="n">
        <x:v>0</x:v>
      </x:c>
      <x:c r="AZ20" s="85" t="n">
        <x:v>0</x:v>
      </x:c>
    </x:row>
    <x:row r="21" ht="21" customHeight="1">
      <x:c r="A21" s="150"/>
      <x:c r="B21" s="150"/>
      <x:c r="C21" s="23" t="str">
        <x:v>recovery cash</x:v>
      </x:c>
      <x:c r="D21" s="23" t="str">
        <x:v>USD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  <x:c r="I21" s="85" t="n">
        <x:v>631176.6825</x:v>
      </x:c>
      <x:c r="J21" s="85" t="n">
        <x:v>631176.6825</x:v>
      </x:c>
      <x:c r="K21" s="85" t="n">
        <x:v>631176.6825</x:v>
      </x:c>
      <x:c r="L21" s="85" t="n">
        <x:v>631176.6825</x:v>
      </x:c>
      <x:c r="M21" s="85" t="n">
        <x:v>356048.38499999995</x:v>
      </x:c>
      <x:c r="N21" s="85" t="n">
        <x:v>356048.38499999995</x:v>
      </x:c>
      <x:c r="O21" s="85" t="n">
        <x:v>356048.38499999995</x:v>
      </x:c>
      <x:c r="P21" s="85" t="n">
        <x:v>356048.38499999995</x:v>
      </x:c>
      <x:c r="Q21" s="85" t="n">
        <x:v>258944.28</x:v>
      </x:c>
      <x:c r="R21" s="85" t="n">
        <x:v>258032.82762948575</x:v>
      </x:c>
      <x:c r="S21" s="85" t="n">
        <x:v>258032.82762948575</x:v>
      </x:c>
      <x:c r="T21" s="85" t="n">
        <x:v>258710.34762982387</x:v>
      </x:c>
      <x:c r="U21" s="85" t="n">
        <x:v>211631.5043155088</x:v>
      </x:c>
      <x:c r="V21" s="85" t="n">
        <x:v>210012.15303286913</x:v>
      </x:c>
      <x:c r="W21" s="85" t="n">
        <x:v>210404.66532477035</x:v>
      </x:c>
      <x:c r="X21" s="85" t="n">
        <x:v>209563.5620140769</x:v>
      </x:c>
      <x:c r="Y21" s="85" t="n">
        <x:v>160065.2548282626</x:v>
      </x:c>
      <x:c r="Z21" s="85" t="n">
        <x:v>161398.3741052332</x:v>
      </x:c>
      <x:c r="AA21" s="85" t="n">
        <x:v>165583.48082662307</x:v>
      </x:c>
      <x:c r="AB21" s="85" t="n">
        <x:v>169180.29435569752</x:v>
      </x:c>
      <x:c r="AC21" s="85" t="n">
        <x:v>0</x:v>
      </x:c>
      <x:c r="AD21" s="85" t="n">
        <x:v>0</x:v>
      </x:c>
      <x:c r="AE21" s="85" t="n">
        <x:v>0</x:v>
      </x:c>
      <x:c r="AF21" s="85" t="n">
        <x:v>0</x:v>
      </x:c>
      <x:c r="AG21" s="85" t="n">
        <x:v>0</x:v>
      </x:c>
      <x:c r="AH21" s="85" t="n">
        <x:v>0</x:v>
      </x:c>
      <x:c r="AI21" s="85" t="n">
        <x:v>0</x:v>
      </x:c>
      <x:c r="AJ21" s="85" t="n">
        <x:v>0</x:v>
      </x:c>
      <x:c r="AK21" s="85" t="n">
        <x:v>0</x:v>
      </x:c>
      <x:c r="AL21" s="85" t="n">
        <x:v>0</x:v>
      </x:c>
      <x:c r="AM21" s="85" t="n">
        <x:v>0</x:v>
      </x:c>
      <x:c r="AN21" s="85" t="n">
        <x:v>0</x:v>
      </x:c>
      <x:c r="AO21" s="85" t="n">
        <x:v>0</x:v>
      </x:c>
      <x:c r="AP21" s="85" t="n">
        <x:v>0</x:v>
      </x:c>
      <x:c r="AQ21" s="85" t="n">
        <x:v>0</x:v>
      </x:c>
      <x:c r="AR21" s="85" t="n">
        <x:v>0</x:v>
      </x:c>
      <x:c r="AS21" s="85" t="n">
        <x:v>0</x:v>
      </x:c>
      <x:c r="AT21" s="85" t="n">
        <x:v>0</x:v>
      </x:c>
      <x:c r="AU21" s="85" t="n">
        <x:v>0</x:v>
      </x:c>
      <x:c r="AV21" s="85" t="n">
        <x:v>0</x:v>
      </x:c>
      <x:c r="AW21" s="85" t="n">
        <x:v>0</x:v>
      </x:c>
      <x:c r="AX21" s="85" t="n">
        <x:v>0</x:v>
      </x:c>
      <x:c r="AY21" s="85" t="n">
        <x:v>0</x:v>
      </x:c>
      <x:c r="AZ21" s="85" t="n">
        <x:v>0</x:v>
      </x:c>
    </x:row>
    <x:row r="22" ht="21" customHeight="1">
      <x:c r="A22" s="150"/>
      <x:c r="B22" s="150"/>
      <x:c r="C22" s="23" t="str">
        <x:v>recovery receivable</x:v>
      </x:c>
      <x:c r="D22" s="23" t="str">
        <x:v>USD</x:v>
      </x:c>
      <x:c r="E22" s="85" t="n">
        <x:v>631176.6825</x:v>
      </x:c>
      <x:c r="F22" s="85" t="n">
        <x:v>1262353.365</x:v>
      </x:c>
      <x:c r="G22" s="85" t="n">
        <x:v>1893530.0474999999</x:v>
      </x:c>
      <x:c r="H22" s="85" t="n">
        <x:v>2524706.73</x:v>
      </x:c>
      <x:c r="I22" s="85" t="n">
        <x:v>2249578.4325</x:v>
      </x:c>
      <x:c r="J22" s="85" t="n">
        <x:v>1974450.1349999998</x:v>
      </x:c>
      <x:c r="K22" s="85" t="n">
        <x:v>1699321.8375</x:v>
      </x:c>
      <x:c r="L22" s="85" t="n">
        <x:v>1424193.5399999998</x:v>
      </x:c>
      <x:c r="M22" s="85" t="n">
        <x:v>1327089.4349999998</x:v>
      </x:c>
      <x:c r="N22" s="85" t="n">
        <x:v>1229073.8776294857</x:v>
      </x:c>
      <x:c r="O22" s="85" t="n">
        <x:v>1131058.3202589715</x:v>
      </x:c>
      <x:c r="P22" s="85" t="n">
        <x:v>1033720.2828887954</x:v>
      </x:c>
      <x:c r="Q22" s="85" t="n">
        <x:v>986407.5072043042</x:v>
      </x:c>
      <x:c r="R22" s="85" t="n">
        <x:v>938386.8326076876</x:v>
      </x:c>
      <x:c r="S22" s="85" t="n">
        <x:v>890758.6703029722</x:v>
      </x:c>
      <x:c r="T22" s="85" t="n">
        <x:v>841611.8846872251</x:v>
      </x:c>
      <x:c r="U22" s="85" t="n">
        <x:v>790045.635199979</x:v>
      </x:c>
      <x:c r="V22" s="85" t="n">
        <x:v>741431.8562723431</x:v>
      </x:c>
      <x:c r="W22" s="85" t="n">
        <x:v>696610.6717741957</x:v>
      </x:c>
      <x:c r="X22" s="85" t="n">
        <x:v>656227.4041158163</x:v>
      </x:c>
      <x:c r="Y22" s="85" t="n">
        <x:v>496162.1492875538</x:v>
      </x:c>
      <x:c r="Z22" s="85" t="n">
        <x:v>334763.7751823206</x:v>
      </x:c>
      <x:c r="AA22" s="85" t="n">
        <x:v>169180.29435569752</x:v>
      </x:c>
      <x:c r="AB22" s="85" t="n">
        <x:v>0</x:v>
      </x:c>
      <x:c r="AC22" s="85" t="n">
        <x:v>0</x:v>
      </x:c>
      <x:c r="AD22" s="85" t="n">
        <x:v>0</x:v>
      </x:c>
      <x:c r="AE22" s="85" t="n">
        <x:v>0</x:v>
      </x:c>
      <x:c r="AF22" s="85" t="n">
        <x:v>0</x:v>
      </x:c>
      <x:c r="AG22" s="85" t="n">
        <x:v>0</x:v>
      </x:c>
      <x:c r="AH22" s="85" t="n">
        <x:v>0</x:v>
      </x:c>
      <x:c r="AI22" s="85" t="n">
        <x:v>0</x:v>
      </x:c>
      <x:c r="AJ22" s="85" t="n">
        <x:v>0</x:v>
      </x:c>
      <x:c r="AK22" s="85" t="n">
        <x:v>0</x:v>
      </x:c>
      <x:c r="AL22" s="85" t="n">
        <x:v>0</x:v>
      </x:c>
      <x:c r="AM22" s="85" t="n">
        <x:v>0</x:v>
      </x:c>
      <x:c r="AN22" s="85" t="n">
        <x:v>0</x:v>
      </x:c>
      <x:c r="AO22" s="85" t="n">
        <x:v>0</x:v>
      </x:c>
      <x:c r="AP22" s="85" t="n">
        <x:v>0</x:v>
      </x:c>
      <x:c r="AQ22" s="85" t="n">
        <x:v>0</x:v>
      </x:c>
      <x:c r="AR22" s="85" t="n">
        <x:v>0</x:v>
      </x:c>
      <x:c r="AS22" s="85" t="n">
        <x:v>0</x:v>
      </x:c>
      <x:c r="AT22" s="85" t="n">
        <x:v>0</x:v>
      </x:c>
      <x:c r="AU22" s="85" t="n">
        <x:v>0</x:v>
      </x:c>
      <x:c r="AV22" s="85" t="n">
        <x:v>0</x:v>
      </x:c>
      <x:c r="AW22" s="85" t="n">
        <x:v>0</x:v>
      </x:c>
      <x:c r="AX22" s="85" t="n">
        <x:v>0</x:v>
      </x:c>
      <x:c r="AY22" s="85" t="n">
        <x:v>0</x:v>
      </x:c>
      <x:c r="AZ22" s="85" t="n">
        <x:v>0</x:v>
      </x:c>
    </x:row>
    <x:row r="23" ht="21" customHeight="1">
      <x:c r="A23" s="150"/>
      <x:c r="B23" s="150"/>
      <x:c r="C23" s="23" t="str">
        <x:v>liquidation cash</x:v>
      </x:c>
      <x:c r="D23" s="23" t="str">
        <x:v>USD</x:v>
      </x:c>
      <x:c r="E23" s="85" t="n">
        <x:v>0</x:v>
      </x:c>
      <x:c r="F23" s="85" t="n">
        <x:v>0</x:v>
      </x:c>
      <x:c r="G23" s="85" t="n">
        <x:v>0</x:v>
      </x:c>
      <x:c r="H23" s="85" t="n">
        <x:v>0</x:v>
      </x:c>
      <x:c r="I23" s="85" t="n">
        <x:v>0</x:v>
      </x:c>
      <x:c r="J23" s="85" t="n">
        <x:v>0</x:v>
      </x:c>
      <x:c r="K23" s="85" t="n">
        <x:v>0</x:v>
      </x:c>
      <x:c r="L23" s="85" t="n">
        <x:v>0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  <x:c r="R23" s="85" t="n">
        <x:v>0</x:v>
      </x:c>
      <x:c r="S23" s="85" t="n">
        <x:v>0</x:v>
      </x:c>
      <x:c r="T23" s="85" t="n">
        <x:v>0</x:v>
      </x:c>
      <x:c r="U23" s="85" t="n">
        <x:v>0</x:v>
      </x:c>
      <x:c r="V23" s="85" t="n">
        <x:v>0</x:v>
      </x:c>
      <x:c r="W23" s="85" t="n">
        <x:v>0</x:v>
      </x:c>
      <x:c r="X23" s="85" t="n">
        <x:v>0</x:v>
      </x:c>
      <x:c r="Y23" s="85" t="n">
        <x:v>0</x:v>
      </x:c>
      <x:c r="Z23" s="85" t="n">
        <x:v>0</x:v>
      </x:c>
      <x:c r="AA23" s="85" t="n">
        <x:v>0</x:v>
      </x:c>
      <x:c r="AB23" s="85" t="n">
        <x:v>0</x:v>
      </x:c>
      <x:c r="AC23" s="85" t="n">
        <x:v>0</x:v>
      </x:c>
      <x:c r="AD23" s="85" t="n">
        <x:v>0</x:v>
      </x:c>
      <x:c r="AE23" s="85" t="n">
        <x:v>0</x:v>
      </x:c>
      <x:c r="AF23" s="85" t="n">
        <x:v>0</x:v>
      </x:c>
      <x:c r="AG23" s="85" t="n">
        <x:v>0</x:v>
      </x:c>
      <x:c r="AH23" s="85" t="n">
        <x:v>0</x:v>
      </x:c>
      <x:c r="AI23" s="85" t="n">
        <x:v>0</x:v>
      </x:c>
      <x:c r="AJ23" s="85" t="n">
        <x:v>0</x:v>
      </x:c>
      <x:c r="AK23" s="85" t="n">
        <x:v>0</x:v>
      </x:c>
      <x:c r="AL23" s="85" t="n">
        <x:v>0</x:v>
      </x:c>
      <x:c r="AM23" s="85" t="n">
        <x:v>0</x:v>
      </x:c>
      <x:c r="AN23" s="85" t="n">
        <x:v>0</x:v>
      </x:c>
      <x:c r="AO23" s="85" t="n">
        <x:v>0</x:v>
      </x:c>
      <x:c r="AP23" s="85" t="n">
        <x:v>0</x:v>
      </x:c>
      <x:c r="AQ23" s="85" t="n">
        <x:v>0</x:v>
      </x:c>
      <x:c r="AR23" s="85" t="n">
        <x:v>0</x:v>
      </x:c>
      <x:c r="AS23" s="85" t="n">
        <x:v>0</x:v>
      </x:c>
      <x:c r="AT23" s="85" t="n">
        <x:v>0</x:v>
      </x:c>
      <x:c r="AU23" s="85" t="n">
        <x:v>0</x:v>
      </x:c>
      <x:c r="AV23" s="85" t="n">
        <x:v>0</x:v>
      </x:c>
      <x:c r="AW23" s="85" t="n">
        <x:v>0</x:v>
      </x:c>
      <x:c r="AX23" s="85" t="n">
        <x:v>0</x:v>
      </x:c>
      <x:c r="AY23" s="85" t="n">
        <x:v>0</x:v>
      </x:c>
      <x:c r="AZ23" s="85" t="n">
        <x:v>0</x:v>
      </x:c>
    </x:row>
    <x:row r="24" ht="21" customHeight="1">
      <x:c r="A24" s="150"/>
      <x:c r="B24" s="150"/>
      <x:c r="C24" s="23" t="str">
        <x:v>principal cash begin</x:v>
      </x:c>
      <x:c r="D24" s="23" t="str">
        <x:v>USD</x:v>
      </x:c>
      <x:c r="E24" s="85" t="n">
        <x:v>0</x:v>
      </x:c>
      <x:c r="F24" s="85" t="n">
        <x:v>0</x:v>
      </x:c>
      <x:c r="G24" s="85" t="n">
        <x:v>0</x:v>
      </x:c>
      <x:c r="H24" s="85" t="n">
        <x:v>0</x:v>
      </x:c>
      <x:c r="I24" s="85" t="n">
        <x:v>0</x:v>
      </x:c>
      <x:c r="J24" s="85" t="n">
        <x:v>0</x:v>
      </x:c>
      <x:c r="K24" s="85" t="n">
        <x:v>0</x:v>
      </x:c>
      <x:c r="L24" s="85" t="n">
        <x:v>0</x:v>
      </x:c>
      <x:c r="M24" s="85" t="n">
        <x:v>0</x:v>
      </x:c>
      <x:c r="N24" s="85" t="n">
        <x:v>0</x:v>
      </x:c>
      <x:c r="O24" s="85" t="n">
        <x:v>0</x:v>
      </x:c>
      <x:c r="P24" s="85" t="n">
        <x:v>0</x:v>
      </x:c>
      <x:c r="Q24" s="85" t="n">
        <x:v>0</x:v>
      </x:c>
      <x:c r="R24" s="85" t="n">
        <x:v>0</x:v>
      </x:c>
      <x:c r="S24" s="85" t="n">
        <x:v>0</x:v>
      </x:c>
      <x:c r="T24" s="85" t="n">
        <x:v>0</x:v>
      </x:c>
      <x:c r="U24" s="85" t="n">
        <x:v>0</x:v>
      </x:c>
      <x:c r="V24" s="85" t="n">
        <x:v>0</x:v>
      </x:c>
      <x:c r="W24" s="85" t="n">
        <x:v>0</x:v>
      </x:c>
      <x:c r="X24" s="85" t="n">
        <x:v>0</x:v>
      </x:c>
      <x:c r="Y24" s="85" t="n">
        <x:v>0</x:v>
      </x:c>
      <x:c r="Z24" s="85" t="n">
        <x:v>0</x:v>
      </x:c>
      <x:c r="AA24" s="85" t="n">
        <x:v>0</x:v>
      </x:c>
      <x:c r="AB24" s="85" t="n">
        <x:v>0</x:v>
      </x:c>
      <x:c r="AC24" s="85" t="n">
        <x:v>0</x:v>
      </x:c>
      <x:c r="AD24" s="85" t="n">
        <x:v>0</x:v>
      </x:c>
      <x:c r="AE24" s="85" t="n">
        <x:v>0</x:v>
      </x:c>
      <x:c r="AF24" s="85" t="n">
        <x:v>0</x:v>
      </x:c>
      <x:c r="AG24" s="85" t="n">
        <x:v>0</x:v>
      </x:c>
      <x:c r="AH24" s="85" t="n">
        <x:v>0</x:v>
      </x:c>
      <x:c r="AI24" s="85" t="n">
        <x:v>0</x:v>
      </x:c>
      <x:c r="AJ24" s="85" t="n">
        <x:v>0</x:v>
      </x:c>
      <x:c r="AK24" s="85" t="n">
        <x:v>0</x:v>
      </x:c>
      <x:c r="AL24" s="85" t="n">
        <x:v>0</x:v>
      </x:c>
      <x:c r="AM24" s="85" t="n">
        <x:v>0</x:v>
      </x:c>
      <x:c r="AN24" s="85" t="n">
        <x:v>0</x:v>
      </x:c>
      <x:c r="AO24" s="85" t="n">
        <x:v>0</x:v>
      </x:c>
      <x:c r="AP24" s="85" t="n">
        <x:v>0</x:v>
      </x:c>
      <x:c r="AQ24" s="85" t="n">
        <x:v>0</x:v>
      </x:c>
      <x:c r="AR24" s="85" t="n">
        <x:v>0</x:v>
      </x:c>
      <x:c r="AS24" s="85" t="n">
        <x:v>0</x:v>
      </x:c>
      <x:c r="AT24" s="85" t="n">
        <x:v>0</x:v>
      </x:c>
      <x:c r="AU24" s="85" t="n">
        <x:v>0</x:v>
      </x:c>
      <x:c r="AV24" s="85" t="n">
        <x:v>0</x:v>
      </x:c>
      <x:c r="AW24" s="85" t="n">
        <x:v>0</x:v>
      </x:c>
      <x:c r="AX24" s="85" t="n">
        <x:v>0</x:v>
      </x:c>
      <x:c r="AY24" s="85" t="n">
        <x:v>0</x:v>
      </x:c>
      <x:c r="AZ24" s="85" t="n">
        <x:v>0</x:v>
      </x:c>
    </x:row>
    <x:row r="25" ht="21" customHeight="1">
      <x:c r="A25" s="150"/>
      <x:c r="B25" s="150"/>
      <x:c r="C25" s="23" t="str">
        <x:v>interest cash begin</x:v>
      </x:c>
      <x:c r="D25" s="23" t="str">
        <x:v>USD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  <x:c r="I25" s="85" t="n">
        <x:v>0</x:v>
      </x:c>
      <x:c r="J25" s="85" t="n">
        <x:v>0</x:v>
      </x:c>
      <x:c r="K25" s="85" t="n">
        <x:v>0</x:v>
      </x:c>
      <x:c r="L25" s="85" t="n">
        <x:v>0</x:v>
      </x:c>
      <x:c r="M25" s="85" t="n">
        <x:v>0</x:v>
      </x:c>
      <x:c r="N25" s="85" t="n">
        <x:v>0</x:v>
      </x:c>
      <x:c r="O25" s="85" t="n">
        <x:v>0</x:v>
      </x:c>
      <x:c r="P25" s="85" t="n">
        <x:v>0</x:v>
      </x:c>
      <x:c r="Q25" s="85" t="n">
        <x:v>0</x:v>
      </x:c>
      <x:c r="R25" s="85" t="n">
        <x:v>0</x:v>
      </x:c>
      <x:c r="S25" s="85" t="n">
        <x:v>0</x:v>
      </x:c>
      <x:c r="T25" s="85" t="n">
        <x:v>0</x:v>
      </x:c>
      <x:c r="U25" s="85" t="n">
        <x:v>0</x:v>
      </x:c>
      <x:c r="V25" s="85" t="n">
        <x:v>0</x:v>
      </x:c>
      <x:c r="W25" s="85" t="n">
        <x:v>0</x:v>
      </x:c>
      <x:c r="X25" s="85" t="n">
        <x:v>0</x:v>
      </x:c>
      <x:c r="Y25" s="85" t="n">
        <x:v>0</x:v>
      </x:c>
      <x:c r="Z25" s="85" t="n">
        <x:v>0</x:v>
      </x:c>
      <x:c r="AA25" s="85" t="n">
        <x:v>0</x:v>
      </x:c>
      <x:c r="AB25" s="85" t="n">
        <x:v>0</x:v>
      </x:c>
      <x:c r="AC25" s="85" t="n">
        <x:v>0</x:v>
      </x:c>
      <x:c r="AD25" s="85" t="n">
        <x:v>0</x:v>
      </x:c>
      <x:c r="AE25" s="85" t="n">
        <x:v>0</x:v>
      </x:c>
      <x:c r="AF25" s="85" t="n">
        <x:v>0</x:v>
      </x:c>
      <x:c r="AG25" s="85" t="n">
        <x:v>0</x:v>
      </x:c>
      <x:c r="AH25" s="85" t="n">
        <x:v>0</x:v>
      </x:c>
      <x:c r="AI25" s="85" t="n">
        <x:v>0</x:v>
      </x:c>
      <x:c r="AJ25" s="85" t="n">
        <x:v>0</x:v>
      </x:c>
      <x:c r="AK25" s="85" t="n">
        <x:v>0</x:v>
      </x:c>
      <x:c r="AL25" s="85" t="n">
        <x:v>0</x:v>
      </x:c>
      <x:c r="AM25" s="85" t="n">
        <x:v>0</x:v>
      </x:c>
      <x:c r="AN25" s="85" t="n">
        <x:v>0</x:v>
      </x:c>
      <x:c r="AO25" s="85" t="n">
        <x:v>0</x:v>
      </x:c>
      <x:c r="AP25" s="85" t="n">
        <x:v>0</x:v>
      </x:c>
      <x:c r="AQ25" s="85" t="n">
        <x:v>0</x:v>
      </x:c>
      <x:c r="AR25" s="85" t="n">
        <x:v>0</x:v>
      </x:c>
      <x:c r="AS25" s="85" t="n">
        <x:v>0</x:v>
      </x:c>
      <x:c r="AT25" s="85" t="n">
        <x:v>0</x:v>
      </x:c>
      <x:c r="AU25" s="85" t="n">
        <x:v>0</x:v>
      </x:c>
      <x:c r="AV25" s="85" t="n">
        <x:v>0</x:v>
      </x:c>
      <x:c r="AW25" s="85" t="n">
        <x:v>0</x:v>
      </x:c>
      <x:c r="AX25" s="85" t="n">
        <x:v>0</x:v>
      </x:c>
      <x:c r="AY25" s="85" t="n">
        <x:v>0</x:v>
      </x:c>
      <x:c r="AZ25" s="85" t="n">
        <x:v>0</x:v>
      </x:c>
    </x:row>
    <x:row r="26" ht="21" customHeight="1">
      <x:c r="A26" s="150"/>
      <x:c r="B26" s="150"/>
      <x:c r="C26" s="23" t="str">
        <x:v>senior begin</x:v>
      </x:c>
      <x:c r="D26" s="23" t="str">
        <x:v>USD</x:v>
      </x:c>
      <x:c r="E26" s="85" t="n">
        <x:v>35676160</x:v>
      </x:c>
      <x:c r="F26" s="85" t="n">
        <x:v>35676160</x:v>
      </x:c>
      <x:c r="G26" s="85" t="n">
        <x:v>35676160</x:v>
      </x:c>
      <x:c r="H26" s="85" t="n">
        <x:v>35676160</x:v>
      </x:c>
      <x:c r="I26" s="85" t="n">
        <x:v>35676160</x:v>
      </x:c>
      <x:c r="J26" s="85" t="n">
        <x:v>35044983.3175</x:v>
      </x:c>
      <x:c r="K26" s="85" t="n">
        <x:v>34413806.635000005</x:v>
      </x:c>
      <x:c r="L26" s="85" t="n">
        <x:v>33782629.95250001</x:v>
      </x:c>
      <x:c r="M26" s="85" t="n">
        <x:v>33151453.270000007</x:v>
      </x:c>
      <x:c r="N26" s="85" t="n">
        <x:v>31843894.885000005</x:v>
      </x:c>
      <x:c r="O26" s="85" t="n">
        <x:v>31487846.500000004</x:v>
      </x:c>
      <x:c r="P26" s="85" t="n">
        <x:v>30209270.663147066</x:v>
      </x:c>
      <x:c r="Q26" s="85" t="n">
        <x:v>28037791.686767906</x:v>
      </x:c>
      <x:c r="R26" s="85" t="n">
        <x:v>26883724.66494378</x:v>
      </x:c>
      <x:c r="S26" s="85" t="n">
        <x:v>26155466.921686117</x:v>
      </x:c>
      <x:c r="T26" s="85" t="n">
        <x:v>25028258.876395646</x:v>
      </x:c>
      <x:c r="U26" s="85" t="n">
        <x:v>21746020.08253306</x:v>
      </x:c>
      <x:c r="V26" s="85" t="n">
        <x:v>20271170.576953452</x:v>
      </x:c>
      <x:c r="W26" s="85" t="n">
        <x:v>15439284.274006736</x:v>
      </x:c>
      <x:c r="X26" s="85" t="n">
        <x:v>14041449.455464046</x:v>
      </x:c>
      <x:c r="Y26" s="85" t="n">
        <x:v>11419133.288970673</x:v>
      </x:c>
      <x:c r="Z26" s="85" t="n">
        <x:v>9650566.29782288</x:v>
      </x:c>
      <x:c r="AA26" s="85" t="n">
        <x:v>7880666.187398115</x:v>
      </x:c>
      <x:c r="AB26" s="85" t="n">
        <x:v>7715082.706571492</x:v>
      </x:c>
      <x:c r="AC26" s="85" t="n">
        <x:v>3095986.441179529</x:v>
      </x:c>
      <x:c r="AD26" s="85" t="n">
        <x:v>0</x:v>
      </x:c>
      <x:c r="AE26" s="85" t="n">
        <x:v>0</x:v>
      </x:c>
      <x:c r="AF26" s="85" t="n">
        <x:v>0</x:v>
      </x:c>
      <x:c r="AG26" s="85" t="n">
        <x:v>0</x:v>
      </x:c>
      <x:c r="AH26" s="85" t="n">
        <x:v>0</x:v>
      </x:c>
      <x:c r="AI26" s="85" t="n">
        <x:v>0</x:v>
      </x:c>
      <x:c r="AJ26" s="85" t="n">
        <x:v>0</x:v>
      </x:c>
      <x:c r="AK26" s="85" t="n">
        <x:v>0</x:v>
      </x:c>
      <x:c r="AL26" s="85" t="n">
        <x:v>0</x:v>
      </x:c>
      <x:c r="AM26" s="85" t="n">
        <x:v>0</x:v>
      </x:c>
      <x:c r="AN26" s="85" t="n">
        <x:v>0</x:v>
      </x:c>
      <x:c r="AO26" s="85" t="n">
        <x:v>0</x:v>
      </x:c>
      <x:c r="AP26" s="85" t="n">
        <x:v>0</x:v>
      </x:c>
      <x:c r="AQ26" s="85" t="n">
        <x:v>0</x:v>
      </x:c>
      <x:c r="AR26" s="85" t="n">
        <x:v>0</x:v>
      </x:c>
      <x:c r="AS26" s="85" t="n">
        <x:v>0</x:v>
      </x:c>
      <x:c r="AT26" s="85" t="n">
        <x:v>0</x:v>
      </x:c>
      <x:c r="AU26" s="85" t="n">
        <x:v>0</x:v>
      </x:c>
      <x:c r="AV26" s="85" t="n">
        <x:v>0</x:v>
      </x:c>
      <x:c r="AW26" s="85" t="n">
        <x:v>0</x:v>
      </x:c>
      <x:c r="AX26" s="85" t="n">
        <x:v>0</x:v>
      </x:c>
      <x:c r="AY26" s="85" t="n">
        <x:v>0</x:v>
      </x:c>
      <x:c r="AZ26" s="85" t="n">
        <x:v>0</x:v>
      </x:c>
    </x:row>
    <x:row r="27" ht="21" customHeight="1">
      <x:c r="A27" s="150"/>
      <x:c r="B27" s="150"/>
      <x:c r="C27" s="23" t="str">
        <x:v>junior begin</x:v>
      </x:c>
      <x:c r="D27" s="23" t="str">
        <x:v>USD</x:v>
      </x:c>
      <x:c r="E27" s="85" t="n">
        <x:v>14493440</x:v>
      </x:c>
      <x:c r="F27" s="85" t="n">
        <x:v>14493440</x:v>
      </x:c>
      <x:c r="G27" s="85" t="n">
        <x:v>14493440</x:v>
      </x:c>
      <x:c r="H27" s="85" t="n">
        <x:v>14493440</x:v>
      </x:c>
      <x:c r="I27" s="85" t="n">
        <x:v>14493440</x:v>
      </x:c>
      <x:c r="J27" s="85" t="n">
        <x:v>14493440</x:v>
      </x:c>
      <x:c r="K27" s="85" t="n">
        <x:v>14493440</x:v>
      </x:c>
      <x:c r="L27" s="85" t="n">
        <x:v>14493440</x:v>
      </x:c>
      <x:c r="M27" s="85" t="n">
        <x:v>14493440</x:v>
      </x:c>
      <x:c r="N27" s="85" t="n">
        <x:v>14493440</x:v>
      </x:c>
      <x:c r="O27" s="85" t="n">
        <x:v>14493440</x:v>
      </x:c>
      <x:c r="P27" s="85" t="n">
        <x:v>14493440</x:v>
      </x:c>
      <x:c r="Q27" s="85" t="n">
        <x:v>14493440</x:v>
      </x:c>
      <x:c r="R27" s="85" t="n">
        <x:v>14493440</x:v>
      </x:c>
      <x:c r="S27" s="85" t="n">
        <x:v>14493440</x:v>
      </x:c>
      <x:c r="T27" s="85" t="n">
        <x:v>14493440</x:v>
      </x:c>
      <x:c r="U27" s="85" t="n">
        <x:v>14493440</x:v>
      </x:c>
      <x:c r="V27" s="85" t="n">
        <x:v>14493440</x:v>
      </x:c>
      <x:c r="W27" s="85" t="n">
        <x:v>14493440</x:v>
      </x:c>
      <x:c r="X27" s="85" t="n">
        <x:v>14493440</x:v>
      </x:c>
      <x:c r="Y27" s="85" t="n">
        <x:v>14493440</x:v>
      </x:c>
      <x:c r="Z27" s="85" t="n">
        <x:v>14493440</x:v>
      </x:c>
      <x:c r="AA27" s="85" t="n">
        <x:v>14493440</x:v>
      </x:c>
      <x:c r="AB27" s="85" t="n">
        <x:v>14493440</x:v>
      </x:c>
      <x:c r="AC27" s="85" t="n">
        <x:v>14493440</x:v>
      </x:c>
      <x:c r="AD27" s="85" t="n">
        <x:v>14372422.968540467</x:v>
      </x:c>
      <x:c r="AE27" s="85" t="n">
        <x:v>11959670.364061171</x:v>
      </x:c>
      <x:c r="AF27" s="85" t="n">
        <x:v>11155419.495901406</x:v>
      </x:c>
      <x:c r="AG27" s="85" t="n">
        <x:v>6329914.286942813</x:v>
      </x:c>
      <x:c r="AH27" s="85" t="n">
        <x:v>5901252.656705374</x:v>
      </x:c>
      <x:c r="AI27" s="85" t="n">
        <x:v>5901252.656705374</x:v>
      </x:c>
      <x:c r="AJ27" s="85" t="n">
        <x:v>5097001.7885456085</x:v>
      </x:c>
      <x:c r="AK27" s="85" t="n">
        <x:v>5097001.7885456085</x:v>
      </x:c>
      <x:c r="AL27" s="85" t="n">
        <x:v>5097001.7885456085</x:v>
      </x:c>
      <x:c r="AM27" s="85" t="n">
        <x:v>5097001.7885456085</x:v>
      </x:c>
      <x:c r="AN27" s="85" t="n">
        <x:v>4668340.15830817</x:v>
      </x:c>
      <x:c r="AO27" s="85" t="n">
        <x:v>4668340.15830817</x:v>
      </x:c>
      <x:c r="AP27" s="85" t="n">
        <x:v>4668340.15830817</x:v>
      </x:c>
      <x:c r="AQ27" s="85" t="n">
        <x:v>4668340.15830817</x:v>
      </x:c>
      <x:c r="AR27" s="85" t="n">
        <x:v>4668340.15830817</x:v>
      </x:c>
      <x:c r="AS27" s="85" t="n">
        <x:v>4668340.15830817</x:v>
      </x:c>
      <x:c r="AT27" s="85" t="n">
        <x:v>4668340.15830817</x:v>
      </x:c>
      <x:c r="AU27" s="85" t="n">
        <x:v>4668340.15830817</x:v>
      </x:c>
      <x:c r="AV27" s="85" t="n">
        <x:v>4668340.15830817</x:v>
      </x:c>
      <x:c r="AW27" s="85" t="n">
        <x:v>4668340.15830817</x:v>
      </x:c>
      <x:c r="AX27" s="85" t="n">
        <x:v>4668340.15830817</x:v>
      </x:c>
      <x:c r="AY27" s="85" t="n">
        <x:v>4668340.15830817</x:v>
      </x:c>
      <x:c r="AZ27" s="85" t="n">
        <x:v>4668340.15830817</x:v>
      </x:c>
    </x:row>
    <x:row r="28" ht="21" customHeight="1">
      <x:c r="A28" s="150"/>
      <x:c r="B28" s="150"/>
      <x:c r="C28" s="23" t="str">
        <x:v>senior interest due</x:v>
      </x:c>
      <x:c r="D28" s="23" t="str">
        <x:v>USD</x:v>
      </x:c>
      <x:c r="E28" s="85" t="n">
        <x:v>387061.90027397254</x:v>
      </x:c>
      <x:c r="F28" s="85" t="n">
        <x:v>391362.58805479447</x:v>
      </x:c>
      <x:c r="G28" s="85" t="n">
        <x:v>395663.2758356164</x:v>
      </x:c>
      <x:c r="H28" s="85" t="n">
        <x:v>395663.2758356164</x:v>
      </x:c>
      <x:c r="I28" s="85" t="n">
        <x:v>391362.58805479447</x:v>
      </x:c>
      <x:c r="J28" s="85" t="n">
        <x:v>384438.6663103288</x:v>
      </x:c>
      <x:c r="K28" s="85" t="n">
        <x:v>381663.258242411</x:v>
      </x:c>
      <x:c r="L28" s="85" t="n">
        <x:v>374663.24944580835</x:v>
      </x:c>
      <x:c r="M28" s="85" t="n">
        <x:v>359670.56150465755</x:v>
      </x:c>
      <x:c r="N28" s="85" t="n">
        <x:v>349323.16471106856</x:v>
      </x:c>
      <x:c r="O28" s="85" t="n">
        <x:v>349213.1578958905</x:v>
      </x:c>
      <x:c r="P28" s="85" t="n">
        <x:v>335033.22642306663</x:v>
      </x:c>
      <x:c r="Q28" s="85" t="n">
        <x:v>304190.83583452296</x:v>
      </x:c>
      <x:c r="R28" s="85" t="n">
        <x:v>294910.77687242435</x:v>
      </x:c>
      <x:c r="S28" s="85" t="n">
        <x:v>290074.8769835217</x:v>
      </x:c>
      <x:c r="T28" s="85" t="n">
        <x:v>277573.67652506736</x:v>
      </x:c>
      <x:c r="U28" s="85" t="n">
        <x:v>235929.42336118058</x:v>
      </x:c>
      <x:c r="V28" s="85" t="n">
        <x:v>222371.96435649757</x:v>
      </x:c>
      <x:c r="W28" s="85" t="n">
        <x:v>171228.00751008018</x:v>
      </x:c>
      <x:c r="X28" s="85" t="n">
        <x:v>155725.44491977658</x:v>
      </x:c>
      <x:c r="Y28" s="85" t="n">
        <x:v>125266.32791517417</x:v>
      </x:c>
      <x:c r="Z28" s="85" t="n">
        <x:v>105865.39029173373</x:v>
      </x:c>
      <x:c r="AA28" s="85" t="n">
        <x:v>87399.82664818512</x:v>
      </x:c>
      <x:c r="AB28" s="85" t="n">
        <x:v>85563.43779781206</x:v>
      </x:c>
      <x:c r="AC28" s="85" t="n">
        <x:v>33589.33234813954</x:v>
      </x:c>
      <x:c r="AD28" s="85" t="n">
        <x:v>0</x:v>
      </x:c>
      <x:c r="AE28" s="85" t="n">
        <x:v>0</x:v>
      </x:c>
      <x:c r="AF28" s="85" t="n">
        <x:v>0</x:v>
      </x:c>
      <x:c r="AG28" s="85" t="n">
        <x:v>0</x:v>
      </x:c>
      <x:c r="AH28" s="85" t="n">
        <x:v>0</x:v>
      </x:c>
      <x:c r="AI28" s="85" t="n">
        <x:v>0</x:v>
      </x:c>
      <x:c r="AJ28" s="85" t="n">
        <x:v>0</x:v>
      </x:c>
      <x:c r="AK28" s="85" t="n">
        <x:v>0</x:v>
      </x:c>
      <x:c r="AL28" s="85" t="n">
        <x:v>0</x:v>
      </x:c>
      <x:c r="AM28" s="85" t="n">
        <x:v>0</x:v>
      </x:c>
      <x:c r="AN28" s="85" t="n">
        <x:v>0</x:v>
      </x:c>
      <x:c r="AO28" s="85" t="n">
        <x:v>0</x:v>
      </x:c>
      <x:c r="AP28" s="85" t="n">
        <x:v>0</x:v>
      </x:c>
      <x:c r="AQ28" s="85" t="n">
        <x:v>0</x:v>
      </x:c>
      <x:c r="AR28" s="85" t="n">
        <x:v>0</x:v>
      </x:c>
      <x:c r="AS28" s="85" t="n">
        <x:v>0</x:v>
      </x:c>
      <x:c r="AT28" s="85" t="n">
        <x:v>0</x:v>
      </x:c>
      <x:c r="AU28" s="85" t="n">
        <x:v>0</x:v>
      </x:c>
      <x:c r="AV28" s="85" t="n">
        <x:v>0</x:v>
      </x:c>
      <x:c r="AW28" s="85" t="n">
        <x:v>0</x:v>
      </x:c>
      <x:c r="AX28" s="85" t="n">
        <x:v>0</x:v>
      </x:c>
      <x:c r="AY28" s="85" t="n">
        <x:v>0</x:v>
      </x:c>
      <x:c r="AZ28" s="85" t="n">
        <x:v>0</x:v>
      </x:c>
    </x:row>
    <x:row r="29" ht="21" customHeight="1">
      <x:c r="A29" s="150"/>
      <x:c r="B29" s="150"/>
      <x:c r="C29" s="23" t="str">
        <x:v>senior interest paid</x:v>
      </x:c>
      <x:c r="D29" s="23" t="str">
        <x:v>USD</x:v>
      </x:c>
      <x:c r="E29" s="85" t="n">
        <x:v>387061.90027397254</x:v>
      </x:c>
      <x:c r="F29" s="85" t="n">
        <x:v>391362.58805479447</x:v>
      </x:c>
      <x:c r="G29" s="85" t="n">
        <x:v>395663.2758356164</x:v>
      </x:c>
      <x:c r="H29" s="85" t="n">
        <x:v>395663.2758356164</x:v>
      </x:c>
      <x:c r="I29" s="85" t="n">
        <x:v>391362.58805479447</x:v>
      </x:c>
      <x:c r="J29" s="85" t="n">
        <x:v>384438.6663103288</x:v>
      </x:c>
      <x:c r="K29" s="85" t="n">
        <x:v>381663.258242411</x:v>
      </x:c>
      <x:c r="L29" s="85" t="n">
        <x:v>374663.24944580835</x:v>
      </x:c>
      <x:c r="M29" s="85" t="n">
        <x:v>359670.56150465755</x:v>
      </x:c>
      <x:c r="N29" s="85" t="n">
        <x:v>349323.16471106856</x:v>
      </x:c>
      <x:c r="O29" s="85" t="n">
        <x:v>349213.1578958905</x:v>
      </x:c>
      <x:c r="P29" s="85" t="n">
        <x:v>335033.22642306663</x:v>
      </x:c>
      <x:c r="Q29" s="85" t="n">
        <x:v>304190.83583452296</x:v>
      </x:c>
      <x:c r="R29" s="85" t="n">
        <x:v>294910.77687242435</x:v>
      </x:c>
      <x:c r="S29" s="85" t="n">
        <x:v>290074.8769835217</x:v>
      </x:c>
      <x:c r="T29" s="85" t="n">
        <x:v>277573.67652506736</x:v>
      </x:c>
      <x:c r="U29" s="85" t="n">
        <x:v>235929.42336118058</x:v>
      </x:c>
      <x:c r="V29" s="85" t="n">
        <x:v>222371.96435649757</x:v>
      </x:c>
      <x:c r="W29" s="85" t="n">
        <x:v>171228.00751008018</x:v>
      </x:c>
      <x:c r="X29" s="85" t="n">
        <x:v>155725.44491977658</x:v>
      </x:c>
      <x:c r="Y29" s="85" t="n">
        <x:v>125266.32791517417</x:v>
      </x:c>
      <x:c r="Z29" s="85" t="n">
        <x:v>105865.39029173373</x:v>
      </x:c>
      <x:c r="AA29" s="85" t="n">
        <x:v>87399.82664818512</x:v>
      </x:c>
      <x:c r="AB29" s="85" t="n">
        <x:v>85563.43779781206</x:v>
      </x:c>
      <x:c r="AC29" s="85" t="n">
        <x:v>33589.33234813954</x:v>
      </x:c>
      <x:c r="AD29" s="85" t="n">
        <x:v>0</x:v>
      </x:c>
      <x:c r="AE29" s="85" t="n">
        <x:v>0</x:v>
      </x:c>
      <x:c r="AF29" s="85" t="n">
        <x:v>0</x:v>
      </x:c>
      <x:c r="AG29" s="85" t="n">
        <x:v>0</x:v>
      </x:c>
      <x:c r="AH29" s="85" t="n">
        <x:v>0</x:v>
      </x:c>
      <x:c r="AI29" s="85" t="n">
        <x:v>0</x:v>
      </x:c>
      <x:c r="AJ29" s="85" t="n">
        <x:v>0</x:v>
      </x:c>
      <x:c r="AK29" s="85" t="n">
        <x:v>0</x:v>
      </x:c>
      <x:c r="AL29" s="85" t="n">
        <x:v>0</x:v>
      </x:c>
      <x:c r="AM29" s="85" t="n">
        <x:v>0</x:v>
      </x:c>
      <x:c r="AN29" s="85" t="n">
        <x:v>0</x:v>
      </x:c>
      <x:c r="AO29" s="85" t="n">
        <x:v>0</x:v>
      </x:c>
      <x:c r="AP29" s="85" t="n">
        <x:v>0</x:v>
      </x:c>
      <x:c r="AQ29" s="85" t="n">
        <x:v>0</x:v>
      </x:c>
      <x:c r="AR29" s="85" t="n">
        <x:v>0</x:v>
      </x:c>
      <x:c r="AS29" s="85" t="n">
        <x:v>0</x:v>
      </x:c>
      <x:c r="AT29" s="85" t="n">
        <x:v>0</x:v>
      </x:c>
      <x:c r="AU29" s="85" t="n">
        <x:v>0</x:v>
      </x:c>
      <x:c r="AV29" s="85" t="n">
        <x:v>0</x:v>
      </x:c>
      <x:c r="AW29" s="85" t="n">
        <x:v>0</x:v>
      </x:c>
      <x:c r="AX29" s="85" t="n">
        <x:v>0</x:v>
      </x:c>
      <x:c r="AY29" s="85" t="n">
        <x:v>0</x:v>
      </x:c>
      <x:c r="AZ29" s="85" t="n">
        <x:v>0</x:v>
      </x:c>
    </x:row>
    <x:row r="30" ht="21" customHeight="1">
      <x:c r="A30" s="150"/>
      <x:c r="B30" s="150"/>
      <x:c r="C30" s="23" t="str">
        <x:v>senior interest shortfall</x:v>
      </x:c>
      <x:c r="D30" s="23" t="str">
        <x:v>USD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85" t="n">
        <x:v>0</x:v>
      </x:c>
      <x:c r="J30" s="85" t="n">
        <x:v>0</x:v>
      </x:c>
      <x:c r="K30" s="85" t="n">
        <x:v>0</x:v>
      </x:c>
      <x:c r="L30" s="85" t="n">
        <x:v>0</x:v>
      </x:c>
      <x:c r="M30" s="85" t="n">
        <x:v>0</x:v>
      </x:c>
      <x:c r="N30" s="85" t="n">
        <x:v>0</x:v>
      </x:c>
      <x:c r="O30" s="85" t="n">
        <x:v>0</x:v>
      </x:c>
      <x:c r="P30" s="85" t="n">
        <x:v>0</x:v>
      </x:c>
      <x:c r="Q30" s="85" t="n">
        <x:v>0</x:v>
      </x:c>
      <x:c r="R30" s="85" t="n">
        <x:v>0</x:v>
      </x:c>
      <x:c r="S30" s="85" t="n">
        <x:v>0</x:v>
      </x:c>
      <x:c r="T30" s="85" t="n">
        <x:v>0</x:v>
      </x:c>
      <x:c r="U30" s="85" t="n">
        <x:v>0</x:v>
      </x:c>
      <x:c r="V30" s="85" t="n">
        <x:v>0</x:v>
      </x:c>
      <x:c r="W30" s="85" t="n">
        <x:v>0</x:v>
      </x:c>
      <x:c r="X30" s="85" t="n">
        <x:v>0</x:v>
      </x:c>
      <x:c r="Y30" s="85" t="n">
        <x:v>0</x:v>
      </x:c>
      <x:c r="Z30" s="85" t="n">
        <x:v>0</x:v>
      </x:c>
      <x:c r="AA30" s="85" t="n">
        <x:v>0</x:v>
      </x:c>
      <x:c r="AB30" s="85" t="n">
        <x:v>0</x:v>
      </x:c>
      <x:c r="AC30" s="85" t="n">
        <x:v>0</x:v>
      </x:c>
      <x:c r="AD30" s="85" t="n">
        <x:v>0</x:v>
      </x:c>
      <x:c r="AE30" s="85" t="n">
        <x:v>0</x:v>
      </x:c>
      <x:c r="AF30" s="85" t="n">
        <x:v>0</x:v>
      </x:c>
      <x:c r="AG30" s="85" t="n">
        <x:v>0</x:v>
      </x:c>
      <x:c r="AH30" s="85" t="n">
        <x:v>0</x:v>
      </x:c>
      <x:c r="AI30" s="85" t="n">
        <x:v>0</x:v>
      </x:c>
      <x:c r="AJ30" s="85" t="n">
        <x:v>0</x:v>
      </x:c>
      <x:c r="AK30" s="85" t="n">
        <x:v>0</x:v>
      </x:c>
      <x:c r="AL30" s="85" t="n">
        <x:v>0</x:v>
      </x:c>
      <x:c r="AM30" s="85" t="n">
        <x:v>0</x:v>
      </x:c>
      <x:c r="AN30" s="85" t="n">
        <x:v>0</x:v>
      </x:c>
      <x:c r="AO30" s="85" t="n">
        <x:v>0</x:v>
      </x:c>
      <x:c r="AP30" s="85" t="n">
        <x:v>0</x:v>
      </x:c>
      <x:c r="AQ30" s="85" t="n">
        <x:v>0</x:v>
      </x:c>
      <x:c r="AR30" s="85" t="n">
        <x:v>0</x:v>
      </x:c>
      <x:c r="AS30" s="85" t="n">
        <x:v>0</x:v>
      </x:c>
      <x:c r="AT30" s="85" t="n">
        <x:v>0</x:v>
      </x:c>
      <x:c r="AU30" s="85" t="n">
        <x:v>0</x:v>
      </x:c>
      <x:c r="AV30" s="85" t="n">
        <x:v>0</x:v>
      </x:c>
      <x:c r="AW30" s="85" t="n">
        <x:v>0</x:v>
      </x:c>
      <x:c r="AX30" s="85" t="n">
        <x:v>0</x:v>
      </x:c>
      <x:c r="AY30" s="85" t="n">
        <x:v>0</x:v>
      </x:c>
      <x:c r="AZ30" s="85" t="n">
        <x:v>0</x:v>
      </x:c>
    </x:row>
    <x:row r="31" ht="21" customHeight="1">
      <x:c r="A31" s="150"/>
      <x:c r="B31" s="150"/>
      <x:c r="C31" s="23" t="str">
        <x:v>senior interest arrears</x:v>
      </x:c>
      <x:c r="D31" s="23" t="str">
        <x:v>USD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85" t="n">
        <x:v>0</x:v>
      </x:c>
      <x:c r="J31" s="85" t="n">
        <x:v>0</x:v>
      </x:c>
      <x:c r="K31" s="85" t="n">
        <x:v>0</x:v>
      </x:c>
      <x:c r="L31" s="85" t="n">
        <x:v>0</x:v>
      </x:c>
      <x:c r="M31" s="85" t="n">
        <x:v>0</x:v>
      </x:c>
      <x:c r="N31" s="85" t="n">
        <x:v>0</x:v>
      </x:c>
      <x:c r="O31" s="85" t="n">
        <x:v>0</x:v>
      </x:c>
      <x:c r="P31" s="85" t="n">
        <x:v>0</x:v>
      </x:c>
      <x:c r="Q31" s="85" t="n">
        <x:v>0</x:v>
      </x:c>
      <x:c r="R31" s="85" t="n">
        <x:v>0</x:v>
      </x:c>
      <x:c r="S31" s="85" t="n">
        <x:v>0</x:v>
      </x:c>
      <x:c r="T31" s="85" t="n">
        <x:v>0</x:v>
      </x:c>
      <x:c r="U31" s="85" t="n">
        <x:v>0</x:v>
      </x:c>
      <x:c r="V31" s="85" t="n">
        <x:v>0</x:v>
      </x:c>
      <x:c r="W31" s="85" t="n">
        <x:v>0</x:v>
      </x:c>
      <x:c r="X31" s="85" t="n">
        <x:v>0</x:v>
      </x:c>
      <x:c r="Y31" s="85" t="n">
        <x:v>0</x:v>
      </x:c>
      <x:c r="Z31" s="85" t="n">
        <x:v>0</x:v>
      </x:c>
      <x:c r="AA31" s="85" t="n">
        <x:v>0</x:v>
      </x:c>
      <x:c r="AB31" s="85" t="n">
        <x:v>0</x:v>
      </x:c>
      <x:c r="AC31" s="85" t="n">
        <x:v>0</x:v>
      </x:c>
      <x:c r="AD31" s="85" t="n">
        <x:v>0</x:v>
      </x:c>
      <x:c r="AE31" s="85" t="n">
        <x:v>0</x:v>
      </x:c>
      <x:c r="AF31" s="85" t="n">
        <x:v>0</x:v>
      </x:c>
      <x:c r="AG31" s="85" t="n">
        <x:v>0</x:v>
      </x:c>
      <x:c r="AH31" s="85" t="n">
        <x:v>0</x:v>
      </x:c>
      <x:c r="AI31" s="85" t="n">
        <x:v>0</x:v>
      </x:c>
      <x:c r="AJ31" s="85" t="n">
        <x:v>0</x:v>
      </x:c>
      <x:c r="AK31" s="85" t="n">
        <x:v>0</x:v>
      </x:c>
      <x:c r="AL31" s="85" t="n">
        <x:v>0</x:v>
      </x:c>
      <x:c r="AM31" s="85" t="n">
        <x:v>0</x:v>
      </x:c>
      <x:c r="AN31" s="85" t="n">
        <x:v>0</x:v>
      </x:c>
      <x:c r="AO31" s="85" t="n">
        <x:v>0</x:v>
      </x:c>
      <x:c r="AP31" s="85" t="n">
        <x:v>0</x:v>
      </x:c>
      <x:c r="AQ31" s="85" t="n">
        <x:v>0</x:v>
      </x:c>
      <x:c r="AR31" s="85" t="n">
        <x:v>0</x:v>
      </x:c>
      <x:c r="AS31" s="85" t="n">
        <x:v>0</x:v>
      </x:c>
      <x:c r="AT31" s="85" t="n">
        <x:v>0</x:v>
      </x:c>
      <x:c r="AU31" s="85" t="n">
        <x:v>0</x:v>
      </x:c>
      <x:c r="AV31" s="85" t="n">
        <x:v>0</x:v>
      </x:c>
      <x:c r="AW31" s="85" t="n">
        <x:v>0</x:v>
      </x:c>
      <x:c r="AX31" s="85" t="n">
        <x:v>0</x:v>
      </x:c>
      <x:c r="AY31" s="85" t="n">
        <x:v>0</x:v>
      </x:c>
      <x:c r="AZ31" s="85" t="n">
        <x:v>0</x:v>
      </x:c>
    </x:row>
    <x:row r="32" ht="21" customHeight="1">
      <x:c r="A32" s="150"/>
      <x:c r="B32" s="150"/>
      <x:c r="C32" s="23" t="str">
        <x:v>junior interest due</x:v>
      </x:c>
      <x:c r="D32" s="23" t="str">
        <x:v>USD</x:v>
      </x:c>
      <x:c r="E32" s="85" t="n">
        <x:v>303766.61917808215</x:v>
      </x:c>
      <x:c r="F32" s="85" t="n">
        <x:v>307141.80383561645</x:v>
      </x:c>
      <x:c r="G32" s="85" t="n">
        <x:v>310516.9884931507</x:v>
      </x:c>
      <x:c r="H32" s="85" t="n">
        <x:v>315051.37573150673</x:v>
      </x:c>
      <x:c r="I32" s="85" t="n">
        <x:v>325994.3612876709</x:v>
      </x:c>
      <x:c r="J32" s="85" t="n">
        <x:v>364736.19692328724</x:v>
      </x:c>
      <x:c r="K32" s="85" t="n">
        <x:v>400358.6107843011</x:v>
      </x:c>
      <x:c r="L32" s="85" t="n">
        <x:v>450959.7417390408</x:v>
      </x:c>
      <x:c r="M32" s="85" t="n">
        <x:v>488721.3875903285</x:v>
      </x:c>
      <x:c r="N32" s="85" t="n">
        <x:v>560862.6144648491</x:v>
      </x:c>
      <x:c r="O32" s="85" t="n">
        <x:v>618648.2351191195</x:v>
      </x:c>
      <x:c r="P32" s="85" t="n">
        <x:v>697739.3239220688</x:v>
      </x:c>
      <x:c r="Q32" s="85" t="n">
        <x:v>765589.8941995132</x:v>
      </x:c>
      <x:c r="R32" s="85" t="n">
        <x:v>864138.5624114211</x:v>
      </x:c>
      <x:c r="S32" s="85" t="n">
        <x:v>956425.767760239</x:v>
      </x:c>
      <x:c r="T32" s="85" t="n">
        <x:v>1065508.4388977494</x:v>
      </x:c>
      <x:c r="U32" s="85" t="n">
        <x:v>1167600.6647202498</x:v>
      </x:c>
      <x:c r="V32" s="85" t="n">
        <x:v>1292870.3261549233</x:v>
      </x:c>
      <x:c r="W32" s="85" t="n">
        <x:v>1440637.430304686</x:v>
      </x:c>
      <x:c r="X32" s="85" t="n">
        <x:v>1597566.9279459817</x:v>
      </x:c>
      <x:c r="Y32" s="85" t="n">
        <x:v>1752556.8431763398</x:v>
      </x:c>
      <x:c r="Z32" s="85" t="n">
        <x:v>1909162.7622131226</x:v>
      </x:c>
      <x:c r="AA32" s="85" t="n">
        <x:v>2075373.7843675483</x:v>
      </x:c>
      <x:c r="AB32" s="85" t="n">
        <x:v>2236199.121311707</x:v>
      </x:c>
      <x:c r="AC32" s="85" t="n">
        <x:v>2408428.051399486</x:v>
      </x:c>
      <x:c r="AD32" s="85" t="n">
        <x:v>2601469.67435385</x:v>
      </x:c>
      <x:c r="AE32" s="85" t="n">
        <x:v>2729522.662463933</x:v>
      </x:c>
      <x:c r="AF32" s="85" t="n">
        <x:v>2872739.0817831545</x:v>
      </x:c>
      <x:c r="AG32" s="85" t="n">
        <x:v>2946490.1937791337</x:v>
      </x:c>
      <x:c r="AH32" s="85" t="n">
        <x:v>3052641.1649491275</x:v>
      </x:c>
      <x:c r="AI32" s="85" t="n">
        <x:v>3162715.9892153274</x:v>
      </x:c>
      <x:c r="AJ32" s="85" t="n">
        <x:v>3264231.4277938884</x:v>
      </x:c>
      <x:c r="AK32" s="85" t="n">
        <x:v>3364252.0877213343</x:v>
      </x:c>
      <x:c r="AL32" s="85" t="n">
        <x:v>3465607.6970116193</x:v>
      </x:c>
      <x:c r="AM32" s="85" t="n">
        <x:v>3568076.29114936</x:v>
      </x:c>
      <x:c r="AN32" s="85" t="n">
        <x:v>3661365.0671151807</x:v>
      </x:c>
      <x:c r="AO32" s="85" t="n">
        <x:v>3760295.5085522044</x:v>
      </x:c>
      <x:c r="AP32" s="85" t="n">
        <x:v>3859225.949989228</x:v>
      </x:c>
      <x:c r="AQ32" s="85" t="n">
        <x:v>3959243.539134351</x:v>
      </x:c>
      <x:c r="AR32" s="85" t="n">
        <x:v>4059261.128279474</x:v>
      </x:c>
      <x:c r="AS32" s="85" t="n">
        <x:v>4157104.422008399</x:v>
      </x:c>
      <x:c r="AT32" s="85" t="n">
        <x:v>4256034.863445423</x:v>
      </x:c>
      <x:c r="AU32" s="85" t="n">
        <x:v>4356052.452590546</x:v>
      </x:c>
      <x:c r="AV32" s="85" t="n">
        <x:v>4456070.041735669</x:v>
      </x:c>
      <x:c r="AW32" s="85" t="n">
        <x:v>4553913.335464593</x:v>
      </x:c>
      <x:c r="AX32" s="85" t="n">
        <x:v>4652843.776901617</x:v>
      </x:c>
      <x:c r="AY32" s="85" t="n">
        <x:v>4752861.36604674</x:v>
      </x:c>
      <x:c r="AZ32" s="85" t="n">
        <x:v>4852878.955191863</x:v>
      </x:c>
    </x:row>
    <x:row r="33" ht="21" customHeight="1">
      <x:c r="A33" s="150"/>
      <x:c r="B33" s="150"/>
      <x:c r="C33" s="23" t="str">
        <x:v>junior interest paid</x:v>
      </x:c>
      <x:c r="D33" s="23" t="str">
        <x:v>USD</x:v>
      </x:c>
      <x:c r="E33" s="85" t="n">
        <x:v>303766.61917808215</x:v>
      </x:c>
      <x:c r="F33" s="85" t="n">
        <x:v>307141.80383561645</x:v>
      </x:c>
      <x:c r="G33" s="85" t="n">
        <x:v>305982.60125479463</x:v>
      </x:c>
      <x:c r="H33" s="85" t="n">
        <x:v>296198.8182794523</x:v>
      </x:c>
      <x:c r="I33" s="85" t="n">
        <x:v>268399.9682000001</x:v>
      </x:c>
      <x:c r="J33" s="85" t="n">
        <x:v>274894.5746321368</x:v>
      </x:c>
      <x:c r="K33" s="85" t="n">
        <x:v>259915.857538411</x:v>
      </x:c>
      <x:c r="L33" s="85" t="n">
        <x:v>266004.97332679445</x:v>
      </x:c>
      <x:c r="M33" s="85" t="n">
        <x:v>235000.57696109585</x:v>
      </x:c>
      <x:c r="N33" s="85" t="n">
        <x:v>252731.36783888022</x:v>
      </x:c>
      <x:c r="O33" s="85" t="n">
        <x:v>231425.89969020133</x:v>
      </x:c>
      <x:c r="P33" s="85" t="n">
        <x:v>235916.04890063772</x:v>
      </x:c>
      <x:c r="Q33" s="85" t="n">
        <x:v>208593.1356237086</x:v>
      </x:c>
      <x:c r="R33" s="85" t="n">
        <x:v>218229.78314433288</x:v>
      </x:c>
      <x:c r="S33" s="85" t="n">
        <x:v>201434.31735564023</x:v>
      </x:c>
      <x:c r="T33" s="85" t="n">
        <x:v>201674.39335558162</x:v>
      </x:c>
      <x:c r="U33" s="85" t="n">
        <x:v>181872.14240094298</x:v>
      </x:c>
      <x:c r="V33" s="85" t="n">
        <x:v>162749.88434338808</x:v>
      </x:c>
      <x:c r="W33" s="85" t="n">
        <x:v>153587.49085185496</x:v>
      </x:c>
      <x:c r="X33" s="85" t="n">
        <x:v>152151.8886052585</x:v>
      </x:c>
      <x:c r="Y33" s="85" t="n">
        <x:v>150535.88479883352</x:v>
      </x:c>
      <x:c r="Z33" s="85" t="n">
        <x:v>144305.96633872512</x:v>
      </x:c>
      <x:c r="AA33" s="85" t="n">
        <x:v>149691.6515489919</x:v>
      </x:c>
      <x:c r="AB33" s="85" t="n">
        <x:v>131537.6890903031</x:v>
      </x:c>
      <x:c r="AC33" s="85" t="n">
        <x:v>111535.61447484294</x:v>
      </x:c>
      <x:c r="AD33" s="85" t="n">
        <x:v>128178.85366240572</x:v>
      </x:c>
      <x:c r="AE33" s="85" t="n">
        <x:v>95784.62303132382</x:v>
      </x:c>
      <x:c r="AF33" s="85" t="n">
        <x:v>58916.954565973036</x:v>
      </x:c>
      <x:c r="AG33" s="85" t="n">
        <x:v>18907.081705666493</x:v>
      </x:c>
      <x:c r="AH33" s="85" t="n">
        <x:v>16357.49292677559</x:v>
      </x:c>
      <x:c r="AI33" s="85" t="n">
        <x:v>7686.079192471069</x:v>
      </x:c>
      <x:c r="AJ33" s="85" t="n">
        <x:v>6806.911805085462</x:v>
      </x:c>
      <x:c r="AK33" s="85" t="n">
        <x:v>6658.935461496647</x:v>
      </x:c>
      <x:c r="AL33" s="85" t="n">
        <x:v>6732.923633291054</x:v>
      </x:c>
      <x:c r="AM33" s="85" t="n">
        <x:v>6728.813179302476</x:v>
      </x:c>
      <x:c r="AN33" s="85" t="n">
        <x:v>0</x:v>
      </x:c>
      <x:c r="AO33" s="85" t="n">
        <x:v>0</x:v>
      </x:c>
      <x:c r="AP33" s="85" t="n">
        <x:v>0</x:v>
      </x:c>
      <x:c r="AQ33" s="85" t="n">
        <x:v>0</x:v>
      </x:c>
      <x:c r="AR33" s="85" t="n">
        <x:v>0</x:v>
      </x:c>
      <x:c r="AS33" s="85" t="n">
        <x:v>0</x:v>
      </x:c>
      <x:c r="AT33" s="85" t="n">
        <x:v>0</x:v>
      </x:c>
      <x:c r="AU33" s="85" t="n">
        <x:v>0</x:v>
      </x:c>
      <x:c r="AV33" s="85" t="n">
        <x:v>0</x:v>
      </x:c>
      <x:c r="AW33" s="85" t="n">
        <x:v>0</x:v>
      </x:c>
      <x:c r="AX33" s="85" t="n">
        <x:v>0</x:v>
      </x:c>
      <x:c r="AY33" s="85" t="n">
        <x:v>0</x:v>
      </x:c>
      <x:c r="AZ33" s="85" t="n">
        <x:v>0</x:v>
      </x:c>
    </x:row>
    <x:row r="34" ht="21" customHeight="1">
      <x:c r="A34" s="150"/>
      <x:c r="B34" s="150"/>
      <x:c r="C34" s="23" t="str">
        <x:v>junior interest arrears</x:v>
      </x:c>
      <x:c r="D34" s="23" t="str">
        <x:v>USD</x:v>
      </x:c>
      <x:c r="E34" s="85" t="n">
        <x:v>0</x:v>
      </x:c>
      <x:c r="F34" s="85" t="n">
        <x:v>0</x:v>
      </x:c>
      <x:c r="G34" s="85" t="n">
        <x:v>4534.387238356052</x:v>
      </x:c>
      <x:c r="H34" s="85" t="n">
        <x:v>18852.55745205446</x:v>
      </x:c>
      <x:c r="I34" s="85" t="n">
        <x:v>57594.39308767079</x:v>
      </x:c>
      <x:c r="J34" s="85" t="n">
        <x:v>89841.62229115044</x:v>
      </x:c>
      <x:c r="K34" s="85" t="n">
        <x:v>140442.75324589014</x:v>
      </x:c>
      <x:c r="L34" s="85" t="n">
        <x:v>184954.76841224637</x:v>
      </x:c>
      <x:c r="M34" s="85" t="n">
        <x:v>253720.81062923267</x:v>
      </x:c>
      <x:c r="N34" s="85" t="n">
        <x:v>308131.2466259689</x:v>
      </x:c>
      <x:c r="O34" s="85" t="n">
        <x:v>387222.3354289182</x:v>
      </x:c>
      <x:c r="P34" s="85" t="n">
        <x:v>461823.2750214311</x:v>
      </x:c>
      <x:c r="Q34" s="85" t="n">
        <x:v>556996.7585758046</x:v>
      </x:c>
      <x:c r="R34" s="85" t="n">
        <x:v>645908.7792670883</x:v>
      </x:c>
      <x:c r="S34" s="85" t="n">
        <x:v>754991.4504045987</x:v>
      </x:c>
      <x:c r="T34" s="85" t="n">
        <x:v>863834.0455421677</x:v>
      </x:c>
      <x:c r="U34" s="85" t="n">
        <x:v>985728.5223193069</x:v>
      </x:c>
      <x:c r="V34" s="85" t="n">
        <x:v>1130120.4418115353</x:v>
      </x:c>
      <x:c r="W34" s="85" t="n">
        <x:v>1287049.9394528312</x:v>
      </x:c>
      <x:c r="X34" s="85" t="n">
        <x:v>1445415.0393407233</x:v>
      </x:c>
      <x:c r="Y34" s="85" t="n">
        <x:v>1602020.9583775061</x:v>
      </x:c>
      <x:c r="Z34" s="85" t="n">
        <x:v>1764856.7958743975</x:v>
      </x:c>
      <x:c r="AA34" s="85" t="n">
        <x:v>1925682.1328185564</x:v>
      </x:c>
      <x:c r="AB34" s="85" t="n">
        <x:v>2104661.432221404</x:v>
      </x:c>
      <x:c r="AC34" s="85" t="n">
        <x:v>2296892.4369246433</x:v>
      </x:c>
      <x:c r="AD34" s="85" t="n">
        <x:v>2473290.8206914444</x:v>
      </x:c>
      <x:c r="AE34" s="85" t="n">
        <x:v>2633738.0394326095</x:v>
      </x:c>
      <x:c r="AF34" s="85" t="n">
        <x:v>2813822.1272171815</x:v>
      </x:c>
      <x:c r="AG34" s="85" t="n">
        <x:v>2927583.112073467</x:v>
      </x:c>
      <x:c r="AH34" s="85" t="n">
        <x:v>3036283.672022352</x:v>
      </x:c>
      <x:c r="AI34" s="85" t="n">
        <x:v>3155029.910022856</x:v>
      </x:c>
      <x:c r="AJ34" s="85" t="n">
        <x:v>3257424.515988803</x:v>
      </x:c>
      <x:c r="AK34" s="85" t="n">
        <x:v>3357593.152259838</x:v>
      </x:c>
      <x:c r="AL34" s="85" t="n">
        <x:v>3458874.7733783284</x:v>
      </x:c>
      <x:c r="AM34" s="85" t="n">
        <x:v>3561347.4779700576</x:v>
      </x:c>
      <x:c r="AN34" s="85" t="n">
        <x:v>3661365.0671151807</x:v>
      </x:c>
      <x:c r="AO34" s="85" t="n">
        <x:v>3760295.5085522044</x:v>
      </x:c>
      <x:c r="AP34" s="85" t="n">
        <x:v>3859225.949989228</x:v>
      </x:c>
      <x:c r="AQ34" s="85" t="n">
        <x:v>3959243.539134351</x:v>
      </x:c>
      <x:c r="AR34" s="85" t="n">
        <x:v>4059261.128279474</x:v>
      </x:c>
      <x:c r="AS34" s="85" t="n">
        <x:v>4157104.422008399</x:v>
      </x:c>
      <x:c r="AT34" s="85" t="n">
        <x:v>4256034.863445423</x:v>
      </x:c>
      <x:c r="AU34" s="85" t="n">
        <x:v>4356052.452590546</x:v>
      </x:c>
      <x:c r="AV34" s="85" t="n">
        <x:v>4456070.041735669</x:v>
      </x:c>
      <x:c r="AW34" s="85" t="n">
        <x:v>4553913.335464593</x:v>
      </x:c>
      <x:c r="AX34" s="85" t="n">
        <x:v>4652843.776901617</x:v>
      </x:c>
      <x:c r="AY34" s="85" t="n">
        <x:v>4752861.36604674</x:v>
      </x:c>
      <x:c r="AZ34" s="85" t="n">
        <x:v>4852878.955191863</x:v>
      </x:c>
    </x:row>
    <x:row r="35" ht="21" customHeight="1">
      <x:c r="A35" s="150"/>
      <x:c r="B35" s="150"/>
      <x:c r="C35" s="23" t="str">
        <x:v>senior fees due</x:v>
      </x:c>
      <x:c r="D35" s="23" t="str">
        <x:v>USD</x:v>
      </x:c>
      <x:c r="E35" s="85" t="n">
        <x:v>48107.83561643835</x:v>
      </x:c>
      <x:c r="F35" s="85" t="n">
        <x:v>47219.57788493151</x:v>
      </x:c>
      <x:c r="G35" s="85" t="n">
        <x:v>46300.05006027398</x:v>
      </x:c>
      <x:c r="H35" s="85" t="n">
        <x:v>44861.62577534247</x:v>
      </x:c>
      <x:c r="I35" s="85" t="n">
        <x:v>42951.210169863014</x:v>
      </x:c>
      <x:c r="J35" s="85" t="n">
        <x:v>42148.61111232877</x:v>
      </x:c>
      <x:c r="K35" s="85" t="n">
        <x:v>41800.36383561644</x:v>
      </x:c>
      <x:c r="L35" s="85" t="n">
        <x:v>40988.94500821918</x:v>
      </x:c>
      <x:c r="M35" s="85" t="n">
        <x:v>39304.10169863013</x:v>
      </x:c>
      <x:c r="N35" s="85" t="n">
        <x:v>38326.81530136986</x:v>
      </x:c>
      <x:c r="O35" s="85" t="n">
        <x:v>38157.86631232877</x:v>
      </x:c>
      <x:c r="P35" s="85" t="n">
        <x:v>36753.897393159874</x:v>
      </x:c>
      <x:c r="Q35" s="85" t="n">
        <x:v>33810.86412707367</x:v>
      </x:c>
      <x:c r="R35" s="85" t="n">
        <x:v>32931.19075879341</x:v>
      </x:c>
      <x:c r="S35" s="85" t="n">
        <x:v>32398.76865857431</x:v>
      </x:c>
      <x:c r="T35" s="85" t="n">
        <x:v>31152.514663815855</x:v>
      </x:c>
      <x:c r="U35" s="85" t="n">
        <x:v>27396.88821961064</x:v>
      </x:c>
      <x:c r="V35" s="85" t="n">
        <x:v>26234.192846518472</x:v>
      </x:c>
      <x:c r="W35" s="85" t="n">
        <x:v>22076.27455322339</x:v>
      </x:c>
      <x:c r="X35" s="85" t="n">
        <x:v>20659.906692028402</x:v>
      </x:c>
      <x:c r="Y35" s="85" t="n">
        <x:v>17965.150202479777</x:v>
      </x:c>
      <x:c r="Z35" s="85" t="n">
        <x:v>16561.567180513284</x:v>
      </x:c>
      <x:c r="AA35" s="85" t="n">
        <x:v>15324.555413036318</x:v>
      </x:c>
      <x:c r="AB35" s="85" t="n">
        <x:v>15324.555413036318</x:v>
      </x:c>
      <x:c r="AC35" s="85" t="n">
        <x:v>11151.07446329994</x:v>
      </x:c>
      <x:c r="AD35" s="85" t="n">
        <x:v>8467.80924673695</x:v>
      </x:c>
      <x:c r="AE35" s="85" t="n">
        <x:v>6432.351578773881</x:v>
      </x:c>
      <x:c r="AF35" s="85" t="n">
        <x:v>5722.848073164444</x:v>
      </x:c>
      <x:c r="AG35" s="85" t="n">
        <x:v>1433.9612343011295</x:v>
      </x:c>
      <x:c r="AH35" s="85" t="n">
        <x:v>1075.8428239438617</x:v>
      </x:c>
      <x:c r="AI35" s="85" t="n">
        <x:v>1087.6652725586293</x:v>
      </x:c>
      <x:c r="AJ35" s="85" t="n">
        <x:v>378.1617669491923</x:v>
      </x:c>
      <x:c r="AK35" s="85" t="n">
        <x:v>369.9408589720359</x:v>
      </x:c>
      <x:c r="AL35" s="85" t="n">
        <x:v>374.0513129606141</x:v>
      </x:c>
      <x:c r="AM35" s="85" t="n">
        <x:v>378.1617669491923</x:v>
      </x:c>
      <x:c r="AN35" s="85" t="n">
        <x:v>0</x:v>
      </x:c>
      <x:c r="AO35" s="85" t="n">
        <x:v>0</x:v>
      </x:c>
      <x:c r="AP35" s="85" t="n">
        <x:v>0</x:v>
      </x:c>
      <x:c r="AQ35" s="85" t="n">
        <x:v>0</x:v>
      </x:c>
      <x:c r="AR35" s="85" t="n">
        <x:v>0</x:v>
      </x:c>
      <x:c r="AS35" s="85" t="n">
        <x:v>0</x:v>
      </x:c>
      <x:c r="AT35" s="85" t="n">
        <x:v>0</x:v>
      </x:c>
      <x:c r="AU35" s="85" t="n">
        <x:v>0</x:v>
      </x:c>
      <x:c r="AV35" s="85" t="n">
        <x:v>0</x:v>
      </x:c>
      <x:c r="AW35" s="85" t="n">
        <x:v>0</x:v>
      </x:c>
      <x:c r="AX35" s="85" t="n">
        <x:v>0</x:v>
      </x:c>
      <x:c r="AY35" s="85" t="n">
        <x:v>0</x:v>
      </x:c>
      <x:c r="AZ35" s="85" t="n">
        <x:v>0</x:v>
      </x:c>
    </x:row>
    <x:row r="36" ht="21" customHeight="1">
      <x:c r="A36" s="150"/>
      <x:c r="B36" s="150"/>
      <x:c r="C36" s="23" t="str">
        <x:v>senior fees paid</x:v>
      </x:c>
      <x:c r="D36" s="23" t="str">
        <x:v>USD</x:v>
      </x:c>
      <x:c r="E36" s="85" t="n">
        <x:v>48107.83561643835</x:v>
      </x:c>
      <x:c r="F36" s="85" t="n">
        <x:v>47219.57788493151</x:v>
      </x:c>
      <x:c r="G36" s="85" t="n">
        <x:v>46300.05006027398</x:v>
      </x:c>
      <x:c r="H36" s="85" t="n">
        <x:v>44861.62577534247</x:v>
      </x:c>
      <x:c r="I36" s="85" t="n">
        <x:v>42951.210169863014</x:v>
      </x:c>
      <x:c r="J36" s="85" t="n">
        <x:v>42148.61111232877</x:v>
      </x:c>
      <x:c r="K36" s="85" t="n">
        <x:v>41800.36383561644</x:v>
      </x:c>
      <x:c r="L36" s="85" t="n">
        <x:v>40988.94500821918</x:v>
      </x:c>
      <x:c r="M36" s="85" t="n">
        <x:v>39304.10169863013</x:v>
      </x:c>
      <x:c r="N36" s="85" t="n">
        <x:v>38326.81530136986</x:v>
      </x:c>
      <x:c r="O36" s="85" t="n">
        <x:v>38157.86631232877</x:v>
      </x:c>
      <x:c r="P36" s="85" t="n">
        <x:v>36753.897393159874</x:v>
      </x:c>
      <x:c r="Q36" s="85" t="n">
        <x:v>33810.86412707367</x:v>
      </x:c>
      <x:c r="R36" s="85" t="n">
        <x:v>32931.19075879341</x:v>
      </x:c>
      <x:c r="S36" s="85" t="n">
        <x:v>32398.76865857431</x:v>
      </x:c>
      <x:c r="T36" s="85" t="n">
        <x:v>31152.514663815855</x:v>
      </x:c>
      <x:c r="U36" s="85" t="n">
        <x:v>27396.88821961064</x:v>
      </x:c>
      <x:c r="V36" s="85" t="n">
        <x:v>26234.192846518472</x:v>
      </x:c>
      <x:c r="W36" s="85" t="n">
        <x:v>22076.27455322339</x:v>
      </x:c>
      <x:c r="X36" s="85" t="n">
        <x:v>20659.906692028402</x:v>
      </x:c>
      <x:c r="Y36" s="85" t="n">
        <x:v>17965.150202479777</x:v>
      </x:c>
      <x:c r="Z36" s="85" t="n">
        <x:v>16561.567180513284</x:v>
      </x:c>
      <x:c r="AA36" s="85" t="n">
        <x:v>15324.555413036318</x:v>
      </x:c>
      <x:c r="AB36" s="85" t="n">
        <x:v>15324.555413036318</x:v>
      </x:c>
      <x:c r="AC36" s="85" t="n">
        <x:v>11151.07446329994</x:v>
      </x:c>
      <x:c r="AD36" s="85" t="n">
        <x:v>8467.80924673695</x:v>
      </x:c>
      <x:c r="AE36" s="85" t="n">
        <x:v>6432.351578773881</x:v>
      </x:c>
      <x:c r="AF36" s="85" t="n">
        <x:v>5722.848073164444</x:v>
      </x:c>
      <x:c r="AG36" s="85" t="n">
        <x:v>1433.9612343011295</x:v>
      </x:c>
      <x:c r="AH36" s="85" t="n">
        <x:v>1075.8428239438617</x:v>
      </x:c>
      <x:c r="AI36" s="85" t="n">
        <x:v>1087.6652725586293</x:v>
      </x:c>
      <x:c r="AJ36" s="85" t="n">
        <x:v>378.1617669491923</x:v>
      </x:c>
      <x:c r="AK36" s="85" t="n">
        <x:v>369.9408589720359</x:v>
      </x:c>
      <x:c r="AL36" s="85" t="n">
        <x:v>374.0513129606141</x:v>
      </x:c>
      <x:c r="AM36" s="85" t="n">
        <x:v>378.1617669491923</x:v>
      </x:c>
      <x:c r="AN36" s="85" t="n">
        <x:v>0</x:v>
      </x:c>
      <x:c r="AO36" s="85" t="n">
        <x:v>0</x:v>
      </x:c>
      <x:c r="AP36" s="85" t="n">
        <x:v>0</x:v>
      </x:c>
      <x:c r="AQ36" s="85" t="n">
        <x:v>0</x:v>
      </x:c>
      <x:c r="AR36" s="85" t="n">
        <x:v>0</x:v>
      </x:c>
      <x:c r="AS36" s="85" t="n">
        <x:v>0</x:v>
      </x:c>
      <x:c r="AT36" s="85" t="n">
        <x:v>0</x:v>
      </x:c>
      <x:c r="AU36" s="85" t="n">
        <x:v>0</x:v>
      </x:c>
      <x:c r="AV36" s="85" t="n">
        <x:v>0</x:v>
      </x:c>
      <x:c r="AW36" s="85" t="n">
        <x:v>0</x:v>
      </x:c>
      <x:c r="AX36" s="85" t="n">
        <x:v>0</x:v>
      </x:c>
      <x:c r="AY36" s="85" t="n">
        <x:v>0</x:v>
      </x:c>
      <x:c r="AZ36" s="85" t="n">
        <x:v>0</x:v>
      </x:c>
    </x:row>
    <x:row r="37" ht="21" customHeight="1">
      <x:c r="A37" s="150"/>
      <x:c r="B37" s="150"/>
      <x:c r="C37" s="23" t="str">
        <x:v>senior fee arrears</x:v>
      </x:c>
      <x:c r="D37" s="23" t="str">
        <x:v>USD</x:v>
      </x:c>
      <x:c r="E37" s="85" t="n">
        <x:v>0</x:v>
      </x:c>
      <x:c r="F37" s="85" t="n">
        <x:v>0</x:v>
      </x:c>
      <x:c r="G37" s="85" t="n">
        <x:v>0</x:v>
      </x:c>
      <x:c r="H37" s="85" t="n">
        <x:v>0</x:v>
      </x:c>
      <x:c r="I37" s="85" t="n">
        <x:v>0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0</x:v>
      </x:c>
      <x:c r="O37" s="85" t="n">
        <x:v>0</x:v>
      </x:c>
      <x:c r="P37" s="85" t="n">
        <x:v>0</x:v>
      </x:c>
      <x:c r="Q37" s="85" t="n">
        <x:v>0</x:v>
      </x:c>
      <x:c r="R37" s="85" t="n">
        <x:v>0</x:v>
      </x:c>
      <x:c r="S37" s="85" t="n">
        <x:v>0</x:v>
      </x:c>
      <x:c r="T37" s="85" t="n">
        <x:v>0</x:v>
      </x:c>
      <x:c r="U37" s="85" t="n">
        <x:v>0</x:v>
      </x:c>
      <x:c r="V37" s="85" t="n">
        <x:v>0</x:v>
      </x:c>
      <x:c r="W37" s="85" t="n">
        <x:v>0</x:v>
      </x:c>
      <x:c r="X37" s="85" t="n">
        <x:v>0</x:v>
      </x:c>
      <x:c r="Y37" s="85" t="n">
        <x:v>0</x:v>
      </x:c>
      <x:c r="Z37" s="85" t="n">
        <x:v>0</x:v>
      </x:c>
      <x:c r="AA37" s="85" t="n">
        <x:v>0</x:v>
      </x:c>
      <x:c r="AB37" s="85" t="n">
        <x:v>0</x:v>
      </x:c>
      <x:c r="AC37" s="85" t="n">
        <x:v>0</x:v>
      </x:c>
      <x:c r="AD37" s="85" t="n">
        <x:v>0</x:v>
      </x:c>
      <x:c r="AE37" s="85" t="n">
        <x:v>0</x:v>
      </x:c>
      <x:c r="AF37" s="85" t="n">
        <x:v>0</x:v>
      </x:c>
      <x:c r="AG37" s="85" t="n">
        <x:v>0</x:v>
      </x:c>
      <x:c r="AH37" s="85" t="n">
        <x:v>0</x:v>
      </x:c>
      <x:c r="AI37" s="85" t="n">
        <x:v>0</x:v>
      </x:c>
      <x:c r="AJ37" s="85" t="n">
        <x:v>0</x:v>
      </x:c>
      <x:c r="AK37" s="85" t="n">
        <x:v>0</x:v>
      </x:c>
      <x:c r="AL37" s="85" t="n">
        <x:v>0</x:v>
      </x:c>
      <x:c r="AM37" s="85" t="n">
        <x:v>0</x:v>
      </x:c>
      <x:c r="AN37" s="85" t="n">
        <x:v>0</x:v>
      </x:c>
      <x:c r="AO37" s="85" t="n">
        <x:v>0</x:v>
      </x:c>
      <x:c r="AP37" s="85" t="n">
        <x:v>0</x:v>
      </x:c>
      <x:c r="AQ37" s="85" t="n">
        <x:v>0</x:v>
      </x:c>
      <x:c r="AR37" s="85" t="n">
        <x:v>0</x:v>
      </x:c>
      <x:c r="AS37" s="85" t="n">
        <x:v>0</x:v>
      </x:c>
      <x:c r="AT37" s="85" t="n">
        <x:v>0</x:v>
      </x:c>
      <x:c r="AU37" s="85" t="n">
        <x:v>0</x:v>
      </x:c>
      <x:c r="AV37" s="85" t="n">
        <x:v>0</x:v>
      </x:c>
      <x:c r="AW37" s="85" t="n">
        <x:v>0</x:v>
      </x:c>
      <x:c r="AX37" s="85" t="n">
        <x:v>0</x:v>
      </x:c>
      <x:c r="AY37" s="85" t="n">
        <x:v>0</x:v>
      </x:c>
      <x:c r="AZ37" s="85" t="n">
        <x:v>0</x:v>
      </x:c>
    </x:row>
    <x:row r="38" ht="21" customHeight="1">
      <x:c r="A38" s="150"/>
      <x:c r="B38" s="150"/>
      <x:c r="C38" s="23" t="str">
        <x:v>sub fees due</x:v>
      </x:c>
      <x:c r="D38" s="23" t="str">
        <x:v>USD</x:v>
      </x:c>
      <x:c r="E38" s="85" t="n">
        <x:v>20617.643835616436</x:v>
      </x:c>
      <x:c r="F38" s="85" t="n">
        <x:v>20236.961950684934</x:v>
      </x:c>
      <x:c r="G38" s="85" t="n">
        <x:v>19842.87859726028</x:v>
      </x:c>
      <x:c r="H38" s="85" t="n">
        <x:v>39069.289643835626</x:v>
      </x:c>
      <x:c r="I38" s="85" t="n">
        <x:v>57476.95114520549</x:v>
      </x:c>
      <x:c r="J38" s="85" t="n">
        <x:v>75540.6416219178</x:v>
      </x:c>
      <x:c r="K38" s="85" t="n">
        <x:v>93455.08326575343</x:v>
      </x:c>
      <x:c r="L38" s="85" t="n">
        <x:v>111021.77398356165</x:v>
      </x:c>
      <x:c r="M38" s="85" t="n">
        <x:v>127866.38899726028</x:v>
      </x:c>
      <x:c r="N38" s="85" t="n">
        <x:v>144292.16698356165</x:v>
      </x:c>
      <x:c r="O38" s="85" t="n">
        <x:v>160645.53826027398</x:v>
      </x:c>
      <x:c r="P38" s="85" t="n">
        <x:v>176397.2085716282</x:v>
      </x:c>
      <x:c r="Q38" s="85" t="n">
        <x:v>190887.57891180262</x:v>
      </x:c>
      <x:c r="R38" s="85" t="n">
        <x:v>205000.94637985693</x:v>
      </x:c>
      <x:c r="S38" s="85" t="n">
        <x:v>218886.13294781736</x:v>
      </x:c>
      <x:c r="T38" s="85" t="n">
        <x:v>232237.2106608813</x:v>
      </x:c>
      <x:c r="U38" s="85" t="n">
        <x:v>243978.7341835716</x:v>
      </x:c>
      <x:c r="V38" s="85" t="n">
        <x:v>255221.95968922236</x:v>
      </x:c>
      <x:c r="W38" s="85" t="n">
        <x:v>264683.2202120324</x:v>
      </x:c>
      <x:c r="X38" s="85" t="n">
        <x:v>273537.46593718743</x:v>
      </x:c>
      <x:c r="Y38" s="85" t="n">
        <x:v>281236.8160239645</x:v>
      </x:c>
      <x:c r="Z38" s="85" t="n">
        <x:v>288334.63052989874</x:v>
      </x:c>
      <x:c r="AA38" s="85" t="n">
        <x:v>294902.29713548574</x:v>
      </x:c>
      <x:c r="AB38" s="85" t="n">
        <x:v>301469.96374107274</x:v>
      </x:c>
      <x:c r="AC38" s="85" t="n">
        <x:v>306248.99565391557</x:v>
      </x:c>
      <x:c r="AD38" s="85" t="n">
        <x:v>309878.05675965996</x:v>
      </x:c>
      <x:c r="AE38" s="85" t="n">
        <x:v>312634.7788648488</x:v>
      </x:c>
      <x:c r="AF38" s="85" t="n">
        <x:v>315087.4280390621</x:v>
      </x:c>
      <x:c r="AG38" s="85" t="n">
        <x:v>315701.98285376263</x:v>
      </x:c>
      <x:c r="AH38" s="85" t="n">
        <x:v>316163.0583497386</x:v>
      </x:c>
      <x:c r="AI38" s="85" t="n">
        <x:v>316629.2006094066</x:v>
      </x:c>
      <x:c r="AJ38" s="85" t="n">
        <x:v>316791.2699380991</x:v>
      </x:c>
      <x:c r="AK38" s="85" t="n">
        <x:v>316949.8160205157</x:v>
      </x:c>
      <x:c r="AL38" s="85" t="n">
        <x:v>317110.1237260702</x:v>
      </x:c>
      <x:c r="AM38" s="85" t="n">
        <x:v>317272.1930547627</x:v>
      </x:c>
      <x:c r="AN38" s="85" t="n">
        <x:v>317272.1930547627</x:v>
      </x:c>
      <x:c r="AO38" s="85" t="n">
        <x:v>317272.1930547627</x:v>
      </x:c>
      <x:c r="AP38" s="85" t="n">
        <x:v>317272.1930547627</x:v>
      </x:c>
      <x:c r="AQ38" s="85" t="n">
        <x:v>317272.1930547627</x:v>
      </x:c>
      <x:c r="AR38" s="85" t="n">
        <x:v>317272.1930547627</x:v>
      </x:c>
      <x:c r="AS38" s="85" t="n">
        <x:v>317272.1930547627</x:v>
      </x:c>
      <x:c r="AT38" s="85" t="n">
        <x:v>317272.1930547627</x:v>
      </x:c>
      <x:c r="AU38" s="85" t="n">
        <x:v>317272.1930547627</x:v>
      </x:c>
      <x:c r="AV38" s="85" t="n">
        <x:v>317272.1930547627</x:v>
      </x:c>
      <x:c r="AW38" s="85" t="n">
        <x:v>317272.1930547627</x:v>
      </x:c>
      <x:c r="AX38" s="85" t="n">
        <x:v>317272.1930547627</x:v>
      </x:c>
      <x:c r="AY38" s="85" t="n">
        <x:v>317272.1930547627</x:v>
      </x:c>
      <x:c r="AZ38" s="85" t="n">
        <x:v>317272.1930547627</x:v>
      </x:c>
    </x:row>
    <x:row r="39" ht="21" customHeight="1">
      <x:c r="A39" s="150"/>
      <x:c r="B39" s="150"/>
      <x:c r="C39" s="23" t="str">
        <x:v>sub fees paid</x:v>
      </x:c>
      <x:c r="D39" s="23" t="str">
        <x:v>USD</x:v>
      </x:c>
      <x:c r="E39" s="85" t="n">
        <x:v>20617.643835616436</x:v>
      </x:c>
      <x:c r="F39" s="85" t="n">
        <x:v>20236.961950684934</x:v>
      </x:c>
      <x:c r="G39" s="85" t="n">
        <x:v>0</x:v>
      </x:c>
      <x:c r="H39" s="85" t="n">
        <x:v>0</x:v>
      </x:c>
      <x:c r="I39" s="85" t="n">
        <x:v>0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0</x:v>
      </x:c>
      <x:c r="O39" s="85" t="n">
        <x:v>0</x:v>
      </x:c>
      <x:c r="P39" s="85" t="n">
        <x:v>0</x:v>
      </x:c>
      <x:c r="Q39" s="85" t="n">
        <x:v>0</x:v>
      </x:c>
      <x:c r="R39" s="85" t="n">
        <x:v>0</x:v>
      </x:c>
      <x:c r="S39" s="85" t="n">
        <x:v>0</x:v>
      </x:c>
      <x:c r="T39" s="85" t="n">
        <x:v>0</x:v>
      </x:c>
      <x:c r="U39" s="85" t="n">
        <x:v>0</x:v>
      </x:c>
      <x:c r="V39" s="85" t="n">
        <x:v>0</x:v>
      </x:c>
      <x:c r="W39" s="85" t="n">
        <x:v>0</x:v>
      </x:c>
      <x:c r="X39" s="85" t="n">
        <x:v>0</x:v>
      </x:c>
      <x:c r="Y39" s="85" t="n">
        <x:v>0</x:v>
      </x:c>
      <x:c r="Z39" s="85" t="n">
        <x:v>0</x:v>
      </x:c>
      <x:c r="AA39" s="85" t="n">
        <x:v>0</x:v>
      </x:c>
      <x:c r="AB39" s="85" t="n">
        <x:v>0</x:v>
      </x:c>
      <x:c r="AC39" s="85" t="n">
        <x:v>0</x:v>
      </x:c>
      <x:c r="AD39" s="85" t="n">
        <x:v>0</x:v>
      </x:c>
      <x:c r="AE39" s="85" t="n">
        <x:v>0</x:v>
      </x:c>
      <x:c r="AF39" s="85" t="n">
        <x:v>0</x:v>
      </x:c>
      <x:c r="AG39" s="85" t="n">
        <x:v>0</x:v>
      </x:c>
      <x:c r="AH39" s="85" t="n">
        <x:v>0</x:v>
      </x:c>
      <x:c r="AI39" s="85" t="n">
        <x:v>0</x:v>
      </x:c>
      <x:c r="AJ39" s="85" t="n">
        <x:v>0</x:v>
      </x:c>
      <x:c r="AK39" s="85" t="n">
        <x:v>0</x:v>
      </x:c>
      <x:c r="AL39" s="85" t="n">
        <x:v>0</x:v>
      </x:c>
      <x:c r="AM39" s="85" t="n">
        <x:v>0</x:v>
      </x:c>
      <x:c r="AN39" s="85" t="n">
        <x:v>0</x:v>
      </x:c>
      <x:c r="AO39" s="85" t="n">
        <x:v>0</x:v>
      </x:c>
      <x:c r="AP39" s="85" t="n">
        <x:v>0</x:v>
      </x:c>
      <x:c r="AQ39" s="85" t="n">
        <x:v>0</x:v>
      </x:c>
      <x:c r="AR39" s="85" t="n">
        <x:v>0</x:v>
      </x:c>
      <x:c r="AS39" s="85" t="n">
        <x:v>0</x:v>
      </x:c>
      <x:c r="AT39" s="85" t="n">
        <x:v>0</x:v>
      </x:c>
      <x:c r="AU39" s="85" t="n">
        <x:v>0</x:v>
      </x:c>
      <x:c r="AV39" s="85" t="n">
        <x:v>0</x:v>
      </x:c>
      <x:c r="AW39" s="85" t="n">
        <x:v>0</x:v>
      </x:c>
      <x:c r="AX39" s="85" t="n">
        <x:v>0</x:v>
      </x:c>
      <x:c r="AY39" s="85" t="n">
        <x:v>0</x:v>
      </x:c>
      <x:c r="AZ39" s="85" t="n">
        <x:v>0</x:v>
      </x:c>
    </x:row>
    <x:row r="40" ht="21" customHeight="1">
      <x:c r="A40" s="150"/>
      <x:c r="B40" s="150"/>
      <x:c r="C40" s="23" t="str">
        <x:v>sub fee arrears</x:v>
      </x:c>
      <x:c r="D40" s="23" t="str">
        <x:v>USD</x:v>
      </x:c>
      <x:c r="E40" s="85" t="n">
        <x:v>0</x:v>
      </x:c>
      <x:c r="F40" s="85" t="n">
        <x:v>0</x:v>
      </x:c>
      <x:c r="G40" s="85" t="n">
        <x:v>19842.87859726028</x:v>
      </x:c>
      <x:c r="H40" s="85" t="n">
        <x:v>39069.289643835626</x:v>
      </x:c>
      <x:c r="I40" s="85" t="n">
        <x:v>57476.95114520549</x:v>
      </x:c>
      <x:c r="J40" s="85" t="n">
        <x:v>75540.6416219178</x:v>
      </x:c>
      <x:c r="K40" s="85" t="n">
        <x:v>93455.08326575343</x:v>
      </x:c>
      <x:c r="L40" s="85" t="n">
        <x:v>111021.77398356165</x:v>
      </x:c>
      <x:c r="M40" s="85" t="n">
        <x:v>127866.38899726028</x:v>
      </x:c>
      <x:c r="N40" s="85" t="n">
        <x:v>144292.16698356165</x:v>
      </x:c>
      <x:c r="O40" s="85" t="n">
        <x:v>160645.53826027398</x:v>
      </x:c>
      <x:c r="P40" s="85" t="n">
        <x:v>176397.2085716282</x:v>
      </x:c>
      <x:c r="Q40" s="85" t="n">
        <x:v>190887.57891180262</x:v>
      </x:c>
      <x:c r="R40" s="85" t="n">
        <x:v>205000.94637985693</x:v>
      </x:c>
      <x:c r="S40" s="85" t="n">
        <x:v>218886.13294781736</x:v>
      </x:c>
      <x:c r="T40" s="85" t="n">
        <x:v>232237.2106608813</x:v>
      </x:c>
      <x:c r="U40" s="85" t="n">
        <x:v>243978.7341835716</x:v>
      </x:c>
      <x:c r="V40" s="85" t="n">
        <x:v>255221.95968922236</x:v>
      </x:c>
      <x:c r="W40" s="85" t="n">
        <x:v>264683.2202120324</x:v>
      </x:c>
      <x:c r="X40" s="85" t="n">
        <x:v>273537.46593718743</x:v>
      </x:c>
      <x:c r="Y40" s="85" t="n">
        <x:v>281236.8160239645</x:v>
      </x:c>
      <x:c r="Z40" s="85" t="n">
        <x:v>288334.63052989874</x:v>
      </x:c>
      <x:c r="AA40" s="85" t="n">
        <x:v>294902.29713548574</x:v>
      </x:c>
      <x:c r="AB40" s="85" t="n">
        <x:v>301469.96374107274</x:v>
      </x:c>
      <x:c r="AC40" s="85" t="n">
        <x:v>306248.99565391557</x:v>
      </x:c>
      <x:c r="AD40" s="85" t="n">
        <x:v>309878.05675965996</x:v>
      </x:c>
      <x:c r="AE40" s="85" t="n">
        <x:v>312634.7788648488</x:v>
      </x:c>
      <x:c r="AF40" s="85" t="n">
        <x:v>315087.4280390621</x:v>
      </x:c>
      <x:c r="AG40" s="85" t="n">
        <x:v>315701.98285376263</x:v>
      </x:c>
      <x:c r="AH40" s="85" t="n">
        <x:v>316163.0583497386</x:v>
      </x:c>
      <x:c r="AI40" s="85" t="n">
        <x:v>316629.2006094066</x:v>
      </x:c>
      <x:c r="AJ40" s="85" t="n">
        <x:v>316791.2699380991</x:v>
      </x:c>
      <x:c r="AK40" s="85" t="n">
        <x:v>316949.8160205157</x:v>
      </x:c>
      <x:c r="AL40" s="85" t="n">
        <x:v>317110.1237260702</x:v>
      </x:c>
      <x:c r="AM40" s="85" t="n">
        <x:v>317272.1930547627</x:v>
      </x:c>
      <x:c r="AN40" s="85" t="n">
        <x:v>317272.1930547627</x:v>
      </x:c>
      <x:c r="AO40" s="85" t="n">
        <x:v>317272.1930547627</x:v>
      </x:c>
      <x:c r="AP40" s="85" t="n">
        <x:v>317272.1930547627</x:v>
      </x:c>
      <x:c r="AQ40" s="85" t="n">
        <x:v>317272.1930547627</x:v>
      </x:c>
      <x:c r="AR40" s="85" t="n">
        <x:v>317272.1930547627</x:v>
      </x:c>
      <x:c r="AS40" s="85" t="n">
        <x:v>317272.1930547627</x:v>
      </x:c>
      <x:c r="AT40" s="85" t="n">
        <x:v>317272.1930547627</x:v>
      </x:c>
      <x:c r="AU40" s="85" t="n">
        <x:v>317272.1930547627</x:v>
      </x:c>
      <x:c r="AV40" s="85" t="n">
        <x:v>317272.1930547627</x:v>
      </x:c>
      <x:c r="AW40" s="85" t="n">
        <x:v>317272.1930547627</x:v>
      </x:c>
      <x:c r="AX40" s="85" t="n">
        <x:v>317272.1930547627</x:v>
      </x:c>
      <x:c r="AY40" s="85" t="n">
        <x:v>317272.1930547627</x:v>
      </x:c>
      <x:c r="AZ40" s="85" t="n">
        <x:v>317272.1930547627</x:v>
      </x:c>
    </x:row>
    <x:row r="41" ht="21" customHeight="1">
      <x:c r="A41" s="150"/>
      <x:c r="B41" s="150"/>
      <x:c r="C41" s="23" t="str">
        <x:v>oc numerator</x:v>
      </x:c>
      <x:c r="D41" s="23" t="str">
        <x:v>USD</x:v>
      </x:c>
      <x:c r="E41" s="85" t="n">
        <x:v>54113488</x:v>
      </x:c>
      <x:c r="F41" s="85" t="n">
        <x:v>52482976</x:v>
      </x:c>
      <x:c r="G41" s="85" t="n">
        <x:v>50852464</x:v>
      </x:c>
      <x:c r="H41" s="85" t="n">
        <x:v>49221952</x:v>
      </x:c>
      <x:c r="I41" s="85" t="n">
        <x:v>48933352.6825</x:v>
      </x:c>
      <x:c r="J41" s="85" t="n">
        <x:v>48013576.6825</x:v>
      </x:c>
      <x:c r="K41" s="85" t="n">
        <x:v>47093800.6825</x:v>
      </x:c>
      <x:c r="L41" s="85" t="n">
        <x:v>46174024.6825</x:v>
      </x:c>
      <x:c r="M41" s="85" t="n">
        <x:v>45229968.385</x:v>
      </x:c>
      <x:c r="N41" s="85" t="n">
        <x:v>43609530.385</x:v>
      </x:c>
      <x:c r="O41" s="85" t="n">
        <x:v>42940602.385</x:v>
      </x:c>
      <x:c r="P41" s="85" t="n">
        <x:v>41349146.933147065</x:v>
      </x:c>
      <x:c r="Q41" s="85" t="n">
        <x:v>38893108.2367679</x:v>
      </x:c>
      <x:c r="R41" s="85" t="n">
        <x:v>37453570.04257326</x:v>
      </x:c>
      <x:c r="S41" s="85" t="n">
        <x:v>36439841.126945086</x:v>
      </x:c>
      <x:c r="T41" s="85" t="n">
        <x:v>35027839.42928444</x:v>
      </x:c>
      <x:c r="U41" s="85" t="n">
        <x:v>31539152.13973736</x:v>
      </x:c>
      <x:c r="V41" s="85" t="n">
        <x:v>29856234.78719062</x:v>
      </x:c>
      <x:c r="W41" s="85" t="n">
        <x:v>24816673.149568673</x:v>
      </x:c>
      <x:c r="X41" s="85" t="n">
        <x:v>23210321.89304006</x:v>
      </x:c>
      <x:c r="Y41" s="85" t="n">
        <x:v>20748070.98137495</x:v>
      </x:c>
      <x:c r="Z41" s="85" t="n">
        <x:v>19140902.36433239</x:v>
      </x:c>
      <x:c r="AA41" s="85" t="n">
        <x:v>17536585.73473425</x:v>
      </x:c>
      <x:c r="AB41" s="85" t="n">
        <x:v>17540182.548263323</x:v>
      </x:c>
      <x:c r="AC41" s="85" t="n">
        <x:v>12921086.282871358</x:v>
      </x:c>
      <x:c r="AD41" s="85" t="n">
        <x:v>9704082.810232298</x:v>
      </x:c>
      <x:c r="AE41" s="85" t="n">
        <x:v>7291330.205753</x:v>
      </x:c>
      <x:c r="AF41" s="85" t="n">
        <x:v>6487079.337593235</x:v>
      </x:c>
      <x:c r="AG41" s="85" t="n">
        <x:v>1661574.1286346426</x:v>
      </x:c>
      <x:c r="AH41" s="85" t="n">
        <x:v>1232912.498397204</x:v>
      </x:c>
      <x:c r="AI41" s="85" t="n">
        <x:v>1232912.498397204</x:v>
      </x:c>
      <x:c r="AJ41" s="85" t="n">
        <x:v>428661.6302374385</x:v>
      </x:c>
      <x:c r="AK41" s="85" t="n">
        <x:v>428661.6302374385</x:v>
      </x:c>
      <x:c r="AL41" s="85" t="n">
        <x:v>428661.6302374385</x:v>
      </x:c>
      <x:c r="AM41" s="85" t="n">
        <x:v>428661.6302374385</x:v>
      </x:c>
      <x:c r="AN41" s="85" t="n">
        <x:v>0</x:v>
      </x:c>
      <x:c r="AO41" s="85" t="n">
        <x:v>0</x:v>
      </x:c>
      <x:c r="AP41" s="85" t="n">
        <x:v>0</x:v>
      </x:c>
      <x:c r="AQ41" s="85" t="n">
        <x:v>0</x:v>
      </x:c>
      <x:c r="AR41" s="85" t="n">
        <x:v>0</x:v>
      </x:c>
      <x:c r="AS41" s="85" t="n">
        <x:v>0</x:v>
      </x:c>
      <x:c r="AT41" s="85" t="n">
        <x:v>0</x:v>
      </x:c>
      <x:c r="AU41" s="85" t="n">
        <x:v>0</x:v>
      </x:c>
      <x:c r="AV41" s="85" t="n">
        <x:v>0</x:v>
      </x:c>
      <x:c r="AW41" s="85" t="n">
        <x:v>0</x:v>
      </x:c>
      <x:c r="AX41" s="85" t="n">
        <x:v>0</x:v>
      </x:c>
      <x:c r="AY41" s="85" t="n">
        <x:v>0</x:v>
      </x:c>
      <x:c r="AZ41" s="85" t="n">
        <x:v>0</x:v>
      </x:c>
    </x:row>
    <x:row r="42" ht="21" customHeight="1">
      <x:c r="A42" s="150"/>
      <x:c r="B42" s="150"/>
      <x:c r="C42" s="23" t="str">
        <x:v>oc denominator</x:v>
      </x:c>
      <x:c r="D42" s="23" t="str">
        <x:v>USD</x:v>
      </x:c>
      <x:c r="E42" s="85" t="n">
        <x:v>35676160</x:v>
      </x:c>
      <x:c r="F42" s="85" t="n">
        <x:v>35676160</x:v>
      </x:c>
      <x:c r="G42" s="85" t="n">
        <x:v>35676160</x:v>
      </x:c>
      <x:c r="H42" s="85" t="n">
        <x:v>35676160</x:v>
      </x:c>
      <x:c r="I42" s="85" t="n">
        <x:v>35676160</x:v>
      </x:c>
      <x:c r="J42" s="85" t="n">
        <x:v>35044983.3175</x:v>
      </x:c>
      <x:c r="K42" s="85" t="n">
        <x:v>34413806.635000005</x:v>
      </x:c>
      <x:c r="L42" s="85" t="n">
        <x:v>33782629.95250001</x:v>
      </x:c>
      <x:c r="M42" s="85" t="n">
        <x:v>33151453.270000007</x:v>
      </x:c>
      <x:c r="N42" s="85" t="n">
        <x:v>31843894.885000005</x:v>
      </x:c>
      <x:c r="O42" s="85" t="n">
        <x:v>31487846.500000004</x:v>
      </x:c>
      <x:c r="P42" s="85" t="n">
        <x:v>30209270.663147066</x:v>
      </x:c>
      <x:c r="Q42" s="85" t="n">
        <x:v>28037791.686767906</x:v>
      </x:c>
      <x:c r="R42" s="85" t="n">
        <x:v>26883724.66494378</x:v>
      </x:c>
      <x:c r="S42" s="85" t="n">
        <x:v>26155466.921686117</x:v>
      </x:c>
      <x:c r="T42" s="85" t="n">
        <x:v>25028258.876395646</x:v>
      </x:c>
      <x:c r="U42" s="85" t="n">
        <x:v>21746020.08253306</x:v>
      </x:c>
      <x:c r="V42" s="85" t="n">
        <x:v>20271170.576953452</x:v>
      </x:c>
      <x:c r="W42" s="85" t="n">
        <x:v>15439284.274006736</x:v>
      </x:c>
      <x:c r="X42" s="85" t="n">
        <x:v>14041449.455464046</x:v>
      </x:c>
      <x:c r="Y42" s="85" t="n">
        <x:v>11419133.288970673</x:v>
      </x:c>
      <x:c r="Z42" s="85" t="n">
        <x:v>9650566.29782288</x:v>
      </x:c>
      <x:c r="AA42" s="85" t="n">
        <x:v>7880666.187398115</x:v>
      </x:c>
      <x:c r="AB42" s="85" t="n">
        <x:v>7715082.706571492</x:v>
      </x:c>
      <x:c r="AC42" s="85" t="n">
        <x:v>3095986.441179529</x:v>
      </x:c>
      <x:c r="AD42" s="85" t="n">
        <x:v>0</x:v>
      </x:c>
      <x:c r="AE42" s="85" t="n">
        <x:v>0</x:v>
      </x:c>
      <x:c r="AF42" s="85" t="n">
        <x:v>0</x:v>
      </x:c>
      <x:c r="AG42" s="85" t="n">
        <x:v>0</x:v>
      </x:c>
      <x:c r="AH42" s="85" t="n">
        <x:v>0</x:v>
      </x:c>
      <x:c r="AI42" s="85" t="n">
        <x:v>0</x:v>
      </x:c>
      <x:c r="AJ42" s="85" t="n">
        <x:v>0</x:v>
      </x:c>
      <x:c r="AK42" s="85" t="n">
        <x:v>0</x:v>
      </x:c>
      <x:c r="AL42" s="85" t="n">
        <x:v>0</x:v>
      </x:c>
      <x:c r="AM42" s="85" t="n">
        <x:v>0</x:v>
      </x:c>
      <x:c r="AN42" s="85" t="n">
        <x:v>0</x:v>
      </x:c>
      <x:c r="AO42" s="85" t="n">
        <x:v>0</x:v>
      </x:c>
      <x:c r="AP42" s="85" t="n">
        <x:v>0</x:v>
      </x:c>
      <x:c r="AQ42" s="85" t="n">
        <x:v>0</x:v>
      </x:c>
      <x:c r="AR42" s="85" t="n">
        <x:v>0</x:v>
      </x:c>
      <x:c r="AS42" s="85" t="n">
        <x:v>0</x:v>
      </x:c>
      <x:c r="AT42" s="85" t="n">
        <x:v>0</x:v>
      </x:c>
      <x:c r="AU42" s="85" t="n">
        <x:v>0</x:v>
      </x:c>
      <x:c r="AV42" s="85" t="n">
        <x:v>0</x:v>
      </x:c>
      <x:c r="AW42" s="85" t="n">
        <x:v>0</x:v>
      </x:c>
      <x:c r="AX42" s="85" t="n">
        <x:v>0</x:v>
      </x:c>
      <x:c r="AY42" s="85" t="n">
        <x:v>0</x:v>
      </x:c>
      <x:c r="AZ42" s="85" t="n">
        <x:v>0</x:v>
      </x:c>
    </x:row>
    <x:row r="43" ht="21" customHeight="1">
      <x:c r="A43" s="150"/>
      <x:c r="B43" s="150"/>
      <x:c r="C43" s="23" t="str">
        <x:v>oc ratio</x:v>
      </x:c>
      <x:c r="D43" s="23" t="str">
        <x:v>multiple</x:v>
      </x:c>
      <x:c r="E43" s="61" t="n">
        <x:v>1.516796875</x:v>
      </x:c>
      <x:c r="F43" s="61" t="n">
        <x:v>1.47109375</x:v>
      </x:c>
      <x:c r="G43" s="61" t="n">
        <x:v>1.425390625</x:v>
      </x:c>
      <x:c r="H43" s="61" t="n">
        <x:v>1.3796875</x:v>
      </x:c>
      <x:c r="I43" s="61" t="n">
        <x:v>1.3715980834960937</x:v>
      </x:c>
      <x:c r="J43" s="61" t="n">
        <x:v>1.3700556295749189</x:v>
      </x:c>
      <x:c r="K43" s="61" t="n">
        <x:v>1.3684565959815678</x:v>
      </x:c>
      <x:c r="L43" s="61" t="n">
        <x:v>1.3667978114025723</x:v>
      </x:c>
      <x:c r="M43" s="61" t="n">
        <x:v>1.364343457785312</x:v>
      </x:c>
      <x:c r="N43" s="61" t="n">
        <x:v>1.3694785308923427</x:v>
      </x:c>
      <x:c r="O43" s="61" t="n">
        <x:v>1.3637198842734448</x:v>
      </x:c>
      <x:c r="P43" s="61" t="n">
        <x:v>1.368756875802029</x:v>
      </x:c>
      <x:c r="Q43" s="61" t="n">
        <x:v>1.3871673158597233</x:v>
      </x:c>
      <x:c r="R43" s="61" t="n">
        <x:v>1.3931689343408762</x:v>
      </x:c>
      <x:c r="S43" s="61" t="n">
        <x:v>1.3932017056339359</x:v>
      </x:c>
      <x:c r="T43" s="61" t="n">
        <x:v>1.399531609540745</x:v>
      </x:c>
      <x:c r="U43" s="61" t="n">
        <x:v>1.4503413507407907</x:v>
      </x:c>
      <x:c r="V43" s="61" t="n">
        <x:v>1.4728421663588855</x:v>
      </x:c>
      <x:c r="W43" s="61" t="n">
        <x:v>1.6073719940081366</x:v>
      </x:c>
      <x:c r="X43" s="61" t="n">
        <x:v>1.652986179714379</x:v>
      </x:c>
      <x:c r="Y43" s="61" t="n">
        <x:v>1.8169567213489624</x:v>
      </x:c>
      <x:c r="Z43" s="61" t="n">
        <x:v>1.9833968052890827</x:v>
      </x:c>
      <x:c r="AA43" s="61" t="n">
        <x:v>2.2252669149692963</x:v>
      </x:c>
      <x:c r="AB43" s="61" t="n">
        <x:v>2.273492484185955</x:v>
      </x:c>
      <x:c r="AC43" s="61" t="n">
        <x:v>4.17349575922193</x:v>
      </x:c>
      <x:c r="AD43" s="61"/>
      <x:c r="AE43" s="61"/>
      <x:c r="AF43" s="61"/>
      <x:c r="AG43" s="61"/>
      <x:c r="AH43" s="61"/>
      <x:c r="AI43" s="61"/>
      <x:c r="AJ43" s="61"/>
      <x:c r="AK43" s="61"/>
      <x:c r="AL43" s="61"/>
      <x:c r="AM43" s="61"/>
      <x:c r="AN43" s="61"/>
      <x:c r="AO43" s="61"/>
      <x:c r="AP43" s="61"/>
      <x:c r="AQ43" s="61"/>
      <x:c r="AR43" s="61"/>
      <x:c r="AS43" s="61"/>
      <x:c r="AT43" s="61"/>
      <x:c r="AU43" s="61"/>
      <x:c r="AV43" s="61"/>
      <x:c r="AW43" s="61"/>
      <x:c r="AX43" s="61"/>
      <x:c r="AY43" s="61"/>
      <x:c r="AZ43" s="61"/>
    </x:row>
    <x:row r="44" ht="21" customHeight="1">
      <x:c r="A44" s="150"/>
      <x:c r="B44" s="150"/>
      <x:c r="C44" s="23" t="str">
        <x:v>ic numerator</x:v>
      </x:c>
      <x:c r="D44" s="23" t="str">
        <x:v>USD</x:v>
      </x:c>
      <x:c r="E44" s="85" t="n">
        <x:v>730499.3562328769</x:v>
      </x:c>
      <x:c r="F44" s="85" t="n">
        <x:v>729700.7923684935</x:v>
      </x:c>
      <x:c r="G44" s="85" t="n">
        <x:v>701645.877090411</x:v>
      </x:c>
      <x:c r="H44" s="85" t="n">
        <x:v>691862.0941150687</x:v>
      </x:c>
      <x:c r="I44" s="85" t="n">
        <x:v>659762.5562547946</x:v>
      </x:c>
      <x:c r="J44" s="85" t="n">
        <x:v>659333.2409424656</x:v>
      </x:c>
      <x:c r="K44" s="85" t="n">
        <x:v>641579.115780822</x:v>
      </x:c>
      <x:c r="L44" s="85" t="n">
        <x:v>640668.2227726028</x:v>
      </x:c>
      <x:c r="M44" s="85" t="n">
        <x:v>594671.1384657534</x:v>
      </x:c>
      <x:c r="N44" s="85" t="n">
        <x:v>602054.5325499488</x:v>
      </x:c>
      <x:c r="O44" s="85" t="n">
        <x:v>580639.0575860918</x:v>
      </x:c>
      <x:c r="P44" s="85" t="n">
        <x:v>570949.2753237044</x:v>
      </x:c>
      <x:c r="Q44" s="85" t="n">
        <x:v>512783.97145823156</x:v>
      </x:c>
      <x:c r="R44" s="85" t="n">
        <x:v>513140.5600167572</x:v>
      </x:c>
      <x:c r="S44" s="85" t="n">
        <x:v>491509.1943391619</x:v>
      </x:c>
      <x:c r="T44" s="85" t="n">
        <x:v>479248.069880649</x:v>
      </x:c>
      <x:c r="U44" s="85" t="n">
        <x:v>417801.56576212356</x:v>
      </x:c>
      <x:c r="V44" s="85" t="n">
        <x:v>385121.84869988565</x:v>
      </x:c>
      <x:c r="W44" s="85" t="n">
        <x:v>324815.49836193514</x:v>
      </x:c>
      <x:c r="X44" s="85" t="n">
        <x:v>307877.33352503506</x:v>
      </x:c>
      <x:c r="Y44" s="85" t="n">
        <x:v>275802.2127140077</x:v>
      </x:c>
      <x:c r="Z44" s="85" t="n">
        <x:v>250171.35663045885</x:v>
      </x:c>
      <x:c r="AA44" s="85" t="n">
        <x:v>237091.47819717703</x:v>
      </x:c>
      <x:c r="AB44" s="85" t="n">
        <x:v>217101.12688811516</x:v>
      </x:c>
      <x:c r="AC44" s="85" t="n">
        <x:v>145124.94682298249</x:v>
      </x:c>
      <x:c r="AD44" s="85" t="n">
        <x:v>128178.85366240572</x:v>
      </x:c>
      <x:c r="AE44" s="85" t="n">
        <x:v>95784.62303132382</x:v>
      </x:c>
      <x:c r="AF44" s="85" t="n">
        <x:v>58916.954565973036</x:v>
      </x:c>
      <x:c r="AG44" s="85" t="n">
        <x:v>18907.081705666493</x:v>
      </x:c>
      <x:c r="AH44" s="85" t="n">
        <x:v>16357.49292677559</x:v>
      </x:c>
      <x:c r="AI44" s="85" t="n">
        <x:v>7686.079192471069</x:v>
      </x:c>
      <x:c r="AJ44" s="85" t="n">
        <x:v>6806.911805085462</x:v>
      </x:c>
      <x:c r="AK44" s="85" t="n">
        <x:v>6658.935461496647</x:v>
      </x:c>
      <x:c r="AL44" s="85" t="n">
        <x:v>6732.923633291054</x:v>
      </x:c>
      <x:c r="AM44" s="85" t="n">
        <x:v>6728.813179302476</x:v>
      </x:c>
      <x:c r="AN44" s="85" t="n">
        <x:v>0</x:v>
      </x:c>
      <x:c r="AO44" s="85" t="n">
        <x:v>0</x:v>
      </x:c>
      <x:c r="AP44" s="85" t="n">
        <x:v>0</x:v>
      </x:c>
      <x:c r="AQ44" s="85" t="n">
        <x:v>0</x:v>
      </x:c>
      <x:c r="AR44" s="85" t="n">
        <x:v>0</x:v>
      </x:c>
      <x:c r="AS44" s="85" t="n">
        <x:v>0</x:v>
      </x:c>
      <x:c r="AT44" s="85" t="n">
        <x:v>0</x:v>
      </x:c>
      <x:c r="AU44" s="85" t="n">
        <x:v>0</x:v>
      </x:c>
      <x:c r="AV44" s="85" t="n">
        <x:v>0</x:v>
      </x:c>
      <x:c r="AW44" s="85" t="n">
        <x:v>0</x:v>
      </x:c>
      <x:c r="AX44" s="85" t="n">
        <x:v>0</x:v>
      </x:c>
      <x:c r="AY44" s="85" t="n">
        <x:v>0</x:v>
      </x:c>
      <x:c r="AZ44" s="85" t="n">
        <x:v>0</x:v>
      </x:c>
    </x:row>
    <x:row r="45" ht="21" customHeight="1">
      <x:c r="A45" s="150"/>
      <x:c r="B45" s="150"/>
      <x:c r="C45" s="23" t="str">
        <x:v>ic denominator</x:v>
      </x:c>
      <x:c r="D45" s="23" t="str">
        <x:v>USD</x:v>
      </x:c>
      <x:c r="E45" s="85" t="n">
        <x:v>387061.90027397254</x:v>
      </x:c>
      <x:c r="F45" s="85" t="n">
        <x:v>391362.58805479447</x:v>
      </x:c>
      <x:c r="G45" s="85" t="n">
        <x:v>395663.2758356164</x:v>
      </x:c>
      <x:c r="H45" s="85" t="n">
        <x:v>395663.2758356164</x:v>
      </x:c>
      <x:c r="I45" s="85" t="n">
        <x:v>391362.58805479447</x:v>
      </x:c>
      <x:c r="J45" s="85" t="n">
        <x:v>384438.6663103288</x:v>
      </x:c>
      <x:c r="K45" s="85" t="n">
        <x:v>381663.258242411</x:v>
      </x:c>
      <x:c r="L45" s="85" t="n">
        <x:v>374663.24944580835</x:v>
      </x:c>
      <x:c r="M45" s="85" t="n">
        <x:v>359670.56150465755</x:v>
      </x:c>
      <x:c r="N45" s="85" t="n">
        <x:v>349323.16471106856</x:v>
      </x:c>
      <x:c r="O45" s="85" t="n">
        <x:v>349213.1578958905</x:v>
      </x:c>
      <x:c r="P45" s="85" t="n">
        <x:v>335033.22642306663</x:v>
      </x:c>
      <x:c r="Q45" s="85" t="n">
        <x:v>304190.83583452296</x:v>
      </x:c>
      <x:c r="R45" s="85" t="n">
        <x:v>294910.77687242435</x:v>
      </x:c>
      <x:c r="S45" s="85" t="n">
        <x:v>290074.8769835217</x:v>
      </x:c>
      <x:c r="T45" s="85" t="n">
        <x:v>277573.67652506736</x:v>
      </x:c>
      <x:c r="U45" s="85" t="n">
        <x:v>235929.42336118058</x:v>
      </x:c>
      <x:c r="V45" s="85" t="n">
        <x:v>222371.96435649757</x:v>
      </x:c>
      <x:c r="W45" s="85" t="n">
        <x:v>171228.00751008018</x:v>
      </x:c>
      <x:c r="X45" s="85" t="n">
        <x:v>155725.44491977658</x:v>
      </x:c>
      <x:c r="Y45" s="85" t="n">
        <x:v>125266.32791517417</x:v>
      </x:c>
      <x:c r="Z45" s="85" t="n">
        <x:v>105865.39029173373</x:v>
      </x:c>
      <x:c r="AA45" s="85" t="n">
        <x:v>87399.82664818512</x:v>
      </x:c>
      <x:c r="AB45" s="85" t="n">
        <x:v>85563.43779781206</x:v>
      </x:c>
      <x:c r="AC45" s="85" t="n">
        <x:v>33589.33234813954</x:v>
      </x:c>
      <x:c r="AD45" s="85" t="n">
        <x:v>0</x:v>
      </x:c>
      <x:c r="AE45" s="85" t="n">
        <x:v>0</x:v>
      </x:c>
      <x:c r="AF45" s="85" t="n">
        <x:v>0</x:v>
      </x:c>
      <x:c r="AG45" s="85" t="n">
        <x:v>0</x:v>
      </x:c>
      <x:c r="AH45" s="85" t="n">
        <x:v>0</x:v>
      </x:c>
      <x:c r="AI45" s="85" t="n">
        <x:v>0</x:v>
      </x:c>
      <x:c r="AJ45" s="85" t="n">
        <x:v>0</x:v>
      </x:c>
      <x:c r="AK45" s="85" t="n">
        <x:v>0</x:v>
      </x:c>
      <x:c r="AL45" s="85" t="n">
        <x:v>0</x:v>
      </x:c>
      <x:c r="AM45" s="85" t="n">
        <x:v>0</x:v>
      </x:c>
      <x:c r="AN45" s="85" t="n">
        <x:v>0</x:v>
      </x:c>
      <x:c r="AO45" s="85" t="n">
        <x:v>0</x:v>
      </x:c>
      <x:c r="AP45" s="85" t="n">
        <x:v>0</x:v>
      </x:c>
      <x:c r="AQ45" s="85" t="n">
        <x:v>0</x:v>
      </x:c>
      <x:c r="AR45" s="85" t="n">
        <x:v>0</x:v>
      </x:c>
      <x:c r="AS45" s="85" t="n">
        <x:v>0</x:v>
      </x:c>
      <x:c r="AT45" s="85" t="n">
        <x:v>0</x:v>
      </x:c>
      <x:c r="AU45" s="85" t="n">
        <x:v>0</x:v>
      </x:c>
      <x:c r="AV45" s="85" t="n">
        <x:v>0</x:v>
      </x:c>
      <x:c r="AW45" s="85" t="n">
        <x:v>0</x:v>
      </x:c>
      <x:c r="AX45" s="85" t="n">
        <x:v>0</x:v>
      </x:c>
      <x:c r="AY45" s="85" t="n">
        <x:v>0</x:v>
      </x:c>
      <x:c r="AZ45" s="85" t="n">
        <x:v>0</x:v>
      </x:c>
    </x:row>
    <x:row r="46" ht="21" customHeight="1">
      <x:c r="A46" s="150"/>
      <x:c r="B46" s="150"/>
      <x:c r="C46" s="23" t="str">
        <x:v>ic ratio</x:v>
      </x:c>
      <x:c r="D46" s="23" t="str">
        <x:v>multiple</x:v>
      </x:c>
      <x:c r="E46" s="61" t="n">
        <x:v>1.8872933650039188</x:v>
      </x:c>
      <x:c r="F46" s="61" t="n">
        <x:v>1.8645134068520839</x:v>
      </x:c>
      <x:c r="G46" s="61" t="n">
        <x:v>1.7733409187612328</x:v>
      </x:c>
      <x:c r="H46" s="61" t="n">
        <x:v>1.7486133699264828</x:v>
      </x:c>
      <x:c r="I46" s="61" t="n">
        <x:v>1.6858089566865333</x:v>
      </x:c>
      <x:c r="J46" s="61" t="n">
        <x:v>1.7150544383853283</x:v>
      </x:c>
      <x:c r="K46" s="61" t="n">
        <x:v>1.6810083284813522</x:v>
      </x:c>
      <x:c r="L46" s="61" t="n">
        <x:v>1.7099841623651686</x:v>
      </x:c>
      <x:c r="M46" s="61" t="n">
        <x:v>1.6533772905349462</x:v>
      </x:c>
      <x:c r="N46" s="61" t="n">
        <x:v>1.723488715808237</x:v>
      </x:c>
      <x:c r="O46" s="61" t="n">
        <x:v>1.662706700642693</x:v>
      </x:c>
      <x:c r="P46" s="61" t="n">
        <x:v>1.7041571709748344</x:v>
      </x:c>
      <x:c r="Q46" s="61" t="n">
        <x:v>1.6857311629768537</x:v>
      </x:c>
      <x:c r="R46" s="61" t="n">
        <x:v>1.7399857864086705</x:v>
      </x:c>
      <x:c r="S46" s="61" t="n">
        <x:v>1.6944217970558102</x:v>
      </x:c>
      <x:c r="T46" s="61" t="n">
        <x:v>1.7265616678077491</x:v>
      </x:c>
      <x:c r="U46" s="61" t="n">
        <x:v>1.7708752041601772</x:v>
      </x:c>
      <x:c r="V46" s="61" t="n">
        <x:v>1.7318813089336846</x:v>
      </x:c>
      <x:c r="W46" s="61" t="n">
        <x:v>1.896976453123846</x:v>
      </x:c>
      <x:c r="X46" s="61" t="n">
        <x:v>1.9770522003237232</x:v>
      </x:c>
      <x:c r="Y46" s="61" t="n">
        <x:v>2.2017266515609126</x:v>
      </x:c>
      <x:c r="Z46" s="61" t="n">
        <x:v>2.3631080558156023</x:v>
      </x:c>
      <x:c r="AA46" s="61" t="n">
        <x:v>2.7127225223403837</x:v>
      </x:c>
      <x:c r="AB46" s="61" t="n">
        <x:v>2.5373118761442126</x:v>
      </x:c>
      <x:c r="AC46" s="61" t="n">
        <x:v>4.320566581044911</x:v>
      </x:c>
      <x:c r="AD46" s="61"/>
      <x:c r="AE46" s="61"/>
      <x:c r="AF46" s="61"/>
      <x:c r="AG46" s="61"/>
      <x:c r="AH46" s="61"/>
      <x:c r="AI46" s="61"/>
      <x:c r="AJ46" s="61"/>
      <x:c r="AK46" s="61"/>
      <x:c r="AL46" s="61"/>
      <x:c r="AM46" s="61"/>
      <x:c r="AN46" s="61"/>
      <x:c r="AO46" s="61"/>
      <x:c r="AP46" s="61"/>
      <x:c r="AQ46" s="61"/>
      <x:c r="AR46" s="61"/>
      <x:c r="AS46" s="61"/>
      <x:c r="AT46" s="61"/>
      <x:c r="AU46" s="61"/>
      <x:c r="AV46" s="61"/>
      <x:c r="AW46" s="61"/>
      <x:c r="AX46" s="61"/>
      <x:c r="AY46" s="61"/>
      <x:c r="AZ46" s="61"/>
    </x:row>
    <x:row r="47" ht="21" customHeight="1">
      <x:c r="A47" s="150"/>
      <x:c r="B47" s="150"/>
      <x:c r="C47" s="23" t="str">
        <x:v>oc triggered</x:v>
      </x:c>
      <x:c r="D47" s="23" t="str">
        <x:v>TRUE/FALSE</x:v>
      </x:c>
      <x:c r="E47" s="86" t="b">
        <x:v>0</x:v>
      </x:c>
      <x:c r="F47" s="86" t="b">
        <x:v>0</x:v>
      </x:c>
      <x:c r="G47" s="86" t="b">
        <x:v>0</x:v>
      </x:c>
      <x:c r="H47" s="86" t="b">
        <x:v>0</x:v>
      </x:c>
      <x:c r="I47" s="86" t="b">
        <x:v>0</x:v>
      </x:c>
      <x:c r="J47" s="86" t="b">
        <x:v>0</x:v>
      </x:c>
      <x:c r="K47" s="86" t="b">
        <x:v>0</x:v>
      </x:c>
      <x:c r="L47" s="86" t="b">
        <x:v>0</x:v>
      </x:c>
      <x:c r="M47" s="86" t="b">
        <x:v>0</x:v>
      </x:c>
      <x:c r="N47" s="86" t="b">
        <x:v>0</x:v>
      </x:c>
      <x:c r="O47" s="86" t="b">
        <x:v>0</x:v>
      </x:c>
      <x:c r="P47" s="86" t="b">
        <x:v>0</x:v>
      </x:c>
      <x:c r="Q47" s="86" t="b">
        <x:v>0</x:v>
      </x:c>
      <x:c r="R47" s="86" t="b">
        <x:v>0</x:v>
      </x:c>
      <x:c r="S47" s="86" t="b">
        <x:v>0</x:v>
      </x:c>
      <x:c r="T47" s="86" t="b">
        <x:v>0</x:v>
      </x:c>
      <x:c r="U47" s="86" t="b">
        <x:v>0</x:v>
      </x:c>
      <x:c r="V47" s="86" t="b">
        <x:v>0</x:v>
      </x:c>
      <x:c r="W47" s="86" t="b">
        <x:v>0</x:v>
      </x:c>
      <x:c r="X47" s="86" t="b">
        <x:v>0</x:v>
      </x:c>
      <x:c r="Y47" s="86" t="b">
        <x:v>0</x:v>
      </x:c>
      <x:c r="Z47" s="86" t="b">
        <x:v>0</x:v>
      </x:c>
      <x:c r="AA47" s="86" t="b">
        <x:v>0</x:v>
      </x:c>
      <x:c r="AB47" s="86" t="b">
        <x:v>0</x:v>
      </x:c>
      <x:c r="AC47" s="86" t="b">
        <x:v>0</x:v>
      </x:c>
      <x:c r="AD47" s="86" t="b">
        <x:v>0</x:v>
      </x:c>
      <x:c r="AE47" s="86" t="b">
        <x:v>0</x:v>
      </x:c>
      <x:c r="AF47" s="86" t="b">
        <x:v>0</x:v>
      </x:c>
      <x:c r="AG47" s="86" t="b">
        <x:v>0</x:v>
      </x:c>
      <x:c r="AH47" s="86" t="b">
        <x:v>0</x:v>
      </x:c>
      <x:c r="AI47" s="86" t="b">
        <x:v>0</x:v>
      </x:c>
      <x:c r="AJ47" s="86" t="b">
        <x:v>0</x:v>
      </x:c>
      <x:c r="AK47" s="86" t="b">
        <x:v>0</x:v>
      </x:c>
      <x:c r="AL47" s="86" t="b">
        <x:v>0</x:v>
      </x:c>
      <x:c r="AM47" s="86" t="b">
        <x:v>0</x:v>
      </x:c>
      <x:c r="AN47" s="86" t="b">
        <x:v>0</x:v>
      </x:c>
      <x:c r="AO47" s="86" t="b">
        <x:v>0</x:v>
      </x:c>
      <x:c r="AP47" s="86" t="b">
        <x:v>0</x:v>
      </x:c>
      <x:c r="AQ47" s="86" t="b">
        <x:v>0</x:v>
      </x:c>
      <x:c r="AR47" s="86" t="b">
        <x:v>0</x:v>
      </x:c>
      <x:c r="AS47" s="86" t="b">
        <x:v>0</x:v>
      </x:c>
      <x:c r="AT47" s="86" t="b">
        <x:v>0</x:v>
      </x:c>
      <x:c r="AU47" s="86" t="b">
        <x:v>0</x:v>
      </x:c>
      <x:c r="AV47" s="86" t="b">
        <x:v>0</x:v>
      </x:c>
      <x:c r="AW47" s="86" t="b">
        <x:v>0</x:v>
      </x:c>
      <x:c r="AX47" s="86" t="b">
        <x:v>0</x:v>
      </x:c>
      <x:c r="AY47" s="86" t="b">
        <x:v>0</x:v>
      </x:c>
      <x:c r="AZ47" s="86" t="b">
        <x:v>0</x:v>
      </x:c>
    </x:row>
    <x:row r="48" ht="21" customHeight="1">
      <x:c r="A48" s="150"/>
      <x:c r="B48" s="150"/>
      <x:c r="C48" s="23" t="str">
        <x:v>ic triggered</x:v>
      </x:c>
      <x:c r="D48" s="23" t="str">
        <x:v>TRUE/FALSE</x:v>
      </x:c>
      <x:c r="E48" s="86" t="b">
        <x:v>0</x:v>
      </x:c>
      <x:c r="F48" s="86" t="b">
        <x:v>0</x:v>
      </x:c>
      <x:c r="G48" s="86" t="b">
        <x:v>0</x:v>
      </x:c>
      <x:c r="H48" s="86" t="b">
        <x:v>0</x:v>
      </x:c>
      <x:c r="I48" s="86" t="b">
        <x:v>0</x:v>
      </x:c>
      <x:c r="J48" s="86" t="b">
        <x:v>0</x:v>
      </x:c>
      <x:c r="K48" s="86" t="b">
        <x:v>0</x:v>
      </x:c>
      <x:c r="L48" s="86" t="b">
        <x:v>0</x:v>
      </x:c>
      <x:c r="M48" s="86" t="b">
        <x:v>0</x:v>
      </x:c>
      <x:c r="N48" s="86" t="b">
        <x:v>0</x:v>
      </x:c>
      <x:c r="O48" s="86" t="b">
        <x:v>0</x:v>
      </x:c>
      <x:c r="P48" s="86" t="b">
        <x:v>0</x:v>
      </x:c>
      <x:c r="Q48" s="86" t="b">
        <x:v>0</x:v>
      </x:c>
      <x:c r="R48" s="86" t="b">
        <x:v>0</x:v>
      </x:c>
      <x:c r="S48" s="86" t="b">
        <x:v>0</x:v>
      </x:c>
      <x:c r="T48" s="86" t="b">
        <x:v>0</x:v>
      </x:c>
      <x:c r="U48" s="86" t="b">
        <x:v>0</x:v>
      </x:c>
      <x:c r="V48" s="86" t="b">
        <x:v>0</x:v>
      </x:c>
      <x:c r="W48" s="86" t="b">
        <x:v>0</x:v>
      </x:c>
      <x:c r="X48" s="86" t="b">
        <x:v>0</x:v>
      </x:c>
      <x:c r="Y48" s="86" t="b">
        <x:v>0</x:v>
      </x:c>
      <x:c r="Z48" s="86" t="b">
        <x:v>0</x:v>
      </x:c>
      <x:c r="AA48" s="86" t="b">
        <x:v>0</x:v>
      </x:c>
      <x:c r="AB48" s="86" t="b">
        <x:v>0</x:v>
      </x:c>
      <x:c r="AC48" s="86" t="b">
        <x:v>0</x:v>
      </x:c>
      <x:c r="AD48" s="86" t="b">
        <x:v>0</x:v>
      </x:c>
      <x:c r="AE48" s="86" t="b">
        <x:v>0</x:v>
      </x:c>
      <x:c r="AF48" s="86" t="b">
        <x:v>0</x:v>
      </x:c>
      <x:c r="AG48" s="86" t="b">
        <x:v>0</x:v>
      </x:c>
      <x:c r="AH48" s="86" t="b">
        <x:v>0</x:v>
      </x:c>
      <x:c r="AI48" s="86" t="b">
        <x:v>0</x:v>
      </x:c>
      <x:c r="AJ48" s="86" t="b">
        <x:v>0</x:v>
      </x:c>
      <x:c r="AK48" s="86" t="b">
        <x:v>0</x:v>
      </x:c>
      <x:c r="AL48" s="86" t="b">
        <x:v>0</x:v>
      </x:c>
      <x:c r="AM48" s="86" t="b">
        <x:v>0</x:v>
      </x:c>
      <x:c r="AN48" s="86" t="b">
        <x:v>0</x:v>
      </x:c>
      <x:c r="AO48" s="86" t="b">
        <x:v>0</x:v>
      </x:c>
      <x:c r="AP48" s="86" t="b">
        <x:v>0</x:v>
      </x:c>
      <x:c r="AQ48" s="86" t="b">
        <x:v>0</x:v>
      </x:c>
      <x:c r="AR48" s="86" t="b">
        <x:v>0</x:v>
      </x:c>
      <x:c r="AS48" s="86" t="b">
        <x:v>0</x:v>
      </x:c>
      <x:c r="AT48" s="86" t="b">
        <x:v>0</x:v>
      </x:c>
      <x:c r="AU48" s="86" t="b">
        <x:v>0</x:v>
      </x:c>
      <x:c r="AV48" s="86" t="b">
        <x:v>0</x:v>
      </x:c>
      <x:c r="AW48" s="86" t="b">
        <x:v>0</x:v>
      </x:c>
      <x:c r="AX48" s="86" t="b">
        <x:v>0</x:v>
      </x:c>
      <x:c r="AY48" s="86" t="b">
        <x:v>0</x:v>
      </x:c>
      <x:c r="AZ48" s="86" t="b">
        <x:v>0</x:v>
      </x:c>
    </x:row>
    <x:row r="49" ht="21" customHeight="1">
      <x:c r="A49" s="150"/>
      <x:c r="B49" s="150"/>
      <x:c r="C49" s="23" t="str">
        <x:v>interest diversion</x:v>
      </x:c>
      <x:c r="D49" s="23" t="str">
        <x:v>USD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85" t="n">
        <x:v>0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0</x:v>
      </x:c>
      <x:c r="O49" s="85" t="n">
        <x:v>0</x:v>
      </x:c>
      <x:c r="P49" s="85" t="n">
        <x:v>0</x:v>
      </x:c>
      <x:c r="Q49" s="85" t="n">
        <x:v>0</x:v>
      </x:c>
      <x:c r="R49" s="85" t="n">
        <x:v>0</x:v>
      </x:c>
      <x:c r="S49" s="85" t="n">
        <x:v>0</x:v>
      </x:c>
      <x:c r="T49" s="85" t="n">
        <x:v>0</x:v>
      </x:c>
      <x:c r="U49" s="85" t="n">
        <x:v>0</x:v>
      </x:c>
      <x:c r="V49" s="85" t="n">
        <x:v>0</x:v>
      </x:c>
      <x:c r="W49" s="85" t="n">
        <x:v>0</x:v>
      </x:c>
      <x:c r="X49" s="85" t="n">
        <x:v>0</x:v>
      </x:c>
      <x:c r="Y49" s="85" t="n">
        <x:v>0</x:v>
      </x:c>
      <x:c r="Z49" s="85" t="n">
        <x:v>0</x:v>
      </x:c>
      <x:c r="AA49" s="85" t="n">
        <x:v>0</x:v>
      </x:c>
      <x:c r="AB49" s="85" t="n">
        <x:v>0</x:v>
      </x:c>
      <x:c r="AC49" s="85" t="n">
        <x:v>0</x:v>
      </x:c>
      <x:c r="AD49" s="85" t="n">
        <x:v>0</x:v>
      </x:c>
      <x:c r="AE49" s="85" t="n">
        <x:v>0</x:v>
      </x:c>
      <x:c r="AF49" s="85" t="n">
        <x:v>0</x:v>
      </x:c>
      <x:c r="AG49" s="85" t="n">
        <x:v>0</x:v>
      </x:c>
      <x:c r="AH49" s="85" t="n">
        <x:v>0</x:v>
      </x:c>
      <x:c r="AI49" s="85" t="n">
        <x:v>0</x:v>
      </x:c>
      <x:c r="AJ49" s="85" t="n">
        <x:v>0</x:v>
      </x:c>
      <x:c r="AK49" s="85" t="n">
        <x:v>0</x:v>
      </x:c>
      <x:c r="AL49" s="85" t="n">
        <x:v>0</x:v>
      </x:c>
      <x:c r="AM49" s="85" t="n">
        <x:v>0</x:v>
      </x:c>
      <x:c r="AN49" s="85" t="n">
        <x:v>0</x:v>
      </x:c>
      <x:c r="AO49" s="85" t="n">
        <x:v>0</x:v>
      </x:c>
      <x:c r="AP49" s="85" t="n">
        <x:v>0</x:v>
      </x:c>
      <x:c r="AQ49" s="85" t="n">
        <x:v>0</x:v>
      </x:c>
      <x:c r="AR49" s="85" t="n">
        <x:v>0</x:v>
      </x:c>
      <x:c r="AS49" s="85" t="n">
        <x:v>0</x:v>
      </x:c>
      <x:c r="AT49" s="85" t="n">
        <x:v>0</x:v>
      </x:c>
      <x:c r="AU49" s="85" t="n">
        <x:v>0</x:v>
      </x:c>
      <x:c r="AV49" s="85" t="n">
        <x:v>0</x:v>
      </x:c>
      <x:c r="AW49" s="85" t="n">
        <x:v>0</x:v>
      </x:c>
      <x:c r="AX49" s="85" t="n">
        <x:v>0</x:v>
      </x:c>
      <x:c r="AY49" s="85" t="n">
        <x:v>0</x:v>
      </x:c>
      <x:c r="AZ49" s="85" t="n">
        <x:v>0</x:v>
      </x:c>
    </x:row>
    <x:row r="50" ht="21" customHeight="1">
      <x:c r="A50" s="150"/>
      <x:c r="B50" s="150"/>
      <x:c r="C50" s="23" t="str">
        <x:v>senior principal paid</x:v>
      </x:c>
      <x:c r="D50" s="23" t="str">
        <x:v>USD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85" t="n">
        <x:v>631176.6825</x:v>
      </x:c>
      <x:c r="J50" s="85" t="n">
        <x:v>631176.6825</x:v>
      </x:c>
      <x:c r="K50" s="85" t="n">
        <x:v>631176.6825</x:v>
      </x:c>
      <x:c r="L50" s="85" t="n">
        <x:v>631176.6825</x:v>
      </x:c>
      <x:c r="M50" s="85" t="n">
        <x:v>1307558.385</x:v>
      </x:c>
      <x:c r="N50" s="85" t="n">
        <x:v>356048.38499999995</x:v>
      </x:c>
      <x:c r="O50" s="85" t="n">
        <x:v>1278575.836852938</x:v>
      </x:c>
      <x:c r="P50" s="85" t="n">
        <x:v>2171478.9763791617</x:v>
      </x:c>
      <x:c r="Q50" s="85" t="n">
        <x:v>1154067.0218241268</x:v>
      </x:c>
      <x:c r="R50" s="85" t="n">
        <x:v>728257.7432576629</x:v>
      </x:c>
      <x:c r="S50" s="85" t="n">
        <x:v>1127208.0452904692</x:v>
      </x:c>
      <x:c r="T50" s="85" t="n">
        <x:v>3282238.7938625854</x:v>
      </x:c>
      <x:c r="U50" s="85" t="n">
        <x:v>1474849.505579611</x:v>
      </x:c>
      <x:c r="V50" s="85" t="n">
        <x:v>4831886.302946716</x:v>
      </x:c>
      <x:c r="W50" s="85" t="n">
        <x:v>1397834.8185426893</x:v>
      </x:c>
      <x:c r="X50" s="85" t="n">
        <x:v>2622316.1664933735</x:v>
      </x:c>
      <x:c r="Y50" s="85" t="n">
        <x:v>1768566.9911477936</x:v>
      </x:c>
      <x:c r="Z50" s="85" t="n">
        <x:v>1769900.1104247642</x:v>
      </x:c>
      <x:c r="AA50" s="85" t="n">
        <x:v>165583.48082662307</x:v>
      </x:c>
      <x:c r="AB50" s="85" t="n">
        <x:v>4619096.2653919635</x:v>
      </x:c>
      <x:c r="AC50" s="85" t="n">
        <x:v>3095986.441179529</x:v>
      </x:c>
      <x:c r="AD50" s="85" t="n">
        <x:v>0</x:v>
      </x:c>
      <x:c r="AE50" s="85" t="n">
        <x:v>0</x:v>
      </x:c>
      <x:c r="AF50" s="85" t="n">
        <x:v>0</x:v>
      </x:c>
      <x:c r="AG50" s="85" t="n">
        <x:v>0</x:v>
      </x:c>
      <x:c r="AH50" s="85" t="n">
        <x:v>0</x:v>
      </x:c>
      <x:c r="AI50" s="85" t="n">
        <x:v>0</x:v>
      </x:c>
      <x:c r="AJ50" s="85" t="n">
        <x:v>0</x:v>
      </x:c>
      <x:c r="AK50" s="85" t="n">
        <x:v>0</x:v>
      </x:c>
      <x:c r="AL50" s="85" t="n">
        <x:v>0</x:v>
      </x:c>
      <x:c r="AM50" s="85" t="n">
        <x:v>0</x:v>
      </x:c>
      <x:c r="AN50" s="85" t="n">
        <x:v>0</x:v>
      </x:c>
      <x:c r="AO50" s="85" t="n">
        <x:v>0</x:v>
      </x:c>
      <x:c r="AP50" s="85" t="n">
        <x:v>0</x:v>
      </x:c>
      <x:c r="AQ50" s="85" t="n">
        <x:v>0</x:v>
      </x:c>
      <x:c r="AR50" s="85" t="n">
        <x:v>0</x:v>
      </x:c>
      <x:c r="AS50" s="85" t="n">
        <x:v>0</x:v>
      </x:c>
      <x:c r="AT50" s="85" t="n">
        <x:v>0</x:v>
      </x:c>
      <x:c r="AU50" s="85" t="n">
        <x:v>0</x:v>
      </x:c>
      <x:c r="AV50" s="85" t="n">
        <x:v>0</x:v>
      </x:c>
      <x:c r="AW50" s="85" t="n">
        <x:v>0</x:v>
      </x:c>
      <x:c r="AX50" s="85" t="n">
        <x:v>0</x:v>
      </x:c>
      <x:c r="AY50" s="85" t="n">
        <x:v>0</x:v>
      </x:c>
      <x:c r="AZ50" s="85" t="n">
        <x:v>0</x:v>
      </x:c>
    </x:row>
    <x:row r="51" ht="21" customHeight="1">
      <x:c r="A51" s="150"/>
      <x:c r="B51" s="150"/>
      <x:c r="C51" s="23" t="str">
        <x:v>junior principal paid</x:v>
      </x:c>
      <x:c r="D51" s="23" t="str">
        <x:v>USD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  <x:c r="I51" s="85" t="n">
        <x:v>0</x:v>
      </x:c>
      <x:c r="J51" s="85" t="n">
        <x:v>0</x:v>
      </x:c>
      <x:c r="K51" s="85" t="n">
        <x:v>0</x:v>
      </x:c>
      <x:c r="L51" s="85" t="n">
        <x:v>0</x:v>
      </x:c>
      <x:c r="M51" s="85" t="n">
        <x:v>0</x:v>
      </x:c>
      <x:c r="N51" s="85" t="n">
        <x:v>0</x:v>
      </x:c>
      <x:c r="O51" s="85" t="n">
        <x:v>0</x:v>
      </x:c>
      <x:c r="P51" s="85" t="n">
        <x:v>0</x:v>
      </x:c>
      <x:c r="Q51" s="85" t="n">
        <x:v>0</x:v>
      </x:c>
      <x:c r="R51" s="85" t="n">
        <x:v>0</x:v>
      </x:c>
      <x:c r="S51" s="85" t="n">
        <x:v>0</x:v>
      </x:c>
      <x:c r="T51" s="85" t="n">
        <x:v>0</x:v>
      </x:c>
      <x:c r="U51" s="85" t="n">
        <x:v>0</x:v>
      </x:c>
      <x:c r="V51" s="85" t="n">
        <x:v>0</x:v>
      </x:c>
      <x:c r="W51" s="85" t="n">
        <x:v>0</x:v>
      </x:c>
      <x:c r="X51" s="85" t="n">
        <x:v>0</x:v>
      </x:c>
      <x:c r="Y51" s="85" t="n">
        <x:v>0</x:v>
      </x:c>
      <x:c r="Z51" s="85" t="n">
        <x:v>0</x:v>
      </x:c>
      <x:c r="AA51" s="85" t="n">
        <x:v>0</x:v>
      </x:c>
      <x:c r="AB51" s="85" t="n">
        <x:v>0</x:v>
      </x:c>
      <x:c r="AC51" s="85" t="n">
        <x:v>121017.03145953314</x:v>
      </x:c>
      <x:c r="AD51" s="85" t="n">
        <x:v>2412752.6044792966</x:v>
      </x:c>
      <x:c r="AE51" s="85" t="n">
        <x:v>804250.8681597655</x:v>
      </x:c>
      <x:c r="AF51" s="85" t="n">
        <x:v>4825505.208958593</x:v>
      </x:c>
      <x:c r="AG51" s="85" t="n">
        <x:v>428661.6302374385</x:v>
      </x:c>
      <x:c r="AH51" s="85" t="n">
        <x:v>0</x:v>
      </x:c>
      <x:c r="AI51" s="85" t="n">
        <x:v>804250.8681597655</x:v>
      </x:c>
      <x:c r="AJ51" s="85" t="n">
        <x:v>0</x:v>
      </x:c>
      <x:c r="AK51" s="85" t="n">
        <x:v>0</x:v>
      </x:c>
      <x:c r="AL51" s="85" t="n">
        <x:v>0</x:v>
      </x:c>
      <x:c r="AM51" s="85" t="n">
        <x:v>428661.6302374385</x:v>
      </x:c>
      <x:c r="AN51" s="85" t="n">
        <x:v>0</x:v>
      </x:c>
      <x:c r="AO51" s="85" t="n">
        <x:v>0</x:v>
      </x:c>
      <x:c r="AP51" s="85" t="n">
        <x:v>0</x:v>
      </x:c>
      <x:c r="AQ51" s="85" t="n">
        <x:v>0</x:v>
      </x:c>
      <x:c r="AR51" s="85" t="n">
        <x:v>0</x:v>
      </x:c>
      <x:c r="AS51" s="85" t="n">
        <x:v>0</x:v>
      </x:c>
      <x:c r="AT51" s="85" t="n">
        <x:v>0</x:v>
      </x:c>
      <x:c r="AU51" s="85" t="n">
        <x:v>0</x:v>
      </x:c>
      <x:c r="AV51" s="85" t="n">
        <x:v>0</x:v>
      </x:c>
      <x:c r="AW51" s="85" t="n">
        <x:v>0</x:v>
      </x:c>
      <x:c r="AX51" s="85" t="n">
        <x:v>0</x:v>
      </x:c>
      <x:c r="AY51" s="85" t="n">
        <x:v>0</x:v>
      </x:c>
      <x:c r="AZ51" s="85" t="n">
        <x:v>0</x:v>
      </x:c>
    </x:row>
    <x:row r="52" ht="21" customHeight="1">
      <x:c r="A52" s="150"/>
      <x:c r="B52" s="150"/>
      <x:c r="C52" s="23" t="str">
        <x:v>senior end</x:v>
      </x:c>
      <x:c r="D52" s="23" t="str">
        <x:v>USD</x:v>
      </x:c>
      <x:c r="E52" s="85" t="n">
        <x:v>35676160</x:v>
      </x:c>
      <x:c r="F52" s="85" t="n">
        <x:v>35676160</x:v>
      </x:c>
      <x:c r="G52" s="85" t="n">
        <x:v>35676160</x:v>
      </x:c>
      <x:c r="H52" s="85" t="n">
        <x:v>35676160</x:v>
      </x:c>
      <x:c r="I52" s="85" t="n">
        <x:v>35044983.3175</x:v>
      </x:c>
      <x:c r="J52" s="85" t="n">
        <x:v>34413806.635000005</x:v>
      </x:c>
      <x:c r="K52" s="85" t="n">
        <x:v>33782629.95250001</x:v>
      </x:c>
      <x:c r="L52" s="85" t="n">
        <x:v>33151453.270000007</x:v>
      </x:c>
      <x:c r="M52" s="85" t="n">
        <x:v>31843894.885000005</x:v>
      </x:c>
      <x:c r="N52" s="85" t="n">
        <x:v>31487846.500000004</x:v>
      </x:c>
      <x:c r="O52" s="85" t="n">
        <x:v>30209270.663147066</x:v>
      </x:c>
      <x:c r="P52" s="85" t="n">
        <x:v>28037791.686767906</x:v>
      </x:c>
      <x:c r="Q52" s="85" t="n">
        <x:v>26883724.66494378</x:v>
      </x:c>
      <x:c r="R52" s="85" t="n">
        <x:v>26155466.921686117</x:v>
      </x:c>
      <x:c r="S52" s="85" t="n">
        <x:v>25028258.876395646</x:v>
      </x:c>
      <x:c r="T52" s="85" t="n">
        <x:v>21746020.08253306</x:v>
      </x:c>
      <x:c r="U52" s="85" t="n">
        <x:v>20271170.576953452</x:v>
      </x:c>
      <x:c r="V52" s="85" t="n">
        <x:v>15439284.274006736</x:v>
      </x:c>
      <x:c r="W52" s="85" t="n">
        <x:v>14041449.455464046</x:v>
      </x:c>
      <x:c r="X52" s="85" t="n">
        <x:v>11419133.288970673</x:v>
      </x:c>
      <x:c r="Y52" s="85" t="n">
        <x:v>9650566.29782288</x:v>
      </x:c>
      <x:c r="Z52" s="85" t="n">
        <x:v>7880666.187398115</x:v>
      </x:c>
      <x:c r="AA52" s="85" t="n">
        <x:v>7715082.706571492</x:v>
      </x:c>
      <x:c r="AB52" s="85" t="n">
        <x:v>3095986.441179529</x:v>
      </x:c>
      <x:c r="AC52" s="85" t="n">
        <x:v>0</x:v>
      </x:c>
      <x:c r="AD52" s="85" t="n">
        <x:v>0</x:v>
      </x:c>
      <x:c r="AE52" s="85" t="n">
        <x:v>0</x:v>
      </x:c>
      <x:c r="AF52" s="85" t="n">
        <x:v>0</x:v>
      </x:c>
      <x:c r="AG52" s="85" t="n">
        <x:v>0</x:v>
      </x:c>
      <x:c r="AH52" s="85" t="n">
        <x:v>0</x:v>
      </x:c>
      <x:c r="AI52" s="85" t="n">
        <x:v>0</x:v>
      </x:c>
      <x:c r="AJ52" s="85" t="n">
        <x:v>0</x:v>
      </x:c>
      <x:c r="AK52" s="85" t="n">
        <x:v>0</x:v>
      </x:c>
      <x:c r="AL52" s="85" t="n">
        <x:v>0</x:v>
      </x:c>
      <x:c r="AM52" s="85" t="n">
        <x:v>0</x:v>
      </x:c>
      <x:c r="AN52" s="85" t="n">
        <x:v>0</x:v>
      </x:c>
      <x:c r="AO52" s="85" t="n">
        <x:v>0</x:v>
      </x:c>
      <x:c r="AP52" s="85" t="n">
        <x:v>0</x:v>
      </x:c>
      <x:c r="AQ52" s="85" t="n">
        <x:v>0</x:v>
      </x:c>
      <x:c r="AR52" s="85" t="n">
        <x:v>0</x:v>
      </x:c>
      <x:c r="AS52" s="85" t="n">
        <x:v>0</x:v>
      </x:c>
      <x:c r="AT52" s="85" t="n">
        <x:v>0</x:v>
      </x:c>
      <x:c r="AU52" s="85" t="n">
        <x:v>0</x:v>
      </x:c>
      <x:c r="AV52" s="85" t="n">
        <x:v>0</x:v>
      </x:c>
      <x:c r="AW52" s="85" t="n">
        <x:v>0</x:v>
      </x:c>
      <x:c r="AX52" s="85" t="n">
        <x:v>0</x:v>
      </x:c>
      <x:c r="AY52" s="85" t="n">
        <x:v>0</x:v>
      </x:c>
      <x:c r="AZ52" s="85" t="n">
        <x:v>0</x:v>
      </x:c>
    </x:row>
    <x:row r="53" ht="21" customHeight="1">
      <x:c r="A53" s="150"/>
      <x:c r="B53" s="150"/>
      <x:c r="C53" s="23" t="str">
        <x:v>junior end</x:v>
      </x:c>
      <x:c r="D53" s="23" t="str">
        <x:v>USD</x:v>
      </x:c>
      <x:c r="E53" s="85" t="n">
        <x:v>14493440</x:v>
      </x:c>
      <x:c r="F53" s="85" t="n">
        <x:v>14493440</x:v>
      </x:c>
      <x:c r="G53" s="85" t="n">
        <x:v>14493440</x:v>
      </x:c>
      <x:c r="H53" s="85" t="n">
        <x:v>14493440</x:v>
      </x:c>
      <x:c r="I53" s="85" t="n">
        <x:v>14493440</x:v>
      </x:c>
      <x:c r="J53" s="85" t="n">
        <x:v>14493440</x:v>
      </x:c>
      <x:c r="K53" s="85" t="n">
        <x:v>14493440</x:v>
      </x:c>
      <x:c r="L53" s="85" t="n">
        <x:v>14493440</x:v>
      </x:c>
      <x:c r="M53" s="85" t="n">
        <x:v>14493440</x:v>
      </x:c>
      <x:c r="N53" s="85" t="n">
        <x:v>14493440</x:v>
      </x:c>
      <x:c r="O53" s="85" t="n">
        <x:v>14493440</x:v>
      </x:c>
      <x:c r="P53" s="85" t="n">
        <x:v>14493440</x:v>
      </x:c>
      <x:c r="Q53" s="85" t="n">
        <x:v>14493440</x:v>
      </x:c>
      <x:c r="R53" s="85" t="n">
        <x:v>14493440</x:v>
      </x:c>
      <x:c r="S53" s="85" t="n">
        <x:v>14493440</x:v>
      </x:c>
      <x:c r="T53" s="85" t="n">
        <x:v>14493440</x:v>
      </x:c>
      <x:c r="U53" s="85" t="n">
        <x:v>14493440</x:v>
      </x:c>
      <x:c r="V53" s="85" t="n">
        <x:v>14493440</x:v>
      </x:c>
      <x:c r="W53" s="85" t="n">
        <x:v>14493440</x:v>
      </x:c>
      <x:c r="X53" s="85" t="n">
        <x:v>14493440</x:v>
      </x:c>
      <x:c r="Y53" s="85" t="n">
        <x:v>14493440</x:v>
      </x:c>
      <x:c r="Z53" s="85" t="n">
        <x:v>14493440</x:v>
      </x:c>
      <x:c r="AA53" s="85" t="n">
        <x:v>14493440</x:v>
      </x:c>
      <x:c r="AB53" s="85" t="n">
        <x:v>14493440</x:v>
      </x:c>
      <x:c r="AC53" s="85" t="n">
        <x:v>14372422.968540467</x:v>
      </x:c>
      <x:c r="AD53" s="85" t="n">
        <x:v>11959670.364061171</x:v>
      </x:c>
      <x:c r="AE53" s="85" t="n">
        <x:v>11155419.495901406</x:v>
      </x:c>
      <x:c r="AF53" s="85" t="n">
        <x:v>6329914.286942813</x:v>
      </x:c>
      <x:c r="AG53" s="85" t="n">
        <x:v>5901252.656705374</x:v>
      </x:c>
      <x:c r="AH53" s="85" t="n">
        <x:v>5901252.656705374</x:v>
      </x:c>
      <x:c r="AI53" s="85" t="n">
        <x:v>5097001.7885456085</x:v>
      </x:c>
      <x:c r="AJ53" s="85" t="n">
        <x:v>5097001.7885456085</x:v>
      </x:c>
      <x:c r="AK53" s="85" t="n">
        <x:v>5097001.7885456085</x:v>
      </x:c>
      <x:c r="AL53" s="85" t="n">
        <x:v>5097001.7885456085</x:v>
      </x:c>
      <x:c r="AM53" s="85" t="n">
        <x:v>4668340.15830817</x:v>
      </x:c>
      <x:c r="AN53" s="85" t="n">
        <x:v>4668340.15830817</x:v>
      </x:c>
      <x:c r="AO53" s="85" t="n">
        <x:v>4668340.15830817</x:v>
      </x:c>
      <x:c r="AP53" s="85" t="n">
        <x:v>4668340.15830817</x:v>
      </x:c>
      <x:c r="AQ53" s="85" t="n">
        <x:v>4668340.15830817</x:v>
      </x:c>
      <x:c r="AR53" s="85" t="n">
        <x:v>4668340.15830817</x:v>
      </x:c>
      <x:c r="AS53" s="85" t="n">
        <x:v>4668340.15830817</x:v>
      </x:c>
      <x:c r="AT53" s="85" t="n">
        <x:v>4668340.15830817</x:v>
      </x:c>
      <x:c r="AU53" s="85" t="n">
        <x:v>4668340.15830817</x:v>
      </x:c>
      <x:c r="AV53" s="85" t="n">
        <x:v>4668340.15830817</x:v>
      </x:c>
      <x:c r="AW53" s="85" t="n">
        <x:v>4668340.15830817</x:v>
      </x:c>
      <x:c r="AX53" s="85" t="n">
        <x:v>4668340.15830817</x:v>
      </x:c>
      <x:c r="AY53" s="85" t="n">
        <x:v>4668340.15830817</x:v>
      </x:c>
      <x:c r="AZ53" s="85" t="n">
        <x:v>4668340.15830817</x:v>
      </x:c>
    </x:row>
    <x:row r="54" ht="21" customHeight="1">
      <x:c r="A54" s="150"/>
      <x:c r="B54" s="150"/>
      <x:c r="C54" s="23" t="str">
        <x:v>equity interest</x:v>
      </x:c>
      <x:c r="D54" s="23" t="str">
        <x:v>USD</x:v>
      </x:c>
      <x:c r="E54" s="85" t="n">
        <x:v>19053.19294520576</x:v>
      </x:c>
      <x:c r="F54" s="85" t="n">
        <x:v>10959.438527397659</x:v>
      </x:c>
      <x:c r="G54" s="85" t="n">
        <x:v>0</x:v>
      </x:c>
      <x:c r="H54" s="85" t="n">
        <x:v>0</x:v>
      </x:c>
      <x:c r="I54" s="85" t="n">
        <x:v>0</x:v>
      </x:c>
      <x:c r="J54" s="85" t="n">
        <x:v>0</x:v>
      </x:c>
      <x:c r="K54" s="85" t="n">
        <x:v>0</x:v>
      </x:c>
      <x:c r="L54" s="85" t="n">
        <x:v>0</x:v>
      </x:c>
      <x:c r="M54" s="85" t="n">
        <x:v>0</x:v>
      </x:c>
      <x:c r="N54" s="85" t="n">
        <x:v>0</x:v>
      </x:c>
      <x:c r="O54" s="85" t="n">
        <x:v>0</x:v>
      </x:c>
      <x:c r="P54" s="85" t="n">
        <x:v>0</x:v>
      </x:c>
      <x:c r="Q54" s="85" t="n">
        <x:v>0</x:v>
      </x:c>
      <x:c r="R54" s="85" t="n">
        <x:v>0</x:v>
      </x:c>
      <x:c r="S54" s="85" t="n">
        <x:v>0</x:v>
      </x:c>
      <x:c r="T54" s="85" t="n">
        <x:v>0</x:v>
      </x:c>
      <x:c r="U54" s="85" t="n">
        <x:v>0</x:v>
      </x:c>
      <x:c r="V54" s="85" t="n">
        <x:v>0</x:v>
      </x:c>
      <x:c r="W54" s="85" t="n">
        <x:v>0</x:v>
      </x:c>
      <x:c r="X54" s="85" t="n">
        <x:v>0</x:v>
      </x:c>
      <x:c r="Y54" s="85" t="n">
        <x:v>0</x:v>
      </x:c>
      <x:c r="Z54" s="85" t="n">
        <x:v>0</x:v>
      </x:c>
      <x:c r="AA54" s="85" t="n">
        <x:v>0</x:v>
      </x:c>
      <x:c r="AB54" s="85" t="n">
        <x:v>0</x:v>
      </x:c>
      <x:c r="AC54" s="85" t="n">
        <x:v>0</x:v>
      </x:c>
      <x:c r="AD54" s="85" t="n">
        <x:v>0</x:v>
      </x:c>
      <x:c r="AE54" s="85" t="n">
        <x:v>0</x:v>
      </x:c>
      <x:c r="AF54" s="85" t="n">
        <x:v>0</x:v>
      </x:c>
      <x:c r="AG54" s="85" t="n">
        <x:v>0</x:v>
      </x:c>
      <x:c r="AH54" s="85" t="n">
        <x:v>0</x:v>
      </x:c>
      <x:c r="AI54" s="85" t="n">
        <x:v>0</x:v>
      </x:c>
      <x:c r="AJ54" s="85" t="n">
        <x:v>0</x:v>
      </x:c>
      <x:c r="AK54" s="85" t="n">
        <x:v>0</x:v>
      </x:c>
      <x:c r="AL54" s="85" t="n">
        <x:v>0</x:v>
      </x:c>
      <x:c r="AM54" s="85" t="n">
        <x:v>0</x:v>
      </x:c>
      <x:c r="AN54" s="85" t="n">
        <x:v>0</x:v>
      </x:c>
      <x:c r="AO54" s="85" t="n">
        <x:v>0</x:v>
      </x:c>
      <x:c r="AP54" s="85" t="n">
        <x:v>0</x:v>
      </x:c>
      <x:c r="AQ54" s="85" t="n">
        <x:v>0</x:v>
      </x:c>
      <x:c r="AR54" s="85" t="n">
        <x:v>0</x:v>
      </x:c>
      <x:c r="AS54" s="85" t="n">
        <x:v>0</x:v>
      </x:c>
      <x:c r="AT54" s="85" t="n">
        <x:v>0</x:v>
      </x:c>
      <x:c r="AU54" s="85" t="n">
        <x:v>0</x:v>
      </x:c>
      <x:c r="AV54" s="85" t="n">
        <x:v>0</x:v>
      </x:c>
      <x:c r="AW54" s="85" t="n">
        <x:v>0</x:v>
      </x:c>
      <x:c r="AX54" s="85" t="n">
        <x:v>0</x:v>
      </x:c>
      <x:c r="AY54" s="85" t="n">
        <x:v>0</x:v>
      </x:c>
      <x:c r="AZ54" s="85" t="n">
        <x:v>0</x:v>
      </x:c>
    </x:row>
    <x:row r="55" ht="21" customHeight="1">
      <x:c r="A55" s="150"/>
      <x:c r="B55" s="150"/>
      <x:c r="C55" s="23" t="str">
        <x:v>equity principal</x:v>
      </x:c>
      <x:c r="D55" s="23" t="str">
        <x:v>USD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  <x:c r="I55" s="85" t="n">
        <x:v>0</x:v>
      </x:c>
      <x:c r="J55" s="85" t="n">
        <x:v>0</x:v>
      </x:c>
      <x:c r="K55" s="85" t="n">
        <x:v>0</x:v>
      </x:c>
      <x:c r="L55" s="85" t="n">
        <x:v>0</x:v>
      </x:c>
      <x:c r="M55" s="85" t="n">
        <x:v>0</x:v>
      </x:c>
      <x:c r="N55" s="85" t="n">
        <x:v>0</x:v>
      </x:c>
      <x:c r="O55" s="85" t="n">
        <x:v>0</x:v>
      </x:c>
      <x:c r="P55" s="85" t="n">
        <x:v>0</x:v>
      </x:c>
      <x:c r="Q55" s="85" t="n">
        <x:v>0</x:v>
      </x:c>
      <x:c r="R55" s="85" t="n">
        <x:v>0</x:v>
      </x:c>
      <x:c r="S55" s="85" t="n">
        <x:v>0</x:v>
      </x:c>
      <x:c r="T55" s="85" t="n">
        <x:v>0</x:v>
      </x:c>
      <x:c r="U55" s="85" t="n">
        <x:v>0</x:v>
      </x:c>
      <x:c r="V55" s="85" t="n">
        <x:v>0</x:v>
      </x:c>
      <x:c r="W55" s="85" t="n">
        <x:v>0</x:v>
      </x:c>
      <x:c r="X55" s="85" t="n">
        <x:v>0</x:v>
      </x:c>
      <x:c r="Y55" s="85" t="n">
        <x:v>0</x:v>
      </x:c>
      <x:c r="Z55" s="85" t="n">
        <x:v>0</x:v>
      </x:c>
      <x:c r="AA55" s="85" t="n">
        <x:v>0</x:v>
      </x:c>
      <x:c r="AB55" s="85" t="n">
        <x:v>0</x:v>
      </x:c>
      <x:c r="AC55" s="85" t="n">
        <x:v>0</x:v>
      </x:c>
      <x:c r="AD55" s="85" t="n">
        <x:v>0</x:v>
      </x:c>
      <x:c r="AE55" s="85" t="n">
        <x:v>0</x:v>
      </x:c>
      <x:c r="AF55" s="85" t="n">
        <x:v>0</x:v>
      </x:c>
      <x:c r="AG55" s="85" t="n">
        <x:v>0</x:v>
      </x:c>
      <x:c r="AH55" s="85" t="n">
        <x:v>0</x:v>
      </x:c>
      <x:c r="AI55" s="85" t="n">
        <x:v>0</x:v>
      </x:c>
      <x:c r="AJ55" s="85" t="n">
        <x:v>0</x:v>
      </x:c>
      <x:c r="AK55" s="85" t="n">
        <x:v>0</x:v>
      </x:c>
      <x:c r="AL55" s="85" t="n">
        <x:v>0</x:v>
      </x:c>
      <x:c r="AM55" s="85" t="n">
        <x:v>0</x:v>
      </x:c>
      <x:c r="AN55" s="85" t="n">
        <x:v>0</x:v>
      </x:c>
      <x:c r="AO55" s="85" t="n">
        <x:v>0</x:v>
      </x:c>
      <x:c r="AP55" s="85" t="n">
        <x:v>0</x:v>
      </x:c>
      <x:c r="AQ55" s="85" t="n">
        <x:v>0</x:v>
      </x:c>
      <x:c r="AR55" s="85" t="n">
        <x:v>0</x:v>
      </x:c>
      <x:c r="AS55" s="85" t="n">
        <x:v>0</x:v>
      </x:c>
      <x:c r="AT55" s="85" t="n">
        <x:v>0</x:v>
      </x:c>
      <x:c r="AU55" s="85" t="n">
        <x:v>0</x:v>
      </x:c>
      <x:c r="AV55" s="85" t="n">
        <x:v>0</x:v>
      </x:c>
      <x:c r="AW55" s="85" t="n">
        <x:v>0</x:v>
      </x:c>
      <x:c r="AX55" s="85" t="n">
        <x:v>0</x:v>
      </x:c>
      <x:c r="AY55" s="85" t="n">
        <x:v>0</x:v>
      </x:c>
      <x:c r="AZ55" s="85" t="n">
        <x:v>0</x:v>
      </x:c>
    </x:row>
    <x:row r="56" ht="21" customHeight="1">
      <x:c r="A56" s="150"/>
      <x:c r="B56" s="150"/>
      <x:c r="C56" s="23" t="str">
        <x:v>reinvestment cash</x:v>
      </x:c>
      <x:c r="D56" s="23" t="str">
        <x:v>USD</x:v>
      </x:c>
      <x:c r="E56" s="85" t="n">
        <x:v>0</x:v>
      </x:c>
      <x:c r="F56" s="85" t="n">
        <x:v>0</x:v>
      </x:c>
      <x:c r="G56" s="85" t="n">
        <x:v>0</x:v>
      </x:c>
      <x:c r="H56" s="85" t="n">
        <x:v>0</x:v>
      </x:c>
      <x:c r="I56" s="85" t="n">
        <x:v>0</x:v>
      </x:c>
      <x:c r="J56" s="85" t="n">
        <x:v>0</x:v>
      </x:c>
      <x:c r="K56" s="85" t="n">
        <x:v>0</x:v>
      </x:c>
      <x:c r="L56" s="85" t="n">
        <x:v>0</x:v>
      </x:c>
      <x:c r="M56" s="85" t="n">
        <x:v>0</x:v>
      </x:c>
      <x:c r="N56" s="85" t="n">
        <x:v>0</x:v>
      </x:c>
      <x:c r="O56" s="85" t="n">
        <x:v>0</x:v>
      </x:c>
      <x:c r="P56" s="85" t="n">
        <x:v>0</x:v>
      </x:c>
      <x:c r="Q56" s="85" t="n">
        <x:v>0</x:v>
      </x:c>
      <x:c r="R56" s="85" t="n">
        <x:v>0</x:v>
      </x:c>
      <x:c r="S56" s="85" t="n">
        <x:v>0</x:v>
      </x:c>
      <x:c r="T56" s="85" t="n">
        <x:v>0</x:v>
      </x:c>
      <x:c r="U56" s="85" t="n">
        <x:v>0</x:v>
      </x:c>
      <x:c r="V56" s="85" t="n">
        <x:v>0</x:v>
      </x:c>
      <x:c r="W56" s="85" t="n">
        <x:v>0</x:v>
      </x:c>
      <x:c r="X56" s="85" t="n">
        <x:v>0</x:v>
      </x:c>
      <x:c r="Y56" s="85" t="n">
        <x:v>0</x:v>
      </x:c>
      <x:c r="Z56" s="85" t="n">
        <x:v>0</x:v>
      </x:c>
      <x:c r="AA56" s="85" t="n">
        <x:v>0</x:v>
      </x:c>
      <x:c r="AB56" s="85" t="n">
        <x:v>0</x:v>
      </x:c>
      <x:c r="AC56" s="85" t="n">
        <x:v>0</x:v>
      </x:c>
      <x:c r="AD56" s="85" t="n">
        <x:v>0</x:v>
      </x:c>
      <x:c r="AE56" s="85" t="n">
        <x:v>0</x:v>
      </x:c>
      <x:c r="AF56" s="85" t="n">
        <x:v>0</x:v>
      </x:c>
      <x:c r="AG56" s="85" t="n">
        <x:v>0</x:v>
      </x:c>
      <x:c r="AH56" s="85" t="n">
        <x:v>0</x:v>
      </x:c>
      <x:c r="AI56" s="85" t="n">
        <x:v>0</x:v>
      </x:c>
      <x:c r="AJ56" s="85" t="n">
        <x:v>0</x:v>
      </x:c>
      <x:c r="AK56" s="85" t="n">
        <x:v>0</x:v>
      </x:c>
      <x:c r="AL56" s="85" t="n">
        <x:v>0</x:v>
      </x:c>
      <x:c r="AM56" s="85" t="n">
        <x:v>0</x:v>
      </x:c>
      <x:c r="AN56" s="85" t="n">
        <x:v>0</x:v>
      </x:c>
      <x:c r="AO56" s="85" t="n">
        <x:v>0</x:v>
      </x:c>
      <x:c r="AP56" s="85" t="n">
        <x:v>0</x:v>
      </x:c>
      <x:c r="AQ56" s="85" t="n">
        <x:v>0</x:v>
      </x:c>
      <x:c r="AR56" s="85" t="n">
        <x:v>0</x:v>
      </x:c>
      <x:c r="AS56" s="85" t="n">
        <x:v>0</x:v>
      </x:c>
      <x:c r="AT56" s="85" t="n">
        <x:v>0</x:v>
      </x:c>
      <x:c r="AU56" s="85" t="n">
        <x:v>0</x:v>
      </x:c>
      <x:c r="AV56" s="85" t="n">
        <x:v>0</x:v>
      </x:c>
      <x:c r="AW56" s="85" t="n">
        <x:v>0</x:v>
      </x:c>
      <x:c r="AX56" s="85" t="n">
        <x:v>0</x:v>
      </x:c>
      <x:c r="AY56" s="85" t="n">
        <x:v>0</x:v>
      </x:c>
      <x:c r="AZ56" s="85" t="n">
        <x:v>0</x:v>
      </x:c>
    </x:row>
    <x:row r="57" ht="21" customHeight="1">
      <x:c r="A57" s="150"/>
      <x:c r="B57" s="150"/>
      <x:c r="C57" s="23" t="str">
        <x:v>cash end</x:v>
      </x:c>
      <x:c r="D57" s="23" t="str">
        <x:v>USD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85" t="n">
        <x:v>0</x:v>
      </x:c>
      <x:c r="J57" s="85" t="n">
        <x:v>0</x:v>
      </x:c>
      <x:c r="K57" s="85" t="n">
        <x:v>0</x:v>
      </x:c>
      <x:c r="L57" s="85" t="n">
        <x:v>0</x:v>
      </x:c>
      <x:c r="M57" s="85" t="n">
        <x:v>0</x:v>
      </x:c>
      <x:c r="N57" s="85" t="n">
        <x:v>0</x:v>
      </x:c>
      <x:c r="O57" s="85" t="n">
        <x:v>0</x:v>
      </x:c>
      <x:c r="P57" s="85" t="n">
        <x:v>0</x:v>
      </x:c>
      <x:c r="Q57" s="85" t="n">
        <x:v>0</x:v>
      </x:c>
      <x:c r="R57" s="85" t="n">
        <x:v>0</x:v>
      </x:c>
      <x:c r="S57" s="85" t="n">
        <x:v>0</x:v>
      </x:c>
      <x:c r="T57" s="85" t="n">
        <x:v>0</x:v>
      </x:c>
      <x:c r="U57" s="85" t="n">
        <x:v>0</x:v>
      </x:c>
      <x:c r="V57" s="85" t="n">
        <x:v>0</x:v>
      </x:c>
      <x:c r="W57" s="85" t="n">
        <x:v>0</x:v>
      </x:c>
      <x:c r="X57" s="85" t="n">
        <x:v>0</x:v>
      </x:c>
      <x:c r="Y57" s="85" t="n">
        <x:v>0</x:v>
      </x:c>
      <x:c r="Z57" s="85" t="n">
        <x:v>0</x:v>
      </x:c>
      <x:c r="AA57" s="85" t="n">
        <x:v>0</x:v>
      </x:c>
      <x:c r="AB57" s="85" t="n">
        <x:v>0</x:v>
      </x:c>
      <x:c r="AC57" s="85" t="n">
        <x:v>0</x:v>
      </x:c>
      <x:c r="AD57" s="85" t="n">
        <x:v>0</x:v>
      </x:c>
      <x:c r="AE57" s="85" t="n">
        <x:v>0</x:v>
      </x:c>
      <x:c r="AF57" s="85" t="n">
        <x:v>0</x:v>
      </x:c>
      <x:c r="AG57" s="85" t="n">
        <x:v>0</x:v>
      </x:c>
      <x:c r="AH57" s="85" t="n">
        <x:v>0</x:v>
      </x:c>
      <x:c r="AI57" s="85" t="n">
        <x:v>0</x:v>
      </x:c>
      <x:c r="AJ57" s="85" t="n">
        <x:v>0</x:v>
      </x:c>
      <x:c r="AK57" s="85" t="n">
        <x:v>0</x:v>
      </x:c>
      <x:c r="AL57" s="85" t="n">
        <x:v>0</x:v>
      </x:c>
      <x:c r="AM57" s="85" t="n">
        <x:v>0</x:v>
      </x:c>
      <x:c r="AN57" s="85" t="n">
        <x:v>0</x:v>
      </x:c>
      <x:c r="AO57" s="85" t="n">
        <x:v>0</x:v>
      </x:c>
      <x:c r="AP57" s="85" t="n">
        <x:v>0</x:v>
      </x:c>
      <x:c r="AQ57" s="85" t="n">
        <x:v>0</x:v>
      </x:c>
      <x:c r="AR57" s="85" t="n">
        <x:v>0</x:v>
      </x:c>
      <x:c r="AS57" s="85" t="n">
        <x:v>0</x:v>
      </x:c>
      <x:c r="AT57" s="85" t="n">
        <x:v>0</x:v>
      </x:c>
      <x:c r="AU57" s="85" t="n">
        <x:v>0</x:v>
      </x:c>
      <x:c r="AV57" s="85" t="n">
        <x:v>0</x:v>
      </x:c>
      <x:c r="AW57" s="85" t="n">
        <x:v>0</x:v>
      </x:c>
      <x:c r="AX57" s="85" t="n">
        <x:v>0</x:v>
      </x:c>
      <x:c r="AY57" s="85" t="n">
        <x:v>0</x:v>
      </x:c>
      <x:c r="AZ57" s="85" t="n">
        <x:v>0</x:v>
      </x:c>
    </x:row>
    <x:row r="58" ht="21" customHeight="1">
      <x:c r="A58" s="150"/>
      <x:c r="B58" s="150"/>
      <x:c r="C58" s="23" t="str">
        <x:v>cash residual</x:v>
      </x:c>
      <x:c r="D58" s="23" t="str">
        <x:v>USD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  <x:c r="I58" s="85" t="n">
        <x:v>0</x:v>
      </x:c>
      <x:c r="J58" s="85" t="n">
        <x:v>0</x:v>
      </x:c>
      <x:c r="K58" s="85" t="n">
        <x:v>-2.3283064365386963e-10</x:v>
      </x:c>
      <x:c r="L58" s="85" t="n">
        <x:v>2.3283064365386963e-10</x:v>
      </x:c>
      <x:c r="M58" s="85" t="n">
        <x:v>0</x:v>
      </x:c>
      <x:c r="N58" s="85" t="n">
        <x:v>0</x:v>
      </x:c>
      <x:c r="O58" s="85" t="n">
        <x:v>0</x:v>
      </x:c>
      <x:c r="P58" s="85" t="n">
        <x:v>-4.656612873077393e-10</x:v>
      </x:c>
      <x:c r="Q58" s="85" t="n">
        <x:v>2.3283064365386963e-10</x:v>
      </x:c>
      <x:c r="R58" s="85" t="n">
        <x:v>-2.3283064365386963e-10</x:v>
      </x:c>
      <x:c r="S58" s="85" t="n">
        <x:v>2.3283064365386963e-10</x:v>
      </x:c>
      <x:c r="T58" s="85" t="n">
        <x:v>0</x:v>
      </x:c>
      <x:c r="U58" s="85" t="n">
        <x:v>0</x:v>
      </x:c>
      <x:c r="V58" s="85" t="n">
        <x:v>0</x:v>
      </x:c>
      <x:c r="W58" s="85" t="n">
        <x:v>0</x:v>
      </x:c>
      <x:c r="X58" s="85" t="n">
        <x:v>0</x:v>
      </x:c>
      <x:c r="Y58" s="85" t="n">
        <x:v>0</x:v>
      </x:c>
      <x:c r="Z58" s="85" t="n">
        <x:v>0</x:v>
      </x:c>
      <x:c r="AA58" s="85" t="n">
        <x:v>0</x:v>
      </x:c>
      <x:c r="AB58" s="85" t="n">
        <x:v>0</x:v>
      </x:c>
      <x:c r="AC58" s="85" t="n">
        <x:v>0</x:v>
      </x:c>
      <x:c r="AD58" s="85" t="n">
        <x:v>0</x:v>
      </x:c>
      <x:c r="AE58" s="85" t="n">
        <x:v>0</x:v>
      </x:c>
      <x:c r="AF58" s="85" t="n">
        <x:v>0</x:v>
      </x:c>
      <x:c r="AG58" s="85" t="n">
        <x:v>0</x:v>
      </x:c>
      <x:c r="AH58" s="85" t="n">
        <x:v>0</x:v>
      </x:c>
      <x:c r="AI58" s="85" t="n">
        <x:v>0</x:v>
      </x:c>
      <x:c r="AJ58" s="85" t="n">
        <x:v>0</x:v>
      </x:c>
      <x:c r="AK58" s="85" t="n">
        <x:v>0</x:v>
      </x:c>
      <x:c r="AL58" s="85" t="n">
        <x:v>0</x:v>
      </x:c>
      <x:c r="AM58" s="85" t="n">
        <x:v>0</x:v>
      </x:c>
      <x:c r="AN58" s="85" t="n">
        <x:v>0</x:v>
      </x:c>
      <x:c r="AO58" s="85" t="n">
        <x:v>0</x:v>
      </x:c>
      <x:c r="AP58" s="85" t="n">
        <x:v>0</x:v>
      </x:c>
      <x:c r="AQ58" s="85" t="n">
        <x:v>0</x:v>
      </x:c>
      <x:c r="AR58" s="85" t="n">
        <x:v>0</x:v>
      </x:c>
      <x:c r="AS58" s="85" t="n">
        <x:v>0</x:v>
      </x:c>
      <x:c r="AT58" s="85" t="n">
        <x:v>0</x:v>
      </x:c>
      <x:c r="AU58" s="85" t="n">
        <x:v>0</x:v>
      </x:c>
      <x:c r="AV58" s="85" t="n">
        <x:v>0</x:v>
      </x:c>
      <x:c r="AW58" s="85" t="n">
        <x:v>0</x:v>
      </x:c>
      <x:c r="AX58" s="85" t="n">
        <x:v>0</x:v>
      </x:c>
      <x:c r="AY58" s="85" t="n">
        <x:v>0</x:v>
      </x:c>
      <x:c r="AZ58" s="85" t="n">
        <x:v>0</x:v>
      </x:c>
    </x:row>
    <x:row r="59" ht="21" customHeight="1">
      <x:c r="A59" s="150"/>
      <x:c r="B59" s="150"/>
      <x:c r="C59" s="23" t="str">
        <x:v>par residual</x:v>
      </x:c>
      <x:c r="D59" s="23" t="str">
        <x:v>USD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  <x:c r="I59" s="85" t="n">
        <x:v>0</x:v>
      </x:c>
      <x:c r="J59" s="85" t="n">
        <x:v>0</x:v>
      </x:c>
      <x:c r="K59" s="85" t="n">
        <x:v>0</x:v>
      </x:c>
      <x:c r="L59" s="85" t="n">
        <x:v>0</x:v>
      </x:c>
      <x:c r="M59" s="85" t="n">
        <x:v>0</x:v>
      </x:c>
      <x:c r="N59" s="85" t="n">
        <x:v>0</x:v>
      </x:c>
      <x:c r="O59" s="85" t="n">
        <x:v>0</x:v>
      </x:c>
      <x:c r="P59" s="85" t="n">
        <x:v>0</x:v>
      </x:c>
      <x:c r="Q59" s="85" t="n">
        <x:v>0</x:v>
      </x:c>
      <x:c r="R59" s="85" t="n">
        <x:v>0</x:v>
      </x:c>
      <x:c r="S59" s="85" t="n">
        <x:v>-7.450580596923828e-9</x:v>
      </x:c>
      <x:c r="T59" s="85" t="n">
        <x:v>0</x:v>
      </x:c>
      <x:c r="U59" s="85" t="n">
        <x:v>0</x:v>
      </x:c>
      <x:c r="V59" s="85" t="n">
        <x:v>0</x:v>
      </x:c>
      <x:c r="W59" s="85" t="n">
        <x:v>0</x:v>
      </x:c>
      <x:c r="X59" s="85" t="n">
        <x:v>0</x:v>
      </x:c>
      <x:c r="Y59" s="85" t="n">
        <x:v>0</x:v>
      </x:c>
      <x:c r="Z59" s="85" t="n">
        <x:v>0</x:v>
      </x:c>
      <x:c r="AA59" s="85" t="n">
        <x:v>0</x:v>
      </x:c>
      <x:c r="AB59" s="85" t="n">
        <x:v>-1.862645149230957e-9</x:v>
      </x:c>
      <x:c r="AC59" s="85" t="n">
        <x:v>1.862645149230957e-9</x:v>
      </x:c>
      <x:c r="AD59" s="85" t="n">
        <x:v>-9.313225746154785e-10</x:v>
      </x:c>
      <x:c r="AE59" s="85" t="n">
        <x:v>9.313225746154785e-10</x:v>
      </x:c>
      <x:c r="AF59" s="85" t="n">
        <x:v>-4.656612873077393e-10</x:v>
      </x:c>
      <x:c r="AG59" s="85" t="n">
        <x:v>-2.3283064365386963e-10</x:v>
      </x:c>
      <x:c r="AH59" s="85" t="n">
        <x:v>0</x:v>
      </x:c>
      <x:c r="AI59" s="85" t="n">
        <x:v>1.1641532182693481e-10</x:v>
      </x:c>
      <x:c r="AJ59" s="85" t="n">
        <x:v>0</x:v>
      </x:c>
      <x:c r="AK59" s="85" t="n">
        <x:v>0</x:v>
      </x:c>
      <x:c r="AL59" s="85" t="n">
        <x:v>0</x:v>
      </x:c>
      <x:c r="AM59" s="85" t="n">
        <x:v>0</x:v>
      </x:c>
      <x:c r="AN59" s="85" t="n">
        <x:v>0</x:v>
      </x:c>
      <x:c r="AO59" s="85" t="n">
        <x:v>0</x:v>
      </x:c>
      <x:c r="AP59" s="85" t="n">
        <x:v>0</x:v>
      </x:c>
      <x:c r="AQ59" s="85" t="n">
        <x:v>0</x:v>
      </x:c>
      <x:c r="AR59" s="85" t="n">
        <x:v>0</x:v>
      </x:c>
      <x:c r="AS59" s="85" t="n">
        <x:v>0</x:v>
      </x:c>
      <x:c r="AT59" s="85" t="n">
        <x:v>0</x:v>
      </x:c>
      <x:c r="AU59" s="85" t="n">
        <x:v>0</x:v>
      </x:c>
      <x:c r="AV59" s="85" t="n">
        <x:v>0</x:v>
      </x:c>
      <x:c r="AW59" s="85" t="n">
        <x:v>0</x:v>
      </x:c>
      <x:c r="AX59" s="85" t="n">
        <x:v>0</x:v>
      </x:c>
      <x:c r="AY59" s="85" t="n">
        <x:v>0</x:v>
      </x:c>
      <x:c r="AZ59" s="85" t="n">
        <x:v>0</x:v>
      </x:c>
    </x:row>
    <x:row r="60" ht="21" customHeight="1">
      <x:c r="A60" s="150"/>
      <x:c r="B60" s="150"/>
      <x:c r="C60" s="23" t="str">
        <x:v>priority violation</x:v>
      </x:c>
      <x:c r="D60" s="23" t="str">
        <x:v>USD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85" t="n">
        <x:v>0</x:v>
      </x:c>
      <x:c r="J60" s="85" t="n">
        <x:v>0</x:v>
      </x:c>
      <x:c r="K60" s="85" t="n">
        <x:v>0</x:v>
      </x:c>
      <x:c r="L60" s="85" t="n">
        <x:v>0</x:v>
      </x:c>
      <x:c r="M60" s="85" t="n">
        <x:v>0</x:v>
      </x:c>
      <x:c r="N60" s="85" t="n">
        <x:v>0</x:v>
      </x:c>
      <x:c r="O60" s="85" t="n">
        <x:v>0</x:v>
      </x:c>
      <x:c r="P60" s="85" t="n">
        <x:v>0</x:v>
      </x:c>
      <x:c r="Q60" s="85" t="n">
        <x:v>0</x:v>
      </x:c>
      <x:c r="R60" s="85" t="n">
        <x:v>0</x:v>
      </x:c>
      <x:c r="S60" s="85" t="n">
        <x:v>0</x:v>
      </x:c>
      <x:c r="T60" s="85" t="n">
        <x:v>0</x:v>
      </x:c>
      <x:c r="U60" s="85" t="n">
        <x:v>0</x:v>
      </x:c>
      <x:c r="V60" s="85" t="n">
        <x:v>0</x:v>
      </x:c>
      <x:c r="W60" s="85" t="n">
        <x:v>0</x:v>
      </x:c>
      <x:c r="X60" s="85" t="n">
        <x:v>0</x:v>
      </x:c>
      <x:c r="Y60" s="85" t="n">
        <x:v>0</x:v>
      </x:c>
      <x:c r="Z60" s="85" t="n">
        <x:v>0</x:v>
      </x:c>
      <x:c r="AA60" s="85" t="n">
        <x:v>0</x:v>
      </x:c>
      <x:c r="AB60" s="85" t="n">
        <x:v>0</x:v>
      </x:c>
      <x:c r="AC60" s="85" t="n">
        <x:v>0</x:v>
      </x:c>
      <x:c r="AD60" s="85" t="n">
        <x:v>0</x:v>
      </x:c>
      <x:c r="AE60" s="85" t="n">
        <x:v>0</x:v>
      </x:c>
      <x:c r="AF60" s="85" t="n">
        <x:v>0</x:v>
      </x:c>
      <x:c r="AG60" s="85" t="n">
        <x:v>0</x:v>
      </x:c>
      <x:c r="AH60" s="85" t="n">
        <x:v>0</x:v>
      </x:c>
      <x:c r="AI60" s="85" t="n">
        <x:v>0</x:v>
      </x:c>
      <x:c r="AJ60" s="85" t="n">
        <x:v>0</x:v>
      </x:c>
      <x:c r="AK60" s="85" t="n">
        <x:v>0</x:v>
      </x:c>
      <x:c r="AL60" s="85" t="n">
        <x:v>0</x:v>
      </x:c>
      <x:c r="AM60" s="85" t="n">
        <x:v>0</x:v>
      </x:c>
      <x:c r="AN60" s="85" t="n">
        <x:v>0</x:v>
      </x:c>
      <x:c r="AO60" s="85" t="n">
        <x:v>0</x:v>
      </x:c>
      <x:c r="AP60" s="85" t="n">
        <x:v>0</x:v>
      </x:c>
      <x:c r="AQ60" s="85" t="n">
        <x:v>0</x:v>
      </x:c>
      <x:c r="AR60" s="85" t="n">
        <x:v>0</x:v>
      </x:c>
      <x:c r="AS60" s="85" t="n">
        <x:v>0</x:v>
      </x:c>
      <x:c r="AT60" s="85" t="n">
        <x:v>0</x:v>
      </x:c>
      <x:c r="AU60" s="85" t="n">
        <x:v>0</x:v>
      </x:c>
      <x:c r="AV60" s="85" t="n">
        <x:v>0</x:v>
      </x:c>
      <x:c r="AW60" s="85" t="n">
        <x:v>0</x:v>
      </x:c>
      <x:c r="AX60" s="85" t="n">
        <x:v>0</x:v>
      </x:c>
      <x:c r="AY60" s="85" t="n">
        <x:v>0</x:v>
      </x:c>
      <x:c r="AZ60" s="85" t="n">
        <x:v>0</x:v>
      </x:c>
    </x:row>
    <x:row r="61">
      <x:c r="A61" s="150"/>
      <x:c r="B61" s="150"/>
      <x:c r="C61" s="150"/>
      <x:c r="D61" s="150"/>
      <x:c r="E61" s="150"/>
      <x:c r="F61" s="150"/>
      <x:c r="G61" s="150"/>
      <x:c r="H61" s="150"/>
      <x:c r="I61" s="150"/>
      <x:c r="J61" s="150"/>
      <x:c r="K61" s="150"/>
      <x:c r="L61" s="150"/>
      <x:c r="M61" s="150"/>
      <x:c r="N61" s="150"/>
      <x:c r="O61" s="150"/>
      <x:c r="P61" s="150"/>
      <x:c r="Q61" s="150"/>
      <x:c r="R61" s="150"/>
      <x:c r="S61" s="150"/>
      <x:c r="T61" s="150"/>
      <x:c r="U61" s="150"/>
      <x:c r="V61" s="150"/>
      <x:c r="W61" s="150"/>
      <x:c r="X61" s="150"/>
      <x:c r="Y61" s="150"/>
      <x:c r="Z61" s="150"/>
      <x:c r="AA61" s="150"/>
      <x:c r="AB61" s="150"/>
      <x:c r="AC61" s="150"/>
      <x:c r="AD61" s="150"/>
      <x:c r="AE61" s="150"/>
      <x:c r="AF61" s="150"/>
      <x:c r="AG61" s="150"/>
      <x:c r="AH61" s="150"/>
      <x:c r="AI61" s="150"/>
      <x:c r="AJ61" s="150"/>
      <x:c r="AK61" s="150"/>
      <x:c r="AL61" s="150"/>
      <x:c r="AM61" s="150"/>
      <x:c r="AN61" s="150"/>
      <x:c r="AO61" s="150"/>
      <x:c r="AP61" s="150"/>
      <x:c r="AQ61" s="150"/>
      <x:c r="AR61" s="150"/>
      <x:c r="AS61" s="150"/>
      <x:c r="AT61" s="150"/>
      <x:c r="AU61" s="150"/>
      <x:c r="AV61" s="150"/>
      <x:c r="AW61" s="150"/>
      <x:c r="AX61" s="150"/>
      <x:c r="AY61" s="150"/>
      <x:c r="AZ61" s="150"/>
    </x:row>
    <x:row r="62">
      <x:c r="A62" s="150"/>
      <x:c r="B62" s="150"/>
      <x:c r="C62" s="150"/>
      <x:c r="D62" s="150"/>
      <x:c r="E62" s="150"/>
      <x:c r="F62" s="150"/>
      <x:c r="G62" s="150"/>
      <x:c r="H62" s="150"/>
      <x:c r="I62" s="150"/>
      <x:c r="J62" s="150"/>
      <x:c r="K62" s="150"/>
      <x:c r="L62" s="150"/>
      <x:c r="M62" s="150"/>
      <x:c r="N62" s="150"/>
      <x:c r="O62" s="150"/>
      <x:c r="P62" s="150"/>
      <x:c r="Q62" s="150"/>
      <x:c r="R62" s="150"/>
      <x:c r="S62" s="150"/>
      <x:c r="T62" s="150"/>
      <x:c r="U62" s="150"/>
      <x:c r="V62" s="150"/>
      <x:c r="W62" s="150"/>
      <x:c r="X62" s="150"/>
      <x:c r="Y62" s="150"/>
      <x:c r="Z62" s="150"/>
      <x:c r="AA62" s="150"/>
      <x:c r="AB62" s="150"/>
      <x:c r="AC62" s="150"/>
      <x:c r="AD62" s="150"/>
      <x:c r="AE62" s="150"/>
      <x:c r="AF62" s="150"/>
      <x:c r="AG62" s="150"/>
      <x:c r="AH62" s="150"/>
      <x:c r="AI62" s="150"/>
      <x:c r="AJ62" s="150"/>
      <x:c r="AK62" s="150"/>
      <x:c r="AL62" s="150"/>
      <x:c r="AM62" s="150"/>
      <x:c r="AN62" s="150"/>
      <x:c r="AO62" s="150"/>
      <x:c r="AP62" s="150"/>
      <x:c r="AQ62" s="150"/>
      <x:c r="AR62" s="150"/>
      <x:c r="AS62" s="150"/>
      <x:c r="AT62" s="150"/>
      <x:c r="AU62" s="150"/>
      <x:c r="AV62" s="150"/>
      <x:c r="AW62" s="150"/>
      <x:c r="AX62" s="150"/>
      <x:c r="AY62" s="150"/>
      <x:c r="AZ62" s="150"/>
    </x:row>
    <x:row r="63" ht="32" customHeight="1">
      <x:c r="A63" s="150"/>
      <x:c r="B63" s="150"/>
      <x:c r="C63" s="154" t="str">
        <x:v>Cash sources</x:v>
      </x:c>
      <x:c r="D63" s="150" t="str">
        <x:v>USD</x:v>
      </x:c>
      <x:c r="E63" s="80" t="n">
        <x:f>E24+E25+E19+E11+E12+E21+E23</x:f>
        <x:v>778607.1918493152</x:v>
      </x:c>
      <x:c r="F63" s="80" t="n">
        <x:f>F24+F25+F19+F11+F12+F21+F23</x:f>
        <x:v>776920.370253425</x:v>
      </x:c>
      <x:c r="G63" s="80" t="n">
        <x:f>G24+G25+G19+G11+G12+G21+G23</x:f>
        <x:v>747945.927150685</x:v>
      </x:c>
      <x:c r="H63" s="80" t="n">
        <x:f>H24+H25+H19+H11+H12+H21+H23</x:f>
        <x:v>736723.7198904111</x:v>
      </x:c>
      <x:c r="I63" s="80" t="n">
        <x:f>I24+I25+I19+I11+I12+I21+I23</x:f>
        <x:v>1333890.4489246574</x:v>
      </x:c>
      <x:c r="J63" s="80" t="n">
        <x:f>J24+J25+J19+J11+J12+J21+J23</x:f>
        <x:v>1332658.5345547944</x:v>
      </x:c>
      <x:c r="K63" s="80" t="n">
        <x:f>K24+K25+K19+K11+K12+K21+K23</x:f>
        <x:v>1314556.1621164384</x:v>
      </x:c>
      <x:c r="L63" s="80" t="n">
        <x:f>L24+L25+L19+L11+L12+L21+L23</x:f>
        <x:v>1312833.850280822</x:v>
      </x:c>
      <x:c r="M63" s="80" t="n">
        <x:f>M24+M25+M19+M11+M12+M21+M23</x:f>
        <x:v>1941533.6251643836</x:v>
      </x:c>
      <x:c r="N63" s="80" t="n">
        <x:f>N24+N25+N19+N11+N12+N21+N23</x:f>
        <x:v>996429.7328513185</x:v>
      </x:c>
      <x:c r="O63" s="80" t="n">
        <x:f>O24+O25+O19+O11+O12+O21+O23</x:f>
        <x:v>1897372.7607513585</x:v>
      </x:c>
      <x:c r="P63" s="80" t="n">
        <x:f>P24+P25+P19+P11+P12+P21+P23</x:f>
        <x:v>2779182.1490960256</x:v>
      </x:c>
      <x:c r="Q63" s="80" t="n">
        <x:f>Q24+Q25+Q19+Q11+Q12+Q21+Q23</x:f>
        <x:v>1700661.8574094323</x:v>
      </x:c>
      <x:c r="R63" s="80" t="n">
        <x:f>R24+R25+R19+R11+R12+R21+R23</x:f>
        <x:v>1274329.4940332135</x:v>
      </x:c>
      <x:c r="S63" s="80" t="n">
        <x:f>S24+S25+S19+S11+S12+S21+S23</x:f>
        <x:v>1651116.0082882056</x:v>
      </x:c>
      <x:c r="T63" s="80" t="n">
        <x:f>T24+T25+T19+T11+T12+T21+T23</x:f>
        <x:v>3792639.3784070504</x:v>
      </x:c>
      <x:c r="U63" s="80" t="n">
        <x:f>U24+U25+U19+U11+U12+U21+U23</x:f>
        <x:v>1920047.9595613452</x:v>
      </x:c>
      <x:c r="V63" s="80" t="n">
        <x:f>V24+V25+V19+V11+V12+V21+V23</x:f>
        <x:v>5243242.34449312</x:v>
      </x:c>
      <x:c r="W63" s="80" t="n">
        <x:f>W24+W25+W19+W11+W12+W21+W23</x:f>
        <x:v>1744726.591457848</x:v>
      </x:c>
      <x:c r="X63" s="80" t="n">
        <x:f>X24+X25+X19+X11+X12+X21+X23</x:f>
        <x:v>2950853.406710437</x:v>
      </x:c>
      <x:c r="Y63" s="80" t="n">
        <x:f>Y24+Y25+Y19+Y11+Y12+Y21+Y23</x:f>
        <x:v>2062334.354064281</x:v>
      </x:c>
      <x:c r="Z63" s="80" t="n">
        <x:f>Z24+Z25+Z19+Z11+Z12+Z21+Z23</x:f>
        <x:v>2036633.0342357364</x:v>
      </x:c>
      <x:c r="AA63" s="80" t="n">
        <x:f>AA24+AA25+AA19+AA11+AA12+AA21+AA23</x:f>
        <x:v>417999.5144368364</x:v>
      </x:c>
      <x:c r="AB63" s="80" t="n">
        <x:f>AB24+AB25+AB19+AB11+AB12+AB21+AB23</x:f>
        <x:v>4851521.947693115</x:v>
      </x:c>
      <x:c r="AC63" s="80" t="n">
        <x:f>AC24+AC25+AC19+AC11+AC12+AC21+AC23</x:f>
        <x:v>3373279.493925344</x:v>
      </x:c>
      <x:c r="AD63" s="80" t="n">
        <x:f>AD24+AD25+AD19+AD11+AD12+AD21+AD23</x:f>
        <x:v>2549399.2673884393</x:v>
      </x:c>
      <x:c r="AE63" s="80" t="n">
        <x:f>AE24+AE25+AE19+AE11+AE12+AE21+AE23</x:f>
        <x:v>906467.8427698632</x:v>
      </x:c>
      <x:c r="AF63" s="80" t="n">
        <x:f>AF24+AF25+AF19+AF11+AF12+AF21+AF23</x:f>
        <x:v>4890145.01159773</x:v>
      </x:c>
      <x:c r="AG63" s="80" t="n">
        <x:f>AG24+AG25+AG19+AG11+AG12+AG21+AG23</x:f>
        <x:v>449002.6731774061</x:v>
      </x:c>
      <x:c r="AH63" s="80" t="n">
        <x:f>AH24+AH25+AH19+AH11+AH12+AH21+AH23</x:f>
        <x:v>17433.335750719452</x:v>
      </x:c>
      <x:c r="AI63" s="80" t="n">
        <x:f>AI24+AI25+AI19+AI11+AI12+AI21+AI23</x:f>
        <x:v>813024.6126247952</x:v>
      </x:c>
      <x:c r="AJ63" s="80" t="n">
        <x:f>AJ24+AJ25+AJ19+AJ11+AJ12+AJ21+AJ23</x:f>
        <x:v>7185.073572034655</x:v>
      </x:c>
      <x:c r="AK63" s="80" t="n">
        <x:f>AK24+AK25+AK19+AK11+AK12+AK21+AK23</x:f>
        <x:v>7028.876320468683</x:v>
      </x:c>
      <x:c r="AL63" s="80" t="n">
        <x:f>AL24+AL25+AL19+AL11+AL12+AL21+AL23</x:f>
        <x:v>7106.974946251668</x:v>
      </x:c>
      <x:c r="AM63" s="80" t="n">
        <x:f>AM24+AM25+AM19+AM11+AM12+AM21+AM23</x:f>
        <x:v>435768.60518369015</x:v>
      </x:c>
      <x:c r="AN63" s="80" t="n">
        <x:f>AN24+AN25+AN19+AN11+AN12+AN21+AN23</x:f>
        <x:v>0</x:v>
      </x:c>
      <x:c r="AO63" s="80" t="n">
        <x:f>AO24+AO25+AO19+AO11+AO12+AO21+AO23</x:f>
        <x:v>0</x:v>
      </x:c>
      <x:c r="AP63" s="80" t="n">
        <x:f>AP24+AP25+AP19+AP11+AP12+AP21+AP23</x:f>
        <x:v>0</x:v>
      </x:c>
      <x:c r="AQ63" s="80" t="n">
        <x:f>AQ24+AQ25+AQ19+AQ11+AQ12+AQ21+AQ23</x:f>
        <x:v>0</x:v>
      </x:c>
      <x:c r="AR63" s="80" t="n">
        <x:f>AR24+AR25+AR19+AR11+AR12+AR21+AR23</x:f>
        <x:v>0</x:v>
      </x:c>
      <x:c r="AS63" s="80" t="n">
        <x:f>AS24+AS25+AS19+AS11+AS12+AS21+AS23</x:f>
        <x:v>0</x:v>
      </x:c>
      <x:c r="AT63" s="80" t="n">
        <x:f>AT24+AT25+AT19+AT11+AT12+AT21+AT23</x:f>
        <x:v>0</x:v>
      </x:c>
      <x:c r="AU63" s="80" t="n">
        <x:f>AU24+AU25+AU19+AU11+AU12+AU21+AU23</x:f>
        <x:v>0</x:v>
      </x:c>
      <x:c r="AV63" s="80" t="n">
        <x:f>AV24+AV25+AV19+AV11+AV12+AV21+AV23</x:f>
        <x:v>0</x:v>
      </x:c>
      <x:c r="AW63" s="80" t="n">
        <x:f>AW24+AW25+AW19+AW11+AW12+AW21+AW23</x:f>
        <x:v>0</x:v>
      </x:c>
      <x:c r="AX63" s="80" t="n">
        <x:f>AX24+AX25+AX19+AX11+AX12+AX21+AX23</x:f>
        <x:v>0</x:v>
      </x:c>
      <x:c r="AY63" s="80" t="n">
        <x:f>AY24+AY25+AY19+AY11+AY12+AY21+AY23</x:f>
        <x:v>0</x:v>
      </x:c>
      <x:c r="AZ63" s="80" t="n">
        <x:f>AZ24+AZ25+AZ19+AZ11+AZ12+AZ21+AZ23</x:f>
        <x:v>0</x:v>
      </x:c>
    </x:row>
    <x:row r="64" ht="32" customHeight="1">
      <x:c r="A64" s="150"/>
      <x:c r="B64" s="150"/>
      <x:c r="C64" s="154" t="str">
        <x:v>Cash uses</x:v>
      </x:c>
      <x:c r="D64" s="150" t="str">
        <x:v>USD</x:v>
      </x:c>
      <x:c r="E64" s="80" t="n">
        <x:f>E36+E29+E33+E39+E50+E51+E54+E55+E56+E57</x:f>
        <x:v>778607.1918493152</x:v>
      </x:c>
      <x:c r="F64" s="80" t="n">
        <x:f>F36+F29+F33+F39+F50+F51+F54+F55+F56+F57</x:f>
        <x:v>776920.370253425</x:v>
      </x:c>
      <x:c r="G64" s="80" t="n">
        <x:f>G36+G29+G33+G39+G50+G51+G54+G55+G56+G57</x:f>
        <x:v>747945.927150685</x:v>
      </x:c>
      <x:c r="H64" s="80" t="n">
        <x:f>H36+H29+H33+H39+H50+H51+H54+H55+H56+H57</x:f>
        <x:v>736723.7198904111</x:v>
      </x:c>
      <x:c r="I64" s="80" t="n">
        <x:f>I36+I29+I33+I39+I50+I51+I54+I55+I56+I57</x:f>
        <x:v>1333890.4489246574</x:v>
      </x:c>
      <x:c r="J64" s="80" t="n">
        <x:f>J36+J29+J33+J39+J50+J51+J54+J55+J56+J57</x:f>
        <x:v>1332658.5345547944</x:v>
      </x:c>
      <x:c r="K64" s="80" t="n">
        <x:f>K36+K29+K33+K39+K50+K51+K54+K55+K56+K57</x:f>
        <x:v>1314556.1621164386</x:v>
      </x:c>
      <x:c r="L64" s="80" t="n">
        <x:f>L36+L29+L33+L39+L50+L51+L54+L55+L56+L57</x:f>
        <x:v>1312833.8502808218</x:v>
      </x:c>
      <x:c r="M64" s="80" t="n">
        <x:f>M36+M29+M33+M39+M50+M51+M54+M55+M56+M57</x:f>
        <x:v>1941533.6251643836</x:v>
      </x:c>
      <x:c r="N64" s="80" t="n">
        <x:f>N36+N29+N33+N39+N50+N51+N54+N55+N56+N57</x:f>
        <x:v>996429.7328513185</x:v>
      </x:c>
      <x:c r="O64" s="80" t="n">
        <x:f>O36+O29+O33+O39+O50+O51+O54+O55+O56+O57</x:f>
        <x:v>1897372.7607513585</x:v>
      </x:c>
      <x:c r="P64" s="80" t="n">
        <x:f>P36+P29+P33+P39+P50+P51+P54+P55+P56+P57</x:f>
        <x:v>2779182.149096026</x:v>
      </x:c>
      <x:c r="Q64" s="80" t="n">
        <x:f>Q36+Q29+Q33+Q39+Q50+Q51+Q54+Q55+Q56+Q57</x:f>
        <x:v>1700661.857409432</x:v>
      </x:c>
      <x:c r="R64" s="80" t="n">
        <x:f>R36+R29+R33+R39+R50+R51+R54+R55+R56+R57</x:f>
        <x:v>1274329.4940332137</x:v>
      </x:c>
      <x:c r="S64" s="80" t="n">
        <x:f>S36+S29+S33+S39+S50+S51+S54+S55+S56+S57</x:f>
        <x:v>1651116.0082882054</x:v>
      </x:c>
      <x:c r="T64" s="80" t="n">
        <x:f>T36+T29+T33+T39+T50+T51+T54+T55+T56+T57</x:f>
        <x:v>3792639.3784070504</x:v>
      </x:c>
      <x:c r="U64" s="80" t="n">
        <x:f>U36+U29+U33+U39+U50+U51+U54+U55+U56+U57</x:f>
        <x:v>1920047.9595613452</x:v>
      </x:c>
      <x:c r="V64" s="80" t="n">
        <x:f>V36+V29+V33+V39+V50+V51+V54+V55+V56+V57</x:f>
        <x:v>5243242.34449312</x:v>
      </x:c>
      <x:c r="W64" s="80" t="n">
        <x:f>W36+W29+W33+W39+W50+W51+W54+W55+W56+W57</x:f>
        <x:v>1744726.591457848</x:v>
      </x:c>
      <x:c r="X64" s="80" t="n">
        <x:f>X36+X29+X33+X39+X50+X51+X54+X55+X56+X57</x:f>
        <x:v>2950853.406710437</x:v>
      </x:c>
      <x:c r="Y64" s="80" t="n">
        <x:f>Y36+Y29+Y33+Y39+Y50+Y51+Y54+Y55+Y56+Y57</x:f>
        <x:v>2062334.354064281</x:v>
      </x:c>
      <x:c r="Z64" s="80" t="n">
        <x:f>Z36+Z29+Z33+Z39+Z50+Z51+Z54+Z55+Z56+Z57</x:f>
        <x:v>2036633.0342357364</x:v>
      </x:c>
      <x:c r="AA64" s="80" t="n">
        <x:f>AA36+AA29+AA33+AA39+AA50+AA51+AA54+AA55+AA56+AA57</x:f>
        <x:v>417999.5144368364</x:v>
      </x:c>
      <x:c r="AB64" s="80" t="n">
        <x:f>AB36+AB29+AB33+AB39+AB50+AB51+AB54+AB55+AB56+AB57</x:f>
        <x:v>4851521.947693115</x:v>
      </x:c>
      <x:c r="AC64" s="80" t="n">
        <x:f>AC36+AC29+AC33+AC39+AC50+AC51+AC54+AC55+AC56+AC57</x:f>
        <x:v>3373279.493925344</x:v>
      </x:c>
      <x:c r="AD64" s="80" t="n">
        <x:f>AD36+AD29+AD33+AD39+AD50+AD51+AD54+AD55+AD56+AD57</x:f>
        <x:v>2549399.2673884393</x:v>
      </x:c>
      <x:c r="AE64" s="80" t="n">
        <x:f>AE36+AE29+AE33+AE39+AE50+AE51+AE54+AE55+AE56+AE57</x:f>
        <x:v>906467.8427698632</x:v>
      </x:c>
      <x:c r="AF64" s="80" t="n">
        <x:f>AF36+AF29+AF33+AF39+AF50+AF51+AF54+AF55+AF56+AF57</x:f>
        <x:v>4890145.01159773</x:v>
      </x:c>
      <x:c r="AG64" s="80" t="n">
        <x:f>AG36+AG29+AG33+AG39+AG50+AG51+AG54+AG55+AG56+AG57</x:f>
        <x:v>449002.6731774061</x:v>
      </x:c>
      <x:c r="AH64" s="80" t="n">
        <x:f>AH36+AH29+AH33+AH39+AH50+AH51+AH54+AH55+AH56+AH57</x:f>
        <x:v>17433.335750719452</x:v>
      </x:c>
      <x:c r="AI64" s="80" t="n">
        <x:f>AI36+AI29+AI33+AI39+AI50+AI51+AI54+AI55+AI56+AI57</x:f>
        <x:v>813024.6126247952</x:v>
      </x:c>
      <x:c r="AJ64" s="80" t="n">
        <x:f>AJ36+AJ29+AJ33+AJ39+AJ50+AJ51+AJ54+AJ55+AJ56+AJ57</x:f>
        <x:v>7185.073572034655</x:v>
      </x:c>
      <x:c r="AK64" s="80" t="n">
        <x:f>AK36+AK29+AK33+AK39+AK50+AK51+AK54+AK55+AK56+AK57</x:f>
        <x:v>7028.876320468683</x:v>
      </x:c>
      <x:c r="AL64" s="80" t="n">
        <x:f>AL36+AL29+AL33+AL39+AL50+AL51+AL54+AL55+AL56+AL57</x:f>
        <x:v>7106.974946251668</x:v>
      </x:c>
      <x:c r="AM64" s="80" t="n">
        <x:f>AM36+AM29+AM33+AM39+AM50+AM51+AM54+AM55+AM56+AM57</x:f>
        <x:v>435768.60518369015</x:v>
      </x:c>
      <x:c r="AN64" s="80" t="n">
        <x:f>AN36+AN29+AN33+AN39+AN50+AN51+AN54+AN55+AN56+AN57</x:f>
        <x:v>0</x:v>
      </x:c>
      <x:c r="AO64" s="80" t="n">
        <x:f>AO36+AO29+AO33+AO39+AO50+AO51+AO54+AO55+AO56+AO57</x:f>
        <x:v>0</x:v>
      </x:c>
      <x:c r="AP64" s="80" t="n">
        <x:f>AP36+AP29+AP33+AP39+AP50+AP51+AP54+AP55+AP56+AP57</x:f>
        <x:v>0</x:v>
      </x:c>
      <x:c r="AQ64" s="80" t="n">
        <x:f>AQ36+AQ29+AQ33+AQ39+AQ50+AQ51+AQ54+AQ55+AQ56+AQ57</x:f>
        <x:v>0</x:v>
      </x:c>
      <x:c r="AR64" s="80" t="n">
        <x:f>AR36+AR29+AR33+AR39+AR50+AR51+AR54+AR55+AR56+AR57</x:f>
        <x:v>0</x:v>
      </x:c>
      <x:c r="AS64" s="80" t="n">
        <x:f>AS36+AS29+AS33+AS39+AS50+AS51+AS54+AS55+AS56+AS57</x:f>
        <x:v>0</x:v>
      </x:c>
      <x:c r="AT64" s="80" t="n">
        <x:f>AT36+AT29+AT33+AT39+AT50+AT51+AT54+AT55+AT56+AT57</x:f>
        <x:v>0</x:v>
      </x:c>
      <x:c r="AU64" s="80" t="n">
        <x:f>AU36+AU29+AU33+AU39+AU50+AU51+AU54+AU55+AU56+AU57</x:f>
        <x:v>0</x:v>
      </x:c>
      <x:c r="AV64" s="80" t="n">
        <x:f>AV36+AV29+AV33+AV39+AV50+AV51+AV54+AV55+AV56+AV57</x:f>
        <x:v>0</x:v>
      </x:c>
      <x:c r="AW64" s="80" t="n">
        <x:f>AW36+AW29+AW33+AW39+AW50+AW51+AW54+AW55+AW56+AW57</x:f>
        <x:v>0</x:v>
      </x:c>
      <x:c r="AX64" s="80" t="n">
        <x:f>AX36+AX29+AX33+AX39+AX50+AX51+AX54+AX55+AX56+AX57</x:f>
        <x:v>0</x:v>
      </x:c>
      <x:c r="AY64" s="80" t="n">
        <x:f>AY36+AY29+AY33+AY39+AY50+AY51+AY54+AY55+AY56+AY57</x:f>
        <x:v>0</x:v>
      </x:c>
      <x:c r="AZ64" s="80" t="n">
        <x:f>AZ36+AZ29+AZ33+AZ39+AZ50+AZ51+AZ54+AZ55+AZ56+AZ57</x:f>
        <x:v>0</x:v>
      </x:c>
    </x:row>
    <x:row r="65" ht="32" customHeight="1">
      <x:c r="A65" s="150"/>
      <x:c r="B65" s="150"/>
      <x:c r="C65" s="154" t="str">
        <x:v>Cash conservation (Excel)</x:v>
      </x:c>
      <x:c r="D65" s="150" t="str">
        <x:v>USD</x:v>
      </x:c>
      <x:c r="E65" s="80" t="n">
        <x:f>E63-E64</x:f>
        <x:v>0</x:v>
      </x:c>
      <x:c r="F65" s="80" t="n">
        <x:f>F63-F64</x:f>
        <x:v>0</x:v>
      </x:c>
      <x:c r="G65" s="80" t="n">
        <x:f>G63-G64</x:f>
        <x:v>0</x:v>
      </x:c>
      <x:c r="H65" s="80" t="n">
        <x:f>H63-H64</x:f>
        <x:v>0</x:v>
      </x:c>
      <x:c r="I65" s="80" t="n">
        <x:f>I63-I64</x:f>
        <x:v>0</x:v>
      </x:c>
      <x:c r="J65" s="80" t="n">
        <x:f>J63-J64</x:f>
        <x:v>0</x:v>
      </x:c>
      <x:c r="K65" s="80" t="n">
        <x:f>K63-K64</x:f>
        <x:v>-2.3283064365386963e-10</x:v>
      </x:c>
      <x:c r="L65" s="80" t="n">
        <x:f>L63-L64</x:f>
        <x:v>2.3283064365386963e-10</x:v>
      </x:c>
      <x:c r="M65" s="80" t="n">
        <x:f>M63-M64</x:f>
        <x:v>0</x:v>
      </x:c>
      <x:c r="N65" s="80" t="n">
        <x:f>N63-N64</x:f>
        <x:v>0</x:v>
      </x:c>
      <x:c r="O65" s="80" t="n">
        <x:f>O63-O64</x:f>
        <x:v>0</x:v>
      </x:c>
      <x:c r="P65" s="80" t="n">
        <x:f>P63-P64</x:f>
        <x:v>-4.656612873077393e-10</x:v>
      </x:c>
      <x:c r="Q65" s="80" t="n">
        <x:f>Q63-Q64</x:f>
        <x:v>2.3283064365386963e-10</x:v>
      </x:c>
      <x:c r="R65" s="80" t="n">
        <x:f>R63-R64</x:f>
        <x:v>-2.3283064365386963e-10</x:v>
      </x:c>
      <x:c r="S65" s="80" t="n">
        <x:f>S63-S64</x:f>
        <x:v>2.3283064365386963e-10</x:v>
      </x:c>
      <x:c r="T65" s="80" t="n">
        <x:f>T63-T64</x:f>
        <x:v>0</x:v>
      </x:c>
      <x:c r="U65" s="80" t="n">
        <x:f>U63-U64</x:f>
        <x:v>0</x:v>
      </x:c>
      <x:c r="V65" s="80" t="n">
        <x:f>V63-V64</x:f>
        <x:v>0</x:v>
      </x:c>
      <x:c r="W65" s="80" t="n">
        <x:f>W63-W64</x:f>
        <x:v>0</x:v>
      </x:c>
      <x:c r="X65" s="80" t="n">
        <x:f>X63-X64</x:f>
        <x:v>0</x:v>
      </x:c>
      <x:c r="Y65" s="80" t="n">
        <x:f>Y63-Y64</x:f>
        <x:v>0</x:v>
      </x:c>
      <x:c r="Z65" s="80" t="n">
        <x:f>Z63-Z64</x:f>
        <x:v>0</x:v>
      </x:c>
      <x:c r="AA65" s="80" t="n">
        <x:f>AA63-AA64</x:f>
        <x:v>0</x:v>
      </x:c>
      <x:c r="AB65" s="80" t="n">
        <x:f>AB63-AB64</x:f>
        <x:v>0</x:v>
      </x:c>
      <x:c r="AC65" s="80" t="n">
        <x:f>AC63-AC64</x:f>
        <x:v>0</x:v>
      </x:c>
      <x:c r="AD65" s="80" t="n">
        <x:f>AD63-AD64</x:f>
        <x:v>0</x:v>
      </x:c>
      <x:c r="AE65" s="80" t="n">
        <x:f>AE63-AE64</x:f>
        <x:v>0</x:v>
      </x:c>
      <x:c r="AF65" s="80" t="n">
        <x:f>AF63-AF64</x:f>
        <x:v>0</x:v>
      </x:c>
      <x:c r="AG65" s="80" t="n">
        <x:f>AG63-AG64</x:f>
        <x:v>0</x:v>
      </x:c>
      <x:c r="AH65" s="80" t="n">
        <x:f>AH63-AH64</x:f>
        <x:v>0</x:v>
      </x:c>
      <x:c r="AI65" s="80" t="n">
        <x:f>AI63-AI64</x:f>
        <x:v>0</x:v>
      </x:c>
      <x:c r="AJ65" s="80" t="n">
        <x:f>AJ63-AJ64</x:f>
        <x:v>0</x:v>
      </x:c>
      <x:c r="AK65" s="80" t="n">
        <x:f>AK63-AK64</x:f>
        <x:v>0</x:v>
      </x:c>
      <x:c r="AL65" s="80" t="n">
        <x:f>AL63-AL64</x:f>
        <x:v>0</x:v>
      </x:c>
      <x:c r="AM65" s="80" t="n">
        <x:f>AM63-AM64</x:f>
        <x:v>0</x:v>
      </x:c>
      <x:c r="AN65" s="80" t="n">
        <x:f>AN63-AN64</x:f>
        <x:v>0</x:v>
      </x:c>
      <x:c r="AO65" s="80" t="n">
        <x:f>AO63-AO64</x:f>
        <x:v>0</x:v>
      </x:c>
      <x:c r="AP65" s="80" t="n">
        <x:f>AP63-AP64</x:f>
        <x:v>0</x:v>
      </x:c>
      <x:c r="AQ65" s="80" t="n">
        <x:f>AQ63-AQ64</x:f>
        <x:v>0</x:v>
      </x:c>
      <x:c r="AR65" s="80" t="n">
        <x:f>AR63-AR64</x:f>
        <x:v>0</x:v>
      </x:c>
      <x:c r="AS65" s="80" t="n">
        <x:f>AS63-AS64</x:f>
        <x:v>0</x:v>
      </x:c>
      <x:c r="AT65" s="80" t="n">
        <x:f>AT63-AT64</x:f>
        <x:v>0</x:v>
      </x:c>
      <x:c r="AU65" s="80" t="n">
        <x:f>AU63-AU64</x:f>
        <x:v>0</x:v>
      </x:c>
      <x:c r="AV65" s="80" t="n">
        <x:f>AV63-AV64</x:f>
        <x:v>0</x:v>
      </x:c>
      <x:c r="AW65" s="80" t="n">
        <x:f>AW63-AW64</x:f>
        <x:v>0</x:v>
      </x:c>
      <x:c r="AX65" s="80" t="n">
        <x:f>AX63-AX64</x:f>
        <x:v>0</x:v>
      </x:c>
      <x:c r="AY65" s="80" t="n">
        <x:f>AY63-AY64</x:f>
        <x:v>0</x:v>
      </x:c>
      <x:c r="AZ65" s="80" t="n">
        <x:f>AZ63-AZ64</x:f>
        <x:v>0</x:v>
      </x:c>
    </x:row>
    <x:row r="66" ht="32" customHeight="1">
      <x:c r="A66" s="150"/>
      <x:c r="B66" s="150"/>
      <x:c r="C66" s="154" t="str">
        <x:v>Collateral par roll-forward (Excel)</x:v>
      </x:c>
      <x:c r="D66" s="150" t="str">
        <x:v>USD</x:v>
      </x:c>
      <x:c r="E66" s="80" t="n">
        <x:f>E8-E10-E11-E12-E13+E14-E15</x:f>
        <x:v>0</x:v>
      </x:c>
      <x:c r="F66" s="80" t="n">
        <x:f>F8-F10-F11-F12-F13+F14-F15</x:f>
        <x:v>0</x:v>
      </x:c>
      <x:c r="G66" s="80" t="n">
        <x:f>G8-G10-G11-G12-G13+G14-G15</x:f>
        <x:v>0</x:v>
      </x:c>
      <x:c r="H66" s="80" t="n">
        <x:f>H8-H10-H11-H12-H13+H14-H15</x:f>
        <x:v>0</x:v>
      </x:c>
      <x:c r="I66" s="80" t="n">
        <x:f>I8-I10-I11-I12-I13+I14-I15</x:f>
        <x:v>0</x:v>
      </x:c>
      <x:c r="J66" s="80" t="n">
        <x:f>J8-J10-J11-J12-J13+J14-J15</x:f>
        <x:v>0</x:v>
      </x:c>
      <x:c r="K66" s="80" t="n">
        <x:f>K8-K10-K11-K12-K13+K14-K15</x:f>
        <x:v>0</x:v>
      </x:c>
      <x:c r="L66" s="80" t="n">
        <x:f>L8-L10-L11-L12-L13+L14-L15</x:f>
        <x:v>0</x:v>
      </x:c>
      <x:c r="M66" s="80" t="n">
        <x:f>M8-M10-M11-M12-M13+M14-M15</x:f>
        <x:v>0</x:v>
      </x:c>
      <x:c r="N66" s="80" t="n">
        <x:f>N8-N10-N11-N12-N13+N14-N15</x:f>
        <x:v>0</x:v>
      </x:c>
      <x:c r="O66" s="80" t="n">
        <x:f>O8-O10-O11-O12-O13+O14-O15</x:f>
        <x:v>0</x:v>
      </x:c>
      <x:c r="P66" s="80" t="n">
        <x:f>P8-P10-P11-P12-P13+P14-P15</x:f>
        <x:v>0</x:v>
      </x:c>
      <x:c r="Q66" s="80" t="n">
        <x:f>Q8-Q10-Q11-Q12-Q13+Q14-Q15</x:f>
        <x:v>0</x:v>
      </x:c>
      <x:c r="R66" s="80" t="n">
        <x:f>R8-R10-R11-R12-R13+R14-R15</x:f>
        <x:v>0</x:v>
      </x:c>
      <x:c r="S66" s="80" t="n">
        <x:f>S8-S10-S11-S12-S13+S14-S15</x:f>
        <x:v>-7.450580596923828e-9</x:v>
      </x:c>
      <x:c r="T66" s="80" t="n">
        <x:f>T8-T10-T11-T12-T13+T14-T15</x:f>
        <x:v>0</x:v>
      </x:c>
      <x:c r="U66" s="80" t="n">
        <x:f>U8-U10-U11-U12-U13+U14-U15</x:f>
        <x:v>0</x:v>
      </x:c>
      <x:c r="V66" s="80" t="n">
        <x:f>V8-V10-V11-V12-V13+V14-V15</x:f>
        <x:v>0</x:v>
      </x:c>
      <x:c r="W66" s="80" t="n">
        <x:f>W8-W10-W11-W12-W13+W14-W15</x:f>
        <x:v>0</x:v>
      </x:c>
      <x:c r="X66" s="80" t="n">
        <x:f>X8-X10-X11-X12-X13+X14-X15</x:f>
        <x:v>0</x:v>
      </x:c>
      <x:c r="Y66" s="80" t="n">
        <x:f>Y8-Y10-Y11-Y12-Y13+Y14-Y15</x:f>
        <x:v>0</x:v>
      </x:c>
      <x:c r="Z66" s="80" t="n">
        <x:f>Z8-Z10-Z11-Z12-Z13+Z14-Z15</x:f>
        <x:v>0</x:v>
      </x:c>
      <x:c r="AA66" s="80" t="n">
        <x:f>AA8-AA10-AA11-AA12-AA13+AA14-AA15</x:f>
        <x:v>0</x:v>
      </x:c>
      <x:c r="AB66" s="80" t="n">
        <x:f>AB8-AB10-AB11-AB12-AB13+AB14-AB15</x:f>
        <x:v>-1.862645149230957e-9</x:v>
      </x:c>
      <x:c r="AC66" s="80" t="n">
        <x:f>AC8-AC10-AC11-AC12-AC13+AC14-AC15</x:f>
        <x:v>1.862645149230957e-9</x:v>
      </x:c>
      <x:c r="AD66" s="80" t="n">
        <x:f>AD8-AD10-AD11-AD12-AD13+AD14-AD15</x:f>
        <x:v>-9.313225746154785e-10</x:v>
      </x:c>
      <x:c r="AE66" s="80" t="n">
        <x:f>AE8-AE10-AE11-AE12-AE13+AE14-AE15</x:f>
        <x:v>9.313225746154785e-10</x:v>
      </x:c>
      <x:c r="AF66" s="80" t="n">
        <x:f>AF8-AF10-AF11-AF12-AF13+AF14-AF15</x:f>
        <x:v>-4.656612873077393e-10</x:v>
      </x:c>
      <x:c r="AG66" s="80" t="n">
        <x:f>AG8-AG10-AG11-AG12-AG13+AG14-AG15</x:f>
        <x:v>-2.3283064365386963e-10</x:v>
      </x:c>
      <x:c r="AH66" s="80" t="n">
        <x:f>AH8-AH10-AH11-AH12-AH13+AH14-AH15</x:f>
        <x:v>0</x:v>
      </x:c>
      <x:c r="AI66" s="80" t="n">
        <x:f>AI8-AI10-AI11-AI12-AI13+AI14-AI15</x:f>
        <x:v>1.1641532182693481e-10</x:v>
      </x:c>
      <x:c r="AJ66" s="80" t="n">
        <x:f>AJ8-AJ10-AJ11-AJ12-AJ13+AJ14-AJ15</x:f>
        <x:v>0</x:v>
      </x:c>
      <x:c r="AK66" s="80" t="n">
        <x:f>AK8-AK10-AK11-AK12-AK13+AK14-AK15</x:f>
        <x:v>0</x:v>
      </x:c>
      <x:c r="AL66" s="80" t="n">
        <x:f>AL8-AL10-AL11-AL12-AL13+AL14-AL15</x:f>
        <x:v>0</x:v>
      </x:c>
      <x:c r="AM66" s="80" t="n">
        <x:f>AM8-AM10-AM11-AM12-AM13+AM14-AM15</x:f>
        <x:v>0</x:v>
      </x:c>
      <x:c r="AN66" s="80" t="n">
        <x:f>AN8-AN10-AN11-AN12-AN13+AN14-AN15</x:f>
        <x:v>0</x:v>
      </x:c>
      <x:c r="AO66" s="80" t="n">
        <x:f>AO8-AO10-AO11-AO12-AO13+AO14-AO15</x:f>
        <x:v>0</x:v>
      </x:c>
      <x:c r="AP66" s="80" t="n">
        <x:f>AP8-AP10-AP11-AP12-AP13+AP14-AP15</x:f>
        <x:v>0</x:v>
      </x:c>
      <x:c r="AQ66" s="80" t="n">
        <x:f>AQ8-AQ10-AQ11-AQ12-AQ13+AQ14-AQ15</x:f>
        <x:v>0</x:v>
      </x:c>
      <x:c r="AR66" s="80" t="n">
        <x:f>AR8-AR10-AR11-AR12-AR13+AR14-AR15</x:f>
        <x:v>0</x:v>
      </x:c>
      <x:c r="AS66" s="80" t="n">
        <x:f>AS8-AS10-AS11-AS12-AS13+AS14-AS15</x:f>
        <x:v>0</x:v>
      </x:c>
      <x:c r="AT66" s="80" t="n">
        <x:f>AT8-AT10-AT11-AT12-AT13+AT14-AT15</x:f>
        <x:v>0</x:v>
      </x:c>
      <x:c r="AU66" s="80" t="n">
        <x:f>AU8-AU10-AU11-AU12-AU13+AU14-AU15</x:f>
        <x:v>0</x:v>
      </x:c>
      <x:c r="AV66" s="80" t="n">
        <x:f>AV8-AV10-AV11-AV12-AV13+AV14-AV15</x:f>
        <x:v>0</x:v>
      </x:c>
      <x:c r="AW66" s="80" t="n">
        <x:f>AW8-AW10-AW11-AW12-AW13+AW14-AW15</x:f>
        <x:v>0</x:v>
      </x:c>
      <x:c r="AX66" s="80" t="n">
        <x:f>AX8-AX10-AX11-AX12-AX13+AX14-AX15</x:f>
        <x:v>0</x:v>
      </x:c>
      <x:c r="AY66" s="80" t="n">
        <x:f>AY8-AY10-AY11-AY12-AY13+AY14-AY15</x:f>
        <x:v>0</x:v>
      </x:c>
      <x:c r="AZ66" s="80" t="n">
        <x:f>AZ8-AZ10-AZ11-AZ12-AZ13+AZ14-AZ15</x:f>
        <x:v>0</x:v>
      </x:c>
    </x:row>
    <x:row r="67" ht="32" customHeight="1">
      <x:c r="A67" s="150"/>
      <x:c r="B67" s="150"/>
      <x:c r="C67" s="154" t="str">
        <x:v>Senior debt roll-forward (Excel)</x:v>
      </x:c>
      <x:c r="D67" s="150" t="str">
        <x:v>USD</x:v>
      </x:c>
      <x:c r="E67" s="80" t="n">
        <x:f>E26-E50-E52</x:f>
        <x:v>0</x:v>
      </x:c>
      <x:c r="F67" s="80" t="n">
        <x:f>F26-F50-F52</x:f>
        <x:v>0</x:v>
      </x:c>
      <x:c r="G67" s="80" t="n">
        <x:f>G26-G50-G52</x:f>
        <x:v>0</x:v>
      </x:c>
      <x:c r="H67" s="80" t="n">
        <x:f>H26-H50-H52</x:f>
        <x:v>0</x:v>
      </x:c>
      <x:c r="I67" s="80" t="n">
        <x:f>I26-I50-I52</x:f>
        <x:v>0</x:v>
      </x:c>
      <x:c r="J67" s="80" t="n">
        <x:f>J26-J50-J52</x:f>
        <x:v>0</x:v>
      </x:c>
      <x:c r="K67" s="80" t="n">
        <x:f>K26-K50-K52</x:f>
        <x:v>0</x:v>
      </x:c>
      <x:c r="L67" s="80" t="n">
        <x:f>L26-L50-L52</x:f>
        <x:v>0</x:v>
      </x:c>
      <x:c r="M67" s="80" t="n">
        <x:f>M26-M50-M52</x:f>
        <x:v>0</x:v>
      </x:c>
      <x:c r="N67" s="80" t="n">
        <x:f>N26-N50-N52</x:f>
        <x:v>0</x:v>
      </x:c>
      <x:c r="O67" s="80" t="n">
        <x:f>O26-O50-O52</x:f>
        <x:v>0</x:v>
      </x:c>
      <x:c r="P67" s="80" t="n">
        <x:f>P26-P50-P52</x:f>
        <x:v>0</x:v>
      </x:c>
      <x:c r="Q67" s="80" t="n">
        <x:f>Q26-Q50-Q52</x:f>
        <x:v>0</x:v>
      </x:c>
      <x:c r="R67" s="80" t="n">
        <x:f>R26-R50-R52</x:f>
        <x:v>0</x:v>
      </x:c>
      <x:c r="S67" s="80" t="n">
        <x:f>S26-S50-S52</x:f>
        <x:v>0</x:v>
      </x:c>
      <x:c r="T67" s="80" t="n">
        <x:f>T26-T50-T52</x:f>
        <x:v>0</x:v>
      </x:c>
      <x:c r="U67" s="80" t="n">
        <x:f>U26-U50-U52</x:f>
        <x:v>0</x:v>
      </x:c>
      <x:c r="V67" s="80" t="n">
        <x:f>V26-V50-V52</x:f>
        <x:v>0</x:v>
      </x:c>
      <x:c r="W67" s="80" t="n">
        <x:f>W26-W50-W52</x:f>
        <x:v>0</x:v>
      </x:c>
      <x:c r="X67" s="80" t="n">
        <x:f>X26-X50-X52</x:f>
        <x:v>0</x:v>
      </x:c>
      <x:c r="Y67" s="80" t="n">
        <x:f>Y26-Y50-Y52</x:f>
        <x:v>0</x:v>
      </x:c>
      <x:c r="Z67" s="80" t="n">
        <x:f>Z26-Z50-Z52</x:f>
        <x:v>0</x:v>
      </x:c>
      <x:c r="AA67" s="80" t="n">
        <x:f>AA26-AA50-AA52</x:f>
        <x:v>0</x:v>
      </x:c>
      <x:c r="AB67" s="80" t="n">
        <x:f>AB26-AB50-AB52</x:f>
        <x:v>0</x:v>
      </x:c>
      <x:c r="AC67" s="80" t="n">
        <x:f>AC26-AC50-AC52</x:f>
        <x:v>0</x:v>
      </x:c>
      <x:c r="AD67" s="80" t="n">
        <x:f>AD26-AD50-AD52</x:f>
        <x:v>0</x:v>
      </x:c>
      <x:c r="AE67" s="80" t="n">
        <x:f>AE26-AE50-AE52</x:f>
        <x:v>0</x:v>
      </x:c>
      <x:c r="AF67" s="80" t="n">
        <x:f>AF26-AF50-AF52</x:f>
        <x:v>0</x:v>
      </x:c>
      <x:c r="AG67" s="80" t="n">
        <x:f>AG26-AG50-AG52</x:f>
        <x:v>0</x:v>
      </x:c>
      <x:c r="AH67" s="80" t="n">
        <x:f>AH26-AH50-AH52</x:f>
        <x:v>0</x:v>
      </x:c>
      <x:c r="AI67" s="80" t="n">
        <x:f>AI26-AI50-AI52</x:f>
        <x:v>0</x:v>
      </x:c>
      <x:c r="AJ67" s="80" t="n">
        <x:f>AJ26-AJ50-AJ52</x:f>
        <x:v>0</x:v>
      </x:c>
      <x:c r="AK67" s="80" t="n">
        <x:f>AK26-AK50-AK52</x:f>
        <x:v>0</x:v>
      </x:c>
      <x:c r="AL67" s="80" t="n">
        <x:f>AL26-AL50-AL52</x:f>
        <x:v>0</x:v>
      </x:c>
      <x:c r="AM67" s="80" t="n">
        <x:f>AM26-AM50-AM52</x:f>
        <x:v>0</x:v>
      </x:c>
      <x:c r="AN67" s="80" t="n">
        <x:f>AN26-AN50-AN52</x:f>
        <x:v>0</x:v>
      </x:c>
      <x:c r="AO67" s="80" t="n">
        <x:f>AO26-AO50-AO52</x:f>
        <x:v>0</x:v>
      </x:c>
      <x:c r="AP67" s="80" t="n">
        <x:f>AP26-AP50-AP52</x:f>
        <x:v>0</x:v>
      </x:c>
      <x:c r="AQ67" s="80" t="n">
        <x:f>AQ26-AQ50-AQ52</x:f>
        <x:v>0</x:v>
      </x:c>
      <x:c r="AR67" s="80" t="n">
        <x:f>AR26-AR50-AR52</x:f>
        <x:v>0</x:v>
      </x:c>
      <x:c r="AS67" s="80" t="n">
        <x:f>AS26-AS50-AS52</x:f>
        <x:v>0</x:v>
      </x:c>
      <x:c r="AT67" s="80" t="n">
        <x:f>AT26-AT50-AT52</x:f>
        <x:v>0</x:v>
      </x:c>
      <x:c r="AU67" s="80" t="n">
        <x:f>AU26-AU50-AU52</x:f>
        <x:v>0</x:v>
      </x:c>
      <x:c r="AV67" s="80" t="n">
        <x:f>AV26-AV50-AV52</x:f>
        <x:v>0</x:v>
      </x:c>
      <x:c r="AW67" s="80" t="n">
        <x:f>AW26-AW50-AW52</x:f>
        <x:v>0</x:v>
      </x:c>
      <x:c r="AX67" s="80" t="n">
        <x:f>AX26-AX50-AX52</x:f>
        <x:v>0</x:v>
      </x:c>
      <x:c r="AY67" s="80" t="n">
        <x:f>AY26-AY50-AY52</x:f>
        <x:v>0</x:v>
      </x:c>
      <x:c r="AZ67" s="80" t="n">
        <x:f>AZ26-AZ50-AZ52</x:f>
        <x:v>0</x:v>
      </x:c>
    </x:row>
    <x:row r="68" ht="32" customHeight="1">
      <x:c r="A68" s="150"/>
      <x:c r="B68" s="150"/>
      <x:c r="C68" s="154" t="str">
        <x:v>Junior debt roll-forward (Excel)</x:v>
      </x:c>
      <x:c r="D68" s="150" t="str">
        <x:v>USD</x:v>
      </x:c>
      <x:c r="E68" s="80" t="n">
        <x:f>E27-E51-E53</x:f>
        <x:v>0</x:v>
      </x:c>
      <x:c r="F68" s="80" t="n">
        <x:f>F27-F51-F53</x:f>
        <x:v>0</x:v>
      </x:c>
      <x:c r="G68" s="80" t="n">
        <x:f>G27-G51-G53</x:f>
        <x:v>0</x:v>
      </x:c>
      <x:c r="H68" s="80" t="n">
        <x:f>H27-H51-H53</x:f>
        <x:v>0</x:v>
      </x:c>
      <x:c r="I68" s="80" t="n">
        <x:f>I27-I51-I53</x:f>
        <x:v>0</x:v>
      </x:c>
      <x:c r="J68" s="80" t="n">
        <x:f>J27-J51-J53</x:f>
        <x:v>0</x:v>
      </x:c>
      <x:c r="K68" s="80" t="n">
        <x:f>K27-K51-K53</x:f>
        <x:v>0</x:v>
      </x:c>
      <x:c r="L68" s="80" t="n">
        <x:f>L27-L51-L53</x:f>
        <x:v>0</x:v>
      </x:c>
      <x:c r="M68" s="80" t="n">
        <x:f>M27-M51-M53</x:f>
        <x:v>0</x:v>
      </x:c>
      <x:c r="N68" s="80" t="n">
        <x:f>N27-N51-N53</x:f>
        <x:v>0</x:v>
      </x:c>
      <x:c r="O68" s="80" t="n">
        <x:f>O27-O51-O53</x:f>
        <x:v>0</x:v>
      </x:c>
      <x:c r="P68" s="80" t="n">
        <x:f>P27-P51-P53</x:f>
        <x:v>0</x:v>
      </x:c>
      <x:c r="Q68" s="80" t="n">
        <x:f>Q27-Q51-Q53</x:f>
        <x:v>0</x:v>
      </x:c>
      <x:c r="R68" s="80" t="n">
        <x:f>R27-R51-R53</x:f>
        <x:v>0</x:v>
      </x:c>
      <x:c r="S68" s="80" t="n">
        <x:f>S27-S51-S53</x:f>
        <x:v>0</x:v>
      </x:c>
      <x:c r="T68" s="80" t="n">
        <x:f>T27-T51-T53</x:f>
        <x:v>0</x:v>
      </x:c>
      <x:c r="U68" s="80" t="n">
        <x:f>U27-U51-U53</x:f>
        <x:v>0</x:v>
      </x:c>
      <x:c r="V68" s="80" t="n">
        <x:f>V27-V51-V53</x:f>
        <x:v>0</x:v>
      </x:c>
      <x:c r="W68" s="80" t="n">
        <x:f>W27-W51-W53</x:f>
        <x:v>0</x:v>
      </x:c>
      <x:c r="X68" s="80" t="n">
        <x:f>X27-X51-X53</x:f>
        <x:v>0</x:v>
      </x:c>
      <x:c r="Y68" s="80" t="n">
        <x:f>Y27-Y51-Y53</x:f>
        <x:v>0</x:v>
      </x:c>
      <x:c r="Z68" s="80" t="n">
        <x:f>Z27-Z51-Z53</x:f>
        <x:v>0</x:v>
      </x:c>
      <x:c r="AA68" s="80" t="n">
        <x:f>AA27-AA51-AA53</x:f>
        <x:v>0</x:v>
      </x:c>
      <x:c r="AB68" s="80" t="n">
        <x:f>AB27-AB51-AB53</x:f>
        <x:v>0</x:v>
      </x:c>
      <x:c r="AC68" s="80" t="n">
        <x:f>AC27-AC51-AC53</x:f>
        <x:v>0</x:v>
      </x:c>
      <x:c r="AD68" s="80" t="n">
        <x:f>AD27-AD51-AD53</x:f>
        <x:v>0</x:v>
      </x:c>
      <x:c r="AE68" s="80" t="n">
        <x:f>AE27-AE51-AE53</x:f>
        <x:v>0</x:v>
      </x:c>
      <x:c r="AF68" s="80" t="n">
        <x:f>AF27-AF51-AF53</x:f>
        <x:v>0</x:v>
      </x:c>
      <x:c r="AG68" s="80" t="n">
        <x:f>AG27-AG51-AG53</x:f>
        <x:v>0</x:v>
      </x:c>
      <x:c r="AH68" s="80" t="n">
        <x:f>AH27-AH51-AH53</x:f>
        <x:v>0</x:v>
      </x:c>
      <x:c r="AI68" s="80" t="n">
        <x:f>AI27-AI51-AI53</x:f>
        <x:v>0</x:v>
      </x:c>
      <x:c r="AJ68" s="80" t="n">
        <x:f>AJ27-AJ51-AJ53</x:f>
        <x:v>0</x:v>
      </x:c>
      <x:c r="AK68" s="80" t="n">
        <x:f>AK27-AK51-AK53</x:f>
        <x:v>0</x:v>
      </x:c>
      <x:c r="AL68" s="80" t="n">
        <x:f>AL27-AL51-AL53</x:f>
        <x:v>0</x:v>
      </x:c>
      <x:c r="AM68" s="80" t="n">
        <x:f>AM27-AM51-AM53</x:f>
        <x:v>0</x:v>
      </x:c>
      <x:c r="AN68" s="80" t="n">
        <x:f>AN27-AN51-AN53</x:f>
        <x:v>0</x:v>
      </x:c>
      <x:c r="AO68" s="80" t="n">
        <x:f>AO27-AO51-AO53</x:f>
        <x:v>0</x:v>
      </x:c>
      <x:c r="AP68" s="80" t="n">
        <x:f>AP27-AP51-AP53</x:f>
        <x:v>0</x:v>
      </x:c>
      <x:c r="AQ68" s="80" t="n">
        <x:f>AQ27-AQ51-AQ53</x:f>
        <x:v>0</x:v>
      </x:c>
      <x:c r="AR68" s="80" t="n">
        <x:f>AR27-AR51-AR53</x:f>
        <x:v>0</x:v>
      </x:c>
      <x:c r="AS68" s="80" t="n">
        <x:f>AS27-AS51-AS53</x:f>
        <x:v>0</x:v>
      </x:c>
      <x:c r="AT68" s="80" t="n">
        <x:f>AT27-AT51-AT53</x:f>
        <x:v>0</x:v>
      </x:c>
      <x:c r="AU68" s="80" t="n">
        <x:f>AU27-AU51-AU53</x:f>
        <x:v>0</x:v>
      </x:c>
      <x:c r="AV68" s="80" t="n">
        <x:f>AV27-AV51-AV53</x:f>
        <x:v>0</x:v>
      </x:c>
      <x:c r="AW68" s="80" t="n">
        <x:f>AW27-AW51-AW53</x:f>
        <x:v>0</x:v>
      </x:c>
      <x:c r="AX68" s="80" t="n">
        <x:f>AX27-AX51-AX53</x:f>
        <x:v>0</x:v>
      </x:c>
      <x:c r="AY68" s="80" t="n">
        <x:f>AY27-AY51-AY53</x:f>
        <x:v>0</x:v>
      </x:c>
      <x:c r="AZ68" s="80" t="n">
        <x:f>AZ27-AZ51-AZ53</x:f>
        <x:v>0</x:v>
      </x:c>
    </x:row>
    <x:row r="69" ht="32" customHeight="1">
      <x:c r="A69" s="150"/>
      <x:c r="B69" s="150"/>
      <x:c r="C69" s="154" t="str">
        <x:v>Coverage trigger disagreement</x:v>
      </x:c>
      <x:c r="D69" s="150" t="str">
        <x:v>count</x:v>
      </x:c>
      <x:c r="E69" s="66" t="n">
        <x:f>ABS(IF(AND(E42&gt;0.01,E41&lt;oc_trigger*E42),1,0)-IF(E47,1,0))+ABS(IF(AND(E45&gt;0.01,E44&lt;ic_trigger*E45),1,0)-IF(E48,1,0))</x:f>
        <x:v>0</x:v>
      </x:c>
      <x:c r="F69" s="66" t="n">
        <x:f>ABS(IF(AND(F42&gt;0.01,F41&lt;oc_trigger*F42),1,0)-IF(F47,1,0))+ABS(IF(AND(F45&gt;0.01,F44&lt;ic_trigger*F45),1,0)-IF(F48,1,0))</x:f>
        <x:v>0</x:v>
      </x:c>
      <x:c r="G69" s="66" t="n">
        <x:f>ABS(IF(AND(G42&gt;0.01,G41&lt;oc_trigger*G42),1,0)-IF(G47,1,0))+ABS(IF(AND(G45&gt;0.01,G44&lt;ic_trigger*G45),1,0)-IF(G48,1,0))</x:f>
        <x:v>0</x:v>
      </x:c>
      <x:c r="H69" s="66" t="n">
        <x:f>ABS(IF(AND(H42&gt;0.01,H41&lt;oc_trigger*H42),1,0)-IF(H47,1,0))+ABS(IF(AND(H45&gt;0.01,H44&lt;ic_trigger*H45),1,0)-IF(H48,1,0))</x:f>
        <x:v>0</x:v>
      </x:c>
      <x:c r="I69" s="66" t="n">
        <x:f>ABS(IF(AND(I42&gt;0.01,I41&lt;oc_trigger*I42),1,0)-IF(I47,1,0))+ABS(IF(AND(I45&gt;0.01,I44&lt;ic_trigger*I45),1,0)-IF(I48,1,0))</x:f>
        <x:v>0</x:v>
      </x:c>
      <x:c r="J69" s="66" t="n">
        <x:f>ABS(IF(AND(J42&gt;0.01,J41&lt;oc_trigger*J42),1,0)-IF(J47,1,0))+ABS(IF(AND(J45&gt;0.01,J44&lt;ic_trigger*J45),1,0)-IF(J48,1,0))</x:f>
        <x:v>0</x:v>
      </x:c>
      <x:c r="K69" s="66" t="n">
        <x:f>ABS(IF(AND(K42&gt;0.01,K41&lt;oc_trigger*K42),1,0)-IF(K47,1,0))+ABS(IF(AND(K45&gt;0.01,K44&lt;ic_trigger*K45),1,0)-IF(K48,1,0))</x:f>
        <x:v>0</x:v>
      </x:c>
      <x:c r="L69" s="66" t="n">
        <x:f>ABS(IF(AND(L42&gt;0.01,L41&lt;oc_trigger*L42),1,0)-IF(L47,1,0))+ABS(IF(AND(L45&gt;0.01,L44&lt;ic_trigger*L45),1,0)-IF(L48,1,0))</x:f>
        <x:v>0</x:v>
      </x:c>
      <x:c r="M69" s="66" t="n">
        <x:f>ABS(IF(AND(M42&gt;0.01,M41&lt;oc_trigger*M42),1,0)-IF(M47,1,0))+ABS(IF(AND(M45&gt;0.01,M44&lt;ic_trigger*M45),1,0)-IF(M48,1,0))</x:f>
        <x:v>0</x:v>
      </x:c>
      <x:c r="N69" s="66" t="n">
        <x:f>ABS(IF(AND(N42&gt;0.01,N41&lt;oc_trigger*N42),1,0)-IF(N47,1,0))+ABS(IF(AND(N45&gt;0.01,N44&lt;ic_trigger*N45),1,0)-IF(N48,1,0))</x:f>
        <x:v>0</x:v>
      </x:c>
      <x:c r="O69" s="66" t="n">
        <x:f>ABS(IF(AND(O42&gt;0.01,O41&lt;oc_trigger*O42),1,0)-IF(O47,1,0))+ABS(IF(AND(O45&gt;0.01,O44&lt;ic_trigger*O45),1,0)-IF(O48,1,0))</x:f>
        <x:v>0</x:v>
      </x:c>
      <x:c r="P69" s="66" t="n">
        <x:f>ABS(IF(AND(P42&gt;0.01,P41&lt;oc_trigger*P42),1,0)-IF(P47,1,0))+ABS(IF(AND(P45&gt;0.01,P44&lt;ic_trigger*P45),1,0)-IF(P48,1,0))</x:f>
        <x:v>0</x:v>
      </x:c>
      <x:c r="Q69" s="66" t="n">
        <x:f>ABS(IF(AND(Q42&gt;0.01,Q41&lt;oc_trigger*Q42),1,0)-IF(Q47,1,0))+ABS(IF(AND(Q45&gt;0.01,Q44&lt;ic_trigger*Q45),1,0)-IF(Q48,1,0))</x:f>
        <x:v>0</x:v>
      </x:c>
      <x:c r="R69" s="66" t="n">
        <x:f>ABS(IF(AND(R42&gt;0.01,R41&lt;oc_trigger*R42),1,0)-IF(R47,1,0))+ABS(IF(AND(R45&gt;0.01,R44&lt;ic_trigger*R45),1,0)-IF(R48,1,0))</x:f>
        <x:v>0</x:v>
      </x:c>
      <x:c r="S69" s="66" t="n">
        <x:f>ABS(IF(AND(S42&gt;0.01,S41&lt;oc_trigger*S42),1,0)-IF(S47,1,0))+ABS(IF(AND(S45&gt;0.01,S44&lt;ic_trigger*S45),1,0)-IF(S48,1,0))</x:f>
        <x:v>0</x:v>
      </x:c>
      <x:c r="T69" s="66" t="n">
        <x:f>ABS(IF(AND(T42&gt;0.01,T41&lt;oc_trigger*T42),1,0)-IF(T47,1,0))+ABS(IF(AND(T45&gt;0.01,T44&lt;ic_trigger*T45),1,0)-IF(T48,1,0))</x:f>
        <x:v>0</x:v>
      </x:c>
      <x:c r="U69" s="66" t="n">
        <x:f>ABS(IF(AND(U42&gt;0.01,U41&lt;oc_trigger*U42),1,0)-IF(U47,1,0))+ABS(IF(AND(U45&gt;0.01,U44&lt;ic_trigger*U45),1,0)-IF(U48,1,0))</x:f>
        <x:v>0</x:v>
      </x:c>
      <x:c r="V69" s="66" t="n">
        <x:f>ABS(IF(AND(V42&gt;0.01,V41&lt;oc_trigger*V42),1,0)-IF(V47,1,0))+ABS(IF(AND(V45&gt;0.01,V44&lt;ic_trigger*V45),1,0)-IF(V48,1,0))</x:f>
        <x:v>0</x:v>
      </x:c>
      <x:c r="W69" s="66" t="n">
        <x:f>ABS(IF(AND(W42&gt;0.01,W41&lt;oc_trigger*W42),1,0)-IF(W47,1,0))+ABS(IF(AND(W45&gt;0.01,W44&lt;ic_trigger*W45),1,0)-IF(W48,1,0))</x:f>
        <x:v>0</x:v>
      </x:c>
      <x:c r="X69" s="66" t="n">
        <x:f>ABS(IF(AND(X42&gt;0.01,X41&lt;oc_trigger*X42),1,0)-IF(X47,1,0))+ABS(IF(AND(X45&gt;0.01,X44&lt;ic_trigger*X45),1,0)-IF(X48,1,0))</x:f>
        <x:v>0</x:v>
      </x:c>
      <x:c r="Y69" s="66" t="n">
        <x:f>ABS(IF(AND(Y42&gt;0.01,Y41&lt;oc_trigger*Y42),1,0)-IF(Y47,1,0))+ABS(IF(AND(Y45&gt;0.01,Y44&lt;ic_trigger*Y45),1,0)-IF(Y48,1,0))</x:f>
        <x:v>0</x:v>
      </x:c>
      <x:c r="Z69" s="66" t="n">
        <x:f>ABS(IF(AND(Z42&gt;0.01,Z41&lt;oc_trigger*Z42),1,0)-IF(Z47,1,0))+ABS(IF(AND(Z45&gt;0.01,Z44&lt;ic_trigger*Z45),1,0)-IF(Z48,1,0))</x:f>
        <x:v>0</x:v>
      </x:c>
      <x:c r="AA69" s="66" t="n">
        <x:f>ABS(IF(AND(AA42&gt;0.01,AA41&lt;oc_trigger*AA42),1,0)-IF(AA47,1,0))+ABS(IF(AND(AA45&gt;0.01,AA44&lt;ic_trigger*AA45),1,0)-IF(AA48,1,0))</x:f>
        <x:v>0</x:v>
      </x:c>
      <x:c r="AB69" s="66" t="n">
        <x:f>ABS(IF(AND(AB42&gt;0.01,AB41&lt;oc_trigger*AB42),1,0)-IF(AB47,1,0))+ABS(IF(AND(AB45&gt;0.01,AB44&lt;ic_trigger*AB45),1,0)-IF(AB48,1,0))</x:f>
        <x:v>0</x:v>
      </x:c>
      <x:c r="AC69" s="66" t="n">
        <x:f>ABS(IF(AND(AC42&gt;0.01,AC41&lt;oc_trigger*AC42),1,0)-IF(AC47,1,0))+ABS(IF(AND(AC45&gt;0.01,AC44&lt;ic_trigger*AC45),1,0)-IF(AC48,1,0))</x:f>
        <x:v>0</x:v>
      </x:c>
      <x:c r="AD69" s="66" t="n">
        <x:f>ABS(IF(AND(AD42&gt;0.01,AD41&lt;oc_trigger*AD42),1,0)-IF(AD47,1,0))+ABS(IF(AND(AD45&gt;0.01,AD44&lt;ic_trigger*AD45),1,0)-IF(AD48,1,0))</x:f>
        <x:v>0</x:v>
      </x:c>
      <x:c r="AE69" s="66" t="n">
        <x:f>ABS(IF(AND(AE42&gt;0.01,AE41&lt;oc_trigger*AE42),1,0)-IF(AE47,1,0))+ABS(IF(AND(AE45&gt;0.01,AE44&lt;ic_trigger*AE45),1,0)-IF(AE48,1,0))</x:f>
        <x:v>0</x:v>
      </x:c>
      <x:c r="AF69" s="66" t="n">
        <x:f>ABS(IF(AND(AF42&gt;0.01,AF41&lt;oc_trigger*AF42),1,0)-IF(AF47,1,0))+ABS(IF(AND(AF45&gt;0.01,AF44&lt;ic_trigger*AF45),1,0)-IF(AF48,1,0))</x:f>
        <x:v>0</x:v>
      </x:c>
      <x:c r="AG69" s="66" t="n">
        <x:f>ABS(IF(AND(AG42&gt;0.01,AG41&lt;oc_trigger*AG42),1,0)-IF(AG47,1,0))+ABS(IF(AND(AG45&gt;0.01,AG44&lt;ic_trigger*AG45),1,0)-IF(AG48,1,0))</x:f>
        <x:v>0</x:v>
      </x:c>
      <x:c r="AH69" s="66" t="n">
        <x:f>ABS(IF(AND(AH42&gt;0.01,AH41&lt;oc_trigger*AH42),1,0)-IF(AH47,1,0))+ABS(IF(AND(AH45&gt;0.01,AH44&lt;ic_trigger*AH45),1,0)-IF(AH48,1,0))</x:f>
        <x:v>0</x:v>
      </x:c>
      <x:c r="AI69" s="66" t="n">
        <x:f>ABS(IF(AND(AI42&gt;0.01,AI41&lt;oc_trigger*AI42),1,0)-IF(AI47,1,0))+ABS(IF(AND(AI45&gt;0.01,AI44&lt;ic_trigger*AI45),1,0)-IF(AI48,1,0))</x:f>
        <x:v>0</x:v>
      </x:c>
      <x:c r="AJ69" s="66" t="n">
        <x:f>ABS(IF(AND(AJ42&gt;0.01,AJ41&lt;oc_trigger*AJ42),1,0)-IF(AJ47,1,0))+ABS(IF(AND(AJ45&gt;0.01,AJ44&lt;ic_trigger*AJ45),1,0)-IF(AJ48,1,0))</x:f>
        <x:v>0</x:v>
      </x:c>
      <x:c r="AK69" s="66" t="n">
        <x:f>ABS(IF(AND(AK42&gt;0.01,AK41&lt;oc_trigger*AK42),1,0)-IF(AK47,1,0))+ABS(IF(AND(AK45&gt;0.01,AK44&lt;ic_trigger*AK45),1,0)-IF(AK48,1,0))</x:f>
        <x:v>0</x:v>
      </x:c>
      <x:c r="AL69" s="66" t="n">
        <x:f>ABS(IF(AND(AL42&gt;0.01,AL41&lt;oc_trigger*AL42),1,0)-IF(AL47,1,0))+ABS(IF(AND(AL45&gt;0.01,AL44&lt;ic_trigger*AL45),1,0)-IF(AL48,1,0))</x:f>
        <x:v>0</x:v>
      </x:c>
      <x:c r="AM69" s="66" t="n">
        <x:f>ABS(IF(AND(AM42&gt;0.01,AM41&lt;oc_trigger*AM42),1,0)-IF(AM47,1,0))+ABS(IF(AND(AM45&gt;0.01,AM44&lt;ic_trigger*AM45),1,0)-IF(AM48,1,0))</x:f>
        <x:v>0</x:v>
      </x:c>
      <x:c r="AN69" s="66" t="n">
        <x:f>ABS(IF(AND(AN42&gt;0.01,AN41&lt;oc_trigger*AN42),1,0)-IF(AN47,1,0))+ABS(IF(AND(AN45&gt;0.01,AN44&lt;ic_trigger*AN45),1,0)-IF(AN48,1,0))</x:f>
        <x:v>0</x:v>
      </x:c>
      <x:c r="AO69" s="66" t="n">
        <x:f>ABS(IF(AND(AO42&gt;0.01,AO41&lt;oc_trigger*AO42),1,0)-IF(AO47,1,0))+ABS(IF(AND(AO45&gt;0.01,AO44&lt;ic_trigger*AO45),1,0)-IF(AO48,1,0))</x:f>
        <x:v>0</x:v>
      </x:c>
      <x:c r="AP69" s="66" t="n">
        <x:f>ABS(IF(AND(AP42&gt;0.01,AP41&lt;oc_trigger*AP42),1,0)-IF(AP47,1,0))+ABS(IF(AND(AP45&gt;0.01,AP44&lt;ic_trigger*AP45),1,0)-IF(AP48,1,0))</x:f>
        <x:v>0</x:v>
      </x:c>
      <x:c r="AQ69" s="66" t="n">
        <x:f>ABS(IF(AND(AQ42&gt;0.01,AQ41&lt;oc_trigger*AQ42),1,0)-IF(AQ47,1,0))+ABS(IF(AND(AQ45&gt;0.01,AQ44&lt;ic_trigger*AQ45),1,0)-IF(AQ48,1,0))</x:f>
        <x:v>0</x:v>
      </x:c>
      <x:c r="AR69" s="66" t="n">
        <x:f>ABS(IF(AND(AR42&gt;0.01,AR41&lt;oc_trigger*AR42),1,0)-IF(AR47,1,0))+ABS(IF(AND(AR45&gt;0.01,AR44&lt;ic_trigger*AR45),1,0)-IF(AR48,1,0))</x:f>
        <x:v>0</x:v>
      </x:c>
      <x:c r="AS69" s="66" t="n">
        <x:f>ABS(IF(AND(AS42&gt;0.01,AS41&lt;oc_trigger*AS42),1,0)-IF(AS47,1,0))+ABS(IF(AND(AS45&gt;0.01,AS44&lt;ic_trigger*AS45),1,0)-IF(AS48,1,0))</x:f>
        <x:v>0</x:v>
      </x:c>
      <x:c r="AT69" s="66" t="n">
        <x:f>ABS(IF(AND(AT42&gt;0.01,AT41&lt;oc_trigger*AT42),1,0)-IF(AT47,1,0))+ABS(IF(AND(AT45&gt;0.01,AT44&lt;ic_trigger*AT45),1,0)-IF(AT48,1,0))</x:f>
        <x:v>0</x:v>
      </x:c>
      <x:c r="AU69" s="66" t="n">
        <x:f>ABS(IF(AND(AU42&gt;0.01,AU41&lt;oc_trigger*AU42),1,0)-IF(AU47,1,0))+ABS(IF(AND(AU45&gt;0.01,AU44&lt;ic_trigger*AU45),1,0)-IF(AU48,1,0))</x:f>
        <x:v>0</x:v>
      </x:c>
      <x:c r="AV69" s="66" t="n">
        <x:f>ABS(IF(AND(AV42&gt;0.01,AV41&lt;oc_trigger*AV42),1,0)-IF(AV47,1,0))+ABS(IF(AND(AV45&gt;0.01,AV44&lt;ic_trigger*AV45),1,0)-IF(AV48,1,0))</x:f>
        <x:v>0</x:v>
      </x:c>
      <x:c r="AW69" s="66" t="n">
        <x:f>ABS(IF(AND(AW42&gt;0.01,AW41&lt;oc_trigger*AW42),1,0)-IF(AW47,1,0))+ABS(IF(AND(AW45&gt;0.01,AW44&lt;ic_trigger*AW45),1,0)-IF(AW48,1,0))</x:f>
        <x:v>0</x:v>
      </x:c>
      <x:c r="AX69" s="66" t="n">
        <x:f>ABS(IF(AND(AX42&gt;0.01,AX41&lt;oc_trigger*AX42),1,0)-IF(AX47,1,0))+ABS(IF(AND(AX45&gt;0.01,AX44&lt;ic_trigger*AX45),1,0)-IF(AX48,1,0))</x:f>
        <x:v>0</x:v>
      </x:c>
      <x:c r="AY69" s="66" t="n">
        <x:f>ABS(IF(AND(AY42&gt;0.01,AY41&lt;oc_trigger*AY42),1,0)-IF(AY47,1,0))+ABS(IF(AND(AY45&gt;0.01,AY44&lt;ic_trigger*AY45),1,0)-IF(AY48,1,0))</x:f>
        <x:v>0</x:v>
      </x:c>
      <x:c r="AZ69" s="66" t="n">
        <x:f>ABS(IF(AND(AZ42&gt;0.01,AZ41&lt;oc_trigger*AZ42),1,0)-IF(AZ47,1,0))+ABS(IF(AND(AZ45&gt;0.01,AZ44&lt;ic_trigger*AZ45),1,0)-IF(AZ48,1,0))</x:f>
        <x:v>0</x:v>
      </x:c>
    </x:row>
    <x:row r="70" ht="32" customHeight="1">
      <x:c r="A70" s="150"/>
      <x:c r="B70" s="150"/>
      <x:c r="C70" s="154" t="str">
        <x:v>Waterfall priority violation (Excel)</x:v>
      </x:c>
      <x:c r="D70" s="150" t="str">
        <x:v>USD</x:v>
      </x:c>
      <x:c r="E70" s="66" t="n">
        <x:f>IF(OR(E37&gt;0.01,E31&gt;0.01),E33+E51+E39+E54+E55,0)+IF(E52&gt;0.01,E51+E55,0)+IF(OR(E47,E48),E54,0)</x:f>
        <x:v>0</x:v>
      </x:c>
      <x:c r="F70" s="66" t="n">
        <x:f>IF(OR(F37&gt;0.01,F31&gt;0.01),F33+F51+F39+F54+F55,0)+IF(F52&gt;0.01,F51+F55,0)+IF(OR(F47,F48),F54,0)</x:f>
        <x:v>0</x:v>
      </x:c>
      <x:c r="G70" s="66" t="n">
        <x:f>IF(OR(G37&gt;0.01,G31&gt;0.01),G33+G51+G39+G54+G55,0)+IF(G52&gt;0.01,G51+G55,0)+IF(OR(G47,G48),G54,0)</x:f>
        <x:v>0</x:v>
      </x:c>
      <x:c r="H70" s="66" t="n">
        <x:f>IF(OR(H37&gt;0.01,H31&gt;0.01),H33+H51+H39+H54+H55,0)+IF(H52&gt;0.01,H51+H55,0)+IF(OR(H47,H48),H54,0)</x:f>
        <x:v>0</x:v>
      </x:c>
      <x:c r="I70" s="66" t="n">
        <x:f>IF(OR(I37&gt;0.01,I31&gt;0.01),I33+I51+I39+I54+I55,0)+IF(I52&gt;0.01,I51+I55,0)+IF(OR(I47,I48),I54,0)</x:f>
        <x:v>0</x:v>
      </x:c>
      <x:c r="J70" s="66" t="n">
        <x:f>IF(OR(J37&gt;0.01,J31&gt;0.01),J33+J51+J39+J54+J55,0)+IF(J52&gt;0.01,J51+J55,0)+IF(OR(J47,J48),J54,0)</x:f>
        <x:v>0</x:v>
      </x:c>
      <x:c r="K70" s="66" t="n">
        <x:f>IF(OR(K37&gt;0.01,K31&gt;0.01),K33+K51+K39+K54+K55,0)+IF(K52&gt;0.01,K51+K55,0)+IF(OR(K47,K48),K54,0)</x:f>
        <x:v>0</x:v>
      </x:c>
      <x:c r="L70" s="66" t="n">
        <x:f>IF(OR(L37&gt;0.01,L31&gt;0.01),L33+L51+L39+L54+L55,0)+IF(L52&gt;0.01,L51+L55,0)+IF(OR(L47,L48),L54,0)</x:f>
        <x:v>0</x:v>
      </x:c>
      <x:c r="M70" s="66" t="n">
        <x:f>IF(OR(M37&gt;0.01,M31&gt;0.01),M33+M51+M39+M54+M55,0)+IF(M52&gt;0.01,M51+M55,0)+IF(OR(M47,M48),M54,0)</x:f>
        <x:v>0</x:v>
      </x:c>
      <x:c r="N70" s="66" t="n">
        <x:f>IF(OR(N37&gt;0.01,N31&gt;0.01),N33+N51+N39+N54+N55,0)+IF(N52&gt;0.01,N51+N55,0)+IF(OR(N47,N48),N54,0)</x:f>
        <x:v>0</x:v>
      </x:c>
      <x:c r="O70" s="66" t="n">
        <x:f>IF(OR(O37&gt;0.01,O31&gt;0.01),O33+O51+O39+O54+O55,0)+IF(O52&gt;0.01,O51+O55,0)+IF(OR(O47,O48),O54,0)</x:f>
        <x:v>0</x:v>
      </x:c>
      <x:c r="P70" s="66" t="n">
        <x:f>IF(OR(P37&gt;0.01,P31&gt;0.01),P33+P51+P39+P54+P55,0)+IF(P52&gt;0.01,P51+P55,0)+IF(OR(P47,P48),P54,0)</x:f>
        <x:v>0</x:v>
      </x:c>
      <x:c r="Q70" s="66" t="n">
        <x:f>IF(OR(Q37&gt;0.01,Q31&gt;0.01),Q33+Q51+Q39+Q54+Q55,0)+IF(Q52&gt;0.01,Q51+Q55,0)+IF(OR(Q47,Q48),Q54,0)</x:f>
        <x:v>0</x:v>
      </x:c>
      <x:c r="R70" s="66" t="n">
        <x:f>IF(OR(R37&gt;0.01,R31&gt;0.01),R33+R51+R39+R54+R55,0)+IF(R52&gt;0.01,R51+R55,0)+IF(OR(R47,R48),R54,0)</x:f>
        <x:v>0</x:v>
      </x:c>
      <x:c r="S70" s="66" t="n">
        <x:f>IF(OR(S37&gt;0.01,S31&gt;0.01),S33+S51+S39+S54+S55,0)+IF(S52&gt;0.01,S51+S55,0)+IF(OR(S47,S48),S54,0)</x:f>
        <x:v>0</x:v>
      </x:c>
      <x:c r="T70" s="66" t="n">
        <x:f>IF(OR(T37&gt;0.01,T31&gt;0.01),T33+T51+T39+T54+T55,0)+IF(T52&gt;0.01,T51+T55,0)+IF(OR(T47,T48),T54,0)</x:f>
        <x:v>0</x:v>
      </x:c>
      <x:c r="U70" s="66" t="n">
        <x:f>IF(OR(U37&gt;0.01,U31&gt;0.01),U33+U51+U39+U54+U55,0)+IF(U52&gt;0.01,U51+U55,0)+IF(OR(U47,U48),U54,0)</x:f>
        <x:v>0</x:v>
      </x:c>
      <x:c r="V70" s="66" t="n">
        <x:f>IF(OR(V37&gt;0.01,V31&gt;0.01),V33+V51+V39+V54+V55,0)+IF(V52&gt;0.01,V51+V55,0)+IF(OR(V47,V48),V54,0)</x:f>
        <x:v>0</x:v>
      </x:c>
      <x:c r="W70" s="66" t="n">
        <x:f>IF(OR(W37&gt;0.01,W31&gt;0.01),W33+W51+W39+W54+W55,0)+IF(W52&gt;0.01,W51+W55,0)+IF(OR(W47,W48),W54,0)</x:f>
        <x:v>0</x:v>
      </x:c>
      <x:c r="X70" s="66" t="n">
        <x:f>IF(OR(X37&gt;0.01,X31&gt;0.01),X33+X51+X39+X54+X55,0)+IF(X52&gt;0.01,X51+X55,0)+IF(OR(X47,X48),X54,0)</x:f>
        <x:v>0</x:v>
      </x:c>
      <x:c r="Y70" s="66" t="n">
        <x:f>IF(OR(Y37&gt;0.01,Y31&gt;0.01),Y33+Y51+Y39+Y54+Y55,0)+IF(Y52&gt;0.01,Y51+Y55,0)+IF(OR(Y47,Y48),Y54,0)</x:f>
        <x:v>0</x:v>
      </x:c>
      <x:c r="Z70" s="66" t="n">
        <x:f>IF(OR(Z37&gt;0.01,Z31&gt;0.01),Z33+Z51+Z39+Z54+Z55,0)+IF(Z52&gt;0.01,Z51+Z55,0)+IF(OR(Z47,Z48),Z54,0)</x:f>
        <x:v>0</x:v>
      </x:c>
      <x:c r="AA70" s="66" t="n">
        <x:f>IF(OR(AA37&gt;0.01,AA31&gt;0.01),AA33+AA51+AA39+AA54+AA55,0)+IF(AA52&gt;0.01,AA51+AA55,0)+IF(OR(AA47,AA48),AA54,0)</x:f>
        <x:v>0</x:v>
      </x:c>
      <x:c r="AB70" s="66" t="n">
        <x:f>IF(OR(AB37&gt;0.01,AB31&gt;0.01),AB33+AB51+AB39+AB54+AB55,0)+IF(AB52&gt;0.01,AB51+AB55,0)+IF(OR(AB47,AB48),AB54,0)</x:f>
        <x:v>0</x:v>
      </x:c>
      <x:c r="AC70" s="66" t="n">
        <x:f>IF(OR(AC37&gt;0.01,AC31&gt;0.01),AC33+AC51+AC39+AC54+AC55,0)+IF(AC52&gt;0.01,AC51+AC55,0)+IF(OR(AC47,AC48),AC54,0)</x:f>
        <x:v>0</x:v>
      </x:c>
      <x:c r="AD70" s="66" t="n">
        <x:f>IF(OR(AD37&gt;0.01,AD31&gt;0.01),AD33+AD51+AD39+AD54+AD55,0)+IF(AD52&gt;0.01,AD51+AD55,0)+IF(OR(AD47,AD48),AD54,0)</x:f>
        <x:v>0</x:v>
      </x:c>
      <x:c r="AE70" s="66" t="n">
        <x:f>IF(OR(AE37&gt;0.01,AE31&gt;0.01),AE33+AE51+AE39+AE54+AE55,0)+IF(AE52&gt;0.01,AE51+AE55,0)+IF(OR(AE47,AE48),AE54,0)</x:f>
        <x:v>0</x:v>
      </x:c>
      <x:c r="AF70" s="66" t="n">
        <x:f>IF(OR(AF37&gt;0.01,AF31&gt;0.01),AF33+AF51+AF39+AF54+AF55,0)+IF(AF52&gt;0.01,AF51+AF55,0)+IF(OR(AF47,AF48),AF54,0)</x:f>
        <x:v>0</x:v>
      </x:c>
      <x:c r="AG70" s="66" t="n">
        <x:f>IF(OR(AG37&gt;0.01,AG31&gt;0.01),AG33+AG51+AG39+AG54+AG55,0)+IF(AG52&gt;0.01,AG51+AG55,0)+IF(OR(AG47,AG48),AG54,0)</x:f>
        <x:v>0</x:v>
      </x:c>
      <x:c r="AH70" s="66" t="n">
        <x:f>IF(OR(AH37&gt;0.01,AH31&gt;0.01),AH33+AH51+AH39+AH54+AH55,0)+IF(AH52&gt;0.01,AH51+AH55,0)+IF(OR(AH47,AH48),AH54,0)</x:f>
        <x:v>0</x:v>
      </x:c>
      <x:c r="AI70" s="66" t="n">
        <x:f>IF(OR(AI37&gt;0.01,AI31&gt;0.01),AI33+AI51+AI39+AI54+AI55,0)+IF(AI52&gt;0.01,AI51+AI55,0)+IF(OR(AI47,AI48),AI54,0)</x:f>
        <x:v>0</x:v>
      </x:c>
      <x:c r="AJ70" s="66" t="n">
        <x:f>IF(OR(AJ37&gt;0.01,AJ31&gt;0.01),AJ33+AJ51+AJ39+AJ54+AJ55,0)+IF(AJ52&gt;0.01,AJ51+AJ55,0)+IF(OR(AJ47,AJ48),AJ54,0)</x:f>
        <x:v>0</x:v>
      </x:c>
      <x:c r="AK70" s="66" t="n">
        <x:f>IF(OR(AK37&gt;0.01,AK31&gt;0.01),AK33+AK51+AK39+AK54+AK55,0)+IF(AK52&gt;0.01,AK51+AK55,0)+IF(OR(AK47,AK48),AK54,0)</x:f>
        <x:v>0</x:v>
      </x:c>
      <x:c r="AL70" s="66" t="n">
        <x:f>IF(OR(AL37&gt;0.01,AL31&gt;0.01),AL33+AL51+AL39+AL54+AL55,0)+IF(AL52&gt;0.01,AL51+AL55,0)+IF(OR(AL47,AL48),AL54,0)</x:f>
        <x:v>0</x:v>
      </x:c>
      <x:c r="AM70" s="66" t="n">
        <x:f>IF(OR(AM37&gt;0.01,AM31&gt;0.01),AM33+AM51+AM39+AM54+AM55,0)+IF(AM52&gt;0.01,AM51+AM55,0)+IF(OR(AM47,AM48),AM54,0)</x:f>
        <x:v>0</x:v>
      </x:c>
      <x:c r="AN70" s="66" t="n">
        <x:f>IF(OR(AN37&gt;0.01,AN31&gt;0.01),AN33+AN51+AN39+AN54+AN55,0)+IF(AN52&gt;0.01,AN51+AN55,0)+IF(OR(AN47,AN48),AN54,0)</x:f>
        <x:v>0</x:v>
      </x:c>
      <x:c r="AO70" s="66" t="n">
        <x:f>IF(OR(AO37&gt;0.01,AO31&gt;0.01),AO33+AO51+AO39+AO54+AO55,0)+IF(AO52&gt;0.01,AO51+AO55,0)+IF(OR(AO47,AO48),AO54,0)</x:f>
        <x:v>0</x:v>
      </x:c>
      <x:c r="AP70" s="66" t="n">
        <x:f>IF(OR(AP37&gt;0.01,AP31&gt;0.01),AP33+AP51+AP39+AP54+AP55,0)+IF(AP52&gt;0.01,AP51+AP55,0)+IF(OR(AP47,AP48),AP54,0)</x:f>
        <x:v>0</x:v>
      </x:c>
      <x:c r="AQ70" s="66" t="n">
        <x:f>IF(OR(AQ37&gt;0.01,AQ31&gt;0.01),AQ33+AQ51+AQ39+AQ54+AQ55,0)+IF(AQ52&gt;0.01,AQ51+AQ55,0)+IF(OR(AQ47,AQ48),AQ54,0)</x:f>
        <x:v>0</x:v>
      </x:c>
      <x:c r="AR70" s="66" t="n">
        <x:f>IF(OR(AR37&gt;0.01,AR31&gt;0.01),AR33+AR51+AR39+AR54+AR55,0)+IF(AR52&gt;0.01,AR51+AR55,0)+IF(OR(AR47,AR48),AR54,0)</x:f>
        <x:v>0</x:v>
      </x:c>
      <x:c r="AS70" s="66" t="n">
        <x:f>IF(OR(AS37&gt;0.01,AS31&gt;0.01),AS33+AS51+AS39+AS54+AS55,0)+IF(AS52&gt;0.01,AS51+AS55,0)+IF(OR(AS47,AS48),AS54,0)</x:f>
        <x:v>0</x:v>
      </x:c>
      <x:c r="AT70" s="66" t="n">
        <x:f>IF(OR(AT37&gt;0.01,AT31&gt;0.01),AT33+AT51+AT39+AT54+AT55,0)+IF(AT52&gt;0.01,AT51+AT55,0)+IF(OR(AT47,AT48),AT54,0)</x:f>
        <x:v>0</x:v>
      </x:c>
      <x:c r="AU70" s="66" t="n">
        <x:f>IF(OR(AU37&gt;0.01,AU31&gt;0.01),AU33+AU51+AU39+AU54+AU55,0)+IF(AU52&gt;0.01,AU51+AU55,0)+IF(OR(AU47,AU48),AU54,0)</x:f>
        <x:v>0</x:v>
      </x:c>
      <x:c r="AV70" s="66" t="n">
        <x:f>IF(OR(AV37&gt;0.01,AV31&gt;0.01),AV33+AV51+AV39+AV54+AV55,0)+IF(AV52&gt;0.01,AV51+AV55,0)+IF(OR(AV47,AV48),AV54,0)</x:f>
        <x:v>0</x:v>
      </x:c>
      <x:c r="AW70" s="66" t="n">
        <x:f>IF(OR(AW37&gt;0.01,AW31&gt;0.01),AW33+AW51+AW39+AW54+AW55,0)+IF(AW52&gt;0.01,AW51+AW55,0)+IF(OR(AW47,AW48),AW54,0)</x:f>
        <x:v>0</x:v>
      </x:c>
      <x:c r="AX70" s="66" t="n">
        <x:f>IF(OR(AX37&gt;0.01,AX31&gt;0.01),AX33+AX51+AX39+AX54+AX55,0)+IF(AX52&gt;0.01,AX51+AX55,0)+IF(OR(AX47,AX48),AX54,0)</x:f>
        <x:v>0</x:v>
      </x:c>
      <x:c r="AY70" s="66" t="n">
        <x:f>IF(OR(AY37&gt;0.01,AY31&gt;0.01),AY33+AY51+AY39+AY54+AY55,0)+IF(AY52&gt;0.01,AY51+AY55,0)+IF(OR(AY47,AY48),AY54,0)</x:f>
        <x:v>0</x:v>
      </x:c>
      <x:c r="AZ70" s="66" t="n">
        <x:f>IF(OR(AZ37&gt;0.01,AZ31&gt;0.01),AZ33+AZ51+AZ39+AZ54+AZ55,0)+IF(AZ52&gt;0.01,AZ51+AZ55,0)+IF(OR(AZ47,AZ48),AZ54,0)</x:f>
        <x:v>0</x:v>
      </x:c>
    </x:row>
    <x:row r="71" ht="32" customHeight="1">
      <x:c r="A71" s="150"/>
      <x:c r="B71" s="150"/>
      <x:c r="C71" s="154" t="str">
        <x:v>Recovery receivable roll-forward</x:v>
      </x:c>
      <x:c r="D71" s="150" t="str">
        <x:v>USD</x:v>
      </x:c>
      <x:c r="E71" s="80" t="n">
        <x:f>0+E20-E21-E22</x:f>
        <x:v>0</x:v>
      </x:c>
      <x:c r="F71" s="80" t="n">
        <x:f>E22+F20-F21-F22</x:f>
        <x:v>0</x:v>
      </x:c>
      <x:c r="G71" s="80" t="n">
        <x:f>F22+G20-G21-G22</x:f>
        <x:v>0</x:v>
      </x:c>
      <x:c r="H71" s="80" t="n">
        <x:f>G22+H20-H21-H22</x:f>
        <x:v>0</x:v>
      </x:c>
      <x:c r="I71" s="80" t="n">
        <x:f>H22+I20-I21-I22</x:f>
        <x:v>-4.656612873077393e-10</x:v>
      </x:c>
      <x:c r="J71" s="80" t="n">
        <x:f>I22+J20-J21-J22</x:f>
        <x:v>0</x:v>
      </x:c>
      <x:c r="K71" s="80" t="n">
        <x:f>J22+K20-K21-K22</x:f>
        <x:v>-4.656612873077393e-10</x:v>
      </x:c>
      <x:c r="L71" s="80" t="n">
        <x:f>K22+L20-L21-L22</x:f>
        <x:v>2.3283064365386963e-10</x:v>
      </x:c>
      <x:c r="M71" s="80" t="n">
        <x:f>L22+M20-M21-M22</x:f>
        <x:v>0</x:v>
      </x:c>
      <x:c r="N71" s="80" t="n">
        <x:f>M22+N20-N21-N22</x:f>
        <x:v>0</x:v>
      </x:c>
      <x:c r="O71" s="80" t="n">
        <x:f>N22+O20-O21-O22</x:f>
        <x:v>0</x:v>
      </x:c>
      <x:c r="P71" s="80" t="n">
        <x:f>O22+P20-P21-P22</x:f>
        <x:v>1.1641532182693481e-10</x:v>
      </x:c>
      <x:c r="Q71" s="80" t="n">
        <x:f>P22+Q20-Q21-Q22</x:f>
        <x:v>0</x:v>
      </x:c>
      <x:c r="R71" s="80" t="n">
        <x:f>Q22+R20-R21-R22</x:f>
        <x:v>0</x:v>
      </x:c>
      <x:c r="S71" s="80" t="n">
        <x:f>R22+S20-S21-S22</x:f>
        <x:v>-1.1641532182693481e-10</x:v>
      </x:c>
      <x:c r="T71" s="80" t="n">
        <x:f>S22+T20-T21-T22</x:f>
        <x:v>1.1641532182693481e-10</x:v>
      </x:c>
      <x:c r="U71" s="80" t="n">
        <x:f>T22+U20-U21-U22</x:f>
        <x:v>0</x:v>
      </x:c>
      <x:c r="V71" s="80" t="n">
        <x:f>U22+V20-V21-V22</x:f>
        <x:v>0</x:v>
      </x:c>
      <x:c r="W71" s="80" t="n">
        <x:f>V22+W20-W21-W22</x:f>
        <x:v>0</x:v>
      </x:c>
      <x:c r="X71" s="80" t="n">
        <x:f>W22+X20-X21-X22</x:f>
        <x:v>0</x:v>
      </x:c>
      <x:c r="Y71" s="80" t="n">
        <x:f>X22+Y20-Y21-Y22</x:f>
        <x:v>-5.820766091346741e-11</x:v>
      </x:c>
      <x:c r="Z71" s="80" t="n">
        <x:f>Y22+Z20-Z21-Z22</x:f>
        <x:v>0</x:v>
      </x:c>
      <x:c r="AA71" s="80" t="n">
        <x:f>Z22+AA20-AA21-AA22</x:f>
        <x:v>2.9103830456733704e-11</x:v>
      </x:c>
      <x:c r="AB71" s="80" t="n">
        <x:f>AA22+AB20-AB21-AB22</x:f>
        <x:v>0</x:v>
      </x:c>
      <x:c r="AC71" s="80" t="n">
        <x:f>AB22+AC20-AC21-AC22</x:f>
        <x:v>0</x:v>
      </x:c>
      <x:c r="AD71" s="80" t="n">
        <x:f>AC22+AD20-AD21-AD22</x:f>
        <x:v>0</x:v>
      </x:c>
      <x:c r="AE71" s="80" t="n">
        <x:f>AD22+AE20-AE21-AE22</x:f>
        <x:v>0</x:v>
      </x:c>
      <x:c r="AF71" s="80" t="n">
        <x:f>AE22+AF20-AF21-AF22</x:f>
        <x:v>0</x:v>
      </x:c>
      <x:c r="AG71" s="80" t="n">
        <x:f>AF22+AG20-AG21-AG22</x:f>
        <x:v>0</x:v>
      </x:c>
      <x:c r="AH71" s="80" t="n">
        <x:f>AG22+AH20-AH21-AH22</x:f>
        <x:v>0</x:v>
      </x:c>
      <x:c r="AI71" s="80" t="n">
        <x:f>AH22+AI20-AI21-AI22</x:f>
        <x:v>0</x:v>
      </x:c>
      <x:c r="AJ71" s="80" t="n">
        <x:f>AI22+AJ20-AJ21-AJ22</x:f>
        <x:v>0</x:v>
      </x:c>
      <x:c r="AK71" s="80" t="n">
        <x:f>AJ22+AK20-AK21-AK22</x:f>
        <x:v>0</x:v>
      </x:c>
      <x:c r="AL71" s="80" t="n">
        <x:f>AK22+AL20-AL21-AL22</x:f>
        <x:v>0</x:v>
      </x:c>
      <x:c r="AM71" s="80" t="n">
        <x:f>AL22+AM20-AM21-AM22</x:f>
        <x:v>0</x:v>
      </x:c>
      <x:c r="AN71" s="80" t="n">
        <x:f>AM22+AN20-AN21-AN22</x:f>
        <x:v>0</x:v>
      </x:c>
      <x:c r="AO71" s="80" t="n">
        <x:f>AN22+AO20-AO21-AO22</x:f>
        <x:v>0</x:v>
      </x:c>
      <x:c r="AP71" s="80" t="n">
        <x:f>AO22+AP20-AP21-AP22</x:f>
        <x:v>0</x:v>
      </x:c>
      <x:c r="AQ71" s="80" t="n">
        <x:f>AP22+AQ20-AQ21-AQ22</x:f>
        <x:v>0</x:v>
      </x:c>
      <x:c r="AR71" s="80" t="n">
        <x:f>AQ22+AR20-AR21-AR22</x:f>
        <x:v>0</x:v>
      </x:c>
      <x:c r="AS71" s="80" t="n">
        <x:f>AR22+AS20-AS21-AS22</x:f>
        <x:v>0</x:v>
      </x:c>
      <x:c r="AT71" s="80" t="n">
        <x:f>AS22+AT20-AT21-AT22</x:f>
        <x:v>0</x:v>
      </x:c>
      <x:c r="AU71" s="80" t="n">
        <x:f>AT22+AU20-AU21-AU22</x:f>
        <x:v>0</x:v>
      </x:c>
      <x:c r="AV71" s="80" t="n">
        <x:f>AU22+AV20-AV21-AV22</x:f>
        <x:v>0</x:v>
      </x:c>
      <x:c r="AW71" s="80" t="n">
        <x:f>AV22+AW20-AW21-AW22</x:f>
        <x:v>0</x:v>
      </x:c>
      <x:c r="AX71" s="80" t="n">
        <x:f>AW22+AX20-AX21-AX22</x:f>
        <x:v>0</x:v>
      </x:c>
      <x:c r="AY71" s="80" t="n">
        <x:f>AX22+AY20-AY21-AY22</x:f>
        <x:v>0</x:v>
      </x:c>
      <x:c r="AZ71" s="80" t="n">
        <x:f>AY22+AZ20-AZ21-AZ22</x:f>
        <x:v>0</x:v>
      </x:c>
    </x:row>
    <x:row r="72" ht="32" customHeight="1">
      <x:c r="A72" s="150"/>
      <x:c r="B72" s="150"/>
      <x:c r="C72" s="154" t="str">
        <x:v>Asset interest receivable roll-forward</x:v>
      </x:c>
      <x:c r="D72" s="150" t="str">
        <x:v>USD</x:v>
      </x:c>
      <x:c r="E72" s="80" t="n">
        <x:f>0+E16-E17-E19-E18</x:f>
        <x:v>-7.457856554538012e-11</x:v>
      </x:c>
      <x:c r="F72" s="80" t="n">
        <x:f>E18+F16-F17-F19-F18</x:f>
        <x:v>0</x:v>
      </x:c>
      <x:c r="G72" s="80" t="n">
        <x:f>F18+G16-G17-G19-G18</x:f>
        <x:v>-2.000888343900442e-11</x:v>
      </x:c>
      <x:c r="H72" s="80" t="n">
        <x:f>G18+H16-H17-H19-H18</x:f>
        <x:v>0</x:v>
      </x:c>
      <x:c r="I72" s="80" t="n">
        <x:f>H18+I16-I17-I19-I18</x:f>
        <x:v>9.094947017729282e-13</x:v>
      </x:c>
      <x:c r="J72" s="80" t="n">
        <x:f>I18+J16-J17-J19-J18</x:f>
        <x:v>1.1641532182693481e-10</x:v>
      </x:c>
      <x:c r="K72" s="80" t="n">
        <x:f>J18+K16-K17-K19-K18</x:f>
        <x:v>1.6370904631912708e-11</x:v>
      </x:c>
      <x:c r="L72" s="80" t="n">
        <x:f>K18+L16-L17-L19-L18</x:f>
        <x:v>0</x:v>
      </x:c>
      <x:c r="M72" s="80" t="n">
        <x:f>L18+M16-M17-M19-M18</x:f>
        <x:v>9.367795428261161e-11</x:v>
      </x:c>
      <x:c r="N72" s="80" t="n">
        <x:f>M18+N16-N17-N19-N18</x:f>
        <x:v>-1.1641532182693481e-10</x:v>
      </x:c>
      <x:c r="O72" s="80" t="n">
        <x:f>N18+O16-O17-O19-O18</x:f>
        <x:v>-2.2737367544323206e-11</x:v>
      </x:c>
      <x:c r="P72" s="80" t="n">
        <x:f>O18+P16-P17-P19-P18</x:f>
        <x:v>-1.1641532182693481e-10</x:v>
      </x:c>
      <x:c r="Q72" s="80" t="n">
        <x:f>P18+Q16-Q17-Q19-Q18</x:f>
        <x:v>9.094947017729282e-13</x:v>
      </x:c>
      <x:c r="R72" s="80" t="n">
        <x:f>Q18+R16-R17-R19-R18</x:f>
        <x:v>0</x:v>
      </x:c>
      <x:c r="S72" s="80" t="n">
        <x:f>R18+S16-S17-S19-S18</x:f>
        <x:v>4.18367562815547e-11</x:v>
      </x:c>
      <x:c r="T72" s="80" t="n">
        <x:f>S18+T16-T17-T19-T18</x:f>
        <x:v>5.820766091346741e-11</x:v>
      </x:c>
      <x:c r="U72" s="80" t="n">
        <x:f>T18+U16-U17-U19-U18</x:f>
        <x:v>2.7284841053187847e-12</x:v>
      </x:c>
      <x:c r="V72" s="80" t="n">
        <x:f>U18+V16-V17-V19-V18</x:f>
        <x:v>5.820766091346741e-11</x:v>
      </x:c>
      <x:c r="W72" s="80" t="n">
        <x:f>V18+W16-W17-W19-W18</x:f>
        <x:v>5.002220859751105e-11</x:v>
      </x:c>
      <x:c r="X72" s="80" t="n">
        <x:f>W18+X16-X17-X19-X18</x:f>
        <x:v>-1.1641532182693481e-10</x:v>
      </x:c>
      <x:c r="Y72" s="80" t="n">
        <x:f>X18+Y16-Y17-Y19-Y18</x:f>
        <x:v>9.731593308970332e-11</x:v>
      </x:c>
      <x:c r="Z72" s="80" t="n">
        <x:f>Y18+Z16-Z17-Z19-Z18</x:f>
        <x:v>0</x:v>
      </x:c>
      <x:c r="AA72" s="80" t="n">
        <x:f>Z18+AA16-AA17-AA19-AA18</x:f>
        <x:v>3.183231456205249e-11</x:v>
      </x:c>
      <x:c r="AB72" s="80" t="n">
        <x:f>AA18+AB16-AB17-AB19-AB18</x:f>
        <x:v>2.9103830456733704e-11</x:v>
      </x:c>
      <x:c r="AC72" s="80" t="n">
        <x:f>AB18+AC16-AC17-AC19-AC18</x:f>
        <x:v>1.6370904631912708e-11</x:v>
      </x:c>
      <x:c r="AD72" s="80" t="n">
        <x:f>AC18+AD16-AD17-AD19-AD18</x:f>
        <x:v>0</x:v>
      </x:c>
      <x:c r="AE72" s="80" t="n">
        <x:f>AD18+AE16-AE17-AE19-AE18</x:f>
        <x:v>2.7284841053187847e-12</x:v>
      </x:c>
      <x:c r="AF72" s="80" t="n">
        <x:f>AE18+AF16-AF17-AF19-AF18</x:f>
        <x:v>7.275957614183426e-12</x:v>
      </x:c>
      <x:c r="AG72" s="80" t="n">
        <x:f>AF18+AG16-AG17-AG19-AG18</x:f>
        <x:v>0</x:v>
      </x:c>
      <x:c r="AH72" s="80" t="n">
        <x:f>AG18+AH16-AH17-AH19-AH18</x:f>
        <x:v>0</x:v>
      </x:c>
      <x:c r="AI72" s="80" t="n">
        <x:f>AH18+AI16-AI17-AI19-AI18</x:f>
        <x:v>0</x:v>
      </x:c>
      <x:c r="AJ72" s="80" t="n">
        <x:f>AI18+AJ16-AJ17-AJ19-AJ18</x:f>
        <x:v>0</x:v>
      </x:c>
      <x:c r="AK72" s="80" t="n">
        <x:f>AJ18+AK16-AK17-AK19-AK18</x:f>
        <x:v>0</x:v>
      </x:c>
      <x:c r="AL72" s="80" t="n">
        <x:f>AK18+AL16-AL17-AL19-AL18</x:f>
        <x:v>0</x:v>
      </x:c>
      <x:c r="AM72" s="80" t="n">
        <x:f>AL18+AM16-AM17-AM19-AM18</x:f>
        <x:v>0</x:v>
      </x:c>
      <x:c r="AN72" s="80" t="n">
        <x:f>AM18+AN16-AN17-AN19-AN18</x:f>
        <x:v>0</x:v>
      </x:c>
      <x:c r="AO72" s="80" t="n">
        <x:f>AN18+AO16-AO17-AO19-AO18</x:f>
        <x:v>0</x:v>
      </x:c>
      <x:c r="AP72" s="80" t="n">
        <x:f>AO18+AP16-AP17-AP19-AP18</x:f>
        <x:v>0</x:v>
      </x:c>
      <x:c r="AQ72" s="80" t="n">
        <x:f>AP18+AQ16-AQ17-AQ19-AQ18</x:f>
        <x:v>0</x:v>
      </x:c>
      <x:c r="AR72" s="80" t="n">
        <x:f>AQ18+AR16-AR17-AR19-AR18</x:f>
        <x:v>0</x:v>
      </x:c>
      <x:c r="AS72" s="80" t="n">
        <x:f>AR18+AS16-AS17-AS19-AS18</x:f>
        <x:v>0</x:v>
      </x:c>
      <x:c r="AT72" s="80" t="n">
        <x:f>AS18+AT16-AT17-AT19-AT18</x:f>
        <x:v>0</x:v>
      </x:c>
      <x:c r="AU72" s="80" t="n">
        <x:f>AT18+AU16-AU17-AU19-AU18</x:f>
        <x:v>0</x:v>
      </x:c>
      <x:c r="AV72" s="80" t="n">
        <x:f>AU18+AV16-AV17-AV19-AV18</x:f>
        <x:v>0</x:v>
      </x:c>
      <x:c r="AW72" s="80" t="n">
        <x:f>AV18+AW16-AW17-AW19-AW18</x:f>
        <x:v>0</x:v>
      </x:c>
      <x:c r="AX72" s="80" t="n">
        <x:f>AW18+AX16-AX17-AX19-AX18</x:f>
        <x:v>0</x:v>
      </x:c>
      <x:c r="AY72" s="80" t="n">
        <x:f>AX18+AY16-AY17-AY19-AY18</x:f>
        <x:v>0</x:v>
      </x:c>
      <x:c r="AZ72" s="80" t="n">
        <x:f>AY18+AZ16-AZ17-AZ19-AZ18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D8823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8" hidden="0" customWidth="1"/>
    <x:col min="5" max="5" width="18" hidden="0" customWidth="1"/>
    <x:col min="6" max="6" width="32" hidden="0" customWidth="1"/>
    <x:col min="7" max="7" width="24" hidden="0" customWidth="1"/>
    <x:col min="8" max="8" width="24" hidden="0" customWidth="1"/>
    <x:col min="9" max="9" width="27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6" max="16" width="22" hidden="0" customWidth="1"/>
    <x:col min="17" max="17" width="22" hidden="0" customWidth="1"/>
    <x:col min="18" max="18" width="43" hidden="0" customWidth="1"/>
    <x:col min="19" max="19" width="43" hidden="0" customWidth="1"/>
  </x:cols>
  <x:sheetData>
    <x:row r="1">
      <x:c r="A1" s="23"/>
      <x:c r="B1" s="23"/>
      <x:c r="C1" s="116" t="str">
        <x:v>Development sizing tests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50"/>
      <x:c r="P1" s="150"/>
      <x:c r="Q1" s="150"/>
      <x:c r="R1" s="150"/>
      <x:c r="S1" s="150"/>
    </x:row>
    <x:row r="2">
      <x:c r="A2" s="23"/>
      <x:c r="B2" s="23"/>
      <x:c r="C2" s="24" t="str">
        <x:v>Senior Sizing Sensitivity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150"/>
      <x:c r="P2" s="150"/>
      <x:c r="Q2" s="150"/>
      <x:c r="R2" s="150"/>
      <x:c r="S2" s="150"/>
    </x:row>
    <x:row r="3" ht="22" customHeight="1">
      <x:c r="A3" s="23"/>
      <x:c r="B3" s="23"/>
      <x:c r="C3" s="26" t="str">
        <x:v>Same portfolio and stress inputs at every size. Results are exploratory; AAA is not determined.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150"/>
      <x:c r="P3" s="150"/>
      <x:c r="Q3" s="150"/>
      <x:c r="R3" s="150"/>
      <x:c r="S3" s="150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150"/>
      <x:c r="P4" s="150"/>
      <x:c r="Q4" s="150"/>
      <x:c r="R4" s="150"/>
      <x:c r="S4" s="150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150"/>
      <x:c r="P5" s="150"/>
      <x:c r="Q5" s="150"/>
      <x:c r="R5" s="150"/>
      <x:c r="S5" s="150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150"/>
      <x:c r="P6" s="150"/>
      <x:c r="Q6" s="150"/>
      <x:c r="R6" s="150"/>
      <x:c r="S6" s="150"/>
    </x:row>
    <x:row r="7" ht="38" customHeight="1">
      <x:c r="A7" s="23"/>
      <x:c r="B7" s="23"/>
      <x:c r="C7" s="7" t="str">
        <x:v>Senior</x:v>
      </x:c>
      <x:c r="D7" s="7" t="str">
        <x:v>Junior</x:v>
      </x:c>
      <x:c r="E7" s="7" t="str">
        <x:v>Equity</x:v>
      </x:c>
      <x:c r="F7" s="7" t="str">
        <x:v>Binding stress (see brackets)</x:v>
      </x:c>
      <x:c r="G7" s="7" t="str">
        <x:v>Worst senior principal shortfall</x:v>
      </x:c>
      <x:c r="H7" s="7" t="str">
        <x:v>Worst missed timely interest</x:v>
      </x:c>
      <x:c r="I7" s="7" t="str">
        <x:v>All base-severity cases</x:v>
      </x:c>
      <x:c r="J7" s="7" t="str">
        <x:v>Tested default rate</x:v>
      </x:c>
      <x:c r="K7" s="7" t="str">
        <x:v>Scenario count</x:v>
      </x:c>
      <x:c r="L7" s="7" t="str">
        <x:v>Run all pass</x:v>
      </x:c>
      <x:c r="M7" s="7" t="str">
        <x:v>Run all valid</x:v>
      </x:c>
      <x:c r="N7" s="7" t="str">
        <x:v>Run refresh</x:v>
      </x:c>
      <x:c r="O7" s="150"/>
      <x:c r="P7" s="7" t="str">
        <x:v>Last tested pass</x:v>
      </x:c>
      <x:c r="Q7" s="7" t="str">
        <x:v>First tested failure</x:v>
      </x:c>
      <x:c r="R7" s="7" t="str">
        <x:v>Binding basis</x:v>
      </x:c>
      <x:c r="S7" s="7" t="str">
        <x:v>Boundary status</x:v>
      </x:c>
    </x:row>
    <x:row r="8" ht="45" customHeight="1">
      <x:c r="A8" s="23"/>
      <x:c r="B8" s="23"/>
      <x:c r="C8" s="43" t="n">
        <x:v>0.6</x:v>
      </x:c>
      <x:c r="D8" s="78" t="n">
        <x:f>1-C8-E8</x:f>
        <x:v>0.30000000000000004</x:v>
      </x:c>
      <x:c r="E8" s="75" t="n">
        <x:f>equity_pct</x:f>
        <x:v>0.1</x:v>
      </x:c>
      <x:c r="F8" s="33" t="str">
        <x:v>front_flat</x:v>
      </x:c>
      <x:c r="G8" s="89" t="n">
        <x:v>0</x:v>
      </x:c>
      <x:c r="H8" s="89" t="n">
        <x:v>0</x:v>
      </x:c>
      <x:c r="I8" s="87" t="str">
        <x:f>IF(Refresh_Required,"REFRESH REQUIRED",IF(M8,IF(L8,"Meets tested stresses","Shortfall"),"Target not attained"))</x:f>
        <x:v>Meets tested stresses</x:v>
      </x:c>
      <x:c r="J8" s="43" t="n">
        <x:v>0.3</x:v>
      </x:c>
      <x:c r="K8" s="23" t="n">
        <x:v>12</x:v>
      </x:c>
      <x:c r="L8" s="45" t="b">
        <x:v>1</x:v>
      </x:c>
      <x:c r="M8" s="45" t="b">
        <x:v>1</x:v>
      </x:c>
      <x:c r="N8" s="65" t="b">
        <x:f>Refresh_Required</x:f>
        <x:v>0</x:v>
      </x:c>
      <x:c r="O8" s="150"/>
      <x:c r="P8" s="163" t="n">
        <x:v>0.65</x:v>
      </x:c>
      <x:c r="Q8" s="163" t="n">
        <x:v>0.7</x:v>
      </x:c>
      <x:c r="R8" s="154" t="str">
        <x:v>Lowest first-failure grid bracket; ties follow scenario order</x:v>
      </x:c>
      <x:c r="S8" s="154" t="str">
        <x:v>GRID BRACKET</x:v>
      </x:c>
    </x:row>
    <x:row r="9" ht="45" customHeight="1">
      <x:c r="A9" s="150"/>
      <x:c r="B9" s="150"/>
      <x:c r="C9" s="163" t="n">
        <x:v>0.61</x:v>
      </x:c>
      <x:c r="D9" s="78" t="n">
        <x:f>1-C9-E9</x:f>
        <x:v>0.29000000000000004</x:v>
      </x:c>
      <x:c r="E9" s="75" t="n">
        <x:f>equity_pct</x:f>
        <x:v>0.1</x:v>
      </x:c>
      <x:c r="F9" s="154" t="str">
        <x:v>front_flat</x:v>
      </x:c>
      <x:c r="G9" s="193" t="n">
        <x:v>0</x:v>
      </x:c>
      <x:c r="H9" s="193" t="n">
        <x:v>0</x:v>
      </x:c>
      <x:c r="I9" s="87" t="str">
        <x:f>IF(Refresh_Required,"REFRESH REQUIRED",IF(M9,IF(L9,"Meets tested stresses","Shortfall"),"Target not attained"))</x:f>
        <x:v>Meets tested stresses</x:v>
      </x:c>
      <x:c r="J9" s="163" t="n">
        <x:v>0.3</x:v>
      </x:c>
      <x:c r="K9" s="150" t="n">
        <x:v>12</x:v>
      </x:c>
      <x:c r="L9" s="194" t="b">
        <x:v>1</x:v>
      </x:c>
      <x:c r="M9" s="194" t="b">
        <x:v>1</x:v>
      </x:c>
      <x:c r="N9" s="65" t="b">
        <x:f>Refresh_Required</x:f>
        <x:v>0</x:v>
      </x:c>
      <x:c r="O9" s="150"/>
      <x:c r="P9" s="163" t="n">
        <x:v>0.65</x:v>
      </x:c>
      <x:c r="Q9" s="163" t="n">
        <x:v>0.7</x:v>
      </x:c>
      <x:c r="R9" s="154" t="str">
        <x:v>Lowest first-failure grid bracket; ties follow scenario order</x:v>
      </x:c>
      <x:c r="S9" s="154" t="str">
        <x:v>GRID BRACKET</x:v>
      </x:c>
    </x:row>
    <x:row r="10" ht="45" customHeight="1">
      <x:c r="A10" s="150"/>
      <x:c r="B10" s="150"/>
      <x:c r="C10" s="163" t="n">
        <x:v>0.62</x:v>
      </x:c>
      <x:c r="D10" s="78" t="n">
        <x:f>1-C10-E10</x:f>
        <x:v>0.28</x:v>
      </x:c>
      <x:c r="E10" s="75" t="n">
        <x:f>equity_pct</x:f>
        <x:v>0.1</x:v>
      </x:c>
      <x:c r="F10" s="154" t="str">
        <x:v>middle_flat</x:v>
      </x:c>
      <x:c r="G10" s="193" t="n">
        <x:v>0</x:v>
      </x:c>
      <x:c r="H10" s="193" t="n">
        <x:v>0</x:v>
      </x:c>
      <x:c r="I10" s="87" t="str">
        <x:f>IF(Refresh_Required,"REFRESH REQUIRED",IF(M10,IF(L10,"Meets tested stresses","Shortfall"),"Target not attained"))</x:f>
        <x:v>Meets tested stresses</x:v>
      </x:c>
      <x:c r="J10" s="163" t="n">
        <x:v>0.3</x:v>
      </x:c>
      <x:c r="K10" s="150" t="n">
        <x:v>12</x:v>
      </x:c>
      <x:c r="L10" s="194" t="b">
        <x:v>1</x:v>
      </x:c>
      <x:c r="M10" s="194" t="b">
        <x:v>1</x:v>
      </x:c>
      <x:c r="N10" s="65" t="b">
        <x:f>Refresh_Required</x:f>
        <x:v>0</x:v>
      </x:c>
      <x:c r="O10" s="150"/>
      <x:c r="P10" s="163" t="n">
        <x:v>0.6</x:v>
      </x:c>
      <x:c r="Q10" s="163" t="n">
        <x:v>0.65</x:v>
      </x:c>
      <x:c r="R10" s="154" t="str">
        <x:v>Lowest first-failure grid bracket; ties follow scenario order</x:v>
      </x:c>
      <x:c r="S10" s="154" t="str">
        <x:v>GRID BRACKET</x:v>
      </x:c>
    </x:row>
    <x:row r="11" ht="45" customHeight="1">
      <x:c r="A11" s="150"/>
      <x:c r="B11" s="150"/>
      <x:c r="C11" s="163" t="n">
        <x:v>0.63</x:v>
      </x:c>
      <x:c r="D11" s="78" t="n">
        <x:f>1-C11-E11</x:f>
        <x:v>0.27</x:v>
      </x:c>
      <x:c r="E11" s="75" t="n">
        <x:f>equity_pct</x:f>
        <x:v>0.1</x:v>
      </x:c>
      <x:c r="F11" s="154" t="str">
        <x:v>front_flat</x:v>
      </x:c>
      <x:c r="G11" s="193" t="n">
        <x:v>0</x:v>
      </x:c>
      <x:c r="H11" s="193" t="n">
        <x:v>0</x:v>
      </x:c>
      <x:c r="I11" s="87" t="str">
        <x:f>IF(Refresh_Required,"REFRESH REQUIRED",IF(M11,IF(L11,"Meets tested stresses","Shortfall"),"Target not attained"))</x:f>
        <x:v>Meets tested stresses</x:v>
      </x:c>
      <x:c r="J11" s="163" t="n">
        <x:v>0.3</x:v>
      </x:c>
      <x:c r="K11" s="150" t="n">
        <x:v>12</x:v>
      </x:c>
      <x:c r="L11" s="194" t="b">
        <x:v>1</x:v>
      </x:c>
      <x:c r="M11" s="194" t="b">
        <x:v>1</x:v>
      </x:c>
      <x:c r="N11" s="65" t="b">
        <x:f>Refresh_Required</x:f>
        <x:v>0</x:v>
      </x:c>
      <x:c r="O11" s="150"/>
      <x:c r="P11" s="163" t="n">
        <x:v>0.6</x:v>
      </x:c>
      <x:c r="Q11" s="163" t="n">
        <x:v>0.65</x:v>
      </x:c>
      <x:c r="R11" s="154" t="str">
        <x:v>Lowest first-failure grid bracket; ties follow scenario order</x:v>
      </x:c>
      <x:c r="S11" s="154" t="str">
        <x:v>GRID BRACKET</x:v>
      </x:c>
    </x:row>
    <x:row r="12" ht="45" customHeight="1">
      <x:c r="A12" s="150"/>
      <x:c r="B12" s="150"/>
      <x:c r="C12" s="163" t="n">
        <x:v>0.64</x:v>
      </x:c>
      <x:c r="D12" s="78" t="n">
        <x:f>1-C12-E12</x:f>
        <x:v>0.26</x:v>
      </x:c>
      <x:c r="E12" s="75" t="n">
        <x:f>equity_pct</x:f>
        <x:v>0.1</x:v>
      </x:c>
      <x:c r="F12" s="154" t="str">
        <x:v>front_flat</x:v>
      </x:c>
      <x:c r="G12" s="193" t="n">
        <x:v>0</x:v>
      </x:c>
      <x:c r="H12" s="193" t="n">
        <x:v>0</x:v>
      </x:c>
      <x:c r="I12" s="87" t="str">
        <x:f>IF(Refresh_Required,"REFRESH REQUIRED",IF(M12,IF(L12,"Meets tested stresses","Shortfall"),"Target not attained"))</x:f>
        <x:v>Meets tested stresses</x:v>
      </x:c>
      <x:c r="J12" s="163" t="n">
        <x:v>0.3</x:v>
      </x:c>
      <x:c r="K12" s="150" t="n">
        <x:v>12</x:v>
      </x:c>
      <x:c r="L12" s="194" t="b">
        <x:v>1</x:v>
      </x:c>
      <x:c r="M12" s="194" t="b">
        <x:v>1</x:v>
      </x:c>
      <x:c r="N12" s="65" t="b">
        <x:f>Refresh_Required</x:f>
        <x:v>0</x:v>
      </x:c>
      <x:c r="O12" s="150"/>
      <x:c r="P12" s="163" t="n">
        <x:v>0.6</x:v>
      </x:c>
      <x:c r="Q12" s="163" t="n">
        <x:v>0.65</x:v>
      </x:c>
      <x:c r="R12" s="154" t="str">
        <x:v>Lowest first-failure grid bracket; ties follow scenario order</x:v>
      </x:c>
      <x:c r="S12" s="154" t="str">
        <x:v>GRID BRACKET</x:v>
      </x:c>
    </x:row>
    <x:row r="13" ht="45" customHeight="1">
      <x:c r="A13" s="150"/>
      <x:c r="B13" s="150"/>
      <x:c r="C13" s="163" t="n">
        <x:v>0.65</x:v>
      </x:c>
      <x:c r="D13" s="78" t="n">
        <x:f>1-C13-E13</x:f>
        <x:v>0.24999999999999997</x:v>
      </x:c>
      <x:c r="E13" s="75" t="n">
        <x:f>equity_pct</x:f>
        <x:v>0.1</x:v>
      </x:c>
      <x:c r="F13" s="154" t="str">
        <x:v>back_flat</x:v>
      </x:c>
      <x:c r="G13" s="193" t="n">
        <x:v>0</x:v>
      </x:c>
      <x:c r="H13" s="193" t="n">
        <x:v>0</x:v>
      </x:c>
      <x:c r="I13" s="87" t="str">
        <x:f>IF(Refresh_Required,"REFRESH REQUIRED",IF(M13,IF(L13,"Meets tested stresses","Shortfall"),"Target not attained"))</x:f>
        <x:v>Meets tested stresses</x:v>
      </x:c>
      <x:c r="J13" s="163" t="n">
        <x:v>0.3</x:v>
      </x:c>
      <x:c r="K13" s="150" t="n">
        <x:v>12</x:v>
      </x:c>
      <x:c r="L13" s="194" t="b">
        <x:v>1</x:v>
      </x:c>
      <x:c r="M13" s="194" t="b">
        <x:v>1</x:v>
      </x:c>
      <x:c r="N13" s="65" t="b">
        <x:f>Refresh_Required</x:f>
        <x:v>0</x:v>
      </x:c>
      <x:c r="O13" s="150"/>
      <x:c r="P13" s="163" t="n">
        <x:v>0.55</x:v>
      </x:c>
      <x:c r="Q13" s="163" t="n">
        <x:v>0.6</x:v>
      </x:c>
      <x:c r="R13" s="154" t="str">
        <x:v>Lowest first-failure grid bracket; ties follow scenario order</x:v>
      </x:c>
      <x:c r="S13" s="154" t="str">
        <x:v>GRID BRACKET</x:v>
      </x:c>
    </x:row>
    <x:row r="14" ht="45" customHeight="1">
      <x:c r="A14" s="150"/>
      <x:c r="B14" s="150"/>
      <x:c r="C14" s="163" t="n">
        <x:v>0.66</x:v>
      </x:c>
      <x:c r="D14" s="78" t="n">
        <x:f>1-C14-E14</x:f>
        <x:v>0.23999999999999996</x:v>
      </x:c>
      <x:c r="E14" s="75" t="n">
        <x:f>equity_pct</x:f>
        <x:v>0.1</x:v>
      </x:c>
      <x:c r="F14" s="154" t="str">
        <x:v>middle_flat</x:v>
      </x:c>
      <x:c r="G14" s="193" t="n">
        <x:v>0</x:v>
      </x:c>
      <x:c r="H14" s="193" t="n">
        <x:v>0</x:v>
      </x:c>
      <x:c r="I14" s="87" t="str">
        <x:f>IF(Refresh_Required,"REFRESH REQUIRED",IF(M14,IF(L14,"Meets tested stresses","Shortfall"),"Target not attained"))</x:f>
        <x:v>Meets tested stresses</x:v>
      </x:c>
      <x:c r="J14" s="163" t="n">
        <x:v>0.3</x:v>
      </x:c>
      <x:c r="K14" s="150" t="n">
        <x:v>12</x:v>
      </x:c>
      <x:c r="L14" s="194" t="b">
        <x:v>1</x:v>
      </x:c>
      <x:c r="M14" s="194" t="b">
        <x:v>1</x:v>
      </x:c>
      <x:c r="N14" s="65" t="b">
        <x:f>Refresh_Required</x:f>
        <x:v>0</x:v>
      </x:c>
      <x:c r="O14" s="150"/>
      <x:c r="P14" s="163" t="n">
        <x:v>0.55</x:v>
      </x:c>
      <x:c r="Q14" s="163" t="n">
        <x:v>0.6</x:v>
      </x:c>
      <x:c r="R14" s="154" t="str">
        <x:v>Lowest first-failure grid bracket; ties follow scenario order</x:v>
      </x:c>
      <x:c r="S14" s="154" t="str">
        <x:v>GRID BRACKET</x:v>
      </x:c>
    </x:row>
    <x:row r="15" ht="45" customHeight="1">
      <x:c r="A15" s="150"/>
      <x:c r="B15" s="150"/>
      <x:c r="C15" s="163" t="n">
        <x:v>0.67</x:v>
      </x:c>
      <x:c r="D15" s="78" t="n">
        <x:f>1-C15-E15</x:f>
        <x:v>0.22999999999999995</x:v>
      </x:c>
      <x:c r="E15" s="75" t="n">
        <x:f>equity_pct</x:f>
        <x:v>0.1</x:v>
      </x:c>
      <x:c r="F15" s="154" t="str">
        <x:v>front_flat</x:v>
      </x:c>
      <x:c r="G15" s="193" t="n">
        <x:v>0</x:v>
      </x:c>
      <x:c r="H15" s="193" t="n">
        <x:v>0</x:v>
      </x:c>
      <x:c r="I15" s="87" t="str">
        <x:f>IF(Refresh_Required,"REFRESH REQUIRED",IF(M15,IF(L15,"Meets tested stresses","Shortfall"),"Target not attained"))</x:f>
        <x:v>Meets tested stresses</x:v>
      </x:c>
      <x:c r="J15" s="163" t="n">
        <x:v>0.3</x:v>
      </x:c>
      <x:c r="K15" s="150" t="n">
        <x:v>12</x:v>
      </x:c>
      <x:c r="L15" s="194" t="b">
        <x:v>1</x:v>
      </x:c>
      <x:c r="M15" s="194" t="b">
        <x:v>1</x:v>
      </x:c>
      <x:c r="N15" s="65" t="b">
        <x:f>Refresh_Required</x:f>
        <x:v>0</x:v>
      </x:c>
      <x:c r="O15" s="150"/>
      <x:c r="P15" s="163" t="n">
        <x:v>0.55</x:v>
      </x:c>
      <x:c r="Q15" s="163" t="n">
        <x:v>0.6</x:v>
      </x:c>
      <x:c r="R15" s="154" t="str">
        <x:v>Lowest first-failure grid bracket; ties follow scenario order</x:v>
      </x:c>
      <x:c r="S15" s="154" t="str">
        <x:v>GRID BRACKET</x:v>
      </x:c>
    </x:row>
    <x:row r="16" ht="45" customHeight="1">
      <x:c r="A16" s="150"/>
      <x:c r="B16" s="150"/>
      <x:c r="C16" s="163" t="n">
        <x:v>0.68</x:v>
      </x:c>
      <x:c r="D16" s="78" t="n">
        <x:f>1-C16-E16</x:f>
        <x:v>0.21999999999999995</x:v>
      </x:c>
      <x:c r="E16" s="75" t="n">
        <x:f>equity_pct</x:f>
        <x:v>0.1</x:v>
      </x:c>
      <x:c r="F16" s="154" t="str">
        <x:v>front_flat</x:v>
      </x:c>
      <x:c r="G16" s="193" t="n">
        <x:v>0</x:v>
      </x:c>
      <x:c r="H16" s="193" t="n">
        <x:v>0</x:v>
      </x:c>
      <x:c r="I16" s="87" t="str">
        <x:f>IF(Refresh_Required,"REFRESH REQUIRED",IF(M16,IF(L16,"Meets tested stresses","Shortfall"),"Target not attained"))</x:f>
        <x:v>Meets tested stresses</x:v>
      </x:c>
      <x:c r="J16" s="163" t="n">
        <x:v>0.3</x:v>
      </x:c>
      <x:c r="K16" s="150" t="n">
        <x:v>12</x:v>
      </x:c>
      <x:c r="L16" s="194" t="b">
        <x:v>1</x:v>
      </x:c>
      <x:c r="M16" s="194" t="b">
        <x:v>1</x:v>
      </x:c>
      <x:c r="N16" s="65" t="b">
        <x:f>Refresh_Required</x:f>
        <x:v>0</x:v>
      </x:c>
      <x:c r="O16" s="150"/>
      <x:c r="P16" s="163" t="n">
        <x:v>0.55</x:v>
      </x:c>
      <x:c r="Q16" s="163" t="n">
        <x:v>0.6</x:v>
      </x:c>
      <x:c r="R16" s="154" t="str">
        <x:v>Lowest first-failure grid bracket; ties follow scenario order</x:v>
      </x:c>
      <x:c r="S16" s="154" t="str">
        <x:v>GRID BRACKET</x:v>
      </x:c>
    </x:row>
    <x:row r="17" ht="45" customHeight="1">
      <x:c r="A17" s="150"/>
      <x:c r="B17" s="150"/>
      <x:c r="C17" s="163" t="n">
        <x:v>0.69</x:v>
      </x:c>
      <x:c r="D17" s="78" t="n">
        <x:f>1-C17-E17</x:f>
        <x:v>0.21000000000000005</x:v>
      </x:c>
      <x:c r="E17" s="75" t="n">
        <x:f>equity_pct</x:f>
        <x:v>0.1</x:v>
      </x:c>
      <x:c r="F17" s="154" t="str">
        <x:v>middle_flat</x:v>
      </x:c>
      <x:c r="G17" s="193" t="n">
        <x:v>0</x:v>
      </x:c>
      <x:c r="H17" s="193" t="n">
        <x:v>0</x:v>
      </x:c>
      <x:c r="I17" s="87" t="str">
        <x:f>IF(Refresh_Required,"REFRESH REQUIRED",IF(M17,IF(L17,"Meets tested stresses","Shortfall"),"Target not attained"))</x:f>
        <x:v>Meets tested stresses</x:v>
      </x:c>
      <x:c r="J17" s="163" t="n">
        <x:v>0.3</x:v>
      </x:c>
      <x:c r="K17" s="150" t="n">
        <x:v>12</x:v>
      </x:c>
      <x:c r="L17" s="194" t="b">
        <x:v>1</x:v>
      </x:c>
      <x:c r="M17" s="194" t="b">
        <x:v>1</x:v>
      </x:c>
      <x:c r="N17" s="65" t="b">
        <x:f>Refresh_Required</x:f>
        <x:v>0</x:v>
      </x:c>
      <x:c r="O17" s="150"/>
      <x:c r="P17" s="163" t="n">
        <x:v>0.5</x:v>
      </x:c>
      <x:c r="Q17" s="163" t="n">
        <x:v>0.55</x:v>
      </x:c>
      <x:c r="R17" s="154" t="str">
        <x:v>Lowest first-failure grid bracket; ties follow scenario order</x:v>
      </x:c>
      <x:c r="S17" s="154" t="str">
        <x:v>GRID BRACKET</x:v>
      </x:c>
    </x:row>
    <x:row r="18" ht="45" customHeight="1">
      <x:c r="A18" s="150"/>
      <x:c r="B18" s="150"/>
      <x:c r="C18" s="163" t="n">
        <x:v>0.7</x:v>
      </x:c>
      <x:c r="D18" s="78" t="n">
        <x:f>1-C18-E18</x:f>
        <x:v>0.20000000000000004</x:v>
      </x:c>
      <x:c r="E18" s="75" t="n">
        <x:f>equity_pct</x:f>
        <x:v>0.1</x:v>
      </x:c>
      <x:c r="F18" s="154" t="str">
        <x:v>front_flat</x:v>
      </x:c>
      <x:c r="G18" s="193" t="n">
        <x:v>0</x:v>
      </x:c>
      <x:c r="H18" s="193" t="n">
        <x:v>0</x:v>
      </x:c>
      <x:c r="I18" s="87" t="str">
        <x:f>IF(Refresh_Required,"REFRESH REQUIRED",IF(M18,IF(L18,"Meets tested stresses","Shortfall"),"Target not attained"))</x:f>
        <x:v>Meets tested stresses</x:v>
      </x:c>
      <x:c r="J18" s="163" t="n">
        <x:v>0.3</x:v>
      </x:c>
      <x:c r="K18" s="150" t="n">
        <x:v>12</x:v>
      </x:c>
      <x:c r="L18" s="194" t="b">
        <x:v>1</x:v>
      </x:c>
      <x:c r="M18" s="194" t="b">
        <x:v>1</x:v>
      </x:c>
      <x:c r="N18" s="65" t="b">
        <x:f>Refresh_Required</x:f>
        <x:v>0</x:v>
      </x:c>
      <x:c r="O18" s="150"/>
      <x:c r="P18" s="163" t="n">
        <x:v>0.5</x:v>
      </x:c>
      <x:c r="Q18" s="163" t="n">
        <x:v>0.55</x:v>
      </x:c>
      <x:c r="R18" s="154" t="str">
        <x:v>Lowest first-failure grid bracket; ties follow scenario order</x:v>
      </x:c>
      <x:c r="S18" s="154" t="str">
        <x:v>GRID BRACKET</x:v>
      </x:c>
    </x:row>
    <x:row r="19">
      <x:c r="A19" s="150"/>
      <x:c r="B19" s="150"/>
      <x:c r="C19" s="150"/>
      <x:c r="D19" s="150"/>
      <x:c r="E19" s="150"/>
      <x:c r="F19" s="150"/>
      <x:c r="G19" s="150"/>
      <x:c r="H19" s="150"/>
      <x:c r="I19" s="150"/>
      <x:c r="J19" s="150"/>
      <x:c r="K19" s="150"/>
      <x:c r="L19" s="150"/>
      <x:c r="M19" s="150"/>
      <x:c r="N19" s="150"/>
      <x:c r="O19" s="150"/>
      <x:c r="P19" s="150"/>
      <x:c r="Q19" s="150"/>
      <x:c r="R19" s="150"/>
      <x:c r="S19" s="150"/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  <x:c r="K20" s="150"/>
      <x:c r="L20" s="150"/>
      <x:c r="M20" s="150"/>
      <x:c r="N20" s="150"/>
      <x:c r="O20" s="150"/>
      <x:c r="P20" s="150"/>
      <x:c r="Q20" s="150"/>
      <x:c r="R20" s="150"/>
      <x:c r="S20" s="150"/>
    </x:row>
    <x:row r="21">
      <x:c r="A21" s="150"/>
      <x:c r="B21" s="150"/>
      <x:c r="C21" s="150"/>
      <x:c r="D21" s="150"/>
      <x:c r="E21" s="150"/>
      <x:c r="F21" s="150"/>
      <x:c r="G21" s="150"/>
      <x:c r="H21" s="150"/>
      <x:c r="I21" s="150"/>
      <x:c r="J21" s="150"/>
      <x:c r="K21" s="150"/>
      <x:c r="L21" s="150"/>
      <x:c r="M21" s="150"/>
      <x:c r="N21" s="150"/>
      <x:c r="O21" s="150"/>
      <x:c r="P21" s="150"/>
      <x:c r="Q21" s="150"/>
      <x:c r="R21" s="150"/>
      <x:c r="S21" s="150"/>
    </x:row>
    <x:row r="22">
      <x:c r="A22" s="150"/>
      <x:c r="B22" s="150"/>
      <x:c r="C22" s="150"/>
      <x:c r="D22" s="150"/>
      <x:c r="E22" s="150"/>
      <x:c r="F22" s="150"/>
      <x:c r="G22" s="150"/>
      <x:c r="H22" s="150"/>
      <x:c r="I22" s="150"/>
      <x:c r="J22" s="150"/>
      <x:c r="K22" s="150"/>
      <x:c r="L22" s="150"/>
      <x:c r="M22" s="150"/>
      <x:c r="N22" s="150"/>
      <x:c r="O22" s="150"/>
      <x:c r="P22" s="150"/>
      <x:c r="Q22" s="150"/>
      <x:c r="R22" s="150"/>
      <x:c r="S22" s="150"/>
    </x:row>
    <x:row r="23" ht="38" customHeight="1">
      <x:c r="A23" s="150"/>
      <x:c r="B23" s="150"/>
      <x:c r="C23" s="7" t="str">
        <x:v>Senior</x:v>
      </x:c>
      <x:c r="D23" s="7" t="str">
        <x:v>Scenario</x:v>
      </x:c>
      <x:c r="E23" s="7" t="str">
        <x:v>Last tested pass</x:v>
      </x:c>
      <x:c r="F23" s="7" t="str">
        <x:v>First tested failure</x:v>
      </x:c>
      <x:c r="G23" s="7" t="str">
        <x:v>Boundary status</x:v>
      </x:c>
      <x:c r="H23" s="7" t="str">
        <x:v>Unattainable targets</x:v>
      </x:c>
      <x:c r="I23" s="7" t="str">
        <x:v>Non-monotonic</x:v>
      </x:c>
      <x:c r="J23" s="150"/>
      <x:c r="K23" s="150"/>
      <x:c r="L23" s="150"/>
      <x:c r="M23" s="150"/>
      <x:c r="N23" s="150"/>
      <x:c r="O23" s="150"/>
      <x:c r="P23" s="150"/>
      <x:c r="Q23" s="150"/>
      <x:c r="R23" s="150"/>
      <x:c r="S23" s="150"/>
    </x:row>
    <x:row r="24" ht="42" customHeight="1">
      <x:c r="A24" s="150"/>
      <x:c r="B24" s="150"/>
      <x:c r="C24" s="163" t="n">
        <x:v>0.6</x:v>
      </x:c>
      <x:c r="D24" s="150" t="str">
        <x:v>front_flat</x:v>
      </x:c>
      <x:c r="E24" s="163" t="n">
        <x:v>0.65</x:v>
      </x:c>
      <x:c r="F24" s="163" t="n">
        <x:v>0.7</x:v>
      </x:c>
      <x:c r="G24" s="154" t="str">
        <x:v>GRID BRACKET</x:v>
      </x:c>
      <x:c r="H24" s="195" t="b">
        <x:v>1</x:v>
      </x:c>
      <x:c r="I24" s="195" t="b">
        <x:v>0</x:v>
      </x:c>
      <x:c r="J24" s="150"/>
      <x:c r="K24" s="150"/>
      <x:c r="L24" s="150"/>
      <x:c r="M24" s="150"/>
      <x:c r="N24" s="150"/>
      <x:c r="O24" s="150"/>
      <x:c r="P24" s="150"/>
      <x:c r="Q24" s="150"/>
      <x:c r="R24" s="150"/>
      <x:c r="S24" s="150"/>
    </x:row>
    <x:row r="25" ht="42" customHeight="1">
      <x:c r="A25" s="150"/>
      <x:c r="B25" s="150"/>
      <x:c r="C25" s="163" t="n">
        <x:v>0.6</x:v>
      </x:c>
      <x:c r="D25" s="150" t="str">
        <x:v>front_low</x:v>
      </x:c>
      <x:c r="E25" s="163" t="n">
        <x:v>0.65</x:v>
      </x:c>
      <x:c r="F25" s="163" t="n">
        <x:v>0.7</x:v>
      </x:c>
      <x:c r="G25" s="154" t="str">
        <x:v>GRID BRACKET</x:v>
      </x:c>
      <x:c r="H25" s="195" t="b">
        <x:v>1</x:v>
      </x:c>
      <x:c r="I25" s="195" t="b">
        <x:v>0</x:v>
      </x:c>
      <x:c r="J25" s="150"/>
      <x:c r="K25" s="150"/>
      <x:c r="L25" s="150"/>
      <x:c r="M25" s="150"/>
      <x:c r="N25" s="150"/>
      <x:c r="O25" s="150"/>
      <x:c r="P25" s="150"/>
      <x:c r="Q25" s="150"/>
      <x:c r="R25" s="150"/>
      <x:c r="S25" s="150"/>
    </x:row>
    <x:row r="26" ht="42" customHeight="1">
      <x:c r="A26" s="150"/>
      <x:c r="B26" s="150"/>
      <x:c r="C26" s="163" t="n">
        <x:v>0.6</x:v>
      </x:c>
      <x:c r="D26" s="150" t="str">
        <x:v>front_high</x:v>
      </x:c>
      <x:c r="E26" s="163" t="n">
        <x:v>0.7</x:v>
      </x:c>
      <x:c r="F26" s="163" t="n">
        <x:v>0.75</x:v>
      </x:c>
      <x:c r="G26" s="154" t="str">
        <x:v>GRID BRACKET</x:v>
      </x:c>
      <x:c r="H26" s="195" t="b">
        <x:v>1</x:v>
      </x:c>
      <x:c r="I26" s="195" t="b">
        <x:v>0</x:v>
      </x:c>
      <x:c r="J26" s="150"/>
      <x:c r="K26" s="150"/>
      <x:c r="L26" s="150"/>
      <x:c r="M26" s="150"/>
      <x:c r="N26" s="150"/>
      <x:c r="O26" s="150"/>
      <x:c r="P26" s="150"/>
      <x:c r="Q26" s="150"/>
      <x:c r="R26" s="150"/>
      <x:c r="S26" s="150"/>
    </x:row>
    <x:row r="27" ht="42" customHeight="1">
      <x:c r="A27" s="150"/>
      <x:c r="B27" s="150"/>
      <x:c r="C27" s="163" t="n">
        <x:v>0.6</x:v>
      </x:c>
      <x:c r="D27" s="150" t="str">
        <x:v>middle_flat</x:v>
      </x:c>
      <x:c r="E27" s="163" t="n">
        <x:v>0.65</x:v>
      </x:c>
      <x:c r="F27" s="163" t="n">
        <x:v>0.7</x:v>
      </x:c>
      <x:c r="G27" s="154" t="str">
        <x:v>GRID BRACKET</x:v>
      </x:c>
      <x:c r="H27" s="195" t="b">
        <x:v>1</x:v>
      </x:c>
      <x:c r="I27" s="195" t="b">
        <x:v>0</x:v>
      </x:c>
      <x:c r="J27" s="150"/>
      <x:c r="K27" s="150"/>
      <x:c r="L27" s="150"/>
      <x:c r="M27" s="150"/>
      <x:c r="N27" s="150"/>
      <x:c r="O27" s="150"/>
      <x:c r="P27" s="150"/>
      <x:c r="Q27" s="150"/>
      <x:c r="R27" s="150"/>
      <x:c r="S27" s="150"/>
    </x:row>
    <x:row r="28" ht="42" customHeight="1">
      <x:c r="A28" s="150"/>
      <x:c r="B28" s="150"/>
      <x:c r="C28" s="163" t="n">
        <x:v>0.6</x:v>
      </x:c>
      <x:c r="D28" s="150" t="str">
        <x:v>middle_low</x:v>
      </x:c>
      <x:c r="E28" s="163" t="n">
        <x:v>0.65</x:v>
      </x:c>
      <x:c r="F28" s="163" t="n">
        <x:v>0.7</x:v>
      </x:c>
      <x:c r="G28" s="154" t="str">
        <x:v>GRID BRACKET</x:v>
      </x:c>
      <x:c r="H28" s="195" t="b">
        <x:v>1</x:v>
      </x:c>
      <x:c r="I28" s="195" t="b">
        <x:v>0</x:v>
      </x:c>
      <x:c r="J28" s="150"/>
      <x:c r="K28" s="150"/>
      <x:c r="L28" s="150"/>
      <x:c r="M28" s="150"/>
      <x:c r="N28" s="150"/>
      <x:c r="O28" s="150"/>
      <x:c r="P28" s="150"/>
      <x:c r="Q28" s="150"/>
      <x:c r="R28" s="150"/>
      <x:c r="S28" s="150"/>
    </x:row>
    <x:row r="29" ht="42" customHeight="1">
      <x:c r="A29" s="150"/>
      <x:c r="B29" s="150"/>
      <x:c r="C29" s="163" t="n">
        <x:v>0.6</x:v>
      </x:c>
      <x:c r="D29" s="150" t="str">
        <x:v>middle_high</x:v>
      </x:c>
      <x:c r="E29" s="163" t="n">
        <x:v>0.65</x:v>
      </x:c>
      <x:c r="F29" s="163" t="n">
        <x:v>0.7</x:v>
      </x:c>
      <x:c r="G29" s="154" t="str">
        <x:v>GRID BRACKET</x:v>
      </x:c>
      <x:c r="H29" s="195" t="b">
        <x:v>1</x:v>
      </x:c>
      <x:c r="I29" s="195" t="b">
        <x:v>0</x:v>
      </x:c>
      <x:c r="J29" s="150"/>
      <x:c r="K29" s="150"/>
      <x:c r="L29" s="150"/>
      <x:c r="M29" s="150"/>
      <x:c r="N29" s="150"/>
      <x:c r="O29" s="150"/>
      <x:c r="P29" s="150"/>
      <x:c r="Q29" s="150"/>
      <x:c r="R29" s="150"/>
      <x:c r="S29" s="150"/>
    </x:row>
    <x:row r="30" ht="42" customHeight="1">
      <x:c r="A30" s="150"/>
      <x:c r="B30" s="150"/>
      <x:c r="C30" s="163" t="n">
        <x:v>0.6</x:v>
      </x:c>
      <x:c r="D30" s="150" t="str">
        <x:v>back_flat</x:v>
      </x:c>
      <x:c r="E30" s="163" t="n">
        <x:v>0.65</x:v>
      </x:c>
      <x:c r="F30" s="163" t="n">
        <x:v>0.7</x:v>
      </x:c>
      <x:c r="G30" s="154" t="str">
        <x:v>GRID BRACKET</x:v>
      </x:c>
      <x:c r="H30" s="195" t="b">
        <x:v>1</x:v>
      </x:c>
      <x:c r="I30" s="195" t="b">
        <x:v>0</x:v>
      </x:c>
      <x:c r="J30" s="150"/>
      <x:c r="K30" s="150"/>
      <x:c r="L30" s="150"/>
      <x:c r="M30" s="150"/>
      <x:c r="N30" s="150"/>
      <x:c r="O30" s="150"/>
      <x:c r="P30" s="150"/>
      <x:c r="Q30" s="150"/>
      <x:c r="R30" s="150"/>
      <x:c r="S30" s="150"/>
    </x:row>
    <x:row r="31" ht="42" customHeight="1">
      <x:c r="A31" s="150"/>
      <x:c r="B31" s="150"/>
      <x:c r="C31" s="163" t="n">
        <x:v>0.6</x:v>
      </x:c>
      <x:c r="D31" s="150" t="str">
        <x:v>back_low</x:v>
      </x:c>
      <x:c r="E31" s="163" t="n">
        <x:v>0.65</x:v>
      </x:c>
      <x:c r="F31" s="163" t="n">
        <x:v>0.7</x:v>
      </x:c>
      <x:c r="G31" s="154" t="str">
        <x:v>GRID BRACKET</x:v>
      </x:c>
      <x:c r="H31" s="195" t="b">
        <x:v>1</x:v>
      </x:c>
      <x:c r="I31" s="195" t="b">
        <x:v>0</x:v>
      </x:c>
      <x:c r="J31" s="150"/>
      <x:c r="K31" s="150"/>
      <x:c r="L31" s="150"/>
      <x:c r="M31" s="150"/>
      <x:c r="N31" s="150"/>
      <x:c r="O31" s="150"/>
      <x:c r="P31" s="150"/>
      <x:c r="Q31" s="150"/>
      <x:c r="R31" s="150"/>
      <x:c r="S31" s="150"/>
    </x:row>
    <x:row r="32" ht="42" customHeight="1">
      <x:c r="A32" s="150"/>
      <x:c r="B32" s="150"/>
      <x:c r="C32" s="163" t="n">
        <x:v>0.6</x:v>
      </x:c>
      <x:c r="D32" s="150" t="str">
        <x:v>back_high</x:v>
      </x:c>
      <x:c r="E32" s="163" t="n">
        <x:v>0.65</x:v>
      </x:c>
      <x:c r="F32" s="163" t="n">
        <x:v>0.7</x:v>
      </x:c>
      <x:c r="G32" s="154" t="str">
        <x:v>GRID BRACKET</x:v>
      </x:c>
      <x:c r="H32" s="195" t="b">
        <x:v>1</x:v>
      </x:c>
      <x:c r="I32" s="195" t="b">
        <x:v>0</x:v>
      </x:c>
      <x:c r="J32" s="150"/>
      <x:c r="K32" s="150"/>
      <x:c r="L32" s="150"/>
      <x:c r="M32" s="150"/>
      <x:c r="N32" s="150"/>
      <x:c r="O32" s="150"/>
      <x:c r="P32" s="150"/>
      <x:c r="Q32" s="150"/>
      <x:c r="R32" s="150"/>
      <x:c r="S32" s="150"/>
    </x:row>
    <x:row r="33" ht="42" customHeight="1">
      <x:c r="A33" s="150"/>
      <x:c r="B33" s="150"/>
      <x:c r="C33" s="163" t="n">
        <x:v>0.6</x:v>
      </x:c>
      <x:c r="D33" s="150" t="str">
        <x:v>level_flat</x:v>
      </x:c>
      <x:c r="E33" s="163" t="n">
        <x:v>0.65</x:v>
      </x:c>
      <x:c r="F33" s="163" t="n">
        <x:v>0.7</x:v>
      </x:c>
      <x:c r="G33" s="154" t="str">
        <x:v>GRID BRACKET</x:v>
      </x:c>
      <x:c r="H33" s="195" t="b">
        <x:v>1</x:v>
      </x:c>
      <x:c r="I33" s="195" t="b">
        <x:v>0</x:v>
      </x:c>
      <x:c r="J33" s="150"/>
      <x:c r="K33" s="150"/>
      <x:c r="L33" s="150"/>
      <x:c r="M33" s="150"/>
      <x:c r="N33" s="150"/>
      <x:c r="O33" s="150"/>
      <x:c r="P33" s="150"/>
      <x:c r="Q33" s="150"/>
      <x:c r="R33" s="150"/>
      <x:c r="S33" s="150"/>
    </x:row>
    <x:row r="34" ht="42" customHeight="1">
      <x:c r="A34" s="150"/>
      <x:c r="B34" s="150"/>
      <x:c r="C34" s="163" t="n">
        <x:v>0.6</x:v>
      </x:c>
      <x:c r="D34" s="150" t="str">
        <x:v>level_low</x:v>
      </x:c>
      <x:c r="E34" s="163" t="n">
        <x:v>0.65</x:v>
      </x:c>
      <x:c r="F34" s="163" t="n">
        <x:v>0.7</x:v>
      </x:c>
      <x:c r="G34" s="154" t="str">
        <x:v>GRID BRACKET</x:v>
      </x:c>
      <x:c r="H34" s="195" t="b">
        <x:v>1</x:v>
      </x:c>
      <x:c r="I34" s="195" t="b">
        <x:v>0</x:v>
      </x:c>
      <x:c r="J34" s="150"/>
      <x:c r="K34" s="150"/>
      <x:c r="L34" s="150"/>
      <x:c r="M34" s="150"/>
      <x:c r="N34" s="150"/>
      <x:c r="O34" s="150"/>
      <x:c r="P34" s="150"/>
      <x:c r="Q34" s="150"/>
      <x:c r="R34" s="150"/>
      <x:c r="S34" s="150"/>
    </x:row>
    <x:row r="35" ht="42" customHeight="1">
      <x:c r="A35" s="150"/>
      <x:c r="B35" s="150"/>
      <x:c r="C35" s="163" t="n">
        <x:v>0.6</x:v>
      </x:c>
      <x:c r="D35" s="150" t="str">
        <x:v>level_high</x:v>
      </x:c>
      <x:c r="E35" s="163" t="n">
        <x:v>0.65</x:v>
      </x:c>
      <x:c r="F35" s="163" t="n">
        <x:v>0.7</x:v>
      </x:c>
      <x:c r="G35" s="154" t="str">
        <x:v>GRID BRACKET</x:v>
      </x:c>
      <x:c r="H35" s="195" t="b">
        <x:v>1</x:v>
      </x:c>
      <x:c r="I35" s="195" t="b">
        <x:v>0</x:v>
      </x:c>
      <x:c r="J35" s="150"/>
      <x:c r="K35" s="150"/>
      <x:c r="L35" s="150"/>
      <x:c r="M35" s="150"/>
      <x:c r="N35" s="150"/>
      <x:c r="O35" s="150"/>
      <x:c r="P35" s="150"/>
      <x:c r="Q35" s="150"/>
      <x:c r="R35" s="150"/>
      <x:c r="S35" s="150"/>
    </x:row>
    <x:row r="36" ht="42" customHeight="1">
      <x:c r="A36" s="150"/>
      <x:c r="B36" s="150"/>
      <x:c r="C36" s="163" t="n">
        <x:v>0.61</x:v>
      </x:c>
      <x:c r="D36" s="150" t="str">
        <x:v>front_flat</x:v>
      </x:c>
      <x:c r="E36" s="163" t="n">
        <x:v>0.65</x:v>
      </x:c>
      <x:c r="F36" s="163" t="n">
        <x:v>0.7</x:v>
      </x:c>
      <x:c r="G36" s="154" t="str">
        <x:v>GRID BRACKET</x:v>
      </x:c>
      <x:c r="H36" s="195" t="b">
        <x:v>1</x:v>
      </x:c>
      <x:c r="I36" s="195" t="b">
        <x:v>0</x:v>
      </x:c>
      <x:c r="J36" s="150"/>
      <x:c r="K36" s="150"/>
      <x:c r="L36" s="150"/>
      <x:c r="M36" s="150"/>
      <x:c r="N36" s="150"/>
      <x:c r="O36" s="150"/>
      <x:c r="P36" s="150"/>
      <x:c r="Q36" s="150"/>
      <x:c r="R36" s="150"/>
      <x:c r="S36" s="150"/>
    </x:row>
    <x:row r="37" ht="42" customHeight="1">
      <x:c r="A37" s="150"/>
      <x:c r="B37" s="150"/>
      <x:c r="C37" s="163" t="n">
        <x:v>0.61</x:v>
      </x:c>
      <x:c r="D37" s="150" t="str">
        <x:v>front_low</x:v>
      </x:c>
      <x:c r="E37" s="163" t="n">
        <x:v>0.65</x:v>
      </x:c>
      <x:c r="F37" s="163" t="n">
        <x:v>0.7</x:v>
      </x:c>
      <x:c r="G37" s="154" t="str">
        <x:v>GRID BRACKET</x:v>
      </x:c>
      <x:c r="H37" s="195" t="b">
        <x:v>1</x:v>
      </x:c>
      <x:c r="I37" s="195" t="b">
        <x:v>0</x:v>
      </x:c>
      <x:c r="J37" s="150"/>
      <x:c r="K37" s="150"/>
      <x:c r="L37" s="150"/>
      <x:c r="M37" s="150"/>
      <x:c r="N37" s="150"/>
      <x:c r="O37" s="150"/>
      <x:c r="P37" s="150"/>
      <x:c r="Q37" s="150"/>
      <x:c r="R37" s="150"/>
      <x:c r="S37" s="150"/>
    </x:row>
    <x:row r="38" ht="42" customHeight="1">
      <x:c r="A38" s="150"/>
      <x:c r="B38" s="150"/>
      <x:c r="C38" s="163" t="n">
        <x:v>0.61</x:v>
      </x:c>
      <x:c r="D38" s="150" t="str">
        <x:v>front_high</x:v>
      </x:c>
      <x:c r="E38" s="163" t="n">
        <x:v>0.65</x:v>
      </x:c>
      <x:c r="F38" s="163" t="n">
        <x:v>0.7</x:v>
      </x:c>
      <x:c r="G38" s="154" t="str">
        <x:v>GRID BRACKET</x:v>
      </x:c>
      <x:c r="H38" s="195" t="b">
        <x:v>1</x:v>
      </x:c>
      <x:c r="I38" s="195" t="b">
        <x:v>0</x:v>
      </x:c>
      <x:c r="J38" s="150"/>
      <x:c r="K38" s="150"/>
      <x:c r="L38" s="150"/>
      <x:c r="M38" s="150"/>
      <x:c r="N38" s="150"/>
      <x:c r="O38" s="150"/>
      <x:c r="P38" s="150"/>
      <x:c r="Q38" s="150"/>
      <x:c r="R38" s="150"/>
      <x:c r="S38" s="150"/>
    </x:row>
    <x:row r="39" ht="42" customHeight="1">
      <x:c r="A39" s="150"/>
      <x:c r="B39" s="150"/>
      <x:c r="C39" s="163" t="n">
        <x:v>0.61</x:v>
      </x:c>
      <x:c r="D39" s="150" t="str">
        <x:v>middle_flat</x:v>
      </x:c>
      <x:c r="E39" s="163" t="n">
        <x:v>0.65</x:v>
      </x:c>
      <x:c r="F39" s="163" t="n">
        <x:v>0.7</x:v>
      </x:c>
      <x:c r="G39" s="154" t="str">
        <x:v>GRID BRACKET</x:v>
      </x:c>
      <x:c r="H39" s="195" t="b">
        <x:v>1</x:v>
      </x:c>
      <x:c r="I39" s="195" t="b">
        <x:v>0</x:v>
      </x:c>
      <x:c r="J39" s="150"/>
      <x:c r="K39" s="150"/>
      <x:c r="L39" s="150"/>
      <x:c r="M39" s="150"/>
      <x:c r="N39" s="150"/>
      <x:c r="O39" s="150"/>
      <x:c r="P39" s="150"/>
      <x:c r="Q39" s="150"/>
      <x:c r="R39" s="150"/>
      <x:c r="S39" s="150"/>
    </x:row>
    <x:row r="40" ht="42" customHeight="1">
      <x:c r="A40" s="150"/>
      <x:c r="B40" s="150"/>
      <x:c r="C40" s="163" t="n">
        <x:v>0.61</x:v>
      </x:c>
      <x:c r="D40" s="150" t="str">
        <x:v>middle_low</x:v>
      </x:c>
      <x:c r="E40" s="163" t="n">
        <x:v>0.65</x:v>
      </x:c>
      <x:c r="F40" s="163" t="n">
        <x:v>0.7</x:v>
      </x:c>
      <x:c r="G40" s="154" t="str">
        <x:v>GRID BRACKET</x:v>
      </x:c>
      <x:c r="H40" s="195" t="b">
        <x:v>1</x:v>
      </x:c>
      <x:c r="I40" s="195" t="b">
        <x:v>0</x:v>
      </x:c>
      <x:c r="J40" s="150"/>
      <x:c r="K40" s="150"/>
      <x:c r="L40" s="150"/>
      <x:c r="M40" s="150"/>
      <x:c r="N40" s="150"/>
      <x:c r="O40" s="150"/>
      <x:c r="P40" s="150"/>
      <x:c r="Q40" s="150"/>
      <x:c r="R40" s="150"/>
      <x:c r="S40" s="150"/>
    </x:row>
    <x:row r="41" ht="42" customHeight="1">
      <x:c r="A41" s="150"/>
      <x:c r="B41" s="150"/>
      <x:c r="C41" s="163" t="n">
        <x:v>0.61</x:v>
      </x:c>
      <x:c r="D41" s="150" t="str">
        <x:v>middle_high</x:v>
      </x:c>
      <x:c r="E41" s="163" t="n">
        <x:v>0.65</x:v>
      </x:c>
      <x:c r="F41" s="163" t="n">
        <x:v>0.7</x:v>
      </x:c>
      <x:c r="G41" s="154" t="str">
        <x:v>GRID BRACKET</x:v>
      </x:c>
      <x:c r="H41" s="195" t="b">
        <x:v>1</x:v>
      </x:c>
      <x:c r="I41" s="195" t="b">
        <x:v>0</x:v>
      </x:c>
      <x:c r="J41" s="150"/>
      <x:c r="K41" s="150"/>
      <x:c r="L41" s="150"/>
      <x:c r="M41" s="150"/>
      <x:c r="N41" s="150"/>
      <x:c r="O41" s="150"/>
      <x:c r="P41" s="150"/>
      <x:c r="Q41" s="150"/>
      <x:c r="R41" s="150"/>
      <x:c r="S41" s="150"/>
    </x:row>
    <x:row r="42" ht="42" customHeight="1">
      <x:c r="A42" s="150"/>
      <x:c r="B42" s="150"/>
      <x:c r="C42" s="163" t="n">
        <x:v>0.61</x:v>
      </x:c>
      <x:c r="D42" s="150" t="str">
        <x:v>back_flat</x:v>
      </x:c>
      <x:c r="E42" s="163" t="n">
        <x:v>0.65</x:v>
      </x:c>
      <x:c r="F42" s="163" t="n">
        <x:v>0.7</x:v>
      </x:c>
      <x:c r="G42" s="154" t="str">
        <x:v>GRID BRACKET</x:v>
      </x:c>
      <x:c r="H42" s="195" t="b">
        <x:v>1</x:v>
      </x:c>
      <x:c r="I42" s="195" t="b">
        <x:v>0</x:v>
      </x:c>
      <x:c r="J42" s="150"/>
      <x:c r="K42" s="150"/>
      <x:c r="L42" s="150"/>
      <x:c r="M42" s="150"/>
      <x:c r="N42" s="150"/>
      <x:c r="O42" s="150"/>
      <x:c r="P42" s="150"/>
      <x:c r="Q42" s="150"/>
      <x:c r="R42" s="150"/>
      <x:c r="S42" s="150"/>
    </x:row>
    <x:row r="43" ht="42" customHeight="1">
      <x:c r="A43" s="150"/>
      <x:c r="B43" s="150"/>
      <x:c r="C43" s="163" t="n">
        <x:v>0.61</x:v>
      </x:c>
      <x:c r="D43" s="150" t="str">
        <x:v>back_low</x:v>
      </x:c>
      <x:c r="E43" s="163" t="n">
        <x:v>0.65</x:v>
      </x:c>
      <x:c r="F43" s="163" t="n">
        <x:v>0.7</x:v>
      </x:c>
      <x:c r="G43" s="154" t="str">
        <x:v>GRID BRACKET</x:v>
      </x:c>
      <x:c r="H43" s="195" t="b">
        <x:v>1</x:v>
      </x:c>
      <x:c r="I43" s="195" t="b">
        <x:v>0</x:v>
      </x:c>
      <x:c r="J43" s="150"/>
      <x:c r="K43" s="150"/>
      <x:c r="L43" s="150"/>
      <x:c r="M43" s="150"/>
      <x:c r="N43" s="150"/>
      <x:c r="O43" s="150"/>
      <x:c r="P43" s="150"/>
      <x:c r="Q43" s="150"/>
      <x:c r="R43" s="150"/>
      <x:c r="S43" s="150"/>
    </x:row>
    <x:row r="44" ht="42" customHeight="1">
      <x:c r="A44" s="150"/>
      <x:c r="B44" s="150"/>
      <x:c r="C44" s="163" t="n">
        <x:v>0.61</x:v>
      </x:c>
      <x:c r="D44" s="150" t="str">
        <x:v>back_high</x:v>
      </x:c>
      <x:c r="E44" s="163" t="n">
        <x:v>0.65</x:v>
      </x:c>
      <x:c r="F44" s="163" t="n">
        <x:v>0.7</x:v>
      </x:c>
      <x:c r="G44" s="154" t="str">
        <x:v>GRID BRACKET</x:v>
      </x:c>
      <x:c r="H44" s="195" t="b">
        <x:v>1</x:v>
      </x:c>
      <x:c r="I44" s="195" t="b">
        <x:v>0</x:v>
      </x:c>
      <x:c r="J44" s="150"/>
      <x:c r="K44" s="150"/>
      <x:c r="L44" s="150"/>
      <x:c r="M44" s="150"/>
      <x:c r="N44" s="150"/>
      <x:c r="O44" s="150"/>
      <x:c r="P44" s="150"/>
      <x:c r="Q44" s="150"/>
      <x:c r="R44" s="150"/>
      <x:c r="S44" s="150"/>
    </x:row>
    <x:row r="45" ht="42" customHeight="1">
      <x:c r="A45" s="150"/>
      <x:c r="B45" s="150"/>
      <x:c r="C45" s="163" t="n">
        <x:v>0.61</x:v>
      </x:c>
      <x:c r="D45" s="150" t="str">
        <x:v>level_flat</x:v>
      </x:c>
      <x:c r="E45" s="163" t="n">
        <x:v>0.65</x:v>
      </x:c>
      <x:c r="F45" s="163" t="n">
        <x:v>0.7</x:v>
      </x:c>
      <x:c r="G45" s="154" t="str">
        <x:v>GRID BRACKET</x:v>
      </x:c>
      <x:c r="H45" s="195" t="b">
        <x:v>1</x:v>
      </x:c>
      <x:c r="I45" s="195" t="b">
        <x:v>0</x:v>
      </x:c>
      <x:c r="J45" s="150"/>
      <x:c r="K45" s="150"/>
      <x:c r="L45" s="150"/>
      <x:c r="M45" s="150"/>
      <x:c r="N45" s="150"/>
      <x:c r="O45" s="150"/>
      <x:c r="P45" s="150"/>
      <x:c r="Q45" s="150"/>
      <x:c r="R45" s="150"/>
      <x:c r="S45" s="150"/>
    </x:row>
    <x:row r="46" ht="42" customHeight="1">
      <x:c r="A46" s="150"/>
      <x:c r="B46" s="150"/>
      <x:c r="C46" s="163" t="n">
        <x:v>0.61</x:v>
      </x:c>
      <x:c r="D46" s="150" t="str">
        <x:v>level_low</x:v>
      </x:c>
      <x:c r="E46" s="163" t="n">
        <x:v>0.65</x:v>
      </x:c>
      <x:c r="F46" s="163" t="n">
        <x:v>0.7</x:v>
      </x:c>
      <x:c r="G46" s="154" t="str">
        <x:v>GRID BRACKET</x:v>
      </x:c>
      <x:c r="H46" s="195" t="b">
        <x:v>1</x:v>
      </x:c>
      <x:c r="I46" s="195" t="b">
        <x:v>0</x:v>
      </x:c>
      <x:c r="J46" s="150"/>
      <x:c r="K46" s="150"/>
      <x:c r="L46" s="150"/>
      <x:c r="M46" s="150"/>
      <x:c r="N46" s="150"/>
      <x:c r="O46" s="150"/>
      <x:c r="P46" s="150"/>
      <x:c r="Q46" s="150"/>
      <x:c r="R46" s="150"/>
      <x:c r="S46" s="150"/>
    </x:row>
    <x:row r="47" ht="42" customHeight="1">
      <x:c r="A47" s="150"/>
      <x:c r="B47" s="150"/>
      <x:c r="C47" s="163" t="n">
        <x:v>0.61</x:v>
      </x:c>
      <x:c r="D47" s="150" t="str">
        <x:v>level_high</x:v>
      </x:c>
      <x:c r="E47" s="163" t="n">
        <x:v>0.65</x:v>
      </x:c>
      <x:c r="F47" s="163" t="n">
        <x:v>0.7</x:v>
      </x:c>
      <x:c r="G47" s="154" t="str">
        <x:v>GRID BRACKET</x:v>
      </x:c>
      <x:c r="H47" s="195" t="b">
        <x:v>1</x:v>
      </x:c>
      <x:c r="I47" s="195" t="b">
        <x:v>0</x:v>
      </x:c>
      <x:c r="J47" s="150"/>
      <x:c r="K47" s="150"/>
      <x:c r="L47" s="150"/>
      <x:c r="M47" s="150"/>
      <x:c r="N47" s="150"/>
      <x:c r="O47" s="150"/>
      <x:c r="P47" s="150"/>
      <x:c r="Q47" s="150"/>
      <x:c r="R47" s="150"/>
      <x:c r="S47" s="150"/>
    </x:row>
    <x:row r="48" ht="42" customHeight="1">
      <x:c r="A48" s="150"/>
      <x:c r="B48" s="150"/>
      <x:c r="C48" s="163" t="n">
        <x:v>0.62</x:v>
      </x:c>
      <x:c r="D48" s="150" t="str">
        <x:v>front_flat</x:v>
      </x:c>
      <x:c r="E48" s="163" t="n">
        <x:v>0.65</x:v>
      </x:c>
      <x:c r="F48" s="163" t="n">
        <x:v>0.7</x:v>
      </x:c>
      <x:c r="G48" s="154" t="str">
        <x:v>GRID BRACKET</x:v>
      </x:c>
      <x:c r="H48" s="195" t="b">
        <x:v>1</x:v>
      </x:c>
      <x:c r="I48" s="195" t="b">
        <x:v>0</x:v>
      </x:c>
      <x:c r="J48" s="150"/>
      <x:c r="K48" s="150"/>
      <x:c r="L48" s="150"/>
      <x:c r="M48" s="150"/>
      <x:c r="N48" s="150"/>
      <x:c r="O48" s="150"/>
      <x:c r="P48" s="150"/>
      <x:c r="Q48" s="150"/>
      <x:c r="R48" s="150"/>
      <x:c r="S48" s="150"/>
    </x:row>
    <x:row r="49" ht="42" customHeight="1">
      <x:c r="A49" s="150"/>
      <x:c r="B49" s="150"/>
      <x:c r="C49" s="163" t="n">
        <x:v>0.62</x:v>
      </x:c>
      <x:c r="D49" s="150" t="str">
        <x:v>front_low</x:v>
      </x:c>
      <x:c r="E49" s="163" t="n">
        <x:v>0.65</x:v>
      </x:c>
      <x:c r="F49" s="163" t="n">
        <x:v>0.7</x:v>
      </x:c>
      <x:c r="G49" s="154" t="str">
        <x:v>GRID BRACKET</x:v>
      </x:c>
      <x:c r="H49" s="195" t="b">
        <x:v>1</x:v>
      </x:c>
      <x:c r="I49" s="195" t="b">
        <x:v>0</x:v>
      </x:c>
      <x:c r="J49" s="150"/>
      <x:c r="K49" s="150"/>
      <x:c r="L49" s="150"/>
      <x:c r="M49" s="150"/>
      <x:c r="N49" s="150"/>
      <x:c r="O49" s="150"/>
      <x:c r="P49" s="150"/>
      <x:c r="Q49" s="150"/>
      <x:c r="R49" s="150"/>
      <x:c r="S49" s="150"/>
    </x:row>
    <x:row r="50" ht="42" customHeight="1">
      <x:c r="A50" s="150"/>
      <x:c r="B50" s="150"/>
      <x:c r="C50" s="163" t="n">
        <x:v>0.62</x:v>
      </x:c>
      <x:c r="D50" s="150" t="str">
        <x:v>front_high</x:v>
      </x:c>
      <x:c r="E50" s="163" t="n">
        <x:v>0.65</x:v>
      </x:c>
      <x:c r="F50" s="163" t="n">
        <x:v>0.7</x:v>
      </x:c>
      <x:c r="G50" s="154" t="str">
        <x:v>GRID BRACKET</x:v>
      </x:c>
      <x:c r="H50" s="195" t="b">
        <x:v>1</x:v>
      </x:c>
      <x:c r="I50" s="195" t="b">
        <x:v>0</x:v>
      </x:c>
      <x:c r="J50" s="150"/>
      <x:c r="K50" s="150"/>
      <x:c r="L50" s="150"/>
      <x:c r="M50" s="150"/>
      <x:c r="N50" s="150"/>
      <x:c r="O50" s="150"/>
      <x:c r="P50" s="150"/>
      <x:c r="Q50" s="150"/>
      <x:c r="R50" s="150"/>
      <x:c r="S50" s="150"/>
    </x:row>
    <x:row r="51" ht="42" customHeight="1">
      <x:c r="A51" s="150"/>
      <x:c r="B51" s="150"/>
      <x:c r="C51" s="163" t="n">
        <x:v>0.62</x:v>
      </x:c>
      <x:c r="D51" s="150" t="str">
        <x:v>middle_flat</x:v>
      </x:c>
      <x:c r="E51" s="163" t="n">
        <x:v>0.6</x:v>
      </x:c>
      <x:c r="F51" s="163" t="n">
        <x:v>0.65</x:v>
      </x:c>
      <x:c r="G51" s="154" t="str">
        <x:v>GRID BRACKET</x:v>
      </x:c>
      <x:c r="H51" s="195" t="b">
        <x:v>1</x:v>
      </x:c>
      <x:c r="I51" s="195" t="b">
        <x:v>0</x:v>
      </x:c>
      <x:c r="J51" s="150"/>
      <x:c r="K51" s="150"/>
      <x:c r="L51" s="150"/>
      <x:c r="M51" s="150"/>
      <x:c r="N51" s="150"/>
      <x:c r="O51" s="150"/>
      <x:c r="P51" s="150"/>
      <x:c r="Q51" s="150"/>
      <x:c r="R51" s="150"/>
      <x:c r="S51" s="150"/>
    </x:row>
    <x:row r="52" ht="42" customHeight="1">
      <x:c r="A52" s="150"/>
      <x:c r="B52" s="150"/>
      <x:c r="C52" s="163" t="n">
        <x:v>0.62</x:v>
      </x:c>
      <x:c r="D52" s="150" t="str">
        <x:v>middle_low</x:v>
      </x:c>
      <x:c r="E52" s="163" t="n">
        <x:v>0.6</x:v>
      </x:c>
      <x:c r="F52" s="163" t="n">
        <x:v>0.65</x:v>
      </x:c>
      <x:c r="G52" s="154" t="str">
        <x:v>GRID BRACKET</x:v>
      </x:c>
      <x:c r="H52" s="195" t="b">
        <x:v>1</x:v>
      </x:c>
      <x:c r="I52" s="195" t="b">
        <x:v>0</x:v>
      </x:c>
      <x:c r="J52" s="150"/>
      <x:c r="K52" s="150"/>
      <x:c r="L52" s="150"/>
      <x:c r="M52" s="150"/>
      <x:c r="N52" s="150"/>
      <x:c r="O52" s="150"/>
      <x:c r="P52" s="150"/>
      <x:c r="Q52" s="150"/>
      <x:c r="R52" s="150"/>
      <x:c r="S52" s="150"/>
    </x:row>
    <x:row r="53" ht="42" customHeight="1">
      <x:c r="A53" s="150"/>
      <x:c r="B53" s="150"/>
      <x:c r="C53" s="163" t="n">
        <x:v>0.62</x:v>
      </x:c>
      <x:c r="D53" s="150" t="str">
        <x:v>middle_high</x:v>
      </x:c>
      <x:c r="E53" s="163" t="n">
        <x:v>0.6</x:v>
      </x:c>
      <x:c r="F53" s="163" t="n">
        <x:v>0.65</x:v>
      </x:c>
      <x:c r="G53" s="154" t="str">
        <x:v>GRID BRACKET</x:v>
      </x:c>
      <x:c r="H53" s="195" t="b">
        <x:v>1</x:v>
      </x:c>
      <x:c r="I53" s="195" t="b">
        <x:v>0</x:v>
      </x:c>
      <x:c r="J53" s="150"/>
      <x:c r="K53" s="150"/>
      <x:c r="L53" s="150"/>
      <x:c r="M53" s="150"/>
      <x:c r="N53" s="150"/>
      <x:c r="O53" s="150"/>
      <x:c r="P53" s="150"/>
      <x:c r="Q53" s="150"/>
      <x:c r="R53" s="150"/>
      <x:c r="S53" s="150"/>
    </x:row>
    <x:row r="54" ht="42" customHeight="1">
      <x:c r="A54" s="150"/>
      <x:c r="B54" s="150"/>
      <x:c r="C54" s="163" t="n">
        <x:v>0.62</x:v>
      </x:c>
      <x:c r="D54" s="150" t="str">
        <x:v>back_flat</x:v>
      </x:c>
      <x:c r="E54" s="163" t="n">
        <x:v>0.6</x:v>
      </x:c>
      <x:c r="F54" s="163" t="n">
        <x:v>0.65</x:v>
      </x:c>
      <x:c r="G54" s="154" t="str">
        <x:v>GRID BRACKET</x:v>
      </x:c>
      <x:c r="H54" s="195" t="b">
        <x:v>1</x:v>
      </x:c>
      <x:c r="I54" s="195" t="b">
        <x:v>0</x:v>
      </x:c>
      <x:c r="J54" s="150"/>
      <x:c r="K54" s="150"/>
      <x:c r="L54" s="150"/>
      <x:c r="M54" s="150"/>
      <x:c r="N54" s="150"/>
      <x:c r="O54" s="150"/>
      <x:c r="P54" s="150"/>
      <x:c r="Q54" s="150"/>
      <x:c r="R54" s="150"/>
      <x:c r="S54" s="150"/>
    </x:row>
    <x:row r="55" ht="42" customHeight="1">
      <x:c r="A55" s="150"/>
      <x:c r="B55" s="150"/>
      <x:c r="C55" s="163" t="n">
        <x:v>0.62</x:v>
      </x:c>
      <x:c r="D55" s="150" t="str">
        <x:v>back_low</x:v>
      </x:c>
      <x:c r="E55" s="163" t="n">
        <x:v>0.6</x:v>
      </x:c>
      <x:c r="F55" s="163" t="n">
        <x:v>0.65</x:v>
      </x:c>
      <x:c r="G55" s="154" t="str">
        <x:v>GRID BRACKET</x:v>
      </x:c>
      <x:c r="H55" s="195" t="b">
        <x:v>1</x:v>
      </x:c>
      <x:c r="I55" s="195" t="b">
        <x:v>0</x:v>
      </x:c>
      <x:c r="J55" s="150"/>
      <x:c r="K55" s="150"/>
      <x:c r="L55" s="150"/>
      <x:c r="M55" s="150"/>
      <x:c r="N55" s="150"/>
      <x:c r="O55" s="150"/>
      <x:c r="P55" s="150"/>
      <x:c r="Q55" s="150"/>
      <x:c r="R55" s="150"/>
      <x:c r="S55" s="150"/>
    </x:row>
    <x:row r="56" ht="42" customHeight="1">
      <x:c r="A56" s="150"/>
      <x:c r="B56" s="150"/>
      <x:c r="C56" s="163" t="n">
        <x:v>0.62</x:v>
      </x:c>
      <x:c r="D56" s="150" t="str">
        <x:v>back_high</x:v>
      </x:c>
      <x:c r="E56" s="163" t="n">
        <x:v>0.6</x:v>
      </x:c>
      <x:c r="F56" s="163" t="n">
        <x:v>0.65</x:v>
      </x:c>
      <x:c r="G56" s="154" t="str">
        <x:v>GRID BRACKET</x:v>
      </x:c>
      <x:c r="H56" s="195" t="b">
        <x:v>1</x:v>
      </x:c>
      <x:c r="I56" s="195" t="b">
        <x:v>0</x:v>
      </x:c>
      <x:c r="J56" s="150"/>
      <x:c r="K56" s="150"/>
      <x:c r="L56" s="150"/>
      <x:c r="M56" s="150"/>
      <x:c r="N56" s="150"/>
      <x:c r="O56" s="150"/>
      <x:c r="P56" s="150"/>
      <x:c r="Q56" s="150"/>
      <x:c r="R56" s="150"/>
      <x:c r="S56" s="150"/>
    </x:row>
    <x:row r="57" ht="42" customHeight="1">
      <x:c r="A57" s="150"/>
      <x:c r="B57" s="150"/>
      <x:c r="C57" s="163" t="n">
        <x:v>0.62</x:v>
      </x:c>
      <x:c r="D57" s="150" t="str">
        <x:v>level_flat</x:v>
      </x:c>
      <x:c r="E57" s="163" t="n">
        <x:v>0.6</x:v>
      </x:c>
      <x:c r="F57" s="163" t="n">
        <x:v>0.65</x:v>
      </x:c>
      <x:c r="G57" s="154" t="str">
        <x:v>GRID BRACKET</x:v>
      </x:c>
      <x:c r="H57" s="195" t="b">
        <x:v>1</x:v>
      </x:c>
      <x:c r="I57" s="195" t="b">
        <x:v>0</x:v>
      </x:c>
      <x:c r="J57" s="150"/>
      <x:c r="K57" s="150"/>
      <x:c r="L57" s="150"/>
      <x:c r="M57" s="150"/>
      <x:c r="N57" s="150"/>
      <x:c r="O57" s="150"/>
      <x:c r="P57" s="150"/>
      <x:c r="Q57" s="150"/>
      <x:c r="R57" s="150"/>
      <x:c r="S57" s="150"/>
    </x:row>
    <x:row r="58" ht="42" customHeight="1">
      <x:c r="A58" s="150"/>
      <x:c r="B58" s="150"/>
      <x:c r="C58" s="163" t="n">
        <x:v>0.62</x:v>
      </x:c>
      <x:c r="D58" s="150" t="str">
        <x:v>level_low</x:v>
      </x:c>
      <x:c r="E58" s="163" t="n">
        <x:v>0.6</x:v>
      </x:c>
      <x:c r="F58" s="163" t="n">
        <x:v>0.65</x:v>
      </x:c>
      <x:c r="G58" s="154" t="str">
        <x:v>GRID BRACKET</x:v>
      </x:c>
      <x:c r="H58" s="195" t="b">
        <x:v>1</x:v>
      </x:c>
      <x:c r="I58" s="195" t="b">
        <x:v>0</x:v>
      </x:c>
      <x:c r="J58" s="150"/>
      <x:c r="K58" s="150"/>
      <x:c r="L58" s="150"/>
      <x:c r="M58" s="150"/>
      <x:c r="N58" s="150"/>
      <x:c r="O58" s="150"/>
      <x:c r="P58" s="150"/>
      <x:c r="Q58" s="150"/>
      <x:c r="R58" s="150"/>
      <x:c r="S58" s="150"/>
    </x:row>
    <x:row r="59" ht="42" customHeight="1">
      <x:c r="A59" s="150"/>
      <x:c r="B59" s="150"/>
      <x:c r="C59" s="163" t="n">
        <x:v>0.62</x:v>
      </x:c>
      <x:c r="D59" s="150" t="str">
        <x:v>level_high</x:v>
      </x:c>
      <x:c r="E59" s="163" t="n">
        <x:v>0.6</x:v>
      </x:c>
      <x:c r="F59" s="163" t="n">
        <x:v>0.65</x:v>
      </x:c>
      <x:c r="G59" s="154" t="str">
        <x:v>GRID BRACKET</x:v>
      </x:c>
      <x:c r="H59" s="195" t="b">
        <x:v>1</x:v>
      </x:c>
      <x:c r="I59" s="195" t="b">
        <x:v>0</x:v>
      </x:c>
      <x:c r="J59" s="150"/>
      <x:c r="K59" s="150"/>
      <x:c r="L59" s="150"/>
      <x:c r="M59" s="150"/>
      <x:c r="N59" s="150"/>
      <x:c r="O59" s="150"/>
      <x:c r="P59" s="150"/>
      <x:c r="Q59" s="150"/>
      <x:c r="R59" s="150"/>
      <x:c r="S59" s="150"/>
    </x:row>
    <x:row r="60" ht="42" customHeight="1">
      <x:c r="A60" s="150"/>
      <x:c r="B60" s="150"/>
      <x:c r="C60" s="163" t="n">
        <x:v>0.63</x:v>
      </x:c>
      <x:c r="D60" s="150" t="str">
        <x:v>front_flat</x:v>
      </x:c>
      <x:c r="E60" s="163" t="n">
        <x:v>0.6</x:v>
      </x:c>
      <x:c r="F60" s="163" t="n">
        <x:v>0.65</x:v>
      </x:c>
      <x:c r="G60" s="154" t="str">
        <x:v>GRID BRACKET</x:v>
      </x:c>
      <x:c r="H60" s="195" t="b">
        <x:v>1</x:v>
      </x:c>
      <x:c r="I60" s="195" t="b">
        <x:v>0</x:v>
      </x:c>
      <x:c r="J60" s="150"/>
      <x:c r="K60" s="150"/>
      <x:c r="L60" s="150"/>
      <x:c r="M60" s="150"/>
      <x:c r="N60" s="150"/>
      <x:c r="O60" s="150"/>
      <x:c r="P60" s="150"/>
      <x:c r="Q60" s="150"/>
      <x:c r="R60" s="150"/>
      <x:c r="S60" s="150"/>
    </x:row>
    <x:row r="61" ht="42" customHeight="1">
      <x:c r="A61" s="150"/>
      <x:c r="B61" s="150"/>
      <x:c r="C61" s="163" t="n">
        <x:v>0.63</x:v>
      </x:c>
      <x:c r="D61" s="150" t="str">
        <x:v>front_low</x:v>
      </x:c>
      <x:c r="E61" s="163" t="n">
        <x:v>0.6</x:v>
      </x:c>
      <x:c r="F61" s="163" t="n">
        <x:v>0.65</x:v>
      </x:c>
      <x:c r="G61" s="154" t="str">
        <x:v>GRID BRACKET</x:v>
      </x:c>
      <x:c r="H61" s="195" t="b">
        <x:v>1</x:v>
      </x:c>
      <x:c r="I61" s="195" t="b">
        <x:v>0</x:v>
      </x:c>
      <x:c r="J61" s="150"/>
      <x:c r="K61" s="150"/>
      <x:c r="L61" s="150"/>
      <x:c r="M61" s="150"/>
      <x:c r="N61" s="150"/>
      <x:c r="O61" s="150"/>
      <x:c r="P61" s="150"/>
      <x:c r="Q61" s="150"/>
      <x:c r="R61" s="150"/>
      <x:c r="S61" s="150"/>
    </x:row>
    <x:row r="62" ht="42" customHeight="1">
      <x:c r="A62" s="150"/>
      <x:c r="B62" s="150"/>
      <x:c r="C62" s="163" t="n">
        <x:v>0.63</x:v>
      </x:c>
      <x:c r="D62" s="150" t="str">
        <x:v>front_high</x:v>
      </x:c>
      <x:c r="E62" s="163" t="n">
        <x:v>0.65</x:v>
      </x:c>
      <x:c r="F62" s="163" t="n">
        <x:v>0.7</x:v>
      </x:c>
      <x:c r="G62" s="154" t="str">
        <x:v>GRID BRACKET</x:v>
      </x:c>
      <x:c r="H62" s="195" t="b">
        <x:v>1</x:v>
      </x:c>
      <x:c r="I62" s="195" t="b">
        <x:v>0</x:v>
      </x:c>
      <x:c r="J62" s="150"/>
      <x:c r="K62" s="150"/>
      <x:c r="L62" s="150"/>
      <x:c r="M62" s="150"/>
      <x:c r="N62" s="150"/>
      <x:c r="O62" s="150"/>
      <x:c r="P62" s="150"/>
      <x:c r="Q62" s="150"/>
      <x:c r="R62" s="150"/>
      <x:c r="S62" s="150"/>
    </x:row>
    <x:row r="63" ht="42" customHeight="1">
      <x:c r="A63" s="150"/>
      <x:c r="B63" s="150"/>
      <x:c r="C63" s="163" t="n">
        <x:v>0.63</x:v>
      </x:c>
      <x:c r="D63" s="150" t="str">
        <x:v>middle_flat</x:v>
      </x:c>
      <x:c r="E63" s="163" t="n">
        <x:v>0.6</x:v>
      </x:c>
      <x:c r="F63" s="163" t="n">
        <x:v>0.65</x:v>
      </x:c>
      <x:c r="G63" s="154" t="str">
        <x:v>GRID BRACKET</x:v>
      </x:c>
      <x:c r="H63" s="195" t="b">
        <x:v>1</x:v>
      </x:c>
      <x:c r="I63" s="195" t="b">
        <x:v>0</x:v>
      </x:c>
      <x:c r="J63" s="150"/>
      <x:c r="K63" s="150"/>
      <x:c r="L63" s="150"/>
      <x:c r="M63" s="150"/>
      <x:c r="N63" s="150"/>
      <x:c r="O63" s="150"/>
      <x:c r="P63" s="150"/>
      <x:c r="Q63" s="150"/>
      <x:c r="R63" s="150"/>
      <x:c r="S63" s="150"/>
    </x:row>
    <x:row r="64" ht="42" customHeight="1">
      <x:c r="A64" s="150"/>
      <x:c r="B64" s="150"/>
      <x:c r="C64" s="163" t="n">
        <x:v>0.63</x:v>
      </x:c>
      <x:c r="D64" s="150" t="str">
        <x:v>middle_low</x:v>
      </x:c>
      <x:c r="E64" s="163" t="n">
        <x:v>0.6</x:v>
      </x:c>
      <x:c r="F64" s="163" t="n">
        <x:v>0.65</x:v>
      </x:c>
      <x:c r="G64" s="154" t="str">
        <x:v>GRID BRACKET</x:v>
      </x:c>
      <x:c r="H64" s="195" t="b">
        <x:v>1</x:v>
      </x:c>
      <x:c r="I64" s="195" t="b">
        <x:v>0</x:v>
      </x:c>
      <x:c r="J64" s="150"/>
      <x:c r="K64" s="150"/>
      <x:c r="L64" s="150"/>
      <x:c r="M64" s="150"/>
      <x:c r="N64" s="150"/>
      <x:c r="O64" s="150"/>
      <x:c r="P64" s="150"/>
      <x:c r="Q64" s="150"/>
      <x:c r="R64" s="150"/>
      <x:c r="S64" s="150"/>
    </x:row>
    <x:row r="65" ht="42" customHeight="1">
      <x:c r="A65" s="150"/>
      <x:c r="B65" s="150"/>
      <x:c r="C65" s="163" t="n">
        <x:v>0.63</x:v>
      </x:c>
      <x:c r="D65" s="150" t="str">
        <x:v>middle_high</x:v>
      </x:c>
      <x:c r="E65" s="163" t="n">
        <x:v>0.6</x:v>
      </x:c>
      <x:c r="F65" s="163" t="n">
        <x:v>0.65</x:v>
      </x:c>
      <x:c r="G65" s="154" t="str">
        <x:v>GRID BRACKET</x:v>
      </x:c>
      <x:c r="H65" s="195" t="b">
        <x:v>1</x:v>
      </x:c>
      <x:c r="I65" s="195" t="b">
        <x:v>0</x:v>
      </x:c>
      <x:c r="J65" s="150"/>
      <x:c r="K65" s="150"/>
      <x:c r="L65" s="150"/>
      <x:c r="M65" s="150"/>
      <x:c r="N65" s="150"/>
      <x:c r="O65" s="150"/>
      <x:c r="P65" s="150"/>
      <x:c r="Q65" s="150"/>
      <x:c r="R65" s="150"/>
      <x:c r="S65" s="150"/>
    </x:row>
    <x:row r="66" ht="42" customHeight="1">
      <x:c r="A66" s="150"/>
      <x:c r="B66" s="150"/>
      <x:c r="C66" s="163" t="n">
        <x:v>0.63</x:v>
      </x:c>
      <x:c r="D66" s="150" t="str">
        <x:v>back_flat</x:v>
      </x:c>
      <x:c r="E66" s="163" t="n">
        <x:v>0.6</x:v>
      </x:c>
      <x:c r="F66" s="163" t="n">
        <x:v>0.65</x:v>
      </x:c>
      <x:c r="G66" s="154" t="str">
        <x:v>GRID BRACKET</x:v>
      </x:c>
      <x:c r="H66" s="195" t="b">
        <x:v>1</x:v>
      </x:c>
      <x:c r="I66" s="195" t="b">
        <x:v>0</x:v>
      </x:c>
      <x:c r="J66" s="150"/>
      <x:c r="K66" s="150"/>
      <x:c r="L66" s="150"/>
      <x:c r="M66" s="150"/>
      <x:c r="N66" s="150"/>
      <x:c r="O66" s="150"/>
      <x:c r="P66" s="150"/>
      <x:c r="Q66" s="150"/>
      <x:c r="R66" s="150"/>
      <x:c r="S66" s="150"/>
    </x:row>
    <x:row r="67" ht="42" customHeight="1">
      <x:c r="A67" s="150"/>
      <x:c r="B67" s="150"/>
      <x:c r="C67" s="163" t="n">
        <x:v>0.63</x:v>
      </x:c>
      <x:c r="D67" s="150" t="str">
        <x:v>back_low</x:v>
      </x:c>
      <x:c r="E67" s="163" t="n">
        <x:v>0.6</x:v>
      </x:c>
      <x:c r="F67" s="163" t="n">
        <x:v>0.65</x:v>
      </x:c>
      <x:c r="G67" s="154" t="str">
        <x:v>GRID BRACKET</x:v>
      </x:c>
      <x:c r="H67" s="195" t="b">
        <x:v>1</x:v>
      </x:c>
      <x:c r="I67" s="195" t="b">
        <x:v>0</x:v>
      </x:c>
      <x:c r="J67" s="150"/>
      <x:c r="K67" s="150"/>
      <x:c r="L67" s="150"/>
      <x:c r="M67" s="150"/>
      <x:c r="N67" s="150"/>
      <x:c r="O67" s="150"/>
      <x:c r="P67" s="150"/>
      <x:c r="Q67" s="150"/>
      <x:c r="R67" s="150"/>
      <x:c r="S67" s="150"/>
    </x:row>
    <x:row r="68" ht="42" customHeight="1">
      <x:c r="A68" s="150"/>
      <x:c r="B68" s="150"/>
      <x:c r="C68" s="163" t="n">
        <x:v>0.63</x:v>
      </x:c>
      <x:c r="D68" s="150" t="str">
        <x:v>back_high</x:v>
      </x:c>
      <x:c r="E68" s="163" t="n">
        <x:v>0.6</x:v>
      </x:c>
      <x:c r="F68" s="163" t="n">
        <x:v>0.65</x:v>
      </x:c>
      <x:c r="G68" s="154" t="str">
        <x:v>GRID BRACKET</x:v>
      </x:c>
      <x:c r="H68" s="195" t="b">
        <x:v>1</x:v>
      </x:c>
      <x:c r="I68" s="195" t="b">
        <x:v>0</x:v>
      </x:c>
      <x:c r="J68" s="150"/>
      <x:c r="K68" s="150"/>
      <x:c r="L68" s="150"/>
      <x:c r="M68" s="150"/>
      <x:c r="N68" s="150"/>
      <x:c r="O68" s="150"/>
      <x:c r="P68" s="150"/>
      <x:c r="Q68" s="150"/>
      <x:c r="R68" s="150"/>
      <x:c r="S68" s="150"/>
    </x:row>
    <x:row r="69" ht="42" customHeight="1">
      <x:c r="A69" s="150"/>
      <x:c r="B69" s="150"/>
      <x:c r="C69" s="163" t="n">
        <x:v>0.63</x:v>
      </x:c>
      <x:c r="D69" s="150" t="str">
        <x:v>level_flat</x:v>
      </x:c>
      <x:c r="E69" s="163" t="n">
        <x:v>0.6</x:v>
      </x:c>
      <x:c r="F69" s="163" t="n">
        <x:v>0.65</x:v>
      </x:c>
      <x:c r="G69" s="154" t="str">
        <x:v>GRID BRACKET</x:v>
      </x:c>
      <x:c r="H69" s="195" t="b">
        <x:v>1</x:v>
      </x:c>
      <x:c r="I69" s="195" t="b">
        <x:v>0</x:v>
      </x:c>
      <x:c r="J69" s="150"/>
      <x:c r="K69" s="150"/>
      <x:c r="L69" s="150"/>
      <x:c r="M69" s="150"/>
      <x:c r="N69" s="150"/>
      <x:c r="O69" s="150"/>
      <x:c r="P69" s="150"/>
      <x:c r="Q69" s="150"/>
      <x:c r="R69" s="150"/>
      <x:c r="S69" s="150"/>
    </x:row>
    <x:row r="70" ht="42" customHeight="1">
      <x:c r="A70" s="150"/>
      <x:c r="B70" s="150"/>
      <x:c r="C70" s="163" t="n">
        <x:v>0.63</x:v>
      </x:c>
      <x:c r="D70" s="150" t="str">
        <x:v>level_low</x:v>
      </x:c>
      <x:c r="E70" s="163" t="n">
        <x:v>0.6</x:v>
      </x:c>
      <x:c r="F70" s="163" t="n">
        <x:v>0.65</x:v>
      </x:c>
      <x:c r="G70" s="154" t="str">
        <x:v>GRID BRACKET</x:v>
      </x:c>
      <x:c r="H70" s="195" t="b">
        <x:v>1</x:v>
      </x:c>
      <x:c r="I70" s="195" t="b">
        <x:v>0</x:v>
      </x:c>
      <x:c r="J70" s="150"/>
      <x:c r="K70" s="150"/>
      <x:c r="L70" s="150"/>
      <x:c r="M70" s="150"/>
      <x:c r="N70" s="150"/>
      <x:c r="O70" s="150"/>
      <x:c r="P70" s="150"/>
      <x:c r="Q70" s="150"/>
      <x:c r="R70" s="150"/>
      <x:c r="S70" s="150"/>
    </x:row>
    <x:row r="71" ht="42" customHeight="1">
      <x:c r="A71" s="150"/>
      <x:c r="B71" s="150"/>
      <x:c r="C71" s="163" t="n">
        <x:v>0.63</x:v>
      </x:c>
      <x:c r="D71" s="150" t="str">
        <x:v>level_high</x:v>
      </x:c>
      <x:c r="E71" s="163" t="n">
        <x:v>0.6</x:v>
      </x:c>
      <x:c r="F71" s="163" t="n">
        <x:v>0.65</x:v>
      </x:c>
      <x:c r="G71" s="154" t="str">
        <x:v>GRID BRACKET</x:v>
      </x:c>
      <x:c r="H71" s="195" t="b">
        <x:v>1</x:v>
      </x:c>
      <x:c r="I71" s="195" t="b">
        <x:v>0</x:v>
      </x:c>
      <x:c r="J71" s="150"/>
      <x:c r="K71" s="150"/>
      <x:c r="L71" s="150"/>
      <x:c r="M71" s="150"/>
      <x:c r="N71" s="150"/>
      <x:c r="O71" s="150"/>
      <x:c r="P71" s="150"/>
      <x:c r="Q71" s="150"/>
      <x:c r="R71" s="150"/>
      <x:c r="S71" s="150"/>
    </x:row>
    <x:row r="72" ht="42" customHeight="1">
      <x:c r="A72" s="150"/>
      <x:c r="B72" s="150"/>
      <x:c r="C72" s="163" t="n">
        <x:v>0.64</x:v>
      </x:c>
      <x:c r="D72" s="150" t="str">
        <x:v>front_flat</x:v>
      </x:c>
      <x:c r="E72" s="163" t="n">
        <x:v>0.6</x:v>
      </x:c>
      <x:c r="F72" s="163" t="n">
        <x:v>0.65</x:v>
      </x:c>
      <x:c r="G72" s="154" t="str">
        <x:v>GRID BRACKET</x:v>
      </x:c>
      <x:c r="H72" s="195" t="b">
        <x:v>1</x:v>
      </x:c>
      <x:c r="I72" s="195" t="b">
        <x:v>0</x:v>
      </x:c>
      <x:c r="J72" s="150"/>
      <x:c r="K72" s="150"/>
      <x:c r="L72" s="150"/>
      <x:c r="M72" s="150"/>
      <x:c r="N72" s="150"/>
      <x:c r="O72" s="150"/>
      <x:c r="P72" s="150"/>
      <x:c r="Q72" s="150"/>
      <x:c r="R72" s="150"/>
      <x:c r="S72" s="150"/>
    </x:row>
    <x:row r="73" ht="42" customHeight="1">
      <x:c r="A73" s="150"/>
      <x:c r="B73" s="150"/>
      <x:c r="C73" s="163" t="n">
        <x:v>0.64</x:v>
      </x:c>
      <x:c r="D73" s="150" t="str">
        <x:v>front_low</x:v>
      </x:c>
      <x:c r="E73" s="163" t="n">
        <x:v>0.6</x:v>
      </x:c>
      <x:c r="F73" s="163" t="n">
        <x:v>0.65</x:v>
      </x:c>
      <x:c r="G73" s="154" t="str">
        <x:v>GRID BRACKET</x:v>
      </x:c>
      <x:c r="H73" s="195" t="b">
        <x:v>1</x:v>
      </x:c>
      <x:c r="I73" s="195" t="b">
        <x:v>0</x:v>
      </x:c>
      <x:c r="J73" s="150"/>
      <x:c r="K73" s="150"/>
      <x:c r="L73" s="150"/>
      <x:c r="M73" s="150"/>
      <x:c r="N73" s="150"/>
      <x:c r="O73" s="150"/>
      <x:c r="P73" s="150"/>
      <x:c r="Q73" s="150"/>
      <x:c r="R73" s="150"/>
      <x:c r="S73" s="150"/>
    </x:row>
    <x:row r="74" ht="42" customHeight="1">
      <x:c r="A74" s="150"/>
      <x:c r="B74" s="150"/>
      <x:c r="C74" s="163" t="n">
        <x:v>0.64</x:v>
      </x:c>
      <x:c r="D74" s="150" t="str">
        <x:v>front_high</x:v>
      </x:c>
      <x:c r="E74" s="163" t="n">
        <x:v>0.6</x:v>
      </x:c>
      <x:c r="F74" s="163" t="n">
        <x:v>0.65</x:v>
      </x:c>
      <x:c r="G74" s="154" t="str">
        <x:v>GRID BRACKET</x:v>
      </x:c>
      <x:c r="H74" s="195" t="b">
        <x:v>1</x:v>
      </x:c>
      <x:c r="I74" s="195" t="b">
        <x:v>0</x:v>
      </x:c>
      <x:c r="J74" s="150"/>
      <x:c r="K74" s="150"/>
      <x:c r="L74" s="150"/>
      <x:c r="M74" s="150"/>
      <x:c r="N74" s="150"/>
      <x:c r="O74" s="150"/>
      <x:c r="P74" s="150"/>
      <x:c r="Q74" s="150"/>
      <x:c r="R74" s="150"/>
      <x:c r="S74" s="150"/>
    </x:row>
    <x:row r="75" ht="42" customHeight="1">
      <x:c r="A75" s="150"/>
      <x:c r="B75" s="150"/>
      <x:c r="C75" s="163" t="n">
        <x:v>0.64</x:v>
      </x:c>
      <x:c r="D75" s="150" t="str">
        <x:v>middle_flat</x:v>
      </x:c>
      <x:c r="E75" s="163" t="n">
        <x:v>0.6</x:v>
      </x:c>
      <x:c r="F75" s="163" t="n">
        <x:v>0.65</x:v>
      </x:c>
      <x:c r="G75" s="154" t="str">
        <x:v>GRID BRACKET</x:v>
      </x:c>
      <x:c r="H75" s="195" t="b">
        <x:v>1</x:v>
      </x:c>
      <x:c r="I75" s="195" t="b">
        <x:v>0</x:v>
      </x:c>
      <x:c r="J75" s="150"/>
      <x:c r="K75" s="150"/>
      <x:c r="L75" s="150"/>
      <x:c r="M75" s="150"/>
      <x:c r="N75" s="150"/>
      <x:c r="O75" s="150"/>
      <x:c r="P75" s="150"/>
      <x:c r="Q75" s="150"/>
      <x:c r="R75" s="150"/>
      <x:c r="S75" s="150"/>
    </x:row>
    <x:row r="76" ht="42" customHeight="1">
      <x:c r="A76" s="150"/>
      <x:c r="B76" s="150"/>
      <x:c r="C76" s="163" t="n">
        <x:v>0.64</x:v>
      </x:c>
      <x:c r="D76" s="150" t="str">
        <x:v>middle_low</x:v>
      </x:c>
      <x:c r="E76" s="163" t="n">
        <x:v>0.6</x:v>
      </x:c>
      <x:c r="F76" s="163" t="n">
        <x:v>0.65</x:v>
      </x:c>
      <x:c r="G76" s="154" t="str">
        <x:v>GRID BRACKET</x:v>
      </x:c>
      <x:c r="H76" s="195" t="b">
        <x:v>1</x:v>
      </x:c>
      <x:c r="I76" s="195" t="b">
        <x:v>0</x:v>
      </x:c>
      <x:c r="J76" s="150"/>
      <x:c r="K76" s="150"/>
      <x:c r="L76" s="150"/>
      <x:c r="M76" s="150"/>
      <x:c r="N76" s="150"/>
      <x:c r="O76" s="150"/>
      <x:c r="P76" s="150"/>
      <x:c r="Q76" s="150"/>
      <x:c r="R76" s="150"/>
      <x:c r="S76" s="150"/>
    </x:row>
    <x:row r="77" ht="42" customHeight="1">
      <x:c r="A77" s="150"/>
      <x:c r="B77" s="150"/>
      <x:c r="C77" s="163" t="n">
        <x:v>0.64</x:v>
      </x:c>
      <x:c r="D77" s="150" t="str">
        <x:v>middle_high</x:v>
      </x:c>
      <x:c r="E77" s="163" t="n">
        <x:v>0.6</x:v>
      </x:c>
      <x:c r="F77" s="163" t="n">
        <x:v>0.65</x:v>
      </x:c>
      <x:c r="G77" s="154" t="str">
        <x:v>GRID BRACKET</x:v>
      </x:c>
      <x:c r="H77" s="195" t="b">
        <x:v>1</x:v>
      </x:c>
      <x:c r="I77" s="195" t="b">
        <x:v>0</x:v>
      </x:c>
      <x:c r="J77" s="150"/>
      <x:c r="K77" s="150"/>
      <x:c r="L77" s="150"/>
      <x:c r="M77" s="150"/>
      <x:c r="N77" s="150"/>
      <x:c r="O77" s="150"/>
      <x:c r="P77" s="150"/>
      <x:c r="Q77" s="150"/>
      <x:c r="R77" s="150"/>
      <x:c r="S77" s="150"/>
    </x:row>
    <x:row r="78" ht="42" customHeight="1">
      <x:c r="A78" s="150"/>
      <x:c r="B78" s="150"/>
      <x:c r="C78" s="163" t="n">
        <x:v>0.64</x:v>
      </x:c>
      <x:c r="D78" s="150" t="str">
        <x:v>back_flat</x:v>
      </x:c>
      <x:c r="E78" s="163" t="n">
        <x:v>0.6</x:v>
      </x:c>
      <x:c r="F78" s="163" t="n">
        <x:v>0.65</x:v>
      </x:c>
      <x:c r="G78" s="154" t="str">
        <x:v>GRID BRACKET</x:v>
      </x:c>
      <x:c r="H78" s="195" t="b">
        <x:v>1</x:v>
      </x:c>
      <x:c r="I78" s="195" t="b">
        <x:v>0</x:v>
      </x:c>
      <x:c r="J78" s="150"/>
      <x:c r="K78" s="150"/>
      <x:c r="L78" s="150"/>
      <x:c r="M78" s="150"/>
      <x:c r="N78" s="150"/>
      <x:c r="O78" s="150"/>
      <x:c r="P78" s="150"/>
      <x:c r="Q78" s="150"/>
      <x:c r="R78" s="150"/>
      <x:c r="S78" s="150"/>
    </x:row>
    <x:row r="79" ht="42" customHeight="1">
      <x:c r="A79" s="150"/>
      <x:c r="B79" s="150"/>
      <x:c r="C79" s="163" t="n">
        <x:v>0.64</x:v>
      </x:c>
      <x:c r="D79" s="150" t="str">
        <x:v>back_low</x:v>
      </x:c>
      <x:c r="E79" s="163" t="n">
        <x:v>0.6</x:v>
      </x:c>
      <x:c r="F79" s="163" t="n">
        <x:v>0.65</x:v>
      </x:c>
      <x:c r="G79" s="154" t="str">
        <x:v>GRID BRACKET</x:v>
      </x:c>
      <x:c r="H79" s="195" t="b">
        <x:v>1</x:v>
      </x:c>
      <x:c r="I79" s="195" t="b">
        <x:v>0</x:v>
      </x:c>
      <x:c r="J79" s="150"/>
      <x:c r="K79" s="150"/>
      <x:c r="L79" s="150"/>
      <x:c r="M79" s="150"/>
      <x:c r="N79" s="150"/>
      <x:c r="O79" s="150"/>
      <x:c r="P79" s="150"/>
      <x:c r="Q79" s="150"/>
      <x:c r="R79" s="150"/>
      <x:c r="S79" s="150"/>
    </x:row>
    <x:row r="80" ht="42" customHeight="1">
      <x:c r="A80" s="150"/>
      <x:c r="B80" s="150"/>
      <x:c r="C80" s="163" t="n">
        <x:v>0.64</x:v>
      </x:c>
      <x:c r="D80" s="150" t="str">
        <x:v>back_high</x:v>
      </x:c>
      <x:c r="E80" s="163" t="n">
        <x:v>0.6</x:v>
      </x:c>
      <x:c r="F80" s="163" t="n">
        <x:v>0.65</x:v>
      </x:c>
      <x:c r="G80" s="154" t="str">
        <x:v>GRID BRACKET</x:v>
      </x:c>
      <x:c r="H80" s="195" t="b">
        <x:v>1</x:v>
      </x:c>
      <x:c r="I80" s="195" t="b">
        <x:v>0</x:v>
      </x:c>
      <x:c r="J80" s="150"/>
      <x:c r="K80" s="150"/>
      <x:c r="L80" s="150"/>
      <x:c r="M80" s="150"/>
      <x:c r="N80" s="150"/>
      <x:c r="O80" s="150"/>
      <x:c r="P80" s="150"/>
      <x:c r="Q80" s="150"/>
      <x:c r="R80" s="150"/>
      <x:c r="S80" s="150"/>
    </x:row>
    <x:row r="81" ht="42" customHeight="1">
      <x:c r="A81" s="150"/>
      <x:c r="B81" s="150"/>
      <x:c r="C81" s="163" t="n">
        <x:v>0.64</x:v>
      </x:c>
      <x:c r="D81" s="150" t="str">
        <x:v>level_flat</x:v>
      </x:c>
      <x:c r="E81" s="163" t="n">
        <x:v>0.6</x:v>
      </x:c>
      <x:c r="F81" s="163" t="n">
        <x:v>0.65</x:v>
      </x:c>
      <x:c r="G81" s="154" t="str">
        <x:v>GRID BRACKET</x:v>
      </x:c>
      <x:c r="H81" s="195" t="b">
        <x:v>1</x:v>
      </x:c>
      <x:c r="I81" s="195" t="b">
        <x:v>0</x:v>
      </x:c>
      <x:c r="J81" s="150"/>
      <x:c r="K81" s="150"/>
      <x:c r="L81" s="150"/>
      <x:c r="M81" s="150"/>
      <x:c r="N81" s="150"/>
      <x:c r="O81" s="150"/>
      <x:c r="P81" s="150"/>
      <x:c r="Q81" s="150"/>
      <x:c r="R81" s="150"/>
      <x:c r="S81" s="150"/>
    </x:row>
    <x:row r="82" ht="42" customHeight="1">
      <x:c r="A82" s="150"/>
      <x:c r="B82" s="150"/>
      <x:c r="C82" s="163" t="n">
        <x:v>0.64</x:v>
      </x:c>
      <x:c r="D82" s="150" t="str">
        <x:v>level_low</x:v>
      </x:c>
      <x:c r="E82" s="163" t="n">
        <x:v>0.6</x:v>
      </x:c>
      <x:c r="F82" s="163" t="n">
        <x:v>0.65</x:v>
      </x:c>
      <x:c r="G82" s="154" t="str">
        <x:v>GRID BRACKET</x:v>
      </x:c>
      <x:c r="H82" s="195" t="b">
        <x:v>1</x:v>
      </x:c>
      <x:c r="I82" s="195" t="b">
        <x:v>0</x:v>
      </x:c>
      <x:c r="J82" s="150"/>
      <x:c r="K82" s="150"/>
      <x:c r="L82" s="150"/>
      <x:c r="M82" s="150"/>
      <x:c r="N82" s="150"/>
      <x:c r="O82" s="150"/>
      <x:c r="P82" s="150"/>
      <x:c r="Q82" s="150"/>
      <x:c r="R82" s="150"/>
      <x:c r="S82" s="150"/>
    </x:row>
    <x:row r="83" ht="42" customHeight="1">
      <x:c r="A83" s="150"/>
      <x:c r="B83" s="150"/>
      <x:c r="C83" s="163" t="n">
        <x:v>0.64</x:v>
      </x:c>
      <x:c r="D83" s="150" t="str">
        <x:v>level_high</x:v>
      </x:c>
      <x:c r="E83" s="163" t="n">
        <x:v>0.6</x:v>
      </x:c>
      <x:c r="F83" s="163" t="n">
        <x:v>0.65</x:v>
      </x:c>
      <x:c r="G83" s="154" t="str">
        <x:v>GRID BRACKET</x:v>
      </x:c>
      <x:c r="H83" s="195" t="b">
        <x:v>1</x:v>
      </x:c>
      <x:c r="I83" s="195" t="b">
        <x:v>0</x:v>
      </x:c>
      <x:c r="J83" s="150"/>
      <x:c r="K83" s="150"/>
      <x:c r="L83" s="150"/>
      <x:c r="M83" s="150"/>
      <x:c r="N83" s="150"/>
      <x:c r="O83" s="150"/>
      <x:c r="P83" s="150"/>
      <x:c r="Q83" s="150"/>
      <x:c r="R83" s="150"/>
      <x:c r="S83" s="150"/>
    </x:row>
    <x:row r="84" ht="42" customHeight="1">
      <x:c r="A84" s="150"/>
      <x:c r="B84" s="150"/>
      <x:c r="C84" s="163" t="n">
        <x:v>0.65</x:v>
      </x:c>
      <x:c r="D84" s="150" t="str">
        <x:v>front_flat</x:v>
      </x:c>
      <x:c r="E84" s="163" t="n">
        <x:v>0.6</x:v>
      </x:c>
      <x:c r="F84" s="163" t="n">
        <x:v>0.65</x:v>
      </x:c>
      <x:c r="G84" s="154" t="str">
        <x:v>GRID BRACKET</x:v>
      </x:c>
      <x:c r="H84" s="195" t="b">
        <x:v>1</x:v>
      </x:c>
      <x:c r="I84" s="195" t="b">
        <x:v>0</x:v>
      </x:c>
      <x:c r="J84" s="150"/>
      <x:c r="K84" s="150"/>
      <x:c r="L84" s="150"/>
      <x:c r="M84" s="150"/>
      <x:c r="N84" s="150"/>
      <x:c r="O84" s="150"/>
      <x:c r="P84" s="150"/>
      <x:c r="Q84" s="150"/>
      <x:c r="R84" s="150"/>
      <x:c r="S84" s="150"/>
    </x:row>
    <x:row r="85" ht="42" customHeight="1">
      <x:c r="A85" s="150"/>
      <x:c r="B85" s="150"/>
      <x:c r="C85" s="163" t="n">
        <x:v>0.65</x:v>
      </x:c>
      <x:c r="D85" s="150" t="str">
        <x:v>front_low</x:v>
      </x:c>
      <x:c r="E85" s="163" t="n">
        <x:v>0.6</x:v>
      </x:c>
      <x:c r="F85" s="163" t="n">
        <x:v>0.65</x:v>
      </x:c>
      <x:c r="G85" s="154" t="str">
        <x:v>GRID BRACKET</x:v>
      </x:c>
      <x:c r="H85" s="195" t="b">
        <x:v>1</x:v>
      </x:c>
      <x:c r="I85" s="195" t="b">
        <x:v>0</x:v>
      </x:c>
      <x:c r="J85" s="150"/>
      <x:c r="K85" s="150"/>
      <x:c r="L85" s="150"/>
      <x:c r="M85" s="150"/>
      <x:c r="N85" s="150"/>
      <x:c r="O85" s="150"/>
      <x:c r="P85" s="150"/>
      <x:c r="Q85" s="150"/>
      <x:c r="R85" s="150"/>
      <x:c r="S85" s="150"/>
    </x:row>
    <x:row r="86" ht="42" customHeight="1">
      <x:c r="A86" s="150"/>
      <x:c r="B86" s="150"/>
      <x:c r="C86" s="163" t="n">
        <x:v>0.65</x:v>
      </x:c>
      <x:c r="D86" s="150" t="str">
        <x:v>front_high</x:v>
      </x:c>
      <x:c r="E86" s="163" t="n">
        <x:v>0.6</x:v>
      </x:c>
      <x:c r="F86" s="163" t="n">
        <x:v>0.65</x:v>
      </x:c>
      <x:c r="G86" s="154" t="str">
        <x:v>GRID BRACKET</x:v>
      </x:c>
      <x:c r="H86" s="195" t="b">
        <x:v>1</x:v>
      </x:c>
      <x:c r="I86" s="195" t="b">
        <x:v>0</x:v>
      </x:c>
      <x:c r="J86" s="150"/>
      <x:c r="K86" s="150"/>
      <x:c r="L86" s="150"/>
      <x:c r="M86" s="150"/>
      <x:c r="N86" s="150"/>
      <x:c r="O86" s="150"/>
      <x:c r="P86" s="150"/>
      <x:c r="Q86" s="150"/>
      <x:c r="R86" s="150"/>
      <x:c r="S86" s="150"/>
    </x:row>
    <x:row r="87" ht="42" customHeight="1">
      <x:c r="A87" s="150"/>
      <x:c r="B87" s="150"/>
      <x:c r="C87" s="163" t="n">
        <x:v>0.65</x:v>
      </x:c>
      <x:c r="D87" s="150" t="str">
        <x:v>middle_flat</x:v>
      </x:c>
      <x:c r="E87" s="163" t="n">
        <x:v>0.6</x:v>
      </x:c>
      <x:c r="F87" s="163" t="n">
        <x:v>0.65</x:v>
      </x:c>
      <x:c r="G87" s="154" t="str">
        <x:v>GRID BRACKET</x:v>
      </x:c>
      <x:c r="H87" s="195" t="b">
        <x:v>1</x:v>
      </x:c>
      <x:c r="I87" s="195" t="b">
        <x:v>0</x:v>
      </x:c>
      <x:c r="J87" s="150"/>
      <x:c r="K87" s="150"/>
      <x:c r="L87" s="150"/>
      <x:c r="M87" s="150"/>
      <x:c r="N87" s="150"/>
      <x:c r="O87" s="150"/>
      <x:c r="P87" s="150"/>
      <x:c r="Q87" s="150"/>
      <x:c r="R87" s="150"/>
      <x:c r="S87" s="150"/>
    </x:row>
    <x:row r="88" ht="42" customHeight="1">
      <x:c r="A88" s="150"/>
      <x:c r="B88" s="150"/>
      <x:c r="C88" s="163" t="n">
        <x:v>0.65</x:v>
      </x:c>
      <x:c r="D88" s="150" t="str">
        <x:v>middle_low</x:v>
      </x:c>
      <x:c r="E88" s="163" t="n">
        <x:v>0.6</x:v>
      </x:c>
      <x:c r="F88" s="163" t="n">
        <x:v>0.65</x:v>
      </x:c>
      <x:c r="G88" s="154" t="str">
        <x:v>GRID BRACKET</x:v>
      </x:c>
      <x:c r="H88" s="195" t="b">
        <x:v>1</x:v>
      </x:c>
      <x:c r="I88" s="195" t="b">
        <x:v>0</x:v>
      </x:c>
      <x:c r="J88" s="150"/>
      <x:c r="K88" s="150"/>
      <x:c r="L88" s="150"/>
      <x:c r="M88" s="150"/>
      <x:c r="N88" s="150"/>
      <x:c r="O88" s="150"/>
      <x:c r="P88" s="150"/>
      <x:c r="Q88" s="150"/>
      <x:c r="R88" s="150"/>
      <x:c r="S88" s="150"/>
    </x:row>
    <x:row r="89" ht="42" customHeight="1">
      <x:c r="A89" s="150"/>
      <x:c r="B89" s="150"/>
      <x:c r="C89" s="163" t="n">
        <x:v>0.65</x:v>
      </x:c>
      <x:c r="D89" s="150" t="str">
        <x:v>middle_high</x:v>
      </x:c>
      <x:c r="E89" s="163" t="n">
        <x:v>0.6</x:v>
      </x:c>
      <x:c r="F89" s="163" t="n">
        <x:v>0.65</x:v>
      </x:c>
      <x:c r="G89" s="154" t="str">
        <x:v>GRID BRACKET</x:v>
      </x:c>
      <x:c r="H89" s="195" t="b">
        <x:v>1</x:v>
      </x:c>
      <x:c r="I89" s="195" t="b">
        <x:v>0</x:v>
      </x:c>
      <x:c r="J89" s="150"/>
      <x:c r="K89" s="150"/>
      <x:c r="L89" s="150"/>
      <x:c r="M89" s="150"/>
      <x:c r="N89" s="150"/>
      <x:c r="O89" s="150"/>
      <x:c r="P89" s="150"/>
      <x:c r="Q89" s="150"/>
      <x:c r="R89" s="150"/>
      <x:c r="S89" s="150"/>
    </x:row>
    <x:row r="90" ht="42" customHeight="1">
      <x:c r="A90" s="150"/>
      <x:c r="B90" s="150"/>
      <x:c r="C90" s="163" t="n">
        <x:v>0.65</x:v>
      </x:c>
      <x:c r="D90" s="150" t="str">
        <x:v>back_flat</x:v>
      </x:c>
      <x:c r="E90" s="163" t="n">
        <x:v>0.55</x:v>
      </x:c>
      <x:c r="F90" s="163" t="n">
        <x:v>0.6</x:v>
      </x:c>
      <x:c r="G90" s="154" t="str">
        <x:v>GRID BRACKET</x:v>
      </x:c>
      <x:c r="H90" s="195" t="b">
        <x:v>1</x:v>
      </x:c>
      <x:c r="I90" s="195" t="b">
        <x:v>0</x:v>
      </x:c>
      <x:c r="J90" s="150"/>
      <x:c r="K90" s="150"/>
      <x:c r="L90" s="150"/>
      <x:c r="M90" s="150"/>
      <x:c r="N90" s="150"/>
      <x:c r="O90" s="150"/>
      <x:c r="P90" s="150"/>
      <x:c r="Q90" s="150"/>
      <x:c r="R90" s="150"/>
      <x:c r="S90" s="150"/>
    </x:row>
    <x:row r="91" ht="42" customHeight="1">
      <x:c r="A91" s="150"/>
      <x:c r="B91" s="150"/>
      <x:c r="C91" s="163" t="n">
        <x:v>0.65</x:v>
      </x:c>
      <x:c r="D91" s="150" t="str">
        <x:v>back_low</x:v>
      </x:c>
      <x:c r="E91" s="163" t="n">
        <x:v>0.55</x:v>
      </x:c>
      <x:c r="F91" s="163" t="n">
        <x:v>0.6</x:v>
      </x:c>
      <x:c r="G91" s="154" t="str">
        <x:v>GRID BRACKET</x:v>
      </x:c>
      <x:c r="H91" s="195" t="b">
        <x:v>1</x:v>
      </x:c>
      <x:c r="I91" s="195" t="b">
        <x:v>0</x:v>
      </x:c>
      <x:c r="J91" s="150"/>
      <x:c r="K91" s="150"/>
      <x:c r="L91" s="150"/>
      <x:c r="M91" s="150"/>
      <x:c r="N91" s="150"/>
      <x:c r="O91" s="150"/>
      <x:c r="P91" s="150"/>
      <x:c r="Q91" s="150"/>
      <x:c r="R91" s="150"/>
      <x:c r="S91" s="150"/>
    </x:row>
    <x:row r="92" ht="42" customHeight="1">
      <x:c r="A92" s="150"/>
      <x:c r="B92" s="150"/>
      <x:c r="C92" s="163" t="n">
        <x:v>0.65</x:v>
      </x:c>
      <x:c r="D92" s="150" t="str">
        <x:v>back_high</x:v>
      </x:c>
      <x:c r="E92" s="163" t="n">
        <x:v>0.55</x:v>
      </x:c>
      <x:c r="F92" s="163" t="n">
        <x:v>0.6</x:v>
      </x:c>
      <x:c r="G92" s="154" t="str">
        <x:v>GRID BRACKET</x:v>
      </x:c>
      <x:c r="H92" s="195" t="b">
        <x:v>1</x:v>
      </x:c>
      <x:c r="I92" s="195" t="b">
        <x:v>0</x:v>
      </x:c>
      <x:c r="J92" s="150"/>
      <x:c r="K92" s="150"/>
      <x:c r="L92" s="150"/>
      <x:c r="M92" s="150"/>
      <x:c r="N92" s="150"/>
      <x:c r="O92" s="150"/>
      <x:c r="P92" s="150"/>
      <x:c r="Q92" s="150"/>
      <x:c r="R92" s="150"/>
      <x:c r="S92" s="150"/>
    </x:row>
    <x:row r="93" ht="42" customHeight="1">
      <x:c r="A93" s="150"/>
      <x:c r="B93" s="150"/>
      <x:c r="C93" s="163" t="n">
        <x:v>0.65</x:v>
      </x:c>
      <x:c r="D93" s="150" t="str">
        <x:v>level_flat</x:v>
      </x:c>
      <x:c r="E93" s="163" t="n">
        <x:v>0.6</x:v>
      </x:c>
      <x:c r="F93" s="163" t="n">
        <x:v>0.65</x:v>
      </x:c>
      <x:c r="G93" s="154" t="str">
        <x:v>GRID BRACKET</x:v>
      </x:c>
      <x:c r="H93" s="195" t="b">
        <x:v>1</x:v>
      </x:c>
      <x:c r="I93" s="195" t="b">
        <x:v>0</x:v>
      </x:c>
      <x:c r="J93" s="150"/>
      <x:c r="K93" s="150"/>
      <x:c r="L93" s="150"/>
      <x:c r="M93" s="150"/>
      <x:c r="N93" s="150"/>
      <x:c r="O93" s="150"/>
      <x:c r="P93" s="150"/>
      <x:c r="Q93" s="150"/>
      <x:c r="R93" s="150"/>
      <x:c r="S93" s="150"/>
    </x:row>
    <x:row r="94" ht="42" customHeight="1">
      <x:c r="A94" s="150"/>
      <x:c r="B94" s="150"/>
      <x:c r="C94" s="163" t="n">
        <x:v>0.65</x:v>
      </x:c>
      <x:c r="D94" s="150" t="str">
        <x:v>level_low</x:v>
      </x:c>
      <x:c r="E94" s="163" t="n">
        <x:v>0.6</x:v>
      </x:c>
      <x:c r="F94" s="163" t="n">
        <x:v>0.65</x:v>
      </x:c>
      <x:c r="G94" s="154" t="str">
        <x:v>GRID BRACKET</x:v>
      </x:c>
      <x:c r="H94" s="195" t="b">
        <x:v>1</x:v>
      </x:c>
      <x:c r="I94" s="195" t="b">
        <x:v>0</x:v>
      </x:c>
      <x:c r="J94" s="150"/>
      <x:c r="K94" s="150"/>
      <x:c r="L94" s="150"/>
      <x:c r="M94" s="150"/>
      <x:c r="N94" s="150"/>
      <x:c r="O94" s="150"/>
      <x:c r="P94" s="150"/>
      <x:c r="Q94" s="150"/>
      <x:c r="R94" s="150"/>
      <x:c r="S94" s="150"/>
    </x:row>
    <x:row r="95" ht="42" customHeight="1">
      <x:c r="A95" s="150"/>
      <x:c r="B95" s="150"/>
      <x:c r="C95" s="163" t="n">
        <x:v>0.65</x:v>
      </x:c>
      <x:c r="D95" s="150" t="str">
        <x:v>level_high</x:v>
      </x:c>
      <x:c r="E95" s="163" t="n">
        <x:v>0.6</x:v>
      </x:c>
      <x:c r="F95" s="163" t="n">
        <x:v>0.65</x:v>
      </x:c>
      <x:c r="G95" s="154" t="str">
        <x:v>GRID BRACKET</x:v>
      </x:c>
      <x:c r="H95" s="195" t="b">
        <x:v>1</x:v>
      </x:c>
      <x:c r="I95" s="195" t="b">
        <x:v>0</x:v>
      </x:c>
      <x:c r="J95" s="150"/>
      <x:c r="K95" s="150"/>
      <x:c r="L95" s="150"/>
      <x:c r="M95" s="150"/>
      <x:c r="N95" s="150"/>
      <x:c r="O95" s="150"/>
      <x:c r="P95" s="150"/>
      <x:c r="Q95" s="150"/>
      <x:c r="R95" s="150"/>
      <x:c r="S95" s="150"/>
    </x:row>
    <x:row r="96" ht="42" customHeight="1">
      <x:c r="A96" s="150"/>
      <x:c r="B96" s="150"/>
      <x:c r="C96" s="163" t="n">
        <x:v>0.66</x:v>
      </x:c>
      <x:c r="D96" s="150" t="str">
        <x:v>front_flat</x:v>
      </x:c>
      <x:c r="E96" s="163" t="n">
        <x:v>0.6</x:v>
      </x:c>
      <x:c r="F96" s="163" t="n">
        <x:v>0.65</x:v>
      </x:c>
      <x:c r="G96" s="154" t="str">
        <x:v>GRID BRACKET</x:v>
      </x:c>
      <x:c r="H96" s="195" t="b">
        <x:v>1</x:v>
      </x:c>
      <x:c r="I96" s="195" t="b">
        <x:v>0</x:v>
      </x:c>
      <x:c r="J96" s="150"/>
      <x:c r="K96" s="150"/>
      <x:c r="L96" s="150"/>
      <x:c r="M96" s="150"/>
      <x:c r="N96" s="150"/>
      <x:c r="O96" s="150"/>
      <x:c r="P96" s="150"/>
      <x:c r="Q96" s="150"/>
      <x:c r="R96" s="150"/>
      <x:c r="S96" s="150"/>
    </x:row>
    <x:row r="97" ht="42" customHeight="1">
      <x:c r="A97" s="150"/>
      <x:c r="B97" s="150"/>
      <x:c r="C97" s="163" t="n">
        <x:v>0.66</x:v>
      </x:c>
      <x:c r="D97" s="150" t="str">
        <x:v>front_low</x:v>
      </x:c>
      <x:c r="E97" s="163" t="n">
        <x:v>0.6</x:v>
      </x:c>
      <x:c r="F97" s="163" t="n">
        <x:v>0.65</x:v>
      </x:c>
      <x:c r="G97" s="154" t="str">
        <x:v>GRID BRACKET</x:v>
      </x:c>
      <x:c r="H97" s="195" t="b">
        <x:v>1</x:v>
      </x:c>
      <x:c r="I97" s="195" t="b">
        <x:v>0</x:v>
      </x:c>
      <x:c r="J97" s="150"/>
      <x:c r="K97" s="150"/>
      <x:c r="L97" s="150"/>
      <x:c r="M97" s="150"/>
      <x:c r="N97" s="150"/>
      <x:c r="O97" s="150"/>
      <x:c r="P97" s="150"/>
      <x:c r="Q97" s="150"/>
      <x:c r="R97" s="150"/>
      <x:c r="S97" s="150"/>
    </x:row>
    <x:row r="98" ht="42" customHeight="1">
      <x:c r="A98" s="150"/>
      <x:c r="B98" s="150"/>
      <x:c r="C98" s="163" t="n">
        <x:v>0.66</x:v>
      </x:c>
      <x:c r="D98" s="150" t="str">
        <x:v>front_high</x:v>
      </x:c>
      <x:c r="E98" s="163" t="n">
        <x:v>0.6</x:v>
      </x:c>
      <x:c r="F98" s="163" t="n">
        <x:v>0.65</x:v>
      </x:c>
      <x:c r="G98" s="154" t="str">
        <x:v>GRID BRACKET</x:v>
      </x:c>
      <x:c r="H98" s="195" t="b">
        <x:v>1</x:v>
      </x:c>
      <x:c r="I98" s="195" t="b">
        <x:v>0</x:v>
      </x:c>
      <x:c r="J98" s="150"/>
      <x:c r="K98" s="150"/>
      <x:c r="L98" s="150"/>
      <x:c r="M98" s="150"/>
      <x:c r="N98" s="150"/>
      <x:c r="O98" s="150"/>
      <x:c r="P98" s="150"/>
      <x:c r="Q98" s="150"/>
      <x:c r="R98" s="150"/>
      <x:c r="S98" s="150"/>
    </x:row>
    <x:row r="99" ht="42" customHeight="1">
      <x:c r="A99" s="150"/>
      <x:c r="B99" s="150"/>
      <x:c r="C99" s="163" t="n">
        <x:v>0.66</x:v>
      </x:c>
      <x:c r="D99" s="150" t="str">
        <x:v>middle_flat</x:v>
      </x:c>
      <x:c r="E99" s="163" t="n">
        <x:v>0.55</x:v>
      </x:c>
      <x:c r="F99" s="163" t="n">
        <x:v>0.6</x:v>
      </x:c>
      <x:c r="G99" s="154" t="str">
        <x:v>GRID BRACKET</x:v>
      </x:c>
      <x:c r="H99" s="195" t="b">
        <x:v>1</x:v>
      </x:c>
      <x:c r="I99" s="195" t="b">
        <x:v>0</x:v>
      </x:c>
      <x:c r="J99" s="150"/>
      <x:c r="K99" s="150"/>
      <x:c r="L99" s="150"/>
      <x:c r="M99" s="150"/>
      <x:c r="N99" s="150"/>
      <x:c r="O99" s="150"/>
      <x:c r="P99" s="150"/>
      <x:c r="Q99" s="150"/>
      <x:c r="R99" s="150"/>
      <x:c r="S99" s="150"/>
    </x:row>
    <x:row r="100" ht="42" customHeight="1">
      <x:c r="A100" s="150"/>
      <x:c r="B100" s="150"/>
      <x:c r="C100" s="163" t="n">
        <x:v>0.66</x:v>
      </x:c>
      <x:c r="D100" s="150" t="str">
        <x:v>middle_low</x:v>
      </x:c>
      <x:c r="E100" s="163" t="n">
        <x:v>0.55</x:v>
      </x:c>
      <x:c r="F100" s="163" t="n">
        <x:v>0.6</x:v>
      </x:c>
      <x:c r="G100" s="154" t="str">
        <x:v>GRID BRACKET</x:v>
      </x:c>
      <x:c r="H100" s="195" t="b">
        <x:v>1</x:v>
      </x:c>
      <x:c r="I100" s="195" t="b">
        <x:v>0</x:v>
      </x:c>
      <x:c r="J100" s="150"/>
      <x:c r="K100" s="150"/>
      <x:c r="L100" s="150"/>
      <x:c r="M100" s="150"/>
      <x:c r="N100" s="150"/>
      <x:c r="O100" s="150"/>
      <x:c r="P100" s="150"/>
      <x:c r="Q100" s="150"/>
      <x:c r="R100" s="150"/>
      <x:c r="S100" s="150"/>
    </x:row>
    <x:row r="101" ht="42" customHeight="1">
      <x:c r="A101" s="150"/>
      <x:c r="B101" s="150"/>
      <x:c r="C101" s="163" t="n">
        <x:v>0.66</x:v>
      </x:c>
      <x:c r="D101" s="150" t="str">
        <x:v>middle_high</x:v>
      </x:c>
      <x:c r="E101" s="163" t="n">
        <x:v>0.55</x:v>
      </x:c>
      <x:c r="F101" s="163" t="n">
        <x:v>0.6</x:v>
      </x:c>
      <x:c r="G101" s="154" t="str">
        <x:v>GRID BRACKET</x:v>
      </x:c>
      <x:c r="H101" s="195" t="b">
        <x:v>1</x:v>
      </x:c>
      <x:c r="I101" s="195" t="b">
        <x:v>0</x:v>
      </x:c>
      <x:c r="J101" s="150"/>
      <x:c r="K101" s="150"/>
      <x:c r="L101" s="150"/>
      <x:c r="M101" s="150"/>
      <x:c r="N101" s="150"/>
      <x:c r="O101" s="150"/>
      <x:c r="P101" s="150"/>
      <x:c r="Q101" s="150"/>
      <x:c r="R101" s="150"/>
      <x:c r="S101" s="150"/>
    </x:row>
    <x:row r="102" ht="42" customHeight="1">
      <x:c r="A102" s="150"/>
      <x:c r="B102" s="150"/>
      <x:c r="C102" s="163" t="n">
        <x:v>0.66</x:v>
      </x:c>
      <x:c r="D102" s="150" t="str">
        <x:v>back_flat</x:v>
      </x:c>
      <x:c r="E102" s="163" t="n">
        <x:v>0.55</x:v>
      </x:c>
      <x:c r="F102" s="163" t="n">
        <x:v>0.6</x:v>
      </x:c>
      <x:c r="G102" s="154" t="str">
        <x:v>GRID BRACKET</x:v>
      </x:c>
      <x:c r="H102" s="195" t="b">
        <x:v>1</x:v>
      </x:c>
      <x:c r="I102" s="195" t="b">
        <x:v>0</x:v>
      </x:c>
      <x:c r="J102" s="150"/>
      <x:c r="K102" s="150"/>
      <x:c r="L102" s="150"/>
      <x:c r="M102" s="150"/>
      <x:c r="N102" s="150"/>
      <x:c r="O102" s="150"/>
      <x:c r="P102" s="150"/>
      <x:c r="Q102" s="150"/>
      <x:c r="R102" s="150"/>
      <x:c r="S102" s="150"/>
    </x:row>
    <x:row r="103" ht="42" customHeight="1">
      <x:c r="A103" s="150"/>
      <x:c r="B103" s="150"/>
      <x:c r="C103" s="163" t="n">
        <x:v>0.66</x:v>
      </x:c>
      <x:c r="D103" s="150" t="str">
        <x:v>back_low</x:v>
      </x:c>
      <x:c r="E103" s="163" t="n">
        <x:v>0.55</x:v>
      </x:c>
      <x:c r="F103" s="163" t="n">
        <x:v>0.6</x:v>
      </x:c>
      <x:c r="G103" s="154" t="str">
        <x:v>GRID BRACKET</x:v>
      </x:c>
      <x:c r="H103" s="195" t="b">
        <x:v>1</x:v>
      </x:c>
      <x:c r="I103" s="195" t="b">
        <x:v>0</x:v>
      </x:c>
      <x:c r="J103" s="150"/>
      <x:c r="K103" s="150"/>
      <x:c r="L103" s="150"/>
      <x:c r="M103" s="150"/>
      <x:c r="N103" s="150"/>
      <x:c r="O103" s="150"/>
      <x:c r="P103" s="150"/>
      <x:c r="Q103" s="150"/>
      <x:c r="R103" s="150"/>
      <x:c r="S103" s="150"/>
    </x:row>
    <x:row r="104" ht="42" customHeight="1">
      <x:c r="A104" s="150"/>
      <x:c r="B104" s="150"/>
      <x:c r="C104" s="163" t="n">
        <x:v>0.66</x:v>
      </x:c>
      <x:c r="D104" s="150" t="str">
        <x:v>back_high</x:v>
      </x:c>
      <x:c r="E104" s="163" t="n">
        <x:v>0.55</x:v>
      </x:c>
      <x:c r="F104" s="163" t="n">
        <x:v>0.6</x:v>
      </x:c>
      <x:c r="G104" s="154" t="str">
        <x:v>GRID BRACKET</x:v>
      </x:c>
      <x:c r="H104" s="195" t="b">
        <x:v>1</x:v>
      </x:c>
      <x:c r="I104" s="195" t="b">
        <x:v>0</x:v>
      </x:c>
      <x:c r="J104" s="150"/>
      <x:c r="K104" s="150"/>
      <x:c r="L104" s="150"/>
      <x:c r="M104" s="150"/>
      <x:c r="N104" s="150"/>
      <x:c r="O104" s="150"/>
      <x:c r="P104" s="150"/>
      <x:c r="Q104" s="150"/>
      <x:c r="R104" s="150"/>
      <x:c r="S104" s="150"/>
    </x:row>
    <x:row r="105" ht="42" customHeight="1">
      <x:c r="A105" s="150"/>
      <x:c r="B105" s="150"/>
      <x:c r="C105" s="163" t="n">
        <x:v>0.66</x:v>
      </x:c>
      <x:c r="D105" s="150" t="str">
        <x:v>level_flat</x:v>
      </x:c>
      <x:c r="E105" s="163" t="n">
        <x:v>0.55</x:v>
      </x:c>
      <x:c r="F105" s="163" t="n">
        <x:v>0.6</x:v>
      </x:c>
      <x:c r="G105" s="154" t="str">
        <x:v>GRID BRACKET</x:v>
      </x:c>
      <x:c r="H105" s="195" t="b">
        <x:v>1</x:v>
      </x:c>
      <x:c r="I105" s="195" t="b">
        <x:v>0</x:v>
      </x:c>
      <x:c r="J105" s="150"/>
      <x:c r="K105" s="150"/>
      <x:c r="L105" s="150"/>
      <x:c r="M105" s="150"/>
      <x:c r="N105" s="150"/>
      <x:c r="O105" s="150"/>
      <x:c r="P105" s="150"/>
      <x:c r="Q105" s="150"/>
      <x:c r="R105" s="150"/>
      <x:c r="S105" s="150"/>
    </x:row>
    <x:row r="106" ht="42" customHeight="1">
      <x:c r="A106" s="150"/>
      <x:c r="B106" s="150"/>
      <x:c r="C106" s="163" t="n">
        <x:v>0.66</x:v>
      </x:c>
      <x:c r="D106" s="150" t="str">
        <x:v>level_low</x:v>
      </x:c>
      <x:c r="E106" s="163" t="n">
        <x:v>0.55</x:v>
      </x:c>
      <x:c r="F106" s="163" t="n">
        <x:v>0.6</x:v>
      </x:c>
      <x:c r="G106" s="154" t="str">
        <x:v>GRID BRACKET</x:v>
      </x:c>
      <x:c r="H106" s="195" t="b">
        <x:v>1</x:v>
      </x:c>
      <x:c r="I106" s="195" t="b">
        <x:v>0</x:v>
      </x:c>
      <x:c r="J106" s="150"/>
      <x:c r="K106" s="150"/>
      <x:c r="L106" s="150"/>
      <x:c r="M106" s="150"/>
      <x:c r="N106" s="150"/>
      <x:c r="O106" s="150"/>
      <x:c r="P106" s="150"/>
      <x:c r="Q106" s="150"/>
      <x:c r="R106" s="150"/>
      <x:c r="S106" s="150"/>
    </x:row>
    <x:row r="107" ht="42" customHeight="1">
      <x:c r="A107" s="150"/>
      <x:c r="B107" s="150"/>
      <x:c r="C107" s="163" t="n">
        <x:v>0.66</x:v>
      </x:c>
      <x:c r="D107" s="150" t="str">
        <x:v>level_high</x:v>
      </x:c>
      <x:c r="E107" s="163" t="n">
        <x:v>0.55</x:v>
      </x:c>
      <x:c r="F107" s="163" t="n">
        <x:v>0.6</x:v>
      </x:c>
      <x:c r="G107" s="154" t="str">
        <x:v>GRID BRACKET</x:v>
      </x:c>
      <x:c r="H107" s="195" t="b">
        <x:v>1</x:v>
      </x:c>
      <x:c r="I107" s="195" t="b">
        <x:v>0</x:v>
      </x:c>
      <x:c r="J107" s="150"/>
      <x:c r="K107" s="150"/>
      <x:c r="L107" s="150"/>
      <x:c r="M107" s="150"/>
      <x:c r="N107" s="150"/>
      <x:c r="O107" s="150"/>
      <x:c r="P107" s="150"/>
      <x:c r="Q107" s="150"/>
      <x:c r="R107" s="150"/>
      <x:c r="S107" s="150"/>
    </x:row>
    <x:row r="108" ht="42" customHeight="1">
      <x:c r="A108" s="150"/>
      <x:c r="B108" s="150"/>
      <x:c r="C108" s="163" t="n">
        <x:v>0.67</x:v>
      </x:c>
      <x:c r="D108" s="150" t="str">
        <x:v>front_flat</x:v>
      </x:c>
      <x:c r="E108" s="163" t="n">
        <x:v>0.55</x:v>
      </x:c>
      <x:c r="F108" s="163" t="n">
        <x:v>0.6</x:v>
      </x:c>
      <x:c r="G108" s="154" t="str">
        <x:v>GRID BRACKET</x:v>
      </x:c>
      <x:c r="H108" s="195" t="b">
        <x:v>1</x:v>
      </x:c>
      <x:c r="I108" s="195" t="b">
        <x:v>0</x:v>
      </x:c>
      <x:c r="J108" s="150"/>
      <x:c r="K108" s="150"/>
      <x:c r="L108" s="150"/>
      <x:c r="M108" s="150"/>
      <x:c r="N108" s="150"/>
      <x:c r="O108" s="150"/>
      <x:c r="P108" s="150"/>
      <x:c r="Q108" s="150"/>
      <x:c r="R108" s="150"/>
      <x:c r="S108" s="150"/>
    </x:row>
    <x:row r="109" ht="42" customHeight="1">
      <x:c r="A109" s="150"/>
      <x:c r="B109" s="150"/>
      <x:c r="C109" s="163" t="n">
        <x:v>0.67</x:v>
      </x:c>
      <x:c r="D109" s="150" t="str">
        <x:v>front_low</x:v>
      </x:c>
      <x:c r="E109" s="163" t="n">
        <x:v>0.55</x:v>
      </x:c>
      <x:c r="F109" s="163" t="n">
        <x:v>0.6</x:v>
      </x:c>
      <x:c r="G109" s="154" t="str">
        <x:v>GRID BRACKET</x:v>
      </x:c>
      <x:c r="H109" s="195" t="b">
        <x:v>1</x:v>
      </x:c>
      <x:c r="I109" s="195" t="b">
        <x:v>0</x:v>
      </x:c>
      <x:c r="J109" s="150"/>
      <x:c r="K109" s="150"/>
      <x:c r="L109" s="150"/>
      <x:c r="M109" s="150"/>
      <x:c r="N109" s="150"/>
      <x:c r="O109" s="150"/>
      <x:c r="P109" s="150"/>
      <x:c r="Q109" s="150"/>
      <x:c r="R109" s="150"/>
      <x:c r="S109" s="150"/>
    </x:row>
    <x:row r="110" ht="42" customHeight="1">
      <x:c r="A110" s="150"/>
      <x:c r="B110" s="150"/>
      <x:c r="C110" s="163" t="n">
        <x:v>0.67</x:v>
      </x:c>
      <x:c r="D110" s="150" t="str">
        <x:v>front_high</x:v>
      </x:c>
      <x:c r="E110" s="163" t="n">
        <x:v>0.55</x:v>
      </x:c>
      <x:c r="F110" s="163" t="n">
        <x:v>0.6</x:v>
      </x:c>
      <x:c r="G110" s="154" t="str">
        <x:v>GRID BRACKET</x:v>
      </x:c>
      <x:c r="H110" s="195" t="b">
        <x:v>1</x:v>
      </x:c>
      <x:c r="I110" s="195" t="b">
        <x:v>0</x:v>
      </x:c>
      <x:c r="J110" s="150"/>
      <x:c r="K110" s="150"/>
      <x:c r="L110" s="150"/>
      <x:c r="M110" s="150"/>
      <x:c r="N110" s="150"/>
      <x:c r="O110" s="150"/>
      <x:c r="P110" s="150"/>
      <x:c r="Q110" s="150"/>
      <x:c r="R110" s="150"/>
      <x:c r="S110" s="150"/>
    </x:row>
    <x:row r="111" ht="42" customHeight="1">
      <x:c r="A111" s="150"/>
      <x:c r="B111" s="150"/>
      <x:c r="C111" s="163" t="n">
        <x:v>0.67</x:v>
      </x:c>
      <x:c r="D111" s="150" t="str">
        <x:v>middle_flat</x:v>
      </x:c>
      <x:c r="E111" s="163" t="n">
        <x:v>0.55</x:v>
      </x:c>
      <x:c r="F111" s="163" t="n">
        <x:v>0.6</x:v>
      </x:c>
      <x:c r="G111" s="154" t="str">
        <x:v>GRID BRACKET</x:v>
      </x:c>
      <x:c r="H111" s="195" t="b">
        <x:v>1</x:v>
      </x:c>
      <x:c r="I111" s="195" t="b">
        <x:v>0</x:v>
      </x:c>
      <x:c r="J111" s="150"/>
      <x:c r="K111" s="150"/>
      <x:c r="L111" s="150"/>
      <x:c r="M111" s="150"/>
      <x:c r="N111" s="150"/>
      <x:c r="O111" s="150"/>
      <x:c r="P111" s="150"/>
      <x:c r="Q111" s="150"/>
      <x:c r="R111" s="150"/>
      <x:c r="S111" s="150"/>
    </x:row>
    <x:row r="112" ht="42" customHeight="1">
      <x:c r="A112" s="150"/>
      <x:c r="B112" s="150"/>
      <x:c r="C112" s="163" t="n">
        <x:v>0.67</x:v>
      </x:c>
      <x:c r="D112" s="150" t="str">
        <x:v>middle_low</x:v>
      </x:c>
      <x:c r="E112" s="163" t="n">
        <x:v>0.55</x:v>
      </x:c>
      <x:c r="F112" s="163" t="n">
        <x:v>0.6</x:v>
      </x:c>
      <x:c r="G112" s="154" t="str">
        <x:v>GRID BRACKET</x:v>
      </x:c>
      <x:c r="H112" s="195" t="b">
        <x:v>1</x:v>
      </x:c>
      <x:c r="I112" s="195" t="b">
        <x:v>0</x:v>
      </x:c>
      <x:c r="J112" s="150"/>
      <x:c r="K112" s="150"/>
      <x:c r="L112" s="150"/>
      <x:c r="M112" s="150"/>
      <x:c r="N112" s="150"/>
      <x:c r="O112" s="150"/>
      <x:c r="P112" s="150"/>
      <x:c r="Q112" s="150"/>
      <x:c r="R112" s="150"/>
      <x:c r="S112" s="150"/>
    </x:row>
    <x:row r="113" ht="42" customHeight="1">
      <x:c r="A113" s="150"/>
      <x:c r="B113" s="150"/>
      <x:c r="C113" s="163" t="n">
        <x:v>0.67</x:v>
      </x:c>
      <x:c r="D113" s="150" t="str">
        <x:v>middle_high</x:v>
      </x:c>
      <x:c r="E113" s="163" t="n">
        <x:v>0.55</x:v>
      </x:c>
      <x:c r="F113" s="163" t="n">
        <x:v>0.6</x:v>
      </x:c>
      <x:c r="G113" s="154" t="str">
        <x:v>GRID BRACKET</x:v>
      </x:c>
      <x:c r="H113" s="195" t="b">
        <x:v>1</x:v>
      </x:c>
      <x:c r="I113" s="195" t="b">
        <x:v>0</x:v>
      </x:c>
      <x:c r="J113" s="150"/>
      <x:c r="K113" s="150"/>
      <x:c r="L113" s="150"/>
      <x:c r="M113" s="150"/>
      <x:c r="N113" s="150"/>
      <x:c r="O113" s="150"/>
      <x:c r="P113" s="150"/>
      <x:c r="Q113" s="150"/>
      <x:c r="R113" s="150"/>
      <x:c r="S113" s="150"/>
    </x:row>
    <x:row r="114" ht="42" customHeight="1">
      <x:c r="A114" s="150"/>
      <x:c r="B114" s="150"/>
      <x:c r="C114" s="163" t="n">
        <x:v>0.67</x:v>
      </x:c>
      <x:c r="D114" s="150" t="str">
        <x:v>back_flat</x:v>
      </x:c>
      <x:c r="E114" s="163" t="n">
        <x:v>0.55</x:v>
      </x:c>
      <x:c r="F114" s="163" t="n">
        <x:v>0.6</x:v>
      </x:c>
      <x:c r="G114" s="154" t="str">
        <x:v>GRID BRACKET</x:v>
      </x:c>
      <x:c r="H114" s="195" t="b">
        <x:v>1</x:v>
      </x:c>
      <x:c r="I114" s="195" t="b">
        <x:v>0</x:v>
      </x:c>
      <x:c r="J114" s="150"/>
      <x:c r="K114" s="150"/>
      <x:c r="L114" s="150"/>
      <x:c r="M114" s="150"/>
      <x:c r="N114" s="150"/>
      <x:c r="O114" s="150"/>
      <x:c r="P114" s="150"/>
      <x:c r="Q114" s="150"/>
      <x:c r="R114" s="150"/>
      <x:c r="S114" s="150"/>
    </x:row>
    <x:row r="115" ht="42" customHeight="1">
      <x:c r="A115" s="150"/>
      <x:c r="B115" s="150"/>
      <x:c r="C115" s="163" t="n">
        <x:v>0.67</x:v>
      </x:c>
      <x:c r="D115" s="150" t="str">
        <x:v>back_low</x:v>
      </x:c>
      <x:c r="E115" s="163" t="n">
        <x:v>0.55</x:v>
      </x:c>
      <x:c r="F115" s="163" t="n">
        <x:v>0.6</x:v>
      </x:c>
      <x:c r="G115" s="154" t="str">
        <x:v>GRID BRACKET</x:v>
      </x:c>
      <x:c r="H115" s="195" t="b">
        <x:v>1</x:v>
      </x:c>
      <x:c r="I115" s="195" t="b">
        <x:v>0</x:v>
      </x:c>
      <x:c r="J115" s="150"/>
      <x:c r="K115" s="150"/>
      <x:c r="L115" s="150"/>
      <x:c r="M115" s="150"/>
      <x:c r="N115" s="150"/>
      <x:c r="O115" s="150"/>
      <x:c r="P115" s="150"/>
      <x:c r="Q115" s="150"/>
      <x:c r="R115" s="150"/>
      <x:c r="S115" s="150"/>
    </x:row>
    <x:row r="116" ht="42" customHeight="1">
      <x:c r="A116" s="150"/>
      <x:c r="B116" s="150"/>
      <x:c r="C116" s="163" t="n">
        <x:v>0.67</x:v>
      </x:c>
      <x:c r="D116" s="150" t="str">
        <x:v>back_high</x:v>
      </x:c>
      <x:c r="E116" s="163" t="n">
        <x:v>0.55</x:v>
      </x:c>
      <x:c r="F116" s="163" t="n">
        <x:v>0.6</x:v>
      </x:c>
      <x:c r="G116" s="154" t="str">
        <x:v>GRID BRACKET</x:v>
      </x:c>
      <x:c r="H116" s="195" t="b">
        <x:v>1</x:v>
      </x:c>
      <x:c r="I116" s="195" t="b">
        <x:v>0</x:v>
      </x:c>
      <x:c r="J116" s="150"/>
      <x:c r="K116" s="150"/>
      <x:c r="L116" s="150"/>
      <x:c r="M116" s="150"/>
      <x:c r="N116" s="150"/>
      <x:c r="O116" s="150"/>
      <x:c r="P116" s="150"/>
      <x:c r="Q116" s="150"/>
      <x:c r="R116" s="150"/>
      <x:c r="S116" s="150"/>
    </x:row>
    <x:row r="117" ht="42" customHeight="1">
      <x:c r="A117" s="150"/>
      <x:c r="B117" s="150"/>
      <x:c r="C117" s="163" t="n">
        <x:v>0.67</x:v>
      </x:c>
      <x:c r="D117" s="150" t="str">
        <x:v>level_flat</x:v>
      </x:c>
      <x:c r="E117" s="163" t="n">
        <x:v>0.55</x:v>
      </x:c>
      <x:c r="F117" s="163" t="n">
        <x:v>0.6</x:v>
      </x:c>
      <x:c r="G117" s="154" t="str">
        <x:v>GRID BRACKET</x:v>
      </x:c>
      <x:c r="H117" s="195" t="b">
        <x:v>1</x:v>
      </x:c>
      <x:c r="I117" s="195" t="b">
        <x:v>0</x:v>
      </x:c>
      <x:c r="J117" s="150"/>
      <x:c r="K117" s="150"/>
      <x:c r="L117" s="150"/>
      <x:c r="M117" s="150"/>
      <x:c r="N117" s="150"/>
      <x:c r="O117" s="150"/>
      <x:c r="P117" s="150"/>
      <x:c r="Q117" s="150"/>
      <x:c r="R117" s="150"/>
      <x:c r="S117" s="150"/>
    </x:row>
    <x:row r="118" ht="42" customHeight="1">
      <x:c r="A118" s="150"/>
      <x:c r="B118" s="150"/>
      <x:c r="C118" s="163" t="n">
        <x:v>0.67</x:v>
      </x:c>
      <x:c r="D118" s="150" t="str">
        <x:v>level_low</x:v>
      </x:c>
      <x:c r="E118" s="163" t="n">
        <x:v>0.55</x:v>
      </x:c>
      <x:c r="F118" s="163" t="n">
        <x:v>0.6</x:v>
      </x:c>
      <x:c r="G118" s="154" t="str">
        <x:v>GRID BRACKET</x:v>
      </x:c>
      <x:c r="H118" s="195" t="b">
        <x:v>1</x:v>
      </x:c>
      <x:c r="I118" s="195" t="b">
        <x:v>0</x:v>
      </x:c>
      <x:c r="J118" s="150"/>
      <x:c r="K118" s="150"/>
      <x:c r="L118" s="150"/>
      <x:c r="M118" s="150"/>
      <x:c r="N118" s="150"/>
      <x:c r="O118" s="150"/>
      <x:c r="P118" s="150"/>
      <x:c r="Q118" s="150"/>
      <x:c r="R118" s="150"/>
      <x:c r="S118" s="150"/>
    </x:row>
    <x:row r="119" ht="42" customHeight="1">
      <x:c r="A119" s="150"/>
      <x:c r="B119" s="150"/>
      <x:c r="C119" s="163" t="n">
        <x:v>0.67</x:v>
      </x:c>
      <x:c r="D119" s="150" t="str">
        <x:v>level_high</x:v>
      </x:c>
      <x:c r="E119" s="163" t="n">
        <x:v>0.55</x:v>
      </x:c>
      <x:c r="F119" s="163" t="n">
        <x:v>0.6</x:v>
      </x:c>
      <x:c r="G119" s="154" t="str">
        <x:v>GRID BRACKET</x:v>
      </x:c>
      <x:c r="H119" s="195" t="b">
        <x:v>1</x:v>
      </x:c>
      <x:c r="I119" s="195" t="b">
        <x:v>0</x:v>
      </x:c>
      <x:c r="J119" s="150"/>
      <x:c r="K119" s="150"/>
      <x:c r="L119" s="150"/>
      <x:c r="M119" s="150"/>
      <x:c r="N119" s="150"/>
      <x:c r="O119" s="150"/>
      <x:c r="P119" s="150"/>
      <x:c r="Q119" s="150"/>
      <x:c r="R119" s="150"/>
      <x:c r="S119" s="150"/>
    </x:row>
    <x:row r="120" ht="42" customHeight="1">
      <x:c r="A120" s="150"/>
      <x:c r="B120" s="150"/>
      <x:c r="C120" s="163" t="n">
        <x:v>0.68</x:v>
      </x:c>
      <x:c r="D120" s="150" t="str">
        <x:v>front_flat</x:v>
      </x:c>
      <x:c r="E120" s="163" t="n">
        <x:v>0.55</x:v>
      </x:c>
      <x:c r="F120" s="163" t="n">
        <x:v>0.6</x:v>
      </x:c>
      <x:c r="G120" s="154" t="str">
        <x:v>GRID BRACKET</x:v>
      </x:c>
      <x:c r="H120" s="195" t="b">
        <x:v>1</x:v>
      </x:c>
      <x:c r="I120" s="195" t="b">
        <x:v>0</x:v>
      </x:c>
      <x:c r="J120" s="150"/>
      <x:c r="K120" s="150"/>
      <x:c r="L120" s="150"/>
      <x:c r="M120" s="150"/>
      <x:c r="N120" s="150"/>
      <x:c r="O120" s="150"/>
      <x:c r="P120" s="150"/>
      <x:c r="Q120" s="150"/>
      <x:c r="R120" s="150"/>
      <x:c r="S120" s="150"/>
    </x:row>
    <x:row r="121" ht="42" customHeight="1">
      <x:c r="A121" s="150"/>
      <x:c r="B121" s="150"/>
      <x:c r="C121" s="163" t="n">
        <x:v>0.68</x:v>
      </x:c>
      <x:c r="D121" s="150" t="str">
        <x:v>front_low</x:v>
      </x:c>
      <x:c r="E121" s="163" t="n">
        <x:v>0.55</x:v>
      </x:c>
      <x:c r="F121" s="163" t="n">
        <x:v>0.6</x:v>
      </x:c>
      <x:c r="G121" s="154" t="str">
        <x:v>GRID BRACKET</x:v>
      </x:c>
      <x:c r="H121" s="195" t="b">
        <x:v>1</x:v>
      </x:c>
      <x:c r="I121" s="195" t="b">
        <x:v>0</x:v>
      </x:c>
      <x:c r="J121" s="150"/>
      <x:c r="K121" s="150"/>
      <x:c r="L121" s="150"/>
      <x:c r="M121" s="150"/>
      <x:c r="N121" s="150"/>
      <x:c r="O121" s="150"/>
      <x:c r="P121" s="150"/>
      <x:c r="Q121" s="150"/>
      <x:c r="R121" s="150"/>
      <x:c r="S121" s="150"/>
    </x:row>
    <x:row r="122" ht="42" customHeight="1">
      <x:c r="A122" s="150"/>
      <x:c r="B122" s="150"/>
      <x:c r="C122" s="163" t="n">
        <x:v>0.68</x:v>
      </x:c>
      <x:c r="D122" s="150" t="str">
        <x:v>front_high</x:v>
      </x:c>
      <x:c r="E122" s="163" t="n">
        <x:v>0.55</x:v>
      </x:c>
      <x:c r="F122" s="163" t="n">
        <x:v>0.6</x:v>
      </x:c>
      <x:c r="G122" s="154" t="str">
        <x:v>GRID BRACKET</x:v>
      </x:c>
      <x:c r="H122" s="195" t="b">
        <x:v>1</x:v>
      </x:c>
      <x:c r="I122" s="195" t="b">
        <x:v>0</x:v>
      </x:c>
      <x:c r="J122" s="150"/>
      <x:c r="K122" s="150"/>
      <x:c r="L122" s="150"/>
      <x:c r="M122" s="150"/>
      <x:c r="N122" s="150"/>
      <x:c r="O122" s="150"/>
      <x:c r="P122" s="150"/>
      <x:c r="Q122" s="150"/>
      <x:c r="R122" s="150"/>
      <x:c r="S122" s="150"/>
    </x:row>
    <x:row r="123" ht="42" customHeight="1">
      <x:c r="A123" s="150"/>
      <x:c r="B123" s="150"/>
      <x:c r="C123" s="163" t="n">
        <x:v>0.68</x:v>
      </x:c>
      <x:c r="D123" s="150" t="str">
        <x:v>middle_flat</x:v>
      </x:c>
      <x:c r="E123" s="163" t="n">
        <x:v>0.55</x:v>
      </x:c>
      <x:c r="F123" s="163" t="n">
        <x:v>0.6</x:v>
      </x:c>
      <x:c r="G123" s="154" t="str">
        <x:v>GRID BRACKET</x:v>
      </x:c>
      <x:c r="H123" s="195" t="b">
        <x:v>1</x:v>
      </x:c>
      <x:c r="I123" s="195" t="b">
        <x:v>0</x:v>
      </x:c>
      <x:c r="J123" s="150"/>
      <x:c r="K123" s="150"/>
      <x:c r="L123" s="150"/>
      <x:c r="M123" s="150"/>
      <x:c r="N123" s="150"/>
      <x:c r="O123" s="150"/>
      <x:c r="P123" s="150"/>
      <x:c r="Q123" s="150"/>
      <x:c r="R123" s="150"/>
      <x:c r="S123" s="150"/>
    </x:row>
    <x:row r="124" ht="42" customHeight="1">
      <x:c r="A124" s="150"/>
      <x:c r="B124" s="150"/>
      <x:c r="C124" s="163" t="n">
        <x:v>0.68</x:v>
      </x:c>
      <x:c r="D124" s="150" t="str">
        <x:v>middle_low</x:v>
      </x:c>
      <x:c r="E124" s="163" t="n">
        <x:v>0.55</x:v>
      </x:c>
      <x:c r="F124" s="163" t="n">
        <x:v>0.6</x:v>
      </x:c>
      <x:c r="G124" s="154" t="str">
        <x:v>GRID BRACKET</x:v>
      </x:c>
      <x:c r="H124" s="195" t="b">
        <x:v>1</x:v>
      </x:c>
      <x:c r="I124" s="195" t="b">
        <x:v>0</x:v>
      </x:c>
      <x:c r="J124" s="150"/>
      <x:c r="K124" s="150"/>
      <x:c r="L124" s="150"/>
      <x:c r="M124" s="150"/>
      <x:c r="N124" s="150"/>
      <x:c r="O124" s="150"/>
      <x:c r="P124" s="150"/>
      <x:c r="Q124" s="150"/>
      <x:c r="R124" s="150"/>
      <x:c r="S124" s="150"/>
    </x:row>
    <x:row r="125" ht="42" customHeight="1">
      <x:c r="A125" s="150"/>
      <x:c r="B125" s="150"/>
      <x:c r="C125" s="163" t="n">
        <x:v>0.68</x:v>
      </x:c>
      <x:c r="D125" s="150" t="str">
        <x:v>middle_high</x:v>
      </x:c>
      <x:c r="E125" s="163" t="n">
        <x:v>0.55</x:v>
      </x:c>
      <x:c r="F125" s="163" t="n">
        <x:v>0.6</x:v>
      </x:c>
      <x:c r="G125" s="154" t="str">
        <x:v>GRID BRACKET</x:v>
      </x:c>
      <x:c r="H125" s="195" t="b">
        <x:v>1</x:v>
      </x:c>
      <x:c r="I125" s="195" t="b">
        <x:v>0</x:v>
      </x:c>
      <x:c r="J125" s="150"/>
      <x:c r="K125" s="150"/>
      <x:c r="L125" s="150"/>
      <x:c r="M125" s="150"/>
      <x:c r="N125" s="150"/>
      <x:c r="O125" s="150"/>
      <x:c r="P125" s="150"/>
      <x:c r="Q125" s="150"/>
      <x:c r="R125" s="150"/>
      <x:c r="S125" s="150"/>
    </x:row>
    <x:row r="126" ht="42" customHeight="1">
      <x:c r="A126" s="150"/>
      <x:c r="B126" s="150"/>
      <x:c r="C126" s="163" t="n">
        <x:v>0.68</x:v>
      </x:c>
      <x:c r="D126" s="150" t="str">
        <x:v>back_flat</x:v>
      </x:c>
      <x:c r="E126" s="163" t="n">
        <x:v>0.55</x:v>
      </x:c>
      <x:c r="F126" s="163" t="n">
        <x:v>0.6</x:v>
      </x:c>
      <x:c r="G126" s="154" t="str">
        <x:v>GRID BRACKET</x:v>
      </x:c>
      <x:c r="H126" s="195" t="b">
        <x:v>1</x:v>
      </x:c>
      <x:c r="I126" s="195" t="b">
        <x:v>0</x:v>
      </x:c>
      <x:c r="J126" s="150"/>
      <x:c r="K126" s="150"/>
      <x:c r="L126" s="150"/>
      <x:c r="M126" s="150"/>
      <x:c r="N126" s="150"/>
      <x:c r="O126" s="150"/>
      <x:c r="P126" s="150"/>
      <x:c r="Q126" s="150"/>
      <x:c r="R126" s="150"/>
      <x:c r="S126" s="150"/>
    </x:row>
    <x:row r="127" ht="42" customHeight="1">
      <x:c r="A127" s="150"/>
      <x:c r="B127" s="150"/>
      <x:c r="C127" s="163" t="n">
        <x:v>0.68</x:v>
      </x:c>
      <x:c r="D127" s="150" t="str">
        <x:v>back_low</x:v>
      </x:c>
      <x:c r="E127" s="163" t="n">
        <x:v>0.55</x:v>
      </x:c>
      <x:c r="F127" s="163" t="n">
        <x:v>0.6</x:v>
      </x:c>
      <x:c r="G127" s="154" t="str">
        <x:v>GRID BRACKET</x:v>
      </x:c>
      <x:c r="H127" s="195" t="b">
        <x:v>1</x:v>
      </x:c>
      <x:c r="I127" s="195" t="b">
        <x:v>0</x:v>
      </x:c>
      <x:c r="J127" s="150"/>
      <x:c r="K127" s="150"/>
      <x:c r="L127" s="150"/>
      <x:c r="M127" s="150"/>
      <x:c r="N127" s="150"/>
      <x:c r="O127" s="150"/>
      <x:c r="P127" s="150"/>
      <x:c r="Q127" s="150"/>
      <x:c r="R127" s="150"/>
      <x:c r="S127" s="150"/>
    </x:row>
    <x:row r="128" ht="42" customHeight="1">
      <x:c r="A128" s="150"/>
      <x:c r="B128" s="150"/>
      <x:c r="C128" s="163" t="n">
        <x:v>0.68</x:v>
      </x:c>
      <x:c r="D128" s="150" t="str">
        <x:v>back_high</x:v>
      </x:c>
      <x:c r="E128" s="163" t="n">
        <x:v>0.55</x:v>
      </x:c>
      <x:c r="F128" s="163" t="n">
        <x:v>0.6</x:v>
      </x:c>
      <x:c r="G128" s="154" t="str">
        <x:v>GRID BRACKET</x:v>
      </x:c>
      <x:c r="H128" s="195" t="b">
        <x:v>1</x:v>
      </x:c>
      <x:c r="I128" s="195" t="b">
        <x:v>0</x:v>
      </x:c>
      <x:c r="J128" s="150"/>
      <x:c r="K128" s="150"/>
      <x:c r="L128" s="150"/>
      <x:c r="M128" s="150"/>
      <x:c r="N128" s="150"/>
      <x:c r="O128" s="150"/>
      <x:c r="P128" s="150"/>
      <x:c r="Q128" s="150"/>
      <x:c r="R128" s="150"/>
      <x:c r="S128" s="150"/>
    </x:row>
    <x:row r="129" ht="42" customHeight="1">
      <x:c r="A129" s="150"/>
      <x:c r="B129" s="150"/>
      <x:c r="C129" s="163" t="n">
        <x:v>0.68</x:v>
      </x:c>
      <x:c r="D129" s="150" t="str">
        <x:v>level_flat</x:v>
      </x:c>
      <x:c r="E129" s="163" t="n">
        <x:v>0.55</x:v>
      </x:c>
      <x:c r="F129" s="163" t="n">
        <x:v>0.6</x:v>
      </x:c>
      <x:c r="G129" s="154" t="str">
        <x:v>GRID BRACKET</x:v>
      </x:c>
      <x:c r="H129" s="195" t="b">
        <x:v>1</x:v>
      </x:c>
      <x:c r="I129" s="195" t="b">
        <x:v>0</x:v>
      </x:c>
      <x:c r="J129" s="150"/>
      <x:c r="K129" s="150"/>
      <x:c r="L129" s="150"/>
      <x:c r="M129" s="150"/>
      <x:c r="N129" s="150"/>
      <x:c r="O129" s="150"/>
      <x:c r="P129" s="150"/>
      <x:c r="Q129" s="150"/>
      <x:c r="R129" s="150"/>
      <x:c r="S129" s="150"/>
    </x:row>
    <x:row r="130" ht="42" customHeight="1">
      <x:c r="A130" s="150"/>
      <x:c r="B130" s="150"/>
      <x:c r="C130" s="163" t="n">
        <x:v>0.68</x:v>
      </x:c>
      <x:c r="D130" s="150" t="str">
        <x:v>level_low</x:v>
      </x:c>
      <x:c r="E130" s="163" t="n">
        <x:v>0.55</x:v>
      </x:c>
      <x:c r="F130" s="163" t="n">
        <x:v>0.6</x:v>
      </x:c>
      <x:c r="G130" s="154" t="str">
        <x:v>GRID BRACKET</x:v>
      </x:c>
      <x:c r="H130" s="195" t="b">
        <x:v>1</x:v>
      </x:c>
      <x:c r="I130" s="195" t="b">
        <x:v>0</x:v>
      </x:c>
      <x:c r="J130" s="150"/>
      <x:c r="K130" s="150"/>
      <x:c r="L130" s="150"/>
      <x:c r="M130" s="150"/>
      <x:c r="N130" s="150"/>
      <x:c r="O130" s="150"/>
      <x:c r="P130" s="150"/>
      <x:c r="Q130" s="150"/>
      <x:c r="R130" s="150"/>
      <x:c r="S130" s="150"/>
    </x:row>
    <x:row r="131" ht="42" customHeight="1">
      <x:c r="A131" s="150"/>
      <x:c r="B131" s="150"/>
      <x:c r="C131" s="163" t="n">
        <x:v>0.68</x:v>
      </x:c>
      <x:c r="D131" s="150" t="str">
        <x:v>level_high</x:v>
      </x:c>
      <x:c r="E131" s="163" t="n">
        <x:v>0.55</x:v>
      </x:c>
      <x:c r="F131" s="163" t="n">
        <x:v>0.6</x:v>
      </x:c>
      <x:c r="G131" s="154" t="str">
        <x:v>GRID BRACKET</x:v>
      </x:c>
      <x:c r="H131" s="195" t="b">
        <x:v>1</x:v>
      </x:c>
      <x:c r="I131" s="195" t="b">
        <x:v>0</x:v>
      </x:c>
      <x:c r="J131" s="150"/>
      <x:c r="K131" s="150"/>
      <x:c r="L131" s="150"/>
      <x:c r="M131" s="150"/>
      <x:c r="N131" s="150"/>
      <x:c r="O131" s="150"/>
      <x:c r="P131" s="150"/>
      <x:c r="Q131" s="150"/>
      <x:c r="R131" s="150"/>
      <x:c r="S131" s="150"/>
    </x:row>
    <x:row r="132" ht="42" customHeight="1">
      <x:c r="A132" s="150"/>
      <x:c r="B132" s="150"/>
      <x:c r="C132" s="163" t="n">
        <x:v>0.69</x:v>
      </x:c>
      <x:c r="D132" s="150" t="str">
        <x:v>front_flat</x:v>
      </x:c>
      <x:c r="E132" s="163" t="n">
        <x:v>0.55</x:v>
      </x:c>
      <x:c r="F132" s="163" t="n">
        <x:v>0.6</x:v>
      </x:c>
      <x:c r="G132" s="154" t="str">
        <x:v>GRID BRACKET</x:v>
      </x:c>
      <x:c r="H132" s="195" t="b">
        <x:v>1</x:v>
      </x:c>
      <x:c r="I132" s="195" t="b">
        <x:v>0</x:v>
      </x:c>
      <x:c r="J132" s="150"/>
      <x:c r="K132" s="150"/>
      <x:c r="L132" s="150"/>
      <x:c r="M132" s="150"/>
      <x:c r="N132" s="150"/>
      <x:c r="O132" s="150"/>
      <x:c r="P132" s="150"/>
      <x:c r="Q132" s="150"/>
      <x:c r="R132" s="150"/>
      <x:c r="S132" s="150"/>
    </x:row>
    <x:row r="133" ht="42" customHeight="1">
      <x:c r="A133" s="150"/>
      <x:c r="B133" s="150"/>
      <x:c r="C133" s="163" t="n">
        <x:v>0.69</x:v>
      </x:c>
      <x:c r="D133" s="150" t="str">
        <x:v>front_low</x:v>
      </x:c>
      <x:c r="E133" s="163" t="n">
        <x:v>0.55</x:v>
      </x:c>
      <x:c r="F133" s="163" t="n">
        <x:v>0.6</x:v>
      </x:c>
      <x:c r="G133" s="154" t="str">
        <x:v>GRID BRACKET</x:v>
      </x:c>
      <x:c r="H133" s="195" t="b">
        <x:v>1</x:v>
      </x:c>
      <x:c r="I133" s="195" t="b">
        <x:v>0</x:v>
      </x:c>
      <x:c r="J133" s="150"/>
      <x:c r="K133" s="150"/>
      <x:c r="L133" s="150"/>
      <x:c r="M133" s="150"/>
      <x:c r="N133" s="150"/>
      <x:c r="O133" s="150"/>
      <x:c r="P133" s="150"/>
      <x:c r="Q133" s="150"/>
      <x:c r="R133" s="150"/>
      <x:c r="S133" s="150"/>
    </x:row>
    <x:row r="134" ht="42" customHeight="1">
      <x:c r="A134" s="150"/>
      <x:c r="B134" s="150"/>
      <x:c r="C134" s="163" t="n">
        <x:v>0.69</x:v>
      </x:c>
      <x:c r="D134" s="150" t="str">
        <x:v>front_high</x:v>
      </x:c>
      <x:c r="E134" s="163" t="n">
        <x:v>0.55</x:v>
      </x:c>
      <x:c r="F134" s="163" t="n">
        <x:v>0.6</x:v>
      </x:c>
      <x:c r="G134" s="154" t="str">
        <x:v>GRID BRACKET</x:v>
      </x:c>
      <x:c r="H134" s="195" t="b">
        <x:v>1</x:v>
      </x:c>
      <x:c r="I134" s="195" t="b">
        <x:v>0</x:v>
      </x:c>
      <x:c r="J134" s="150"/>
      <x:c r="K134" s="150"/>
      <x:c r="L134" s="150"/>
      <x:c r="M134" s="150"/>
      <x:c r="N134" s="150"/>
      <x:c r="O134" s="150"/>
      <x:c r="P134" s="150"/>
      <x:c r="Q134" s="150"/>
      <x:c r="R134" s="150"/>
      <x:c r="S134" s="150"/>
    </x:row>
    <x:row r="135" ht="42" customHeight="1">
      <x:c r="A135" s="150"/>
      <x:c r="B135" s="150"/>
      <x:c r="C135" s="163" t="n">
        <x:v>0.69</x:v>
      </x:c>
      <x:c r="D135" s="150" t="str">
        <x:v>middle_flat</x:v>
      </x:c>
      <x:c r="E135" s="163" t="n">
        <x:v>0.5</x:v>
      </x:c>
      <x:c r="F135" s="163" t="n">
        <x:v>0.55</x:v>
      </x:c>
      <x:c r="G135" s="154" t="str">
        <x:v>GRID BRACKET</x:v>
      </x:c>
      <x:c r="H135" s="195" t="b">
        <x:v>1</x:v>
      </x:c>
      <x:c r="I135" s="195" t="b">
        <x:v>0</x:v>
      </x:c>
      <x:c r="J135" s="150"/>
      <x:c r="K135" s="150"/>
      <x:c r="L135" s="150"/>
      <x:c r="M135" s="150"/>
      <x:c r="N135" s="150"/>
      <x:c r="O135" s="150"/>
      <x:c r="P135" s="150"/>
      <x:c r="Q135" s="150"/>
      <x:c r="R135" s="150"/>
      <x:c r="S135" s="150"/>
    </x:row>
    <x:row r="136" ht="42" customHeight="1">
      <x:c r="A136" s="150"/>
      <x:c r="B136" s="150"/>
      <x:c r="C136" s="163" t="n">
        <x:v>0.69</x:v>
      </x:c>
      <x:c r="D136" s="150" t="str">
        <x:v>middle_low</x:v>
      </x:c>
      <x:c r="E136" s="163" t="n">
        <x:v>0.5</x:v>
      </x:c>
      <x:c r="F136" s="163" t="n">
        <x:v>0.55</x:v>
      </x:c>
      <x:c r="G136" s="154" t="str">
        <x:v>GRID BRACKET</x:v>
      </x:c>
      <x:c r="H136" s="195" t="b">
        <x:v>1</x:v>
      </x:c>
      <x:c r="I136" s="195" t="b">
        <x:v>0</x:v>
      </x:c>
      <x:c r="J136" s="150"/>
      <x:c r="K136" s="150"/>
      <x:c r="L136" s="150"/>
      <x:c r="M136" s="150"/>
      <x:c r="N136" s="150"/>
      <x:c r="O136" s="150"/>
      <x:c r="P136" s="150"/>
      <x:c r="Q136" s="150"/>
      <x:c r="R136" s="150"/>
      <x:c r="S136" s="150"/>
    </x:row>
    <x:row r="137" ht="42" customHeight="1">
      <x:c r="A137" s="150"/>
      <x:c r="B137" s="150"/>
      <x:c r="C137" s="163" t="n">
        <x:v>0.69</x:v>
      </x:c>
      <x:c r="D137" s="150" t="str">
        <x:v>middle_high</x:v>
      </x:c>
      <x:c r="E137" s="163" t="n">
        <x:v>0.5</x:v>
      </x:c>
      <x:c r="F137" s="163" t="n">
        <x:v>0.55</x:v>
      </x:c>
      <x:c r="G137" s="154" t="str">
        <x:v>GRID BRACKET</x:v>
      </x:c>
      <x:c r="H137" s="195" t="b">
        <x:v>1</x:v>
      </x:c>
      <x:c r="I137" s="195" t="b">
        <x:v>0</x:v>
      </x:c>
      <x:c r="J137" s="150"/>
      <x:c r="K137" s="150"/>
      <x:c r="L137" s="150"/>
      <x:c r="M137" s="150"/>
      <x:c r="N137" s="150"/>
      <x:c r="O137" s="150"/>
      <x:c r="P137" s="150"/>
      <x:c r="Q137" s="150"/>
      <x:c r="R137" s="150"/>
      <x:c r="S137" s="150"/>
    </x:row>
    <x:row r="138" ht="42" customHeight="1">
      <x:c r="A138" s="150"/>
      <x:c r="B138" s="150"/>
      <x:c r="C138" s="163" t="n">
        <x:v>0.69</x:v>
      </x:c>
      <x:c r="D138" s="150" t="str">
        <x:v>back_flat</x:v>
      </x:c>
      <x:c r="E138" s="163" t="n">
        <x:v>0.5</x:v>
      </x:c>
      <x:c r="F138" s="163" t="n">
        <x:v>0.55</x:v>
      </x:c>
      <x:c r="G138" s="154" t="str">
        <x:v>GRID BRACKET</x:v>
      </x:c>
      <x:c r="H138" s="195" t="b">
        <x:v>1</x:v>
      </x:c>
      <x:c r="I138" s="195" t="b">
        <x:v>0</x:v>
      </x:c>
      <x:c r="J138" s="150"/>
      <x:c r="K138" s="150"/>
      <x:c r="L138" s="150"/>
      <x:c r="M138" s="150"/>
      <x:c r="N138" s="150"/>
      <x:c r="O138" s="150"/>
      <x:c r="P138" s="150"/>
      <x:c r="Q138" s="150"/>
      <x:c r="R138" s="150"/>
      <x:c r="S138" s="150"/>
    </x:row>
    <x:row r="139" ht="42" customHeight="1">
      <x:c r="A139" s="150"/>
      <x:c r="B139" s="150"/>
      <x:c r="C139" s="163" t="n">
        <x:v>0.69</x:v>
      </x:c>
      <x:c r="D139" s="150" t="str">
        <x:v>back_low</x:v>
      </x:c>
      <x:c r="E139" s="163" t="n">
        <x:v>0.5</x:v>
      </x:c>
      <x:c r="F139" s="163" t="n">
        <x:v>0.55</x:v>
      </x:c>
      <x:c r="G139" s="154" t="str">
        <x:v>GRID BRACKET</x:v>
      </x:c>
      <x:c r="H139" s="195" t="b">
        <x:v>1</x:v>
      </x:c>
      <x:c r="I139" s="195" t="b">
        <x:v>0</x:v>
      </x:c>
      <x:c r="J139" s="150"/>
      <x:c r="K139" s="150"/>
      <x:c r="L139" s="150"/>
      <x:c r="M139" s="150"/>
      <x:c r="N139" s="150"/>
      <x:c r="O139" s="150"/>
      <x:c r="P139" s="150"/>
      <x:c r="Q139" s="150"/>
      <x:c r="R139" s="150"/>
      <x:c r="S139" s="150"/>
    </x:row>
    <x:row r="140" ht="42" customHeight="1">
      <x:c r="A140" s="150"/>
      <x:c r="B140" s="150"/>
      <x:c r="C140" s="163" t="n">
        <x:v>0.69</x:v>
      </x:c>
      <x:c r="D140" s="150" t="str">
        <x:v>back_high</x:v>
      </x:c>
      <x:c r="E140" s="163" t="n">
        <x:v>0.5</x:v>
      </x:c>
      <x:c r="F140" s="163" t="n">
        <x:v>0.55</x:v>
      </x:c>
      <x:c r="G140" s="154" t="str">
        <x:v>GRID BRACKET</x:v>
      </x:c>
      <x:c r="H140" s="195" t="b">
        <x:v>1</x:v>
      </x:c>
      <x:c r="I140" s="195" t="b">
        <x:v>0</x:v>
      </x:c>
      <x:c r="J140" s="150"/>
      <x:c r="K140" s="150"/>
      <x:c r="L140" s="150"/>
      <x:c r="M140" s="150"/>
      <x:c r="N140" s="150"/>
      <x:c r="O140" s="150"/>
      <x:c r="P140" s="150"/>
      <x:c r="Q140" s="150"/>
      <x:c r="R140" s="150"/>
      <x:c r="S140" s="150"/>
    </x:row>
    <x:row r="141" ht="42" customHeight="1">
      <x:c r="A141" s="150"/>
      <x:c r="B141" s="150"/>
      <x:c r="C141" s="163" t="n">
        <x:v>0.69</x:v>
      </x:c>
      <x:c r="D141" s="150" t="str">
        <x:v>level_flat</x:v>
      </x:c>
      <x:c r="E141" s="163" t="n">
        <x:v>0.55</x:v>
      </x:c>
      <x:c r="F141" s="163" t="n">
        <x:v>0.6</x:v>
      </x:c>
      <x:c r="G141" s="154" t="str">
        <x:v>GRID BRACKET</x:v>
      </x:c>
      <x:c r="H141" s="195" t="b">
        <x:v>1</x:v>
      </x:c>
      <x:c r="I141" s="195" t="b">
        <x:v>0</x:v>
      </x:c>
      <x:c r="J141" s="150"/>
      <x:c r="K141" s="150"/>
      <x:c r="L141" s="150"/>
      <x:c r="M141" s="150"/>
      <x:c r="N141" s="150"/>
      <x:c r="O141" s="150"/>
      <x:c r="P141" s="150"/>
      <x:c r="Q141" s="150"/>
      <x:c r="R141" s="150"/>
      <x:c r="S141" s="150"/>
    </x:row>
    <x:row r="142" ht="42" customHeight="1">
      <x:c r="A142" s="150"/>
      <x:c r="B142" s="150"/>
      <x:c r="C142" s="163" t="n">
        <x:v>0.69</x:v>
      </x:c>
      <x:c r="D142" s="150" t="str">
        <x:v>level_low</x:v>
      </x:c>
      <x:c r="E142" s="163" t="n">
        <x:v>0.55</x:v>
      </x:c>
      <x:c r="F142" s="163" t="n">
        <x:v>0.6</x:v>
      </x:c>
      <x:c r="G142" s="154" t="str">
        <x:v>GRID BRACKET</x:v>
      </x:c>
      <x:c r="H142" s="195" t="b">
        <x:v>1</x:v>
      </x:c>
      <x:c r="I142" s="195" t="b">
        <x:v>0</x:v>
      </x:c>
      <x:c r="J142" s="150"/>
      <x:c r="K142" s="150"/>
      <x:c r="L142" s="150"/>
      <x:c r="M142" s="150"/>
      <x:c r="N142" s="150"/>
      <x:c r="O142" s="150"/>
      <x:c r="P142" s="150"/>
      <x:c r="Q142" s="150"/>
      <x:c r="R142" s="150"/>
      <x:c r="S142" s="150"/>
    </x:row>
    <x:row r="143" ht="42" customHeight="1">
      <x:c r="A143" s="150"/>
      <x:c r="B143" s="150"/>
      <x:c r="C143" s="163" t="n">
        <x:v>0.69</x:v>
      </x:c>
      <x:c r="D143" s="150" t="str">
        <x:v>level_high</x:v>
      </x:c>
      <x:c r="E143" s="163" t="n">
        <x:v>0.55</x:v>
      </x:c>
      <x:c r="F143" s="163" t="n">
        <x:v>0.6</x:v>
      </x:c>
      <x:c r="G143" s="154" t="str">
        <x:v>GRID BRACKET</x:v>
      </x:c>
      <x:c r="H143" s="195" t="b">
        <x:v>1</x:v>
      </x:c>
      <x:c r="I143" s="195" t="b">
        <x:v>0</x:v>
      </x:c>
      <x:c r="J143" s="150"/>
      <x:c r="K143" s="150"/>
      <x:c r="L143" s="150"/>
      <x:c r="M143" s="150"/>
      <x:c r="N143" s="150"/>
      <x:c r="O143" s="150"/>
      <x:c r="P143" s="150"/>
      <x:c r="Q143" s="150"/>
      <x:c r="R143" s="150"/>
      <x:c r="S143" s="150"/>
    </x:row>
    <x:row r="144" ht="42" customHeight="1">
      <x:c r="A144" s="150"/>
      <x:c r="B144" s="150"/>
      <x:c r="C144" s="163" t="n">
        <x:v>0.7</x:v>
      </x:c>
      <x:c r="D144" s="150" t="str">
        <x:v>front_flat</x:v>
      </x:c>
      <x:c r="E144" s="163" t="n">
        <x:v>0.5</x:v>
      </x:c>
      <x:c r="F144" s="163" t="n">
        <x:v>0.55</x:v>
      </x:c>
      <x:c r="G144" s="154" t="str">
        <x:v>GRID BRACKET</x:v>
      </x:c>
      <x:c r="H144" s="195" t="b">
        <x:v>1</x:v>
      </x:c>
      <x:c r="I144" s="195" t="b">
        <x:v>0</x:v>
      </x:c>
      <x:c r="J144" s="150"/>
      <x:c r="K144" s="150"/>
      <x:c r="L144" s="150"/>
      <x:c r="M144" s="150"/>
      <x:c r="N144" s="150"/>
      <x:c r="O144" s="150"/>
      <x:c r="P144" s="150"/>
      <x:c r="Q144" s="150"/>
      <x:c r="R144" s="150"/>
      <x:c r="S144" s="150"/>
    </x:row>
    <x:row r="145" ht="42" customHeight="1">
      <x:c r="A145" s="150"/>
      <x:c r="B145" s="150"/>
      <x:c r="C145" s="163" t="n">
        <x:v>0.7</x:v>
      </x:c>
      <x:c r="D145" s="150" t="str">
        <x:v>front_low</x:v>
      </x:c>
      <x:c r="E145" s="163" t="n">
        <x:v>0.5</x:v>
      </x:c>
      <x:c r="F145" s="163" t="n">
        <x:v>0.55</x:v>
      </x:c>
      <x:c r="G145" s="154" t="str">
        <x:v>GRID BRACKET</x:v>
      </x:c>
      <x:c r="H145" s="195" t="b">
        <x:v>1</x:v>
      </x:c>
      <x:c r="I145" s="195" t="b">
        <x:v>0</x:v>
      </x:c>
      <x:c r="J145" s="150"/>
      <x:c r="K145" s="150"/>
      <x:c r="L145" s="150"/>
      <x:c r="M145" s="150"/>
      <x:c r="N145" s="150"/>
      <x:c r="O145" s="150"/>
      <x:c r="P145" s="150"/>
      <x:c r="Q145" s="150"/>
      <x:c r="R145" s="150"/>
      <x:c r="S145" s="150"/>
    </x:row>
    <x:row r="146" ht="42" customHeight="1">
      <x:c r="A146" s="150"/>
      <x:c r="B146" s="150"/>
      <x:c r="C146" s="163" t="n">
        <x:v>0.7</x:v>
      </x:c>
      <x:c r="D146" s="150" t="str">
        <x:v>front_high</x:v>
      </x:c>
      <x:c r="E146" s="163" t="n">
        <x:v>0.5</x:v>
      </x:c>
      <x:c r="F146" s="163" t="n">
        <x:v>0.55</x:v>
      </x:c>
      <x:c r="G146" s="154" t="str">
        <x:v>GRID BRACKET</x:v>
      </x:c>
      <x:c r="H146" s="195" t="b">
        <x:v>1</x:v>
      </x:c>
      <x:c r="I146" s="195" t="b">
        <x:v>0</x:v>
      </x:c>
      <x:c r="J146" s="150"/>
      <x:c r="K146" s="150"/>
      <x:c r="L146" s="150"/>
      <x:c r="M146" s="150"/>
      <x:c r="N146" s="150"/>
      <x:c r="O146" s="150"/>
      <x:c r="P146" s="150"/>
      <x:c r="Q146" s="150"/>
      <x:c r="R146" s="150"/>
      <x:c r="S146" s="150"/>
    </x:row>
    <x:row r="147" ht="42" customHeight="1">
      <x:c r="A147" s="150"/>
      <x:c r="B147" s="150"/>
      <x:c r="C147" s="163" t="n">
        <x:v>0.7</x:v>
      </x:c>
      <x:c r="D147" s="150" t="str">
        <x:v>middle_flat</x:v>
      </x:c>
      <x:c r="E147" s="163" t="n">
        <x:v>0.5</x:v>
      </x:c>
      <x:c r="F147" s="163" t="n">
        <x:v>0.55</x:v>
      </x:c>
      <x:c r="G147" s="154" t="str">
        <x:v>GRID BRACKET</x:v>
      </x:c>
      <x:c r="H147" s="195" t="b">
        <x:v>1</x:v>
      </x:c>
      <x:c r="I147" s="195" t="b">
        <x:v>0</x:v>
      </x:c>
      <x:c r="J147" s="150"/>
      <x:c r="K147" s="150"/>
      <x:c r="L147" s="150"/>
      <x:c r="M147" s="150"/>
      <x:c r="N147" s="150"/>
      <x:c r="O147" s="150"/>
      <x:c r="P147" s="150"/>
      <x:c r="Q147" s="150"/>
      <x:c r="R147" s="150"/>
      <x:c r="S147" s="150"/>
    </x:row>
    <x:row r="148" ht="42" customHeight="1">
      <x:c r="A148" s="150"/>
      <x:c r="B148" s="150"/>
      <x:c r="C148" s="163" t="n">
        <x:v>0.7</x:v>
      </x:c>
      <x:c r="D148" s="150" t="str">
        <x:v>middle_low</x:v>
      </x:c>
      <x:c r="E148" s="163" t="n">
        <x:v>0.5</x:v>
      </x:c>
      <x:c r="F148" s="163" t="n">
        <x:v>0.55</x:v>
      </x:c>
      <x:c r="G148" s="154" t="str">
        <x:v>GRID BRACKET</x:v>
      </x:c>
      <x:c r="H148" s="195" t="b">
        <x:v>1</x:v>
      </x:c>
      <x:c r="I148" s="195" t="b">
        <x:v>0</x:v>
      </x:c>
      <x:c r="J148" s="150"/>
      <x:c r="K148" s="150"/>
      <x:c r="L148" s="150"/>
      <x:c r="M148" s="150"/>
      <x:c r="N148" s="150"/>
      <x:c r="O148" s="150"/>
      <x:c r="P148" s="150"/>
      <x:c r="Q148" s="150"/>
      <x:c r="R148" s="150"/>
      <x:c r="S148" s="150"/>
    </x:row>
    <x:row r="149" ht="42" customHeight="1">
      <x:c r="A149" s="150"/>
      <x:c r="B149" s="150"/>
      <x:c r="C149" s="163" t="n">
        <x:v>0.7</x:v>
      </x:c>
      <x:c r="D149" s="150" t="str">
        <x:v>middle_high</x:v>
      </x:c>
      <x:c r="E149" s="163" t="n">
        <x:v>0.5</x:v>
      </x:c>
      <x:c r="F149" s="163" t="n">
        <x:v>0.55</x:v>
      </x:c>
      <x:c r="G149" s="154" t="str">
        <x:v>GRID BRACKET</x:v>
      </x:c>
      <x:c r="H149" s="195" t="b">
        <x:v>1</x:v>
      </x:c>
      <x:c r="I149" s="195" t="b">
        <x:v>0</x:v>
      </x:c>
      <x:c r="J149" s="150"/>
      <x:c r="K149" s="150"/>
      <x:c r="L149" s="150"/>
      <x:c r="M149" s="150"/>
      <x:c r="N149" s="150"/>
      <x:c r="O149" s="150"/>
      <x:c r="P149" s="150"/>
      <x:c r="Q149" s="150"/>
      <x:c r="R149" s="150"/>
      <x:c r="S149" s="150"/>
    </x:row>
    <x:row r="150" ht="42" customHeight="1">
      <x:c r="A150" s="150"/>
      <x:c r="B150" s="150"/>
      <x:c r="C150" s="163" t="n">
        <x:v>0.7</x:v>
      </x:c>
      <x:c r="D150" s="150" t="str">
        <x:v>back_flat</x:v>
      </x:c>
      <x:c r="E150" s="163" t="n">
        <x:v>0.5</x:v>
      </x:c>
      <x:c r="F150" s="163" t="n">
        <x:v>0.55</x:v>
      </x:c>
      <x:c r="G150" s="154" t="str">
        <x:v>GRID BRACKET</x:v>
      </x:c>
      <x:c r="H150" s="195" t="b">
        <x:v>1</x:v>
      </x:c>
      <x:c r="I150" s="195" t="b">
        <x:v>0</x:v>
      </x:c>
      <x:c r="J150" s="150"/>
      <x:c r="K150" s="150"/>
      <x:c r="L150" s="150"/>
      <x:c r="M150" s="150"/>
      <x:c r="N150" s="150"/>
      <x:c r="O150" s="150"/>
      <x:c r="P150" s="150"/>
      <x:c r="Q150" s="150"/>
      <x:c r="R150" s="150"/>
      <x:c r="S150" s="150"/>
    </x:row>
    <x:row r="151" ht="42" customHeight="1">
      <x:c r="A151" s="150"/>
      <x:c r="B151" s="150"/>
      <x:c r="C151" s="163" t="n">
        <x:v>0.7</x:v>
      </x:c>
      <x:c r="D151" s="150" t="str">
        <x:v>back_low</x:v>
      </x:c>
      <x:c r="E151" s="163" t="n">
        <x:v>0.5</x:v>
      </x:c>
      <x:c r="F151" s="163" t="n">
        <x:v>0.55</x:v>
      </x:c>
      <x:c r="G151" s="154" t="str">
        <x:v>GRID BRACKET</x:v>
      </x:c>
      <x:c r="H151" s="195" t="b">
        <x:v>1</x:v>
      </x:c>
      <x:c r="I151" s="195" t="b">
        <x:v>0</x:v>
      </x:c>
      <x:c r="J151" s="150"/>
      <x:c r="K151" s="150"/>
      <x:c r="L151" s="150"/>
      <x:c r="M151" s="150"/>
      <x:c r="N151" s="150"/>
      <x:c r="O151" s="150"/>
      <x:c r="P151" s="150"/>
      <x:c r="Q151" s="150"/>
      <x:c r="R151" s="150"/>
      <x:c r="S151" s="150"/>
    </x:row>
    <x:row r="152" ht="42" customHeight="1">
      <x:c r="A152" s="150"/>
      <x:c r="B152" s="150"/>
      <x:c r="C152" s="163" t="n">
        <x:v>0.7</x:v>
      </x:c>
      <x:c r="D152" s="150" t="str">
        <x:v>back_high</x:v>
      </x:c>
      <x:c r="E152" s="163" t="n">
        <x:v>0.5</x:v>
      </x:c>
      <x:c r="F152" s="163" t="n">
        <x:v>0.55</x:v>
      </x:c>
      <x:c r="G152" s="154" t="str">
        <x:v>GRID BRACKET</x:v>
      </x:c>
      <x:c r="H152" s="195" t="b">
        <x:v>1</x:v>
      </x:c>
      <x:c r="I152" s="195" t="b">
        <x:v>0</x:v>
      </x:c>
      <x:c r="J152" s="150"/>
      <x:c r="K152" s="150"/>
      <x:c r="L152" s="150"/>
      <x:c r="M152" s="150"/>
      <x:c r="N152" s="150"/>
      <x:c r="O152" s="150"/>
      <x:c r="P152" s="150"/>
      <x:c r="Q152" s="150"/>
      <x:c r="R152" s="150"/>
      <x:c r="S152" s="150"/>
    </x:row>
    <x:row r="153" ht="42" customHeight="1">
      <x:c r="A153" s="150"/>
      <x:c r="B153" s="150"/>
      <x:c r="C153" s="163" t="n">
        <x:v>0.7</x:v>
      </x:c>
      <x:c r="D153" s="150" t="str">
        <x:v>level_flat</x:v>
      </x:c>
      <x:c r="E153" s="163" t="n">
        <x:v>0.5</x:v>
      </x:c>
      <x:c r="F153" s="163" t="n">
        <x:v>0.55</x:v>
      </x:c>
      <x:c r="G153" s="154" t="str">
        <x:v>GRID BRACKET</x:v>
      </x:c>
      <x:c r="H153" s="195" t="b">
        <x:v>1</x:v>
      </x:c>
      <x:c r="I153" s="195" t="b">
        <x:v>0</x:v>
      </x:c>
      <x:c r="J153" s="150"/>
      <x:c r="K153" s="150"/>
      <x:c r="L153" s="150"/>
      <x:c r="M153" s="150"/>
      <x:c r="N153" s="150"/>
      <x:c r="O153" s="150"/>
      <x:c r="P153" s="150"/>
      <x:c r="Q153" s="150"/>
      <x:c r="R153" s="150"/>
      <x:c r="S153" s="150"/>
    </x:row>
    <x:row r="154" ht="42" customHeight="1">
      <x:c r="A154" s="150"/>
      <x:c r="B154" s="150"/>
      <x:c r="C154" s="163" t="n">
        <x:v>0.7</x:v>
      </x:c>
      <x:c r="D154" s="150" t="str">
        <x:v>level_low</x:v>
      </x:c>
      <x:c r="E154" s="163" t="n">
        <x:v>0.5</x:v>
      </x:c>
      <x:c r="F154" s="163" t="n">
        <x:v>0.55</x:v>
      </x:c>
      <x:c r="G154" s="154" t="str">
        <x:v>GRID BRACKET</x:v>
      </x:c>
      <x:c r="H154" s="195" t="b">
        <x:v>1</x:v>
      </x:c>
      <x:c r="I154" s="195" t="b">
        <x:v>0</x:v>
      </x:c>
      <x:c r="J154" s="150"/>
      <x:c r="K154" s="150"/>
      <x:c r="L154" s="150"/>
      <x:c r="M154" s="150"/>
      <x:c r="N154" s="150"/>
      <x:c r="O154" s="150"/>
      <x:c r="P154" s="150"/>
      <x:c r="Q154" s="150"/>
      <x:c r="R154" s="150"/>
      <x:c r="S154" s="150"/>
    </x:row>
    <x:row r="155" ht="42" customHeight="1">
      <x:c r="A155" s="150"/>
      <x:c r="B155" s="150"/>
      <x:c r="C155" s="163" t="n">
        <x:v>0.7</x:v>
      </x:c>
      <x:c r="D155" s="150" t="str">
        <x:v>level_high</x:v>
      </x:c>
      <x:c r="E155" s="163" t="n">
        <x:v>0.55</x:v>
      </x:c>
      <x:c r="F155" s="163" t="n">
        <x:v>0.6</x:v>
      </x:c>
      <x:c r="G155" s="154" t="str">
        <x:v>GRID BRACKET</x:v>
      </x:c>
      <x:c r="H155" s="195" t="b">
        <x:v>1</x:v>
      </x:c>
      <x:c r="I155" s="195" t="b">
        <x:v>0</x:v>
      </x:c>
      <x:c r="J155" s="150"/>
      <x:c r="K155" s="150"/>
      <x:c r="L155" s="150"/>
      <x:c r="M155" s="150"/>
      <x:c r="N155" s="150"/>
      <x:c r="O155" s="150"/>
      <x:c r="P155" s="150"/>
      <x:c r="Q155" s="150"/>
      <x:c r="R155" s="150"/>
      <x:c r="S155" s="150"/>
    </x:row>
  </x:sheetData>
  <x:conditionalFormatting sqref="I8:I18">
    <x:cfRule type="containsText" dxfId="0" priority="1" operator="containsText" text="CHECK"/>
    <x:cfRule type="containsText" dxfId="1" priority="2" operator="containsText" text="REFRESH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23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>
      <x:c r="A1" s="116" t="str">
        <x:v>Development simulations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</x:row>
    <x:row r="2">
      <x:c r="A2" s="64" t="str">
        <x:v>Python Stress Results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</x:row>
    <x:row r="3">
      <x:c r="A3" s="150" t="str">
        <x:v>Detailed grid. Cash-flow pass means timely senior interest and ultimate principal under this exploratory run only.</x:v>
      </x:c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  <x:c r="J4" s="150"/>
      <x:c r="K4" s="150"/>
      <x:c r="L4" s="150"/>
      <x:c r="M4" s="150"/>
      <x:c r="N4" s="150"/>
      <x:c r="O4" s="150"/>
      <x:c r="P4" s="150"/>
      <x:c r="Q4" s="150"/>
      <x:c r="R4" s="150"/>
      <x:c r="S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</x:row>
    <x:row r="7" ht="38" customHeight="1">
      <x:c r="A7" s="7" t="str">
        <x:v>senior_pct</x:v>
      </x:c>
      <x:c r="B7" s="7" t="str">
        <x:v>scenario_id</x:v>
      </x:c>
      <x:c r="C7" s="7" t="str">
        <x:v>target_default_rate</x:v>
      </x:c>
      <x:c r="D7" s="7" t="str">
        <x:v>realized_default_rate</x:v>
      </x:c>
      <x:c r="E7" s="7" t="str">
        <x:v>default_target_attained</x:v>
      </x:c>
      <x:c r="F7" s="7" t="str">
        <x:v>senior_pass</x:v>
      </x:c>
      <x:c r="G7" s="7" t="str">
        <x:v>senior_timely_interest_shortfall</x:v>
      </x:c>
      <x:c r="H7" s="7" t="str">
        <x:v>senior_principal_shortfall</x:v>
      </x:c>
      <x:c r="I7" s="7" t="str">
        <x:v>junior_interest_arrears</x:v>
      </x:c>
      <x:c r="J7" s="7" t="str">
        <x:v>junior_principal_shortfall</x:v>
      </x:c>
      <x:c r="K7" s="7" t="str">
        <x:v>equity_distributions</x:v>
      </x:c>
      <x:c r="L7" s="7" t="str">
        <x:v>oc_breach_periods</x:v>
      </x:c>
      <x:c r="M7" s="7" t="str">
        <x:v>ic_breach_periods</x:v>
      </x:c>
      <x:c r="N7" s="7" t="str">
        <x:v>max_cash_residual</x:v>
      </x:c>
      <x:c r="O7" s="7" t="str">
        <x:v>max_par_residual</x:v>
      </x:c>
      <x:c r="P7" s="7" t="str">
        <x:v>max_priority_violation</x:v>
      </x:c>
      <x:c r="Q7" s="7" t="str">
        <x:v>accounting_valid</x:v>
      </x:c>
      <x:c r="R7" s="7" t="str">
        <x:v>unallocated_defaults</x:v>
      </x:c>
      <x:c r="S7" s="7" t="str">
        <x:v>stress_signature</x:v>
      </x:c>
    </x:row>
    <x:row r="8" ht="21" customHeight="1">
      <x:c r="A8" s="60" t="n">
        <x:v>0.6</x:v>
      </x:c>
      <x:c r="B8" s="28" t="str">
        <x:v>front_flat</x:v>
      </x:c>
      <x:c r="C8" s="60" t="n">
        <x:v>0</x:v>
      </x:c>
      <x:c r="D8" s="60" t="n">
        <x:v>0</x:v>
      </x:c>
      <x:c r="E8" s="62" t="b">
        <x:v>1</x:v>
      </x:c>
      <x:c r="F8" s="62" t="b">
        <x:v>1</x:v>
      </x:c>
      <x:c r="G8" s="85" t="n">
        <x:v>0</x:v>
      </x:c>
      <x:c r="H8" s="85" t="n">
        <x:v>0</x:v>
      </x:c>
      <x:c r="I8" s="85" t="n">
        <x:v>0</x:v>
      </x:c>
      <x:c r="J8" s="85" t="n">
        <x:v>0</x:v>
      </x:c>
      <x:c r="K8" s="85" t="n">
        <x:v>5516516.670684932</x:v>
      </x:c>
      <x:c r="L8" s="28" t="n">
        <x:v>0</x:v>
      </x:c>
      <x:c r="M8" s="28" t="n">
        <x:v>0</x:v>
      </x:c>
      <x:c r="N8" s="28" t="n">
        <x:v>9.313225746154785e-10</x:v>
      </x:c>
      <x:c r="O8" s="28" t="n">
        <x:v>0</x:v>
      </x:c>
      <x:c r="P8" s="28" t="n">
        <x:v>0</x:v>
      </x:c>
      <x:c r="Q8" s="62" t="b">
        <x:v>1</x:v>
      </x:c>
      <x:c r="R8" s="28" t="n">
        <x:v>0</x:v>
      </x:c>
      <x:c r="S8" s="28" t="str">
        <x:v>902cb1a08fe8aae4</x:v>
      </x:c>
    </x:row>
    <x:row r="9" ht="21" customHeight="1">
      <x:c r="A9" s="60" t="n">
        <x:v>0.6</x:v>
      </x:c>
      <x:c r="B9" s="28" t="str">
        <x:v>front_flat</x:v>
      </x:c>
      <x:c r="C9" s="60" t="n">
        <x:v>0.05</x:v>
      </x:c>
      <x:c r="D9" s="60" t="n">
        <x:v>0.05</x:v>
      </x:c>
      <x:c r="E9" s="62" t="b">
        <x:v>1</x:v>
      </x:c>
      <x:c r="F9" s="62" t="b">
        <x:v>1</x:v>
      </x:c>
      <x:c r="G9" s="85" t="n">
        <x:v>0</x:v>
      </x:c>
      <x:c r="H9" s="85" t="n">
        <x:v>0</x:v>
      </x:c>
      <x:c r="I9" s="85" t="n">
        <x:v>0</x:v>
      </x:c>
      <x:c r="J9" s="85" t="n">
        <x:v>0</x:v>
      </x:c>
      <x:c r="K9" s="85" t="n">
        <x:v>3217119.7835400794</x:v>
      </x:c>
      <x:c r="L9" s="28" t="n">
        <x:v>0</x:v>
      </x:c>
      <x:c r="M9" s="28" t="n">
        <x:v>0</x:v>
      </x:c>
      <x:c r="N9" s="28" t="n">
        <x:v>9.313225746154785e-10</x:v>
      </x:c>
      <x:c r="O9" s="28" t="n">
        <x:v>7.450580596923828e-9</x:v>
      </x:c>
      <x:c r="P9" s="28" t="n">
        <x:v>0</x:v>
      </x:c>
      <x:c r="Q9" s="62" t="b">
        <x:v>1</x:v>
      </x:c>
      <x:c r="R9" s="28" t="n">
        <x:v>0</x:v>
      </x:c>
      <x:c r="S9" s="28" t="str">
        <x:v>4430dffdc5101d71</x:v>
      </x:c>
    </x:row>
    <x:row r="10" ht="21" customHeight="1">
      <x:c r="A10" s="60" t="n">
        <x:v>0.6</x:v>
      </x:c>
      <x:c r="B10" s="28" t="str">
        <x:v>front_flat</x:v>
      </x:c>
      <x:c r="C10" s="60" t="n">
        <x:v>0.1</x:v>
      </x:c>
      <x:c r="D10" s="60" t="n">
        <x:v>0.1</x:v>
      </x:c>
      <x:c r="E10" s="62" t="b">
        <x:v>1</x:v>
      </x:c>
      <x:c r="F10" s="62" t="b">
        <x:v>1</x:v>
      </x:c>
      <x:c r="G10" s="85" t="n">
        <x:v>0</x:v>
      </x:c>
      <x:c r="H10" s="85" t="n">
        <x:v>0</x:v>
      </x:c>
      <x:c r="I10" s="85" t="n">
        <x:v>0</x:v>
      </x:c>
      <x:c r="J10" s="85" t="n">
        <x:v>0</x:v>
      </x:c>
      <x:c r="K10" s="85" t="n">
        <x:v>917267.9883631942</x:v>
      </x:c>
      <x:c r="L10" s="28" t="n">
        <x:v>0</x:v>
      </x:c>
      <x:c r="M10" s="28" t="n">
        <x:v>0</x:v>
      </x:c>
      <x:c r="N10" s="28" t="n">
        <x:v>2.3283064365386963e-10</x:v>
      </x:c>
      <x:c r="O10" s="28" t="n">
        <x:v>7.450580596923828e-9</x:v>
      </x:c>
      <x:c r="P10" s="28" t="n">
        <x:v>0</x:v>
      </x:c>
      <x:c r="Q10" s="62" t="b">
        <x:v>1</x:v>
      </x:c>
      <x:c r="R10" s="28" t="n">
        <x:v>0</x:v>
      </x:c>
      <x:c r="S10" s="28" t="str">
        <x:v>6aea1af384b436e4</x:v>
      </x:c>
    </x:row>
    <x:row r="11" ht="21" customHeight="1">
      <x:c r="A11" s="60" t="n">
        <x:v>0.6</x:v>
      </x:c>
      <x:c r="B11" s="28" t="str">
        <x:v>front_flat</x:v>
      </x:c>
      <x:c r="C11" s="60" t="n">
        <x:v>0.15</x:v>
      </x:c>
      <x:c r="D11" s="60" t="n">
        <x:v>0.15</x:v>
      </x:c>
      <x:c r="E11" s="62" t="b">
        <x:v>1</x:v>
      </x:c>
      <x:c r="F11" s="62" t="b">
        <x:v>1</x:v>
      </x:c>
      <x:c r="G11" s="85" t="n">
        <x:v>0</x:v>
      </x:c>
      <x:c r="H11" s="85" t="n">
        <x:v>0</x:v>
      </x:c>
      <x:c r="I11" s="85" t="n">
        <x:v>1142116.346930822</x:v>
      </x:c>
      <x:c r="J11" s="85" t="n">
        <x:v>0</x:v>
      </x:c>
      <x:c r="K11" s="85" t="n">
        <x:v>19529.143736301194</x:v>
      </x:c>
      <x:c r="L11" s="28" t="n">
        <x:v>0</x:v>
      </x:c>
      <x:c r="M11" s="28" t="n">
        <x:v>0</x:v>
      </x:c>
      <x:c r="N11" s="28" t="n">
        <x:v>4.656612873077393e-10</x:v>
      </x:c>
      <x:c r="O11" s="28" t="n">
        <x:v>7.450580596923828e-9</x:v>
      </x:c>
      <x:c r="P11" s="28" t="n">
        <x:v>0</x:v>
      </x:c>
      <x:c r="Q11" s="62" t="b">
        <x:v>1</x:v>
      </x:c>
      <x:c r="R11" s="28" t="n">
        <x:v>0</x:v>
      </x:c>
      <x:c r="S11" s="28" t="str">
        <x:v>33496b50b5046b5d</x:v>
      </x:c>
    </x:row>
    <x:row r="12" ht="21" customHeight="1">
      <x:c r="A12" s="60" t="n">
        <x:v>0.6</x:v>
      </x:c>
      <x:c r="B12" s="28" t="str">
        <x:v>front_flat</x:v>
      </x:c>
      <x:c r="C12" s="60" t="n">
        <x:v>0.2</x:v>
      </x:c>
      <x:c r="D12" s="60" t="n">
        <x:v>0.2</x:v>
      </x:c>
      <x:c r="E12" s="62" t="b">
        <x:v>1</x:v>
      </x:c>
      <x:c r="F12" s="62" t="b">
        <x:v>1</x:v>
      </x:c>
      <x:c r="G12" s="85" t="n">
        <x:v>0</x:v>
      </x:c>
      <x:c r="H12" s="85" t="n">
        <x:v>0</x:v>
      </x:c>
      <x:c r="I12" s="85" t="n">
        <x:v>2764998.405795407</x:v>
      </x:c>
      <x:c r="J12" s="85" t="n">
        <x:v>1254093.4388721196</x:v>
      </x:c>
      <x:c r="K12" s="85" t="n">
        <x:v>7912.179410959092</x:v>
      </x:c>
      <x:c r="L12" s="28" t="n">
        <x:v>0</x:v>
      </x:c>
      <x:c r="M12" s="28" t="n">
        <x:v>0</x:v>
      </x:c>
      <x:c r="N12" s="28" t="n">
        <x:v>4.656612873077393e-10</x:v>
      </x:c>
      <x:c r="O12" s="28" t="n">
        <x:v>7.450580596923828e-9</x:v>
      </x:c>
      <x:c r="P12" s="28" t="n">
        <x:v>0</x:v>
      </x:c>
      <x:c r="Q12" s="62" t="b">
        <x:v>1</x:v>
      </x:c>
      <x:c r="R12" s="28" t="n">
        <x:v>0</x:v>
      </x:c>
      <x:c r="S12" s="28" t="str">
        <x:v>8955ba058fc1e4e5</x:v>
      </x:c>
    </x:row>
    <x:row r="13" ht="21" customHeight="1">
      <x:c r="A13" s="60" t="n">
        <x:v>0.6</x:v>
      </x:c>
      <x:c r="B13" s="28" t="str">
        <x:v>front_flat</x:v>
      </x:c>
      <x:c r="C13" s="60" t="n">
        <x:v>0.25</x:v>
      </x:c>
      <x:c r="D13" s="60" t="n">
        <x:v>0.25</x:v>
      </x:c>
      <x:c r="E13" s="62" t="b">
        <x:v>1</x:v>
      </x:c>
      <x:c r="F13" s="62" t="b">
        <x:v>1</x:v>
      </x:c>
      <x:c r="G13" s="85" t="n">
        <x:v>0</x:v>
      </x:c>
      <x:c r="H13" s="85" t="n">
        <x:v>0</x:v>
      </x:c>
      <x:c r="I13" s="85" t="n">
        <x:v>4074707.429965813</x:v>
      </x:c>
      <x:c r="J13" s="85" t="n">
        <x:v>2961216.798590132</x:v>
      </x:c>
      <x:c r="K13" s="85" t="n">
        <x:v>421.3155821917826</x:v>
      </x:c>
      <x:c r="L13" s="28" t="n">
        <x:v>0</x:v>
      </x:c>
      <x:c r="M13" s="28" t="n">
        <x:v>0</x:v>
      </x:c>
      <x:c r="N13" s="28" t="n">
        <x:v>9.313225746154785e-10</x:v>
      </x:c>
      <x:c r="O13" s="28" t="n">
        <x:v>3.725290298461914e-9</x:v>
      </x:c>
      <x:c r="P13" s="28" t="n">
        <x:v>0</x:v>
      </x:c>
      <x:c r="Q13" s="62" t="b">
        <x:v>1</x:v>
      </x:c>
      <x:c r="R13" s="28" t="n">
        <x:v>0</x:v>
      </x:c>
      <x:c r="S13" s="28" t="str">
        <x:v>16684977cfb02aa5</x:v>
      </x:c>
    </x:row>
    <x:row r="14" ht="21" customHeight="1">
      <x:c r="A14" s="60" t="n">
        <x:v>0.6</x:v>
      </x:c>
      <x:c r="B14" s="28" t="str">
        <x:v>front_flat</x:v>
      </x:c>
      <x:c r="C14" s="60" t="n">
        <x:v>0.3</x:v>
      </x:c>
      <x:c r="D14" s="60" t="n">
        <x:v>0.3</x:v>
      </x:c>
      <x:c r="E14" s="62" t="b">
        <x:v>1</x:v>
      </x:c>
      <x:c r="F14" s="62" t="b">
        <x:v>1</x:v>
      </x:c>
      <x:c r="G14" s="85" t="n">
        <x:v>0</x:v>
      </x:c>
      <x:c r="H14" s="85" t="n">
        <x:v>0</x:v>
      </x:c>
      <x:c r="I14" s="85" t="n">
        <x:v>5379108.4241233645</x:v>
      </x:c>
      <x:c r="J14" s="85" t="n">
        <x:v>4668340.158308157</x:v>
      </x:c>
      <x:c r="K14" s="85" t="n">
        <x:v>0</x:v>
      </x:c>
      <x:c r="L14" s="28" t="n">
        <x:v>0</x:v>
      </x:c>
      <x:c r="M14" s="28" t="n">
        <x:v>0</x:v>
      </x:c>
      <x:c r="N14" s="28" t="n">
        <x:v>4.656612873077393e-10</x:v>
      </x:c>
      <x:c r="O14" s="28" t="n">
        <x:v>7.450580596923828e-9</x:v>
      </x:c>
      <x:c r="P14" s="28" t="n">
        <x:v>0</x:v>
      </x:c>
      <x:c r="Q14" s="62" t="b">
        <x:v>1</x:v>
      </x:c>
      <x:c r="R14" s="28" t="n">
        <x:v>0</x:v>
      </x:c>
      <x:c r="S14" s="28" t="str">
        <x:v>90ab2ac771f00261</x:v>
      </x:c>
    </x:row>
    <x:row r="15" ht="21" customHeight="1">
      <x:c r="A15" s="60" t="n">
        <x:v>0.6</x:v>
      </x:c>
      <x:c r="B15" s="28" t="str">
        <x:v>front_flat</x:v>
      </x:c>
      <x:c r="C15" s="60" t="n">
        <x:v>0.35</x:v>
      </x:c>
      <x:c r="D15" s="60" t="n">
        <x:v>0.35</x:v>
      </x:c>
      <x:c r="E15" s="62" t="b">
        <x:v>1</x:v>
      </x:c>
      <x:c r="F15" s="62" t="b">
        <x:v>1</x:v>
      </x:c>
      <x:c r="G15" s="85" t="n">
        <x:v>0</x:v>
      </x:c>
      <x:c r="H15" s="85" t="n">
        <x:v>0</x:v>
      </x:c>
      <x:c r="I15" s="85" t="n">
        <x:v>6683509.418280911</x:v>
      </x:c>
      <x:c r="J15" s="85" t="n">
        <x:v>6375463.518026188</x:v>
      </x:c>
      <x:c r="K15" s="85" t="n">
        <x:v>0</x:v>
      </x:c>
      <x:c r="L15" s="28" t="n">
        <x:v>0</x:v>
      </x:c>
      <x:c r="M15" s="28" t="n">
        <x:v>0</x:v>
      </x:c>
      <x:c r="N15" s="28" t="n">
        <x:v>9.313225746154785e-10</x:v>
      </x:c>
      <x:c r="O15" s="28" t="n">
        <x:v>7.450580596923828e-9</x:v>
      </x:c>
      <x:c r="P15" s="28" t="n">
        <x:v>0</x:v>
      </x:c>
      <x:c r="Q15" s="62" t="b">
        <x:v>1</x:v>
      </x:c>
      <x:c r="R15" s="28" t="n">
        <x:v>0</x:v>
      </x:c>
      <x:c r="S15" s="28" t="str">
        <x:v>ab7f5cfc165144e1</x:v>
      </x:c>
    </x:row>
    <x:row r="16" ht="21" customHeight="1">
      <x:c r="A16" s="60" t="n">
        <x:v>0.6</x:v>
      </x:c>
      <x:c r="B16" s="28" t="str">
        <x:v>front_flat</x:v>
      </x:c>
      <x:c r="C16" s="60" t="n">
        <x:v>0.4</x:v>
      </x:c>
      <x:c r="D16" s="60" t="n">
        <x:v>0.4</x:v>
      </x:c>
      <x:c r="E16" s="62" t="b">
        <x:v>1</x:v>
      </x:c>
      <x:c r="F16" s="62" t="b">
        <x:v>1</x:v>
      </x:c>
      <x:c r="G16" s="85" t="n">
        <x:v>0</x:v>
      </x:c>
      <x:c r="H16" s="85" t="n">
        <x:v>0</x:v>
      </x:c>
      <x:c r="I16" s="85" t="n">
        <x:v>7995123.459874078</x:v>
      </x:c>
      <x:c r="J16" s="85" t="n">
        <x:v>8082586.877744218</x:v>
      </x:c>
      <x:c r="K16" s="85" t="n">
        <x:v>0</x:v>
      </x:c>
      <x:c r="L16" s="28" t="n">
        <x:v>0</x:v>
      </x:c>
      <x:c r="M16" s="28" t="n">
        <x:v>0</x:v>
      </x:c>
      <x:c r="N16" s="28" t="n">
        <x:v>2.3283064365386963e-10</x:v>
      </x:c>
      <x:c r="O16" s="28" t="n">
        <x:v>7.450580596923828e-9</x:v>
      </x:c>
      <x:c r="P16" s="28" t="n">
        <x:v>0</x:v>
      </x:c>
      <x:c r="Q16" s="62" t="b">
        <x:v>1</x:v>
      </x:c>
      <x:c r="R16" s="28" t="n">
        <x:v>0</x:v>
      </x:c>
      <x:c r="S16" s="28" t="str">
        <x:v>aa38668ab921bd19</x:v>
      </x:c>
    </x:row>
    <x:row r="17" ht="21" customHeight="1">
      <x:c r="A17" s="60" t="n">
        <x:v>0.6</x:v>
      </x:c>
      <x:c r="B17" s="28" t="str">
        <x:v>front_flat</x:v>
      </x:c>
      <x:c r="C17" s="60" t="n">
        <x:v>0.45</x:v>
      </x:c>
      <x:c r="D17" s="60" t="n">
        <x:v>0.45</x:v>
      </x:c>
      <x:c r="E17" s="62" t="b">
        <x:v>1</x:v>
      </x:c>
      <x:c r="F17" s="62" t="b">
        <x:v>1</x:v>
      </x:c>
      <x:c r="G17" s="85" t="n">
        <x:v>0</x:v>
      </x:c>
      <x:c r="H17" s="85" t="n">
        <x:v>0</x:v>
      </x:c>
      <x:c r="I17" s="85" t="n">
        <x:v>9302307.519294128</x:v>
      </x:c>
      <x:c r="J17" s="85" t="n">
        <x:v>9789710.237462243</x:v>
      </x:c>
      <x:c r="K17" s="85" t="n">
        <x:v>0</x:v>
      </x:c>
      <x:c r="L17" s="28" t="n">
        <x:v>0</x:v>
      </x:c>
      <x:c r="M17" s="28" t="n">
        <x:v>0</x:v>
      </x:c>
      <x:c r="N17" s="28" t="n">
        <x:v>4.656612873077393e-10</x:v>
      </x:c>
      <x:c r="O17" s="28" t="n">
        <x:v>3.725290298461914e-9</x:v>
      </x:c>
      <x:c r="P17" s="28" t="n">
        <x:v>0</x:v>
      </x:c>
      <x:c r="Q17" s="62" t="b">
        <x:v>1</x:v>
      </x:c>
      <x:c r="R17" s="28" t="n">
        <x:v>0</x:v>
      </x:c>
      <x:c r="S17" s="28" t="str">
        <x:v>f05e09ea0ef55c7e</x:v>
      </x:c>
    </x:row>
    <x:row r="18" ht="21" customHeight="1">
      <x:c r="A18" s="60" t="n">
        <x:v>0.6</x:v>
      </x:c>
      <x:c r="B18" s="28" t="str">
        <x:v>front_flat</x:v>
      </x:c>
      <x:c r="C18" s="60" t="n">
        <x:v>0.5</x:v>
      </x:c>
      <x:c r="D18" s="60" t="n">
        <x:v>0.5</x:v>
      </x:c>
      <x:c r="E18" s="62" t="b">
        <x:v>1</x:v>
      </x:c>
      <x:c r="F18" s="62" t="b">
        <x:v>1</x:v>
      </x:c>
      <x:c r="G18" s="85" t="n">
        <x:v>0</x:v>
      </x:c>
      <x:c r="H18" s="85" t="n">
        <x:v>0</x:v>
      </x:c>
      <x:c r="I18" s="85" t="n">
        <x:v>10604832.060159378</x:v>
      </x:c>
      <x:c r="J18" s="85" t="n">
        <x:v>11496833.597180277</x:v>
      </x:c>
      <x:c r="K18" s="85" t="n">
        <x:v>0</x:v>
      </x:c>
      <x:c r="L18" s="28" t="n">
        <x:v>0</x:v>
      </x:c>
      <x:c r="M18" s="28" t="n">
        <x:v>0</x:v>
      </x:c>
      <x:c r="N18" s="28" t="n">
        <x:v>4.656612873077393e-10</x:v>
      </x:c>
      <x:c r="O18" s="28" t="n">
        <x:v>7.450580596923828e-9</x:v>
      </x:c>
      <x:c r="P18" s="28" t="n">
        <x:v>0</x:v>
      </x:c>
      <x:c r="Q18" s="62" t="b">
        <x:v>1</x:v>
      </x:c>
      <x:c r="R18" s="28" t="n">
        <x:v>0</x:v>
      </x:c>
      <x:c r="S18" s="28" t="str">
        <x:v>7c3d0ba4d5e837a2</x:v>
      </x:c>
    </x:row>
    <x:row r="19" ht="21" customHeight="1">
      <x:c r="A19" s="60" t="n">
        <x:v>0.6</x:v>
      </x:c>
      <x:c r="B19" s="28" t="str">
        <x:v>front_flat</x:v>
      </x:c>
      <x:c r="C19" s="60" t="n">
        <x:v>0.55</x:v>
      </x:c>
      <x:c r="D19" s="60" t="n">
        <x:v>0.55</x:v>
      </x:c>
      <x:c r="E19" s="62" t="b">
        <x:v>1</x:v>
      </x:c>
      <x:c r="F19" s="62" t="b">
        <x:v>1</x:v>
      </x:c>
      <x:c r="G19" s="85" t="n">
        <x:v>0</x:v>
      </x:c>
      <x:c r="H19" s="85" t="n">
        <x:v>0</x:v>
      </x:c>
      <x:c r="I19" s="85" t="n">
        <x:v>12250040.06985622</x:v>
      </x:c>
      <x:c r="J19" s="85" t="n">
        <x:v>12344600.515205767</x:v>
      </x:c>
      <x:c r="K19" s="85" t="n">
        <x:v>0</x:v>
      </x:c>
      <x:c r="L19" s="28" t="n">
        <x:v>7</x:v>
      </x:c>
      <x:c r="M19" s="28" t="n">
        <x:v>0</x:v>
      </x:c>
      <x:c r="N19" s="28" t="n">
        <x:v>4.656612873077393e-10</x:v>
      </x:c>
      <x:c r="O19" s="28" t="n">
        <x:v>3.725290298461914e-9</x:v>
      </x:c>
      <x:c r="P19" s="28" t="n">
        <x:v>0</x:v>
      </x:c>
      <x:c r="Q19" s="62" t="b">
        <x:v>1</x:v>
      </x:c>
      <x:c r="R19" s="28" t="n">
        <x:v>0</x:v>
      </x:c>
      <x:c r="S19" s="28" t="str">
        <x:v>181ab28ac14f2395</x:v>
      </x:c>
    </x:row>
    <x:row r="20" ht="21" customHeight="1">
      <x:c r="A20" s="60" t="n">
        <x:v>0.6</x:v>
      </x:c>
      <x:c r="B20" s="28" t="str">
        <x:v>front_flat</x:v>
      </x:c>
      <x:c r="C20" s="60" t="n">
        <x:v>0.6</x:v>
      </x:c>
      <x:c r="D20" s="60" t="n">
        <x:v>0.6</x:v>
      </x:c>
      <x:c r="E20" s="62" t="b">
        <x:v>1</x:v>
      </x:c>
      <x:c r="F20" s="62" t="b">
        <x:v>1</x:v>
      </x:c>
      <x:c r="G20" s="85" t="n">
        <x:v>0</x:v>
      </x:c>
      <x:c r="H20" s="85" t="n">
        <x:v>0</x:v>
      </x:c>
      <x:c r="I20" s="85" t="n">
        <x:v>13788717.695020117</x:v>
      </x:c>
      <x:c r="J20" s="85" t="n">
        <x:v>13379283.701142898</x:v>
      </x:c>
      <x:c r="K20" s="85" t="n">
        <x:v>0</x:v>
      </x:c>
      <x:c r="L20" s="28" t="n">
        <x:v>14</x:v>
      </x:c>
      <x:c r="M20" s="28" t="n">
        <x:v>0</x:v>
      </x:c>
      <x:c r="N20" s="28" t="n">
        <x:v>4.656612873077393e-10</x:v>
      </x:c>
      <x:c r="O20" s="28" t="n">
        <x:v>3.725290298461914e-9</x:v>
      </x:c>
      <x:c r="P20" s="28" t="n">
        <x:v>0</x:v>
      </x:c>
      <x:c r="Q20" s="62" t="b">
        <x:v>1</x:v>
      </x:c>
      <x:c r="R20" s="28" t="n">
        <x:v>0</x:v>
      </x:c>
      <x:c r="S20" s="28" t="str">
        <x:v>a4e8734e181fdf71</x:v>
      </x:c>
    </x:row>
    <x:row r="21" ht="21" customHeight="1">
      <x:c r="A21" s="60" t="n">
        <x:v>0.6</x:v>
      </x:c>
      <x:c r="B21" s="28" t="str">
        <x:v>front_flat</x:v>
      </x:c>
      <x:c r="C21" s="60" t="n">
        <x:v>0.65</x:v>
      </x:c>
      <x:c r="D21" s="60" t="n">
        <x:v>0.65</x:v>
      </x:c>
      <x:c r="E21" s="62" t="b">
        <x:v>1</x:v>
      </x:c>
      <x:c r="F21" s="62" t="b">
        <x:v>1</x:v>
      </x:c>
      <x:c r="G21" s="85" t="n">
        <x:v>0</x:v>
      </x:c>
      <x:c r="H21" s="85" t="n">
        <x:v>0</x:v>
      </x:c>
      <x:c r="I21" s="85" t="n">
        <x:v>15175998.435950521</x:v>
      </x:c>
      <x:c r="J21" s="85" t="n">
        <x:v>14714188.798351176</x:v>
      </x:c>
      <x:c r="K21" s="85" t="n">
        <x:v>0</x:v>
      </x:c>
      <x:c r="L21" s="28" t="n">
        <x:v>19</x:v>
      </x:c>
      <x:c r="M21" s="28" t="n">
        <x:v>0</x:v>
      </x:c>
      <x:c r="N21" s="28" t="n">
        <x:v>4.656612873077393e-10</x:v>
      </x:c>
      <x:c r="O21" s="28" t="n">
        <x:v>3.725290298461914e-9</x:v>
      </x:c>
      <x:c r="P21" s="28" t="n">
        <x:v>0</x:v>
      </x:c>
      <x:c r="Q21" s="62" t="b">
        <x:v>1</x:v>
      </x:c>
      <x:c r="R21" s="28" t="n">
        <x:v>0</x:v>
      </x:c>
      <x:c r="S21" s="28" t="str">
        <x:v>3885395f40414517</x:v>
      </x:c>
    </x:row>
    <x:row r="22" ht="21" customHeight="1">
      <x:c r="A22" s="60" t="n">
        <x:v>0.6</x:v>
      </x:c>
      <x:c r="B22" s="28" t="str">
        <x:v>front_flat</x:v>
      </x:c>
      <x:c r="C22" s="60" t="n">
        <x:v>0.7</x:v>
      </x:c>
      <x:c r="D22" s="60" t="n">
        <x:v>0.7</x:v>
      </x:c>
      <x:c r="E22" s="62" t="b">
        <x:v>1</x:v>
      </x:c>
      <x:c r="F22" s="62" t="b">
        <x:v>0</x:v>
      </x:c>
      <x:c r="G22" s="85" t="n">
        <x:v>27071.7789981726</x:v>
      </x:c>
      <x:c r="H22" s="85" t="n">
        <x:v>149933.880033154</x:v>
      </x:c>
      <x:c r="I22" s="85" t="n">
        <x:v>16194048.817130137</x:v>
      </x:c>
      <x:c r="J22" s="85" t="n">
        <x:v>16723200.000000002</x:v>
      </x:c>
      <x:c r="K22" s="85" t="n">
        <x:v>0</x:v>
      </x:c>
      <x:c r="L22" s="28" t="n">
        <x:v>45</x:v>
      </x:c>
      <x:c r="M22" s="28" t="n">
        <x:v>32</x:v>
      </x:c>
      <x:c r="N22" s="28" t="n">
        <x:v>2.3283064365386963e-10</x:v>
      </x:c>
      <x:c r="O22" s="28" t="n">
        <x:v>1.862645149230957e-9</x:v>
      </x:c>
      <x:c r="P22" s="28" t="n">
        <x:v>0</x:v>
      </x:c>
      <x:c r="Q22" s="62" t="b">
        <x:v>1</x:v>
      </x:c>
      <x:c r="R22" s="28" t="n">
        <x:v>0</x:v>
      </x:c>
      <x:c r="S22" s="28" t="str">
        <x:v>03203d450379e848</x:v>
      </x:c>
    </x:row>
    <x:row r="23" ht="21" customHeight="1">
      <x:c r="A23" s="60" t="n">
        <x:v>0.6</x:v>
      </x:c>
      <x:c r="B23" s="28" t="str">
        <x:v>front_flat</x:v>
      </x:c>
      <x:c r="C23" s="60" t="n">
        <x:v>0.75</x:v>
      </x:c>
      <x:c r="D23" s="60" t="n">
        <x:v>0.75</x:v>
      </x:c>
      <x:c r="E23" s="62" t="b">
        <x:v>1</x:v>
      </x:c>
      <x:c r="F23" s="62" t="b">
        <x:v>0</x:v>
      </x:c>
      <x:c r="G23" s="85" t="n">
        <x:v>492201.54648812243</x:v>
      </x:c>
      <x:c r="H23" s="85" t="n">
        <x:v>2652724.3858760195</x:v>
      </x:c>
      <x:c r="I23" s="85" t="n">
        <x:v>16217278.846181506</x:v>
      </x:c>
      <x:c r="J23" s="85" t="n">
        <x:v>16723200.000000002</x:v>
      </x:c>
      <x:c r="K23" s="85" t="n">
        <x:v>0</x:v>
      </x:c>
      <x:c r="L23" s="28" t="n">
        <x:v>45</x:v>
      </x:c>
      <x:c r="M23" s="28" t="n">
        <x:v>36</x:v>
      </x:c>
      <x:c r="N23" s="28" t="n">
        <x:v>4.656612873077393e-10</x:v>
      </x:c>
      <x:c r="O23" s="28" t="n">
        <x:v>3.725290298461914e-9</x:v>
      </x:c>
      <x:c r="P23" s="28" t="n">
        <x:v>0</x:v>
      </x:c>
      <x:c r="Q23" s="62" t="b">
        <x:v>1</x:v>
      </x:c>
      <x:c r="R23" s="28" t="n">
        <x:v>0</x:v>
      </x:c>
      <x:c r="S23" s="28" t="str">
        <x:v>e0de07e0eff2a805</x:v>
      </x:c>
    </x:row>
    <x:row r="24" ht="21" customHeight="1">
      <x:c r="A24" s="60" t="n">
        <x:v>0.6</x:v>
      </x:c>
      <x:c r="B24" s="28" t="str">
        <x:v>front_flat</x:v>
      </x:c>
      <x:c r="C24" s="60" t="n">
        <x:v>0.8</x:v>
      </x:c>
      <x:c r="D24" s="60" t="n">
        <x:v>0.8</x:v>
      </x:c>
      <x:c r="E24" s="62" t="b">
        <x:v>1</x:v>
      </x:c>
      <x:c r="F24" s="62" t="b">
        <x:v>0</x:v>
      </x:c>
      <x:c r="G24" s="85" t="n">
        <x:v>993153.9379672816</x:v>
      </x:c>
      <x:c r="H24" s="85" t="n">
        <x:v>5033008.395210453</x:v>
      </x:c>
      <x:c r="I24" s="85" t="n">
        <x:v>16240508.875232875</x:v>
      </x:c>
      <x:c r="J24" s="85" t="n">
        <x:v>16723200.000000002</x:v>
      </x:c>
      <x:c r="K24" s="85" t="n">
        <x:v>0</x:v>
      </x:c>
      <x:c r="L24" s="28" t="n">
        <x:v>45</x:v>
      </x:c>
      <x:c r="M24" s="28" t="n">
        <x:v>38</x:v>
      </x:c>
      <x:c r="N24" s="28" t="n">
        <x:v>4.656612873077393e-10</x:v>
      </x:c>
      <x:c r="O24" s="28" t="n">
        <x:v>3.725290298461914e-9</x:v>
      </x:c>
      <x:c r="P24" s="28" t="n">
        <x:v>0</x:v>
      </x:c>
      <x:c r="Q24" s="62" t="b">
        <x:v>1</x:v>
      </x:c>
      <x:c r="R24" s="28" t="n">
        <x:v>0</x:v>
      </x:c>
      <x:c r="S24" s="28" t="str">
        <x:v>4c709a63833c1743</x:v>
      </x:c>
    </x:row>
    <x:row r="25" ht="21" customHeight="1">
      <x:c r="A25" s="60" t="n">
        <x:v>0.6</x:v>
      </x:c>
      <x:c r="B25" s="28" t="str">
        <x:v>front_flat</x:v>
      </x:c>
      <x:c r="C25" s="60" t="n">
        <x:v>0.85</x:v>
      </x:c>
      <x:c r="D25" s="60" t="n">
        <x:v>0.85</x:v>
      </x:c>
      <x:c r="E25" s="62" t="b">
        <x:v>1</x:v>
      </x:c>
      <x:c r="F25" s="62" t="b">
        <x:v>0</x:v>
      </x:c>
      <x:c r="G25" s="85" t="n">
        <x:v>1534445.8031598667</x:v>
      </x:c>
      <x:c r="H25" s="85" t="n">
        <x:v>7331707.210493028</x:v>
      </x:c>
      <x:c r="I25" s="85" t="n">
        <x:v>16263738.904284246</x:v>
      </x:c>
      <x:c r="J25" s="85" t="n">
        <x:v>16723200.000000002</x:v>
      </x:c>
      <x:c r="K25" s="85" t="n">
        <x:v>0</x:v>
      </x:c>
      <x:c r="L25" s="28" t="n">
        <x:v>45</x:v>
      </x:c>
      <x:c r="M25" s="28" t="n">
        <x:v>40</x:v>
      </x:c>
      <x:c r="N25" s="28" t="n">
        <x:v>2.3283064365386963e-10</x:v>
      </x:c>
      <x:c r="O25" s="28" t="n">
        <x:v>1.862645149230957e-9</x:v>
      </x:c>
      <x:c r="P25" s="28" t="n">
        <x:v>0</x:v>
      </x:c>
      <x:c r="Q25" s="62" t="b">
        <x:v>1</x:v>
      </x:c>
      <x:c r="R25" s="28" t="n">
        <x:v>0</x:v>
      </x:c>
      <x:c r="S25" s="28" t="str">
        <x:v>5e783a7bde1ed17e</x:v>
      </x:c>
    </x:row>
    <x:row r="26" ht="21" customHeight="1">
      <x:c r="A26" s="60" t="n">
        <x:v>0.6</x:v>
      </x:c>
      <x:c r="B26" s="28" t="str">
        <x:v>front_flat</x:v>
      </x:c>
      <x:c r="C26" s="60" t="n">
        <x:v>0.9</x:v>
      </x:c>
      <x:c r="D26" s="60" t="n">
        <x:v>0.9</x:v>
      </x:c>
      <x:c r="E26" s="62" t="b">
        <x:v>1</x:v>
      </x:c>
      <x:c r="F26" s="62" t="b">
        <x:v>0</x:v>
      </x:c>
      <x:c r="G26" s="85" t="n">
        <x:v>2062707.332717013</x:v>
      </x:c>
      <x:c r="H26" s="85" t="n">
        <x:v>9267827.243070696</x:v>
      </x:c>
      <x:c r="I26" s="85" t="n">
        <x:v>16479543.246250683</x:v>
      </x:c>
      <x:c r="J26" s="85" t="n">
        <x:v>16723200.000000002</x:v>
      </x:c>
      <x:c r="K26" s="85" t="n">
        <x:v>0</x:v>
      </x:c>
      <x:c r="L26" s="28" t="n">
        <x:v>46</x:v>
      </x:c>
      <x:c r="M26" s="28" t="n">
        <x:v>42</x:v>
      </x:c>
      <x:c r="N26" s="28" t="n">
        <x:v>2.3283064365386963e-10</x:v>
      </x:c>
      <x:c r="O26" s="28" t="n">
        <x:v>3.725290298461914e-9</x:v>
      </x:c>
      <x:c r="P26" s="28" t="n">
        <x:v>0</x:v>
      </x:c>
      <x:c r="Q26" s="62" t="b">
        <x:v>1</x:v>
      </x:c>
      <x:c r="R26" s="28" t="n">
        <x:v>0</x:v>
      </x:c>
      <x:c r="S26" s="28" t="str">
        <x:v>58a9e1de1a663ed5</x:v>
      </x:c>
    </x:row>
    <x:row r="27" ht="21" customHeight="1">
      <x:c r="A27" s="60" t="n">
        <x:v>0.6</x:v>
      </x:c>
      <x:c r="B27" s="28" t="str">
        <x:v>front_flat</x:v>
      </x:c>
      <x:c r="C27" s="60" t="n">
        <x:v>0.95</x:v>
      </x:c>
      <x:c r="D27" s="60" t="n">
        <x:v>0.9427119459478259</x:v>
      </x:c>
      <x:c r="E27" s="62" t="b">
        <x:v>0</x:v>
      </x:c>
      <x:c r="F27" s="62" t="b">
        <x:v>0</x:v>
      </x:c>
      <x:c r="G27" s="85" t="n">
        <x:v>2836845.4186822893</x:v>
      </x:c>
      <x:c r="H27" s="85" t="n">
        <x:v>10740722.146581426</x:v>
      </x:c>
      <x:c r="I27" s="85" t="n">
        <x:v>16491261.838378767</x:v>
      </x:c>
      <x:c r="J27" s="85" t="n">
        <x:v>16723200.000000002</x:v>
      </x:c>
      <x:c r="K27" s="85" t="n">
        <x:v>0</x:v>
      </x:c>
      <x:c r="L27" s="28" t="n">
        <x:v>46</x:v>
      </x:c>
      <x:c r="M27" s="28" t="n">
        <x:v>43</x:v>
      </x:c>
      <x:c r="N27" s="28" t="n">
        <x:v>4.656612873077393e-10</x:v>
      </x:c>
      <x:c r="O27" s="28" t="n">
        <x:v>1.862645149230957e-9</x:v>
      </x:c>
      <x:c r="P27" s="28" t="n">
        <x:v>0</x:v>
      </x:c>
      <x:c r="Q27" s="62" t="b">
        <x:v>1</x:v>
      </x:c>
      <x:c r="R27" s="28" t="n">
        <x:v>406265.28508438915</x:v>
      </x:c>
      <x:c r="S27" s="28" t="str">
        <x:v>3e0d80cc9f69a0ff</x:v>
      </x:c>
    </x:row>
    <x:row r="28" ht="21" customHeight="1">
      <x:c r="A28" s="60" t="n">
        <x:v>0.6</x:v>
      </x:c>
      <x:c r="B28" s="28" t="str">
        <x:v>front_flat</x:v>
      </x:c>
      <x:c r="C28" s="60" t="n">
        <x:v>1</x:v>
      </x:c>
      <x:c r="D28" s="60" t="n">
        <x:v>0.9596721012870685</x:v>
      </x:c>
      <x:c r="E28" s="62" t="b">
        <x:v>0</x:v>
      </x:c>
      <x:c r="F28" s="62" t="b">
        <x:v>0</x:v>
      </x:c>
      <x:c r="G28" s="85" t="n">
        <x:v>3195211.072004857</x:v>
      </x:c>
      <x:c r="H28" s="85" t="n">
        <x:v>11610043.018374678</x:v>
      </x:c>
      <x:c r="I28" s="85" t="n">
        <x:v>16502980.430506848</x:v>
      </x:c>
      <x:c r="J28" s="85" t="n">
        <x:v>16723200.000000002</x:v>
      </x:c>
      <x:c r="K28" s="85" t="n">
        <x:v>0</x:v>
      </x:c>
      <x:c r="L28" s="28" t="n">
        <x:v>46</x:v>
      </x:c>
      <x:c r="M28" s="28" t="n">
        <x:v>44</x:v>
      </x:c>
      <x:c r="N28" s="28" t="n">
        <x:v>2.3283064365386963e-10</x:v>
      </x:c>
      <x:c r="O28" s="28" t="n">
        <x:v>1.862645149230957e-9</x:v>
      </x:c>
      <x:c r="P28" s="28" t="n">
        <x:v>0</x:v>
      </x:c>
      <x:c r="Q28" s="62" t="b">
        <x:v>1</x:v>
      </x:c>
      <x:c r="R28" s="28" t="n">
        <x:v>2248038.3858536556</x:v>
      </x:c>
      <x:c r="S28" s="28" t="str">
        <x:v>1e0055ec9c536075</x:v>
      </x:c>
    </x:row>
    <x:row r="29" ht="21" customHeight="1">
      <x:c r="A29" s="60" t="n">
        <x:v>0.6</x:v>
      </x:c>
      <x:c r="B29" s="28" t="str">
        <x:v>front_low</x:v>
      </x:c>
      <x:c r="C29" s="60" t="n">
        <x:v>0</x:v>
      </x:c>
      <x:c r="D29" s="60" t="n">
        <x:v>0</x:v>
      </x:c>
      <x:c r="E29" s="62" t="b">
        <x:v>1</x:v>
      </x:c>
      <x:c r="F29" s="62" t="b">
        <x:v>1</x:v>
      </x:c>
      <x:c r="G29" s="85" t="n">
        <x:v>0</x:v>
      </x:c>
      <x:c r="H29" s="85" t="n">
        <x:v>0</x:v>
      </x:c>
      <x:c r="I29" s="85" t="n">
        <x:v>0</x:v>
      </x:c>
      <x:c r="J29" s="85" t="n">
        <x:v>0</x:v>
      </x:c>
      <x:c r="K29" s="85" t="n">
        <x:v>4748654.561095889</x:v>
      </x:c>
      <x:c r="L29" s="28" t="n">
        <x:v>0</x:v>
      </x:c>
      <x:c r="M29" s="28" t="n">
        <x:v>0</x:v>
      </x:c>
      <x:c r="N29" s="28" t="n">
        <x:v>4.656612873077393e-10</x:v>
      </x:c>
      <x:c r="O29" s="28" t="n">
        <x:v>0</x:v>
      </x:c>
      <x:c r="P29" s="28" t="n">
        <x:v>0</x:v>
      </x:c>
      <x:c r="Q29" s="62" t="b">
        <x:v>1</x:v>
      </x:c>
      <x:c r="R29" s="28" t="n">
        <x:v>0</x:v>
      </x:c>
      <x:c r="S29" s="28" t="str">
        <x:v>fb4d343ed97245f6</x:v>
      </x:c>
    </x:row>
    <x:row r="30" ht="21" customHeight="1">
      <x:c r="A30" s="60" t="n">
        <x:v>0.6</x:v>
      </x:c>
      <x:c r="B30" s="28" t="str">
        <x:v>front_low</x:v>
      </x:c>
      <x:c r="C30" s="60" t="n">
        <x:v>0.05</x:v>
      </x:c>
      <x:c r="D30" s="60" t="n">
        <x:v>0.05</x:v>
      </x:c>
      <x:c r="E30" s="62" t="b">
        <x:v>1</x:v>
      </x:c>
      <x:c r="F30" s="62" t="b">
        <x:v>1</x:v>
      </x:c>
      <x:c r="G30" s="85" t="n">
        <x:v>0</x:v>
      </x:c>
      <x:c r="H30" s="85" t="n">
        <x:v>0</x:v>
      </x:c>
      <x:c r="I30" s="85" t="n">
        <x:v>0</x:v>
      </x:c>
      <x:c r="J30" s="85" t="n">
        <x:v>0</x:v>
      </x:c>
      <x:c r="K30" s="85" t="n">
        <x:v>2700371.6183046848</x:v>
      </x:c>
      <x:c r="L30" s="28" t="n">
        <x:v>0</x:v>
      </x:c>
      <x:c r="M30" s="28" t="n">
        <x:v>0</x:v>
      </x:c>
      <x:c r="N30" s="28" t="n">
        <x:v>9.313225746154785e-10</x:v>
      </x:c>
      <x:c r="O30" s="28" t="n">
        <x:v>7.450580596923828e-9</x:v>
      </x:c>
      <x:c r="P30" s="28" t="n">
        <x:v>0</x:v>
      </x:c>
      <x:c r="Q30" s="62" t="b">
        <x:v>1</x:v>
      </x:c>
      <x:c r="R30" s="28" t="n">
        <x:v>0</x:v>
      </x:c>
      <x:c r="S30" s="28" t="str">
        <x:v>fd49299ed509fa0e</x:v>
      </x:c>
    </x:row>
    <x:row r="31" ht="21" customHeight="1">
      <x:c r="A31" s="60" t="n">
        <x:v>0.6</x:v>
      </x:c>
      <x:c r="B31" s="28" t="str">
        <x:v>front_low</x:v>
      </x:c>
      <x:c r="C31" s="60" t="n">
        <x:v>0.1</x:v>
      </x:c>
      <x:c r="D31" s="60" t="n">
        <x:v>0.1</x:v>
      </x:c>
      <x:c r="E31" s="62" t="b">
        <x:v>1</x:v>
      </x:c>
      <x:c r="F31" s="62" t="b">
        <x:v>1</x:v>
      </x:c>
      <x:c r="G31" s="85" t="n">
        <x:v>0</x:v>
      </x:c>
      <x:c r="H31" s="85" t="n">
        <x:v>0</x:v>
      </x:c>
      <x:c r="I31" s="85" t="n">
        <x:v>0</x:v>
      </x:c>
      <x:c r="J31" s="85" t="n">
        <x:v>0</x:v>
      </x:c>
      <x:c r="K31" s="85" t="n">
        <x:v>651767.5639614627</x:v>
      </x:c>
      <x:c r="L31" s="28" t="n">
        <x:v>0</x:v>
      </x:c>
      <x:c r="M31" s="28" t="n">
        <x:v>0</x:v>
      </x:c>
      <x:c r="N31" s="28" t="n">
        <x:v>2.3283064365386963e-10</x:v>
      </x:c>
      <x:c r="O31" s="28" t="n">
        <x:v>7.450580596923828e-9</x:v>
      </x:c>
      <x:c r="P31" s="28" t="n">
        <x:v>0</x:v>
      </x:c>
      <x:c r="Q31" s="62" t="b">
        <x:v>1</x:v>
      </x:c>
      <x:c r="R31" s="28" t="n">
        <x:v>0</x:v>
      </x:c>
      <x:c r="S31" s="28" t="str">
        <x:v>166aef8deee1d6b9</x:v>
      </x:c>
    </x:row>
    <x:row r="32" ht="21" customHeight="1">
      <x:c r="A32" s="60" t="n">
        <x:v>0.6</x:v>
      </x:c>
      <x:c r="B32" s="28" t="str">
        <x:v>front_low</x:v>
      </x:c>
      <x:c r="C32" s="60" t="n">
        <x:v>0.15</x:v>
      </x:c>
      <x:c r="D32" s="60" t="n">
        <x:v>0.15</x:v>
      </x:c>
      <x:c r="E32" s="62" t="b">
        <x:v>1</x:v>
      </x:c>
      <x:c r="F32" s="62" t="b">
        <x:v>1</x:v>
      </x:c>
      <x:c r="G32" s="85" t="n">
        <x:v>0</x:v>
      </x:c>
      <x:c r="H32" s="85" t="n">
        <x:v>0</x:v>
      </x:c>
      <x:c r="I32" s="85" t="n">
        <x:v>1068941.6324171098</x:v>
      </x:c>
      <x:c r="J32" s="85" t="n">
        <x:v>0</x:v>
      </x:c>
      <x:c r="K32" s="85" t="n">
        <x:v>0</x:v>
      </x:c>
      <x:c r="L32" s="28" t="n">
        <x:v>0</x:v>
      </x:c>
      <x:c r="M32" s="28" t="n">
        <x:v>0</x:v>
      </x:c>
      <x:c r="N32" s="28" t="n">
        <x:v>4.656612873077393e-10</x:v>
      </x:c>
      <x:c r="O32" s="28" t="n">
        <x:v>7.450580596923828e-9</x:v>
      </x:c>
      <x:c r="P32" s="28" t="n">
        <x:v>0</x:v>
      </x:c>
      <x:c r="Q32" s="62" t="b">
        <x:v>1</x:v>
      </x:c>
      <x:c r="R32" s="28" t="n">
        <x:v>0</x:v>
      </x:c>
      <x:c r="S32" s="28" t="str">
        <x:v>d45b1d628f986123</x:v>
      </x:c>
    </x:row>
    <x:row r="33" ht="21" customHeight="1">
      <x:c r="A33" s="60" t="n">
        <x:v>0.6</x:v>
      </x:c>
      <x:c r="B33" s="28" t="str">
        <x:v>front_low</x:v>
      </x:c>
      <x:c r="C33" s="60" t="n">
        <x:v>0.2</x:v>
      </x:c>
      <x:c r="D33" s="60" t="n">
        <x:v>0.2</x:v>
      </x:c>
      <x:c r="E33" s="62" t="b">
        <x:v>1</x:v>
      </x:c>
      <x:c r="F33" s="62" t="b">
        <x:v>1</x:v>
      </x:c>
      <x:c r="G33" s="85" t="n">
        <x:v>0</x:v>
      </x:c>
      <x:c r="H33" s="85" t="n">
        <x:v>0</x:v>
      </x:c>
      <x:c r="I33" s="85" t="n">
        <x:v>2288168.724321862</x:v>
      </x:c>
      <x:c r="J33" s="85" t="n">
        <x:v>1254093.4388721196</x:v>
      </x:c>
      <x:c r="K33" s="85" t="n">
        <x:v>0</x:v>
      </x:c>
      <x:c r="L33" s="28" t="n">
        <x:v>0</x:v>
      </x:c>
      <x:c r="M33" s="28" t="n">
        <x:v>0</x:v>
      </x:c>
      <x:c r="N33" s="28" t="n">
        <x:v>4.656612873077393e-10</x:v>
      </x:c>
      <x:c r="O33" s="28" t="n">
        <x:v>7.450580596923828e-9</x:v>
      </x:c>
      <x:c r="P33" s="28" t="n">
        <x:v>0</x:v>
      </x:c>
      <x:c r="Q33" s="62" t="b">
        <x:v>1</x:v>
      </x:c>
      <x:c r="R33" s="28" t="n">
        <x:v>0</x:v>
      </x:c>
      <x:c r="S33" s="28" t="str">
        <x:v>6cf6b98a7252f5b6</x:v>
      </x:c>
    </x:row>
    <x:row r="34" ht="21" customHeight="1">
      <x:c r="A34" s="60" t="n">
        <x:v>0.6</x:v>
      </x:c>
      <x:c r="B34" s="28" t="str">
        <x:v>front_low</x:v>
      </x:c>
      <x:c r="C34" s="60" t="n">
        <x:v>0.25</x:v>
      </x:c>
      <x:c r="D34" s="60" t="n">
        <x:v>0.25</x:v>
      </x:c>
      <x:c r="E34" s="62" t="b">
        <x:v>1</x:v>
      </x:c>
      <x:c r="F34" s="62" t="b">
        <x:v>1</x:v>
      </x:c>
      <x:c r="G34" s="85" t="n">
        <x:v>0</x:v>
      </x:c>
      <x:c r="H34" s="85" t="n">
        <x:v>0</x:v>
      </x:c>
      <x:c r="I34" s="85" t="n">
        <x:v>3141112.4719595076</x:v>
      </x:c>
      <x:c r="J34" s="85" t="n">
        <x:v>2961216.798590132</x:v>
      </x:c>
      <x:c r="K34" s="85" t="n">
        <x:v>0</x:v>
      </x:c>
      <x:c r="L34" s="28" t="n">
        <x:v>0</x:v>
      </x:c>
      <x:c r="M34" s="28" t="n">
        <x:v>0</x:v>
      </x:c>
      <x:c r="N34" s="28" t="n">
        <x:v>4.656612873077393e-10</x:v>
      </x:c>
      <x:c r="O34" s="28" t="n">
        <x:v>3.725290298461914e-9</x:v>
      </x:c>
      <x:c r="P34" s="28" t="n">
        <x:v>0</x:v>
      </x:c>
      <x:c r="Q34" s="62" t="b">
        <x:v>1</x:v>
      </x:c>
      <x:c r="R34" s="28" t="n">
        <x:v>0</x:v>
      </x:c>
      <x:c r="S34" s="28" t="str">
        <x:v>f1f3ee3af9802381</x:v>
      </x:c>
    </x:row>
    <x:row r="35" ht="21" customHeight="1">
      <x:c r="A35" s="60" t="n">
        <x:v>0.6</x:v>
      </x:c>
      <x:c r="B35" s="28" t="str">
        <x:v>front_low</x:v>
      </x:c>
      <x:c r="C35" s="60" t="n">
        <x:v>0.3</x:v>
      </x:c>
      <x:c r="D35" s="60" t="n">
        <x:v>0.3</x:v>
      </x:c>
      <x:c r="E35" s="62" t="b">
        <x:v>1</x:v>
      </x:c>
      <x:c r="F35" s="62" t="b">
        <x:v>1</x:v>
      </x:c>
      <x:c r="G35" s="85" t="n">
        <x:v>0</x:v>
      </x:c>
      <x:c r="H35" s="85" t="n">
        <x:v>0</x:v>
      </x:c>
      <x:c r="I35" s="85" t="n">
        <x:v>3994478.9916678485</x:v>
      </x:c>
      <x:c r="J35" s="85" t="n">
        <x:v>4668340.158308157</x:v>
      </x:c>
      <x:c r="K35" s="85" t="n">
        <x:v>0</x:v>
      </x:c>
      <x:c r="L35" s="28" t="n">
        <x:v>0</x:v>
      </x:c>
      <x:c r="M35" s="28" t="n">
        <x:v>0</x:v>
      </x:c>
      <x:c r="N35" s="28" t="n">
        <x:v>4.656612873077393e-10</x:v>
      </x:c>
      <x:c r="O35" s="28" t="n">
        <x:v>7.450580596923828e-9</x:v>
      </x:c>
      <x:c r="P35" s="28" t="n">
        <x:v>0</x:v>
      </x:c>
      <x:c r="Q35" s="62" t="b">
        <x:v>1</x:v>
      </x:c>
      <x:c r="R35" s="28" t="n">
        <x:v>0</x:v>
      </x:c>
      <x:c r="S35" s="28" t="str">
        <x:v>9983a5a47c1a9b54</x:v>
      </x:c>
    </x:row>
    <x:row r="36" ht="21" customHeight="1">
      <x:c r="A36" s="60" t="n">
        <x:v>0.6</x:v>
      </x:c>
      <x:c r="B36" s="28" t="str">
        <x:v>front_low</x:v>
      </x:c>
      <x:c r="C36" s="60" t="n">
        <x:v>0.35</x:v>
      </x:c>
      <x:c r="D36" s="60" t="n">
        <x:v>0.35</x:v>
      </x:c>
      <x:c r="E36" s="62" t="b">
        <x:v>1</x:v>
      </x:c>
      <x:c r="F36" s="62" t="b">
        <x:v>1</x:v>
      </x:c>
      <x:c r="G36" s="85" t="n">
        <x:v>0</x:v>
      </x:c>
      <x:c r="H36" s="85" t="n">
        <x:v>0</x:v>
      </x:c>
      <x:c r="I36" s="85" t="n">
        <x:v>4848827.742242629</x:v>
      </x:c>
      <x:c r="J36" s="85" t="n">
        <x:v>6375463.518026188</x:v>
      </x:c>
      <x:c r="K36" s="85" t="n">
        <x:v>0</x:v>
      </x:c>
      <x:c r="L36" s="28" t="n">
        <x:v>0</x:v>
      </x:c>
      <x:c r="M36" s="28" t="n">
        <x:v>0</x:v>
      </x:c>
      <x:c r="N36" s="28" t="n">
        <x:v>2.3283064365386963e-10</x:v>
      </x:c>
      <x:c r="O36" s="28" t="n">
        <x:v>7.450580596923828e-9</x:v>
      </x:c>
      <x:c r="P36" s="28" t="n">
        <x:v>0</x:v>
      </x:c>
      <x:c r="Q36" s="62" t="b">
        <x:v>1</x:v>
      </x:c>
      <x:c r="R36" s="28" t="n">
        <x:v>0</x:v>
      </x:c>
      <x:c r="S36" s="28" t="str">
        <x:v>0620e66782b78176</x:v>
      </x:c>
    </x:row>
    <x:row r="37" ht="21" customHeight="1">
      <x:c r="A37" s="60" t="n">
        <x:v>0.6</x:v>
      </x:c>
      <x:c r="B37" s="28" t="str">
        <x:v>front_low</x:v>
      </x:c>
      <x:c r="C37" s="60" t="n">
        <x:v>0.4</x:v>
      </x:c>
      <x:c r="D37" s="60" t="n">
        <x:v>0.4</x:v>
      </x:c>
      <x:c r="E37" s="62" t="b">
        <x:v>1</x:v>
      </x:c>
      <x:c r="F37" s="62" t="b">
        <x:v>1</x:v>
      </x:c>
      <x:c r="G37" s="85" t="n">
        <x:v>0</x:v>
      </x:c>
      <x:c r="H37" s="85" t="n">
        <x:v>0</x:v>
      </x:c>
      <x:c r="I37" s="85" t="n">
        <x:v>5703176.49281741</x:v>
      </x:c>
      <x:c r="J37" s="85" t="n">
        <x:v>8082586.877744218</x:v>
      </x:c>
      <x:c r="K37" s="85" t="n">
        <x:v>0</x:v>
      </x:c>
      <x:c r="L37" s="28" t="n">
        <x:v>0</x:v>
      </x:c>
      <x:c r="M37" s="28" t="n">
        <x:v>0</x:v>
      </x:c>
      <x:c r="N37" s="28" t="n">
        <x:v>4.656612873077393e-10</x:v>
      </x:c>
      <x:c r="O37" s="28" t="n">
        <x:v>7.450580596923828e-9</x:v>
      </x:c>
      <x:c r="P37" s="28" t="n">
        <x:v>0</x:v>
      </x:c>
      <x:c r="Q37" s="62" t="b">
        <x:v>1</x:v>
      </x:c>
      <x:c r="R37" s="28" t="n">
        <x:v>0</x:v>
      </x:c>
      <x:c r="S37" s="28" t="str">
        <x:v>0210e82a61ae342c</x:v>
      </x:c>
    </x:row>
    <x:row r="38" ht="21" customHeight="1">
      <x:c r="A38" s="60" t="n">
        <x:v>0.6</x:v>
      </x:c>
      <x:c r="B38" s="28" t="str">
        <x:v>front_low</x:v>
      </x:c>
      <x:c r="C38" s="60" t="n">
        <x:v>0.45</x:v>
      </x:c>
      <x:c r="D38" s="60" t="n">
        <x:v>0.45</x:v>
      </x:c>
      <x:c r="E38" s="62" t="b">
        <x:v>1</x:v>
      </x:c>
      <x:c r="F38" s="62" t="b">
        <x:v>1</x:v>
      </x:c>
      <x:c r="G38" s="85" t="n">
        <x:v>0</x:v>
      </x:c>
      <x:c r="H38" s="85" t="n">
        <x:v>0</x:v>
      </x:c>
      <x:c r="I38" s="85" t="n">
        <x:v>6552499.796423866</x:v>
      </x:c>
      <x:c r="J38" s="85" t="n">
        <x:v>9789710.237462243</x:v>
      </x:c>
      <x:c r="K38" s="85" t="n">
        <x:v>0</x:v>
      </x:c>
      <x:c r="L38" s="28" t="n">
        <x:v>0</x:v>
      </x:c>
      <x:c r="M38" s="28" t="n">
        <x:v>0</x:v>
      </x:c>
      <x:c r="N38" s="28" t="n">
        <x:v>2.3283064365386963e-10</x:v>
      </x:c>
      <x:c r="O38" s="28" t="n">
        <x:v>3.725290298461914e-9</x:v>
      </x:c>
      <x:c r="P38" s="28" t="n">
        <x:v>0</x:v>
      </x:c>
      <x:c r="Q38" s="62" t="b">
        <x:v>1</x:v>
      </x:c>
      <x:c r="R38" s="28" t="n">
        <x:v>0</x:v>
      </x:c>
      <x:c r="S38" s="28" t="str">
        <x:v>2a28dea3ea8c36b5</x:v>
      </x:c>
    </x:row>
    <x:row r="39" ht="21" customHeight="1">
      <x:c r="A39" s="60" t="n">
        <x:v>0.6</x:v>
      </x:c>
      <x:c r="B39" s="28" t="str">
        <x:v>front_low</x:v>
      </x:c>
      <x:c r="C39" s="60" t="n">
        <x:v>0.5</x:v>
      </x:c>
      <x:c r="D39" s="60" t="n">
        <x:v>0.5</x:v>
      </x:c>
      <x:c r="E39" s="62" t="b">
        <x:v>1</x:v>
      </x:c>
      <x:c r="F39" s="62" t="b">
        <x:v>1</x:v>
      </x:c>
      <x:c r="G39" s="85" t="n">
        <x:v>0</x:v>
      </x:c>
      <x:c r="H39" s="85" t="n">
        <x:v>0</x:v>
      </x:c>
      <x:c r="I39" s="85" t="n">
        <x:v>7397163.581475534</x:v>
      </x:c>
      <x:c r="J39" s="85" t="n">
        <x:v>11496833.597180277</x:v>
      </x:c>
      <x:c r="K39" s="85" t="n">
        <x:v>0</x:v>
      </x:c>
      <x:c r="L39" s="28" t="n">
        <x:v>0</x:v>
      </x:c>
      <x:c r="M39" s="28" t="n">
        <x:v>0</x:v>
      </x:c>
      <x:c r="N39" s="28" t="n">
        <x:v>4.656612873077393e-10</x:v>
      </x:c>
      <x:c r="O39" s="28" t="n">
        <x:v>7.450580596923828e-9</x:v>
      </x:c>
      <x:c r="P39" s="28" t="n">
        <x:v>0</x:v>
      </x:c>
      <x:c r="Q39" s="62" t="b">
        <x:v>1</x:v>
      </x:c>
      <x:c r="R39" s="28" t="n">
        <x:v>0</x:v>
      </x:c>
      <x:c r="S39" s="28" t="str">
        <x:v>2fa57ee0bc7ff1a7</x:v>
      </x:c>
    </x:row>
    <x:row r="40" ht="21" customHeight="1">
      <x:c r="A40" s="60" t="n">
        <x:v>0.6</x:v>
      </x:c>
      <x:c r="B40" s="28" t="str">
        <x:v>front_low</x:v>
      </x:c>
      <x:c r="C40" s="60" t="n">
        <x:v>0.55</x:v>
      </x:c>
      <x:c r="D40" s="60" t="n">
        <x:v>0.55</x:v>
      </x:c>
      <x:c r="E40" s="62" t="b">
        <x:v>1</x:v>
      </x:c>
      <x:c r="F40" s="62" t="b">
        <x:v>1</x:v>
      </x:c>
      <x:c r="G40" s="85" t="n">
        <x:v>0</x:v>
      </x:c>
      <x:c r="H40" s="85" t="n">
        <x:v>0</x:v>
      </x:c>
      <x:c r="I40" s="85" t="n">
        <x:v>8692950.388459513</x:v>
      </x:c>
      <x:c r="J40" s="85" t="n">
        <x:v>12464902.695994616</x:v>
      </x:c>
      <x:c r="K40" s="85" t="n">
        <x:v>0</x:v>
      </x:c>
      <x:c r="L40" s="28" t="n">
        <x:v>8</x:v>
      </x:c>
      <x:c r="M40" s="28" t="n">
        <x:v>0</x:v>
      </x:c>
      <x:c r="N40" s="28" t="n">
        <x:v>4.656612873077393e-10</x:v>
      </x:c>
      <x:c r="O40" s="28" t="n">
        <x:v>3.725290298461914e-9</x:v>
      </x:c>
      <x:c r="P40" s="28" t="n">
        <x:v>0</x:v>
      </x:c>
      <x:c r="Q40" s="62" t="b">
        <x:v>1</x:v>
      </x:c>
      <x:c r="R40" s="28" t="n">
        <x:v>0</x:v>
      </x:c>
      <x:c r="S40" s="28" t="str">
        <x:v>da8931d786228365</x:v>
      </x:c>
    </x:row>
    <x:row r="41" ht="21" customHeight="1">
      <x:c r="A41" s="60" t="n">
        <x:v>0.6</x:v>
      </x:c>
      <x:c r="B41" s="28" t="str">
        <x:v>front_low</x:v>
      </x:c>
      <x:c r="C41" s="60" t="n">
        <x:v>0.6</x:v>
      </x:c>
      <x:c r="D41" s="60" t="n">
        <x:v>0.6</x:v>
      </x:c>
      <x:c r="E41" s="62" t="b">
        <x:v>1</x:v>
      </x:c>
      <x:c r="F41" s="62" t="b">
        <x:v>1</x:v>
      </x:c>
      <x:c r="G41" s="85" t="n">
        <x:v>0</x:v>
      </x:c>
      <x:c r="H41" s="85" t="n">
        <x:v>0</x:v>
      </x:c>
      <x:c r="I41" s="85" t="n">
        <x:v>9840228.280028999</x:v>
      </x:c>
      <x:c r="J41" s="85" t="n">
        <x:v>13644904.50204749</x:v>
      </x:c>
      <x:c r="K41" s="85" t="n">
        <x:v>0</x:v>
      </x:c>
      <x:c r="L41" s="28" t="n">
        <x:v>15</x:v>
      </x:c>
      <x:c r="M41" s="28" t="n">
        <x:v>0</x:v>
      </x:c>
      <x:c r="N41" s="28" t="n">
        <x:v>2.3283064365386963e-10</x:v>
      </x:c>
      <x:c r="O41" s="28" t="n">
        <x:v>3.725290298461914e-9</x:v>
      </x:c>
      <x:c r="P41" s="28" t="n">
        <x:v>0</x:v>
      </x:c>
      <x:c r="Q41" s="62" t="b">
        <x:v>1</x:v>
      </x:c>
      <x:c r="R41" s="28" t="n">
        <x:v>0</x:v>
      </x:c>
      <x:c r="S41" s="28" t="str">
        <x:v>aa3b4c884e716926</x:v>
      </x:c>
    </x:row>
    <x:row r="42" ht="21" customHeight="1">
      <x:c r="A42" s="60" t="n">
        <x:v>0.6</x:v>
      </x:c>
      <x:c r="B42" s="28" t="str">
        <x:v>front_low</x:v>
      </x:c>
      <x:c r="C42" s="60" t="n">
        <x:v>0.65</x:v>
      </x:c>
      <x:c r="D42" s="60" t="n">
        <x:v>0.65</x:v>
      </x:c>
      <x:c r="E42" s="62" t="b">
        <x:v>1</x:v>
      </x:c>
      <x:c r="F42" s="62" t="b">
        <x:v>1</x:v>
      </x:c>
      <x:c r="G42" s="85" t="n">
        <x:v>0</x:v>
      </x:c>
      <x:c r="H42" s="85" t="n">
        <x:v>0</x:v>
      </x:c>
      <x:c r="I42" s="85" t="n">
        <x:v>10848666.402201544</x:v>
      </x:c>
      <x:c r="J42" s="85" t="n">
        <x:v>15028110.348394621</x:v>
      </x:c>
      <x:c r="K42" s="85" t="n">
        <x:v>0</x:v>
      </x:c>
      <x:c r="L42" s="28" t="n">
        <x:v>20</x:v>
      </x:c>
      <x:c r="M42" s="28" t="n">
        <x:v>0</x:v>
      </x:c>
      <x:c r="N42" s="28" t="n">
        <x:v>4.656612873077393e-10</x:v>
      </x:c>
      <x:c r="O42" s="28" t="n">
        <x:v>3.725290298461914e-9</x:v>
      </x:c>
      <x:c r="P42" s="28" t="n">
        <x:v>0</x:v>
      </x:c>
      <x:c r="Q42" s="62" t="b">
        <x:v>1</x:v>
      </x:c>
      <x:c r="R42" s="28" t="n">
        <x:v>0</x:v>
      </x:c>
      <x:c r="S42" s="28" t="str">
        <x:v>3920c299204335dc</x:v>
      </x:c>
    </x:row>
    <x:row r="43" ht="21" customHeight="1">
      <x:c r="A43" s="60" t="n">
        <x:v>0.6</x:v>
      </x:c>
      <x:c r="B43" s="28" t="str">
        <x:v>front_low</x:v>
      </x:c>
      <x:c r="C43" s="60" t="n">
        <x:v>0.7</x:v>
      </x:c>
      <x:c r="D43" s="60" t="n">
        <x:v>0.7</x:v>
      </x:c>
      <x:c r="E43" s="62" t="b">
        <x:v>1</x:v>
      </x:c>
      <x:c r="F43" s="62" t="b">
        <x:v>0</x:v>
      </x:c>
      <x:c r="G43" s="85" t="n">
        <x:v>17359.059101856157</x:v>
      </x:c>
      <x:c r="H43" s="85" t="n">
        <x:v>242391.50680461808</x:v>
      </x:c>
      <x:c r="I43" s="85" t="n">
        <x:v>11437620.768226033</x:v>
      </x:c>
      <x:c r="J43" s="85" t="n">
        <x:v>16723200.000000002</x:v>
      </x:c>
      <x:c r="K43" s="85" t="n">
        <x:v>0</x:v>
      </x:c>
      <x:c r="L43" s="28" t="n">
        <x:v>45</x:v>
      </x:c>
      <x:c r="M43" s="28" t="n">
        <x:v>21</x:v>
      </x:c>
      <x:c r="N43" s="28" t="n">
        <x:v>4.656612873077393e-10</x:v>
      </x:c>
      <x:c r="O43" s="28" t="n">
        <x:v>1.862645149230957e-9</x:v>
      </x:c>
      <x:c r="P43" s="28" t="n">
        <x:v>0</x:v>
      </x:c>
      <x:c r="Q43" s="62" t="b">
        <x:v>1</x:v>
      </x:c>
      <x:c r="R43" s="28" t="n">
        <x:v>0</x:v>
      </x:c>
      <x:c r="S43" s="28" t="str">
        <x:v>9d8129c6d39f34f4</x:v>
      </x:c>
    </x:row>
    <x:row r="44" ht="21" customHeight="1">
      <x:c r="A44" s="60" t="n">
        <x:v>0.6</x:v>
      </x:c>
      <x:c r="B44" s="28" t="str">
        <x:v>front_low</x:v>
      </x:c>
      <x:c r="C44" s="60" t="n">
        <x:v>0.75</x:v>
      </x:c>
      <x:c r="D44" s="60" t="n">
        <x:v>0.75</x:v>
      </x:c>
      <x:c r="E44" s="62" t="b">
        <x:v>1</x:v>
      </x:c>
      <x:c r="F44" s="62" t="b">
        <x:v>0</x:v>
      </x:c>
      <x:c r="G44" s="85" t="n">
        <x:v>187489.42463429685</x:v>
      </x:c>
      <x:c r="H44" s="85" t="n">
        <x:v>2334733.7531317445</x:v>
      </x:c>
      <x:c r="I44" s="85" t="n">
        <x:v>11450766.067756854</x:v>
      </x:c>
      <x:c r="J44" s="85" t="n">
        <x:v>16723200.000000002</x:v>
      </x:c>
      <x:c r="K44" s="85" t="n">
        <x:v>0</x:v>
      </x:c>
      <x:c r="L44" s="28" t="n">
        <x:v>45</x:v>
      </x:c>
      <x:c r="M44" s="28" t="n">
        <x:v>31</x:v>
      </x:c>
      <x:c r="N44" s="28" t="n">
        <x:v>2.3283064365386963e-10</x:v>
      </x:c>
      <x:c r="O44" s="28" t="n">
        <x:v>3.725290298461914e-9</x:v>
      </x:c>
      <x:c r="P44" s="28" t="n">
        <x:v>0</x:v>
      </x:c>
      <x:c r="Q44" s="62" t="b">
        <x:v>1</x:v>
      </x:c>
      <x:c r="R44" s="28" t="n">
        <x:v>0</x:v>
      </x:c>
      <x:c r="S44" s="28" t="str">
        <x:v>94c1e6e0a890e419</x:v>
      </x:c>
    </x:row>
    <x:row r="45" ht="21" customHeight="1">
      <x:c r="A45" s="60" t="n">
        <x:v>0.6</x:v>
      </x:c>
      <x:c r="B45" s="28" t="str">
        <x:v>front_low</x:v>
      </x:c>
      <x:c r="C45" s="60" t="n">
        <x:v>0.8</x:v>
      </x:c>
      <x:c r="D45" s="60" t="n">
        <x:v>0.8</x:v>
      </x:c>
      <x:c r="E45" s="62" t="b">
        <x:v>1</x:v>
      </x:c>
      <x:c r="F45" s="62" t="b">
        <x:v>0</x:v>
      </x:c>
      <x:c r="G45" s="85" t="n">
        <x:v>355750.8490951663</x:v>
      </x:c>
      <x:c r="H45" s="85" t="n">
        <x:v>4427075.999458862</x:v>
      </x:c>
      <x:c r="I45" s="85" t="n">
        <x:v>11463911.367287677</x:v>
      </x:c>
      <x:c r="J45" s="85" t="n">
        <x:v>16723200.000000002</x:v>
      </x:c>
      <x:c r="K45" s="85" t="n">
        <x:v>0</x:v>
      </x:c>
      <x:c r="L45" s="28" t="n">
        <x:v>45</x:v>
      </x:c>
      <x:c r="M45" s="28" t="n">
        <x:v>33</x:v>
      </x:c>
      <x:c r="N45" s="28" t="n">
        <x:v>2.3283064365386963e-10</x:v>
      </x:c>
      <x:c r="O45" s="28" t="n">
        <x:v>3.725290298461914e-9</x:v>
      </x:c>
      <x:c r="P45" s="28" t="n">
        <x:v>0</x:v>
      </x:c>
      <x:c r="Q45" s="62" t="b">
        <x:v>1</x:v>
      </x:c>
      <x:c r="R45" s="28" t="n">
        <x:v>0</x:v>
      </x:c>
      <x:c r="S45" s="28" t="str">
        <x:v>30c7cd33507b8099</x:v>
      </x:c>
    </x:row>
    <x:row r="46" ht="21" customHeight="1">
      <x:c r="A46" s="60" t="n">
        <x:v>0.6</x:v>
      </x:c>
      <x:c r="B46" s="28" t="str">
        <x:v>front_low</x:v>
      </x:c>
      <x:c r="C46" s="60" t="n">
        <x:v>0.85</x:v>
      </x:c>
      <x:c r="D46" s="60" t="n">
        <x:v>0.85</x:v>
      </x:c>
      <x:c r="E46" s="62" t="b">
        <x:v>1</x:v>
      </x:c>
      <x:c r="F46" s="62" t="b">
        <x:v>0</x:v>
      </x:c>
      <x:c r="G46" s="85" t="n">
        <x:v>551175.2948659485</x:v>
      </x:c>
      <x:c r="H46" s="85" t="n">
        <x:v>6458503.759128251</x:v>
      </x:c>
      <x:c r="I46" s="85" t="n">
        <x:v>11477056.666818498</x:v>
      </x:c>
      <x:c r="J46" s="85" t="n">
        <x:v>16723200.000000002</x:v>
      </x:c>
      <x:c r="K46" s="85" t="n">
        <x:v>0</x:v>
      </x:c>
      <x:c r="L46" s="28" t="n">
        <x:v>45</x:v>
      </x:c>
      <x:c r="M46" s="28" t="n">
        <x:v>34</x:v>
      </x:c>
      <x:c r="N46" s="28" t="n">
        <x:v>2.3283064365386963e-10</x:v>
      </x:c>
      <x:c r="O46" s="28" t="n">
        <x:v>1.862645149230957e-9</x:v>
      </x:c>
      <x:c r="P46" s="28" t="n">
        <x:v>0</x:v>
      </x:c>
      <x:c r="Q46" s="62" t="b">
        <x:v>1</x:v>
      </x:c>
      <x:c r="R46" s="28" t="n">
        <x:v>0</x:v>
      </x:c>
      <x:c r="S46" s="28" t="str">
        <x:v>585f56b21159f5c6</x:v>
      </x:c>
    </x:row>
    <x:row r="47" ht="21" customHeight="1">
      <x:c r="A47" s="60" t="n">
        <x:v>0.6</x:v>
      </x:c>
      <x:c r="B47" s="28" t="str">
        <x:v>front_low</x:v>
      </x:c>
      <x:c r="C47" s="60" t="n">
        <x:v>0.9</x:v>
      </x:c>
      <x:c r="D47" s="60" t="n">
        <x:v>0.9</x:v>
      </x:c>
      <x:c r="E47" s="62" t="b">
        <x:v>1</x:v>
      </x:c>
      <x:c r="F47" s="62" t="b">
        <x:v>0</x:v>
      </x:c>
      <x:c r="G47" s="85" t="n">
        <x:v>759205.6719976012</x:v>
      </x:c>
      <x:c r="H47" s="85" t="n">
        <x:v>8267848.345323203</x:v>
      </x:c>
      <x:c r="I47" s="85" t="n">
        <x:v>11637665.783784937</x:v>
      </x:c>
      <x:c r="J47" s="85" t="n">
        <x:v>16723200.000000002</x:v>
      </x:c>
      <x:c r="K47" s="85" t="n">
        <x:v>0</x:v>
      </x:c>
      <x:c r="L47" s="28" t="n">
        <x:v>46</x:v>
      </x:c>
      <x:c r="M47" s="28" t="n">
        <x:v>36</x:v>
      </x:c>
      <x:c r="N47" s="28" t="n">
        <x:v>2.3283064365386963e-10</x:v>
      </x:c>
      <x:c r="O47" s="28" t="n">
        <x:v>3.725290298461914e-9</x:v>
      </x:c>
      <x:c r="P47" s="28" t="n">
        <x:v>0</x:v>
      </x:c>
      <x:c r="Q47" s="62" t="b">
        <x:v>1</x:v>
      </x:c>
      <x:c r="R47" s="28" t="n">
        <x:v>0</x:v>
      </x:c>
      <x:c r="S47" s="28" t="str">
        <x:v>3074b062d1196ce8</x:v>
      </x:c>
    </x:row>
    <x:row r="48" ht="21" customHeight="1">
      <x:c r="A48" s="60" t="n">
        <x:v>0.6</x:v>
      </x:c>
      <x:c r="B48" s="28" t="str">
        <x:v>front_low</x:v>
      </x:c>
      <x:c r="C48" s="60" t="n">
        <x:v>0.95</x:v>
      </x:c>
      <x:c r="D48" s="60" t="n">
        <x:v>0.9427119459478259</x:v>
      </x:c>
      <x:c r="E48" s="62" t="b">
        <x:v>0</x:v>
      </x:c>
      <x:c r="F48" s="62" t="b">
        <x:v>0</x:v>
      </x:c>
      <x:c r="G48" s="85" t="n">
        <x:v>1111847.1115404158</x:v>
      </x:c>
      <x:c r="H48" s="85" t="n">
        <x:v>9748593.425550738</x:v>
      </x:c>
      <x:c r="I48" s="85" t="n">
        <x:v>11644378.816734936</x:v>
      </x:c>
      <x:c r="J48" s="85" t="n">
        <x:v>16723200.000000002</x:v>
      </x:c>
      <x:c r="K48" s="85" t="n">
        <x:v>0</x:v>
      </x:c>
      <x:c r="L48" s="28" t="n">
        <x:v>46</x:v>
      </x:c>
      <x:c r="M48" s="28" t="n">
        <x:v>38</x:v>
      </x:c>
      <x:c r="N48" s="28" t="n">
        <x:v>2.3283064365386963e-10</x:v>
      </x:c>
      <x:c r="O48" s="28" t="n">
        <x:v>1.862645149230957e-9</x:v>
      </x:c>
      <x:c r="P48" s="28" t="n">
        <x:v>0</x:v>
      </x:c>
      <x:c r="Q48" s="62" t="b">
        <x:v>1</x:v>
      </x:c>
      <x:c r="R48" s="28" t="n">
        <x:v>406265.28508438915</x:v>
      </x:c>
      <x:c r="S48" s="28" t="str">
        <x:v>49a47b8d47b2d772</x:v>
      </x:c>
    </x:row>
    <x:row r="49" ht="21" customHeight="1">
      <x:c r="A49" s="60" t="n">
        <x:v>0.6</x:v>
      </x:c>
      <x:c r="B49" s="28" t="str">
        <x:v>front_low</x:v>
      </x:c>
      <x:c r="C49" s="60" t="n">
        <x:v>1</x:v>
      </x:c>
      <x:c r="D49" s="60" t="n">
        <x:v>0.9596721012870685</x:v>
      </x:c>
      <x:c r="E49" s="62" t="b">
        <x:v>0</x:v>
      </x:c>
      <x:c r="F49" s="62" t="b">
        <x:v>0</x:v>
      </x:c>
      <x:c r="G49" s="85" t="n">
        <x:v>1249108.4502251607</x:v>
      </x:c>
      <x:c r="H49" s="85" t="n">
        <x:v>10510744.964662924</x:v>
      </x:c>
      <x:c r="I49" s="85" t="n">
        <x:v>11651091.849684937</x:v>
      </x:c>
      <x:c r="J49" s="85" t="n">
        <x:v>16723200.000000002</x:v>
      </x:c>
      <x:c r="K49" s="85" t="n">
        <x:v>0</x:v>
      </x:c>
      <x:c r="L49" s="28" t="n">
        <x:v>46</x:v>
      </x:c>
      <x:c r="M49" s="28" t="n">
        <x:v>39</x:v>
      </x:c>
      <x:c r="N49" s="28" t="n">
        <x:v>2.3283064365386963e-10</x:v>
      </x:c>
      <x:c r="O49" s="28" t="n">
        <x:v>1.862645149230957e-9</x:v>
      </x:c>
      <x:c r="P49" s="28" t="n">
        <x:v>0</x:v>
      </x:c>
      <x:c r="Q49" s="62" t="b">
        <x:v>1</x:v>
      </x:c>
      <x:c r="R49" s="28" t="n">
        <x:v>2248038.3858536556</x:v>
      </x:c>
      <x:c r="S49" s="28" t="str">
        <x:v>d1ea0416d79189a3</x:v>
      </x:c>
    </x:row>
    <x:row r="50" ht="21" customHeight="1">
      <x:c r="A50" s="60" t="n">
        <x:v>0.6</x:v>
      </x:c>
      <x:c r="B50" s="28" t="str">
        <x:v>front_high</x:v>
      </x:c>
      <x:c r="C50" s="60" t="n">
        <x:v>0</x:v>
      </x:c>
      <x:c r="D50" s="60" t="n">
        <x:v>0</x:v>
      </x:c>
      <x:c r="E50" s="62" t="b">
        <x:v>1</x:v>
      </x:c>
      <x:c r="F50" s="62" t="b">
        <x:v>1</x:v>
      </x:c>
      <x:c r="G50" s="85" t="n">
        <x:v>0</x:v>
      </x:c>
      <x:c r="H50" s="85" t="n">
        <x:v>0</x:v>
      </x:c>
      <x:c r="I50" s="85" t="n">
        <x:v>0</x:v>
      </x:c>
      <x:c r="J50" s="85" t="n">
        <x:v>0</x:v>
      </x:c>
      <x:c r="K50" s="85" t="n">
        <x:v>6437951.202191777</x:v>
      </x:c>
      <x:c r="L50" s="28" t="n">
        <x:v>0</x:v>
      </x:c>
      <x:c r="M50" s="28" t="n">
        <x:v>0</x:v>
      </x:c>
      <x:c r="N50" s="28" t="n">
        <x:v>4.656612873077393e-10</x:v>
      </x:c>
      <x:c r="O50" s="28" t="n">
        <x:v>0</x:v>
      </x:c>
      <x:c r="P50" s="28" t="n">
        <x:v>0</x:v>
      </x:c>
      <x:c r="Q50" s="62" t="b">
        <x:v>1</x:v>
      </x:c>
      <x:c r="R50" s="28" t="n">
        <x:v>0</x:v>
      </x:c>
      <x:c r="S50" s="28" t="str">
        <x:v>8e4fc0ff1beeea52</x:v>
      </x:c>
    </x:row>
    <x:row r="51" ht="21" customHeight="1">
      <x:c r="A51" s="60" t="n">
        <x:v>0.6</x:v>
      </x:c>
      <x:c r="B51" s="28" t="str">
        <x:v>front_high</x:v>
      </x:c>
      <x:c r="C51" s="60" t="n">
        <x:v>0.05</x:v>
      </x:c>
      <x:c r="D51" s="60" t="n">
        <x:v>0.05</x:v>
      </x:c>
      <x:c r="E51" s="62" t="b">
        <x:v>1</x:v>
      </x:c>
      <x:c r="F51" s="62" t="b">
        <x:v>1</x:v>
      </x:c>
      <x:c r="G51" s="85" t="n">
        <x:v>0</x:v>
      </x:c>
      <x:c r="H51" s="85" t="n">
        <x:v>0</x:v>
      </x:c>
      <x:c r="I51" s="85" t="n">
        <x:v>0</x:v>
      </x:c>
      <x:c r="J51" s="85" t="n">
        <x:v>0</x:v>
      </x:c>
      <x:c r="K51" s="85" t="n">
        <x:v>3837217.5818225527</x:v>
      </x:c>
      <x:c r="L51" s="28" t="n">
        <x:v>0</x:v>
      </x:c>
      <x:c r="M51" s="28" t="n">
        <x:v>0</x:v>
      </x:c>
      <x:c r="N51" s="28" t="n">
        <x:v>9.313225746154785e-10</x:v>
      </x:c>
      <x:c r="O51" s="28" t="n">
        <x:v>7.450580596923828e-9</x:v>
      </x:c>
      <x:c r="P51" s="28" t="n">
        <x:v>0</x:v>
      </x:c>
      <x:c r="Q51" s="62" t="b">
        <x:v>1</x:v>
      </x:c>
      <x:c r="R51" s="28" t="n">
        <x:v>0</x:v>
      </x:c>
      <x:c r="S51" s="28" t="str">
        <x:v>9b0195410cc57c96</x:v>
      </x:c>
    </x:row>
    <x:row r="52" ht="21" customHeight="1">
      <x:c r="A52" s="60" t="n">
        <x:v>0.6</x:v>
      </x:c>
      <x:c r="B52" s="28" t="str">
        <x:v>front_high</x:v>
      </x:c>
      <x:c r="C52" s="60" t="n">
        <x:v>0.1</x:v>
      </x:c>
      <x:c r="D52" s="60" t="n">
        <x:v>0.1</x:v>
      </x:c>
      <x:c r="E52" s="62" t="b">
        <x:v>1</x:v>
      </x:c>
      <x:c r="F52" s="62" t="b">
        <x:v>1</x:v>
      </x:c>
      <x:c r="G52" s="85" t="n">
        <x:v>0</x:v>
      </x:c>
      <x:c r="H52" s="85" t="n">
        <x:v>0</x:v>
      </x:c>
      <x:c r="I52" s="85" t="n">
        <x:v>0</x:v>
      </x:c>
      <x:c r="J52" s="85" t="n">
        <x:v>0</x:v>
      </x:c>
      <x:c r="K52" s="85" t="n">
        <x:v>1235868.497645269</x:v>
      </x:c>
      <x:c r="L52" s="28" t="n">
        <x:v>0</x:v>
      </x:c>
      <x:c r="M52" s="28" t="n">
        <x:v>0</x:v>
      </x:c>
      <x:c r="N52" s="28" t="n">
        <x:v>4.656612873077393e-10</x:v>
      </x:c>
      <x:c r="O52" s="28" t="n">
        <x:v>7.450580596923828e-9</x:v>
      </x:c>
      <x:c r="P52" s="28" t="n">
        <x:v>0</x:v>
      </x:c>
      <x:c r="Q52" s="62" t="b">
        <x:v>1</x:v>
      </x:c>
      <x:c r="R52" s="28" t="n">
        <x:v>0</x:v>
      </x:c>
      <x:c r="S52" s="28" t="str">
        <x:v>35a535f3a08614fc</x:v>
      </x:c>
    </x:row>
    <x:row r="53" ht="21" customHeight="1">
      <x:c r="A53" s="60" t="n">
        <x:v>0.6</x:v>
      </x:c>
      <x:c r="B53" s="28" t="str">
        <x:v>front_high</x:v>
      </x:c>
      <x:c r="C53" s="60" t="n">
        <x:v>0.15</x:v>
      </x:c>
      <x:c r="D53" s="60" t="n">
        <x:v>0.15</x:v>
      </x:c>
      <x:c r="E53" s="62" t="b">
        <x:v>1</x:v>
      </x:c>
      <x:c r="F53" s="62" t="b">
        <x:v>1</x:v>
      </x:c>
      <x:c r="G53" s="85" t="n">
        <x:v>0</x:v>
      </x:c>
      <x:c r="H53" s="85" t="n">
        <x:v>0</x:v>
      </x:c>
      <x:c r="I53" s="85" t="n">
        <x:v>1250330.4680718766</x:v>
      </x:c>
      <x:c r="J53" s="85" t="n">
        <x:v>0</x:v>
      </x:c>
      <x:c r="K53" s="85" t="n">
        <x:v>82812.96827054743</x:v>
      </x:c>
      <x:c r="L53" s="28" t="n">
        <x:v>0</x:v>
      </x:c>
      <x:c r="M53" s="28" t="n">
        <x:v>0</x:v>
      </x:c>
      <x:c r="N53" s="28" t="n">
        <x:v>9.313225746154785e-10</x:v>
      </x:c>
      <x:c r="O53" s="28" t="n">
        <x:v>7.450580596923828e-9</x:v>
      </x:c>
      <x:c r="P53" s="28" t="n">
        <x:v>0</x:v>
      </x:c>
      <x:c r="Q53" s="62" t="b">
        <x:v>1</x:v>
      </x:c>
      <x:c r="R53" s="28" t="n">
        <x:v>0</x:v>
      </x:c>
      <x:c r="S53" s="28" t="str">
        <x:v>6e32f58d842efe5f</x:v>
      </x:c>
    </x:row>
    <x:row r="54" ht="21" customHeight="1">
      <x:c r="A54" s="60" t="n">
        <x:v>0.6</x:v>
      </x:c>
      <x:c r="B54" s="28" t="str">
        <x:v>front_high</x:v>
      </x:c>
      <x:c r="C54" s="60" t="n">
        <x:v>0.2</x:v>
      </x:c>
      <x:c r="D54" s="60" t="n">
        <x:v>0.2</x:v>
      </x:c>
      <x:c r="E54" s="62" t="b">
        <x:v>1</x:v>
      </x:c>
      <x:c r="F54" s="62" t="b">
        <x:v>1</x:v>
      </x:c>
      <x:c r="G54" s="85" t="n">
        <x:v>0</x:v>
      </x:c>
      <x:c r="H54" s="85" t="n">
        <x:v>0</x:v>
      </x:c>
      <x:c r="I54" s="85" t="n">
        <x:v>3345647.394665025</x:v>
      </x:c>
      <x:c r="J54" s="85" t="n">
        <x:v>1254093.4388721196</x:v>
      </x:c>
      <x:c r="K54" s="85" t="n">
        <x:v>57441.91179452111</x:v>
      </x:c>
      <x:c r="L54" s="28" t="n">
        <x:v>0</x:v>
      </x:c>
      <x:c r="M54" s="28" t="n">
        <x:v>0</x:v>
      </x:c>
      <x:c r="N54" s="28" t="n">
        <x:v>4.656612873077393e-10</x:v>
      </x:c>
      <x:c r="O54" s="28" t="n">
        <x:v>7.450580596923828e-9</x:v>
      </x:c>
      <x:c r="P54" s="28" t="n">
        <x:v>0</x:v>
      </x:c>
      <x:c r="Q54" s="62" t="b">
        <x:v>1</x:v>
      </x:c>
      <x:c r="R54" s="28" t="n">
        <x:v>0</x:v>
      </x:c>
      <x:c r="S54" s="28" t="str">
        <x:v>6d75bb9d672b77ed</x:v>
      </x:c>
    </x:row>
    <x:row r="55" ht="21" customHeight="1">
      <x:c r="A55" s="60" t="n">
        <x:v>0.6</x:v>
      </x:c>
      <x:c r="B55" s="28" t="str">
        <x:v>front_high</x:v>
      </x:c>
      <x:c r="C55" s="60" t="n">
        <x:v>0.25</x:v>
      </x:c>
      <x:c r="D55" s="60" t="n">
        <x:v>0.25</x:v>
      </x:c>
      <x:c r="E55" s="62" t="b">
        <x:v>1</x:v>
      </x:c>
      <x:c r="F55" s="62" t="b">
        <x:v>1</x:v>
      </x:c>
      <x:c r="G55" s="85" t="n">
        <x:v>0</x:v>
      </x:c>
      <x:c r="H55" s="85" t="n">
        <x:v>0</x:v>
      </x:c>
      <x:c r="I55" s="85" t="n">
        <x:v>5195021.379573386</x:v>
      </x:c>
      <x:c r="J55" s="85" t="n">
        <x:v>2961216.798590132</x:v>
      </x:c>
      <x:c r="K55" s="85" t="n">
        <x:v>39818.276455479514</x:v>
      </x:c>
      <x:c r="L55" s="28" t="n">
        <x:v>0</x:v>
      </x:c>
      <x:c r="M55" s="28" t="n">
        <x:v>0</x:v>
      </x:c>
      <x:c r="N55" s="28" t="n">
        <x:v>9.313225746154785e-10</x:v>
      </x:c>
      <x:c r="O55" s="28" t="n">
        <x:v>3.725290298461914e-9</x:v>
      </x:c>
      <x:c r="P55" s="28" t="n">
        <x:v>0</x:v>
      </x:c>
      <x:c r="Q55" s="62" t="b">
        <x:v>1</x:v>
      </x:c>
      <x:c r="R55" s="28" t="n">
        <x:v>0</x:v>
      </x:c>
      <x:c r="S55" s="28" t="str">
        <x:v>cabb3d3f3130ccd7</x:v>
      </x:c>
    </x:row>
    <x:row r="56" ht="21" customHeight="1">
      <x:c r="A56" s="60" t="n">
        <x:v>0.6</x:v>
      </x:c>
      <x:c r="B56" s="28" t="str">
        <x:v>front_high</x:v>
      </x:c>
      <x:c r="C56" s="60" t="n">
        <x:v>0.3</x:v>
      </x:c>
      <x:c r="D56" s="60" t="n">
        <x:v>0.3</x:v>
      </x:c>
      <x:c r="E56" s="62" t="b">
        <x:v>1</x:v>
      </x:c>
      <x:c r="F56" s="62" t="b">
        <x:v>1</x:v>
      </x:c>
      <x:c r="G56" s="85" t="n">
        <x:v>0</x:v>
      </x:c>
      <x:c r="H56" s="85" t="n">
        <x:v>0</x:v>
      </x:c>
      <x:c r="I56" s="85" t="n">
        <x:v>7047540.705570254</x:v>
      </x:c>
      <x:c r="J56" s="85" t="n">
        <x:v>4668340.158308157</x:v>
      </x:c>
      <x:c r="K56" s="85" t="n">
        <x:v>22194.641116438608</x:v>
      </x:c>
      <x:c r="L56" s="28" t="n">
        <x:v>0</x:v>
      </x:c>
      <x:c r="M56" s="28" t="n">
        <x:v>0</x:v>
      </x:c>
      <x:c r="N56" s="28" t="n">
        <x:v>4.656612873077393e-10</x:v>
      </x:c>
      <x:c r="O56" s="28" t="n">
        <x:v>7.450580596923828e-9</x:v>
      </x:c>
      <x:c r="P56" s="28" t="n">
        <x:v>0</x:v>
      </x:c>
      <x:c r="Q56" s="62" t="b">
        <x:v>1</x:v>
      </x:c>
      <x:c r="R56" s="28" t="n">
        <x:v>0</x:v>
      </x:c>
      <x:c r="S56" s="28" t="str">
        <x:v>2821f8e907fcbd15</x:v>
      </x:c>
    </x:row>
    <x:row r="57" ht="21" customHeight="1">
      <x:c r="A57" s="60" t="n">
        <x:v>0.6</x:v>
      </x:c>
      <x:c r="B57" s="28" t="str">
        <x:v>front_high</x:v>
      </x:c>
      <x:c r="C57" s="60" t="n">
        <x:v>0.35</x:v>
      </x:c>
      <x:c r="D57" s="60" t="n">
        <x:v>0.35</x:v>
      </x:c>
      <x:c r="E57" s="62" t="b">
        <x:v>1</x:v>
      </x:c>
      <x:c r="F57" s="62" t="b">
        <x:v>1</x:v>
      </x:c>
      <x:c r="G57" s="85" t="n">
        <x:v>0</x:v>
      </x:c>
      <x:c r="H57" s="85" t="n">
        <x:v>0</x:v>
      </x:c>
      <x:c r="I57" s="85" t="n">
        <x:v>8900060.031567127</x:v>
      </x:c>
      <x:c r="J57" s="85" t="n">
        <x:v>6375463.518026188</x:v>
      </x:c>
      <x:c r="K57" s="85" t="n">
        <x:v>15263.659417808325</x:v>
      </x:c>
      <x:c r="L57" s="28" t="n">
        <x:v>0</x:v>
      </x:c>
      <x:c r="M57" s="28" t="n">
        <x:v>0</x:v>
      </x:c>
      <x:c r="N57" s="28" t="n">
        <x:v>2.3283064365386963e-10</x:v>
      </x:c>
      <x:c r="O57" s="28" t="n">
        <x:v>7.450580596923828e-9</x:v>
      </x:c>
      <x:c r="P57" s="28" t="n">
        <x:v>0</x:v>
      </x:c>
      <x:c r="Q57" s="62" t="b">
        <x:v>1</x:v>
      </x:c>
      <x:c r="R57" s="28" t="n">
        <x:v>0</x:v>
      </x:c>
      <x:c r="S57" s="28" t="str">
        <x:v>1fb82c6c4dad4c91</x:v>
      </x:c>
    </x:row>
    <x:row r="58" ht="21" customHeight="1">
      <x:c r="A58" s="60" t="n">
        <x:v>0.6</x:v>
      </x:c>
      <x:c r="B58" s="28" t="str">
        <x:v>front_high</x:v>
      </x:c>
      <x:c r="C58" s="60" t="n">
        <x:v>0.4</x:v>
      </x:c>
      <x:c r="D58" s="60" t="n">
        <x:v>0.4</x:v>
      </x:c>
      <x:c r="E58" s="62" t="b">
        <x:v>1</x:v>
      </x:c>
      <x:c r="F58" s="62" t="b">
        <x:v>1</x:v>
      </x:c>
      <x:c r="G58" s="85" t="n">
        <x:v>0</x:v>
      </x:c>
      <x:c r="H58" s="85" t="n">
        <x:v>0</x:v>
      </x:c>
      <x:c r="I58" s="85" t="n">
        <x:v>10754964.358862625</x:v>
      </x:c>
      <x:c r="J58" s="85" t="n">
        <x:v>8082586.877744218</x:v>
      </x:c>
      <x:c r="K58" s="85" t="n">
        <x:v>9366.078082191794</x:v>
      </x:c>
      <x:c r="L58" s="28" t="n">
        <x:v>0</x:v>
      </x:c>
      <x:c r="M58" s="28" t="n">
        <x:v>0</x:v>
      </x:c>
      <x:c r="N58" s="28" t="n">
        <x:v>4.656612873077393e-10</x:v>
      </x:c>
      <x:c r="O58" s="28" t="n">
        <x:v>7.450580596923828e-9</x:v>
      </x:c>
      <x:c r="P58" s="28" t="n">
        <x:v>0</x:v>
      </x:c>
      <x:c r="Q58" s="62" t="b">
        <x:v>1</x:v>
      </x:c>
      <x:c r="R58" s="28" t="n">
        <x:v>0</x:v>
      </x:c>
      <x:c r="S58" s="28" t="str">
        <x:v>cc031263b561a795</x:v>
      </x:c>
    </x:row>
    <x:row r="59" ht="21" customHeight="1">
      <x:c r="A59" s="60" t="n">
        <x:v>0.6</x:v>
      </x:c>
      <x:c r="B59" s="28" t="str">
        <x:v>front_high</x:v>
      </x:c>
      <x:c r="C59" s="60" t="n">
        <x:v>0.45</x:v>
      </x:c>
      <x:c r="D59" s="60" t="n">
        <x:v>0.45</x:v>
      </x:c>
      <x:c r="E59" s="62" t="b">
        <x:v>1</x:v>
      </x:c>
      <x:c r="F59" s="62" t="b">
        <x:v>1</x:v>
      </x:c>
      <x:c r="G59" s="85" t="n">
        <x:v>0</x:v>
      </x:c>
      <x:c r="H59" s="85" t="n">
        <x:v>0</x:v>
      </x:c>
      <x:c r="I59" s="85" t="n">
        <x:v>12614285.919697346</x:v>
      </x:c>
      <x:c r="J59" s="85" t="n">
        <x:v>9789710.237462243</x:v>
      </x:c>
      <x:c r="K59" s="85" t="n">
        <x:v>3468.496746575496</x:v>
      </x:c>
      <x:c r="L59" s="28" t="n">
        <x:v>0</x:v>
      </x:c>
      <x:c r="M59" s="28" t="n">
        <x:v>0</x:v>
      </x:c>
      <x:c r="N59" s="28" t="n">
        <x:v>2.3283064365386963e-10</x:v>
      </x:c>
      <x:c r="O59" s="28" t="n">
        <x:v>3.725290298461914e-9</x:v>
      </x:c>
      <x:c r="P59" s="28" t="n">
        <x:v>0</x:v>
      </x:c>
      <x:c r="Q59" s="62" t="b">
        <x:v>1</x:v>
      </x:c>
      <x:c r="R59" s="28" t="n">
        <x:v>0</x:v>
      </x:c>
      <x:c r="S59" s="28" t="str">
        <x:v>0e497c5a56cb61ba</x:v>
      </x:c>
    </x:row>
    <x:row r="60" ht="21" customHeight="1">
      <x:c r="A60" s="60" t="n">
        <x:v>0.6</x:v>
      </x:c>
      <x:c r="B60" s="28" t="str">
        <x:v>front_high</x:v>
      </x:c>
      <x:c r="C60" s="60" t="n">
        <x:v>0.5</x:v>
      </x:c>
      <x:c r="D60" s="60" t="n">
        <x:v>0.5</x:v>
      </x:c>
      <x:c r="E60" s="62" t="b">
        <x:v>1</x:v>
      </x:c>
      <x:c r="F60" s="62" t="b">
        <x:v>1</x:v>
      </x:c>
      <x:c r="G60" s="85" t="n">
        <x:v>0</x:v>
      </x:c>
      <x:c r="H60" s="85" t="n">
        <x:v>0</x:v>
      </x:c>
      <x:c r="I60" s="85" t="n">
        <x:v>14468947.96197726</x:v>
      </x:c>
      <x:c r="J60" s="85" t="n">
        <x:v>11496833.597180277</x:v>
      </x:c>
      <x:c r="K60" s="85" t="n">
        <x:v>0</x:v>
      </x:c>
      <x:c r="L60" s="28" t="n">
        <x:v>0</x:v>
      </x:c>
      <x:c r="M60" s="28" t="n">
        <x:v>0</x:v>
      </x:c>
      <x:c r="N60" s="28" t="n">
        <x:v>4.656612873077393e-10</x:v>
      </x:c>
      <x:c r="O60" s="28" t="n">
        <x:v>7.450580596923828e-9</x:v>
      </x:c>
      <x:c r="P60" s="28" t="n">
        <x:v>0</x:v>
      </x:c>
      <x:c r="Q60" s="62" t="b">
        <x:v>1</x:v>
      </x:c>
      <x:c r="R60" s="28" t="n">
        <x:v>0</x:v>
      </x:c>
      <x:c r="S60" s="28" t="str">
        <x:v>f51d83937b42be29</x:v>
      </x:c>
    </x:row>
    <x:row r="61" ht="21" customHeight="1">
      <x:c r="A61" s="60" t="n">
        <x:v>0.6</x:v>
      </x:c>
      <x:c r="B61" s="28" t="str">
        <x:v>front_high</x:v>
      </x:c>
      <x:c r="C61" s="60" t="n">
        <x:v>0.55</x:v>
      </x:c>
      <x:c r="D61" s="60" t="n">
        <x:v>0.55</x:v>
      </x:c>
      <x:c r="E61" s="62" t="b">
        <x:v>1</x:v>
      </x:c>
      <x:c r="F61" s="62" t="b">
        <x:v>1</x:v>
      </x:c>
      <x:c r="G61" s="85" t="n">
        <x:v>0</x:v>
      </x:c>
      <x:c r="H61" s="85" t="n">
        <x:v>0</x:v>
      </x:c>
      <x:c r="I61" s="85" t="n">
        <x:v>16449603.24981333</x:v>
      </x:c>
      <x:c r="J61" s="85" t="n">
        <x:v>12312428.40561859</x:v>
      </x:c>
      <x:c r="K61" s="85" t="n">
        <x:v>0</x:v>
      </x:c>
      <x:c r="L61" s="28" t="n">
        <x:v>6</x:v>
      </x:c>
      <x:c r="M61" s="28" t="n">
        <x:v>0</x:v>
      </x:c>
      <x:c r="N61" s="28" t="n">
        <x:v>4.656612873077393e-10</x:v>
      </x:c>
      <x:c r="O61" s="28" t="n">
        <x:v>3.725290298461914e-9</x:v>
      </x:c>
      <x:c r="P61" s="28" t="n">
        <x:v>0</x:v>
      </x:c>
      <x:c r="Q61" s="62" t="b">
        <x:v>1</x:v>
      </x:c>
      <x:c r="R61" s="28" t="n">
        <x:v>0</x:v>
      </x:c>
      <x:c r="S61" s="28" t="str">
        <x:v>6361ebd788d7f45b</x:v>
      </x:c>
    </x:row>
    <x:row r="62" ht="21" customHeight="1">
      <x:c r="A62" s="60" t="n">
        <x:v>0.6</x:v>
      </x:c>
      <x:c r="B62" s="28" t="str">
        <x:v>front_high</x:v>
      </x:c>
      <x:c r="C62" s="60" t="n">
        <x:v>0.6</x:v>
      </x:c>
      <x:c r="D62" s="60" t="n">
        <x:v>0.6</x:v>
      </x:c>
      <x:c r="E62" s="62" t="b">
        <x:v>1</x:v>
      </x:c>
      <x:c r="F62" s="62" t="b">
        <x:v>1</x:v>
      </x:c>
      <x:c r="G62" s="85" t="n">
        <x:v>0</x:v>
      </x:c>
      <x:c r="H62" s="85" t="n">
        <x:v>0</x:v>
      </x:c>
      <x:c r="I62" s="85" t="n">
        <x:v>18387078.180432655</x:v>
      </x:c>
      <x:c r="J62" s="85" t="n">
        <x:v>12971458.468739085</x:v>
      </x:c>
      <x:c r="K62" s="85" t="n">
        <x:v>0</x:v>
      </x:c>
      <x:c r="L62" s="28" t="n">
        <x:v>14</x:v>
      </x:c>
      <x:c r="M62" s="28" t="n">
        <x:v>0</x:v>
      </x:c>
      <x:c r="N62" s="28" t="n">
        <x:v>4.656612873077393e-10</x:v>
      </x:c>
      <x:c r="O62" s="28" t="n">
        <x:v>3.725290298461914e-9</x:v>
      </x:c>
      <x:c r="P62" s="28" t="n">
        <x:v>0</x:v>
      </x:c>
      <x:c r="Q62" s="62" t="b">
        <x:v>1</x:v>
      </x:c>
      <x:c r="R62" s="28" t="n">
        <x:v>0</x:v>
      </x:c>
      <x:c r="S62" s="28" t="str">
        <x:v>2befb872ba47fc92</x:v>
      </x:c>
    </x:row>
    <x:row r="63" ht="21" customHeight="1">
      <x:c r="A63" s="60" t="n">
        <x:v>0.6</x:v>
      </x:c>
      <x:c r="B63" s="28" t="str">
        <x:v>front_high</x:v>
      </x:c>
      <x:c r="C63" s="60" t="n">
        <x:v>0.65</x:v>
      </x:c>
      <x:c r="D63" s="60" t="n">
        <x:v>0.65</x:v>
      </x:c>
      <x:c r="E63" s="62" t="b">
        <x:v>1</x:v>
      </x:c>
      <x:c r="F63" s="62" t="b">
        <x:v>1</x:v>
      </x:c>
      <x:c r="G63" s="85" t="n">
        <x:v>0</x:v>
      </x:c>
      <x:c r="H63" s="85" t="n">
        <x:v>0</x:v>
      </x:c>
      <x:c r="I63" s="85" t="n">
        <x:v>20186458.548846595</x:v>
      </x:c>
      <x:c r="J63" s="85" t="n">
        <x:v>14222187.761407113</x:v>
      </x:c>
      <x:c r="K63" s="85" t="n">
        <x:v>0</x:v>
      </x:c>
      <x:c r="L63" s="28" t="n">
        <x:v>19</x:v>
      </x:c>
      <x:c r="M63" s="28" t="n">
        <x:v>3</x:v>
      </x:c>
      <x:c r="N63" s="28" t="n">
        <x:v>4.656612873077393e-10</x:v>
      </x:c>
      <x:c r="O63" s="28" t="n">
        <x:v>3.725290298461914e-9</x:v>
      </x:c>
      <x:c r="P63" s="28" t="n">
        <x:v>0</x:v>
      </x:c>
      <x:c r="Q63" s="62" t="b">
        <x:v>1</x:v>
      </x:c>
      <x:c r="R63" s="28" t="n">
        <x:v>0</x:v>
      </x:c>
      <x:c r="S63" s="28" t="str">
        <x:v>bbe38cca5d28d28c</x:v>
      </x:c>
    </x:row>
    <x:row r="64" ht="21" customHeight="1">
      <x:c r="A64" s="60" t="n">
        <x:v>0.6</x:v>
      </x:c>
      <x:c r="B64" s="28" t="str">
        <x:v>front_high</x:v>
      </x:c>
      <x:c r="C64" s="60" t="n">
        <x:v>0.7</x:v>
      </x:c>
      <x:c r="D64" s="60" t="n">
        <x:v>0.7</x:v>
      </x:c>
      <x:c r="E64" s="62" t="b">
        <x:v>1</x:v>
      </x:c>
      <x:c r="F64" s="62" t="b">
        <x:v>1</x:v>
      </x:c>
      <x:c r="G64" s="85" t="n">
        <x:v>0</x:v>
      </x:c>
      <x:c r="H64" s="85" t="n">
        <x:v>0</x:v>
      </x:c>
      <x:c r="I64" s="85" t="n">
        <x:v>21877173.609829642</x:v>
      </x:c>
      <x:c r="J64" s="85" t="n">
        <x:v>16675046.624813333</x:v>
      </x:c>
      <x:c r="K64" s="85" t="n">
        <x:v>0</x:v>
      </x:c>
      <x:c r="L64" s="28" t="n">
        <x:v>28</x:v>
      </x:c>
      <x:c r="M64" s="28" t="n">
        <x:v>16</x:v>
      </x:c>
      <x:c r="N64" s="28" t="n">
        <x:v>4.656612873077393e-10</x:v>
      </x:c>
      <x:c r="O64" s="28" t="n">
        <x:v>1.862645149230957e-9</x:v>
      </x:c>
      <x:c r="P64" s="28" t="n">
        <x:v>0</x:v>
      </x:c>
      <x:c r="Q64" s="62" t="b">
        <x:v>1</x:v>
      </x:c>
      <x:c r="R64" s="28" t="n">
        <x:v>0</x:v>
      </x:c>
      <x:c r="S64" s="28" t="str">
        <x:v>2129c47f60767c71</x:v>
      </x:c>
    </x:row>
    <x:row r="65" ht="21" customHeight="1">
      <x:c r="A65" s="60" t="n">
        <x:v>0.6</x:v>
      </x:c>
      <x:c r="B65" s="28" t="str">
        <x:v>front_high</x:v>
      </x:c>
      <x:c r="C65" s="60" t="n">
        <x:v>0.75</x:v>
      </x:c>
      <x:c r="D65" s="60" t="n">
        <x:v>0.75</x:v>
      </x:c>
      <x:c r="E65" s="62" t="b">
        <x:v>1</x:v>
      </x:c>
      <x:c r="F65" s="62" t="b">
        <x:v>0</x:v>
      </x:c>
      <x:c r="G65" s="85" t="n">
        <x:v>980435.8358594738</x:v>
      </x:c>
      <x:c r="H65" s="85" t="n">
        <x:v>2965747.614721759</x:v>
      </x:c>
      <x:c r="I65" s="85" t="n">
        <x:v>21937094.180291098</x:v>
      </x:c>
      <x:c r="J65" s="85" t="n">
        <x:v>16723200.000000002</x:v>
      </x:c>
      <x:c r="K65" s="85" t="n">
        <x:v>0</x:v>
      </x:c>
      <x:c r="L65" s="28" t="n">
        <x:v>45</x:v>
      </x:c>
      <x:c r="M65" s="28" t="n">
        <x:v>38</x:v>
      </x:c>
      <x:c r="N65" s="28" t="n">
        <x:v>4.656612873077393e-10</x:v>
      </x:c>
      <x:c r="O65" s="28" t="n">
        <x:v>3.725290298461914e-9</x:v>
      </x:c>
      <x:c r="P65" s="28" t="n">
        <x:v>0</x:v>
      </x:c>
      <x:c r="Q65" s="62" t="b">
        <x:v>1</x:v>
      </x:c>
      <x:c r="R65" s="28" t="n">
        <x:v>0</x:v>
      </x:c>
      <x:c r="S65" s="28" t="str">
        <x:v>115181239b63541a</x:v>
      </x:c>
    </x:row>
    <x:row r="66" ht="21" customHeight="1">
      <x:c r="A66" s="60" t="n">
        <x:v>0.6</x:v>
      </x:c>
      <x:c r="B66" s="28" t="str">
        <x:v>front_high</x:v>
      </x:c>
      <x:c r="C66" s="60" t="n">
        <x:v>0.8</x:v>
      </x:c>
      <x:c r="D66" s="60" t="n">
        <x:v>0.8</x:v>
      </x:c>
      <x:c r="E66" s="62" t="b">
        <x:v>1</x:v>
      </x:c>
      <x:c r="F66" s="62" t="b">
        <x:v>0</x:v>
      </x:c>
      <x:c r="G66" s="85" t="n">
        <x:v>1971184.1234602537</x:v>
      </x:c>
      <x:c r="H66" s="85" t="n">
        <x:v>5781174.670544625</x:v>
      </x:c>
      <x:c r="I66" s="85" t="n">
        <x:v>21972425.884767123</x:v>
      </x:c>
      <x:c r="J66" s="85" t="n">
        <x:v>16723200.000000002</x:v>
      </x:c>
      <x:c r="K66" s="85" t="n">
        <x:v>0</x:v>
      </x:c>
      <x:c r="L66" s="28" t="n">
        <x:v>45</x:v>
      </x:c>
      <x:c r="M66" s="28" t="n">
        <x:v>42</x:v>
      </x:c>
      <x:c r="N66" s="28" t="n">
        <x:v>4.656612873077393e-10</x:v>
      </x:c>
      <x:c r="O66" s="28" t="n">
        <x:v>3.725290298461914e-9</x:v>
      </x:c>
      <x:c r="P66" s="28" t="n">
        <x:v>0</x:v>
      </x:c>
      <x:c r="Q66" s="62" t="b">
        <x:v>1</x:v>
      </x:c>
      <x:c r="R66" s="28" t="n">
        <x:v>0</x:v>
      </x:c>
      <x:c r="S66" s="28" t="str">
        <x:v>366452e7a68644c9</x:v>
      </x:c>
    </x:row>
    <x:row r="67" ht="21" customHeight="1">
      <x:c r="A67" s="60" t="n">
        <x:v>0.6</x:v>
      </x:c>
      <x:c r="B67" s="28" t="str">
        <x:v>front_high</x:v>
      </x:c>
      <x:c r="C67" s="60" t="n">
        <x:v>0.85</x:v>
      </x:c>
      <x:c r="D67" s="60" t="n">
        <x:v>0.85</x:v>
      </x:c>
      <x:c r="E67" s="62" t="b">
        <x:v>1</x:v>
      </x:c>
      <x:c r="F67" s="62" t="b">
        <x:v>0</x:v>
      </x:c>
      <x:c r="G67" s="85" t="n">
        <x:v>3074042.419723828</x:v>
      </x:c>
      <x:c r="H67" s="85" t="n">
        <x:v>8385312.449088331</x:v>
      </x:c>
      <x:c r="I67" s="85" t="n">
        <x:v>22007757.58924315</x:v>
      </x:c>
      <x:c r="J67" s="85" t="n">
        <x:v>16723200.000000002</x:v>
      </x:c>
      <x:c r="K67" s="85" t="n">
        <x:v>0</x:v>
      </x:c>
      <x:c r="L67" s="28" t="n">
        <x:v>45</x:v>
      </x:c>
      <x:c r="M67" s="28" t="n">
        <x:v>44</x:v>
      </x:c>
      <x:c r="N67" s="28" t="n">
        <x:v>2.3283064365386963e-10</x:v>
      </x:c>
      <x:c r="O67" s="28" t="n">
        <x:v>1.862645149230957e-9</x:v>
      </x:c>
      <x:c r="P67" s="28" t="n">
        <x:v>0</x:v>
      </x:c>
      <x:c r="Q67" s="62" t="b">
        <x:v>1</x:v>
      </x:c>
      <x:c r="R67" s="28" t="n">
        <x:v>0</x:v>
      </x:c>
      <x:c r="S67" s="28" t="str">
        <x:v>21b69a56ff0f8735</x:v>
      </x:c>
    </x:row>
    <x:row r="68" ht="21" customHeight="1">
      <x:c r="A68" s="60" t="n">
        <x:v>0.6</x:v>
      </x:c>
      <x:c r="B68" s="28" t="str">
        <x:v>front_high</x:v>
      </x:c>
      <x:c r="C68" s="60" t="n">
        <x:v>0.9</x:v>
      </x:c>
      <x:c r="D68" s="60" t="n">
        <x:v>0.9</x:v>
      </x:c>
      <x:c r="E68" s="62" t="b">
        <x:v>1</x:v>
      </x:c>
      <x:c r="F68" s="62" t="b">
        <x:v>0</x:v>
      </x:c>
      <x:c r="G68" s="85" t="n">
        <x:v>4179880.183487366</x:v>
      </x:c>
      <x:c r="H68" s="85" t="n">
        <x:v>10523149.120023647</x:v>
      </x:c>
      <x:c r="I68" s="85" t="n">
        <x:v>22289796.201209586</x:v>
      </x:c>
      <x:c r="J68" s="85" t="n">
        <x:v>16723200.000000002</x:v>
      </x:c>
      <x:c r="K68" s="85" t="n">
        <x:v>0</x:v>
      </x:c>
      <x:c r="L68" s="28" t="n">
        <x:v>46</x:v>
      </x:c>
      <x:c r="M68" s="28" t="n">
        <x:v>44</x:v>
      </x:c>
      <x:c r="N68" s="28" t="n">
        <x:v>4.656612873077393e-10</x:v>
      </x:c>
      <x:c r="O68" s="28" t="n">
        <x:v>3.725290298461914e-9</x:v>
      </x:c>
      <x:c r="P68" s="28" t="n">
        <x:v>0</x:v>
      </x:c>
      <x:c r="Q68" s="62" t="b">
        <x:v>1</x:v>
      </x:c>
      <x:c r="R68" s="28" t="n">
        <x:v>0</x:v>
      </x:c>
      <x:c r="S68" s="28" t="str">
        <x:v>3c275831f9c48efe</x:v>
      </x:c>
    </x:row>
    <x:row r="69" ht="21" customHeight="1">
      <x:c r="A69" s="60" t="n">
        <x:v>0.6</x:v>
      </x:c>
      <x:c r="B69" s="28" t="str">
        <x:v>front_high</x:v>
      </x:c>
      <x:c r="C69" s="60" t="n">
        <x:v>0.95</x:v>
      </x:c>
      <x:c r="D69" s="60" t="n">
        <x:v>0.9427119459478259</x:v>
      </x:c>
      <x:c r="E69" s="62" t="b">
        <x:v>0</x:v>
      </x:c>
      <x:c r="F69" s="62" t="b">
        <x:v>0</x:v>
      </x:c>
      <x:c r="G69" s="85" t="n">
        <x:v>5348452.294469467</x:v>
      </x:c>
      <x:c r="H69" s="85" t="n">
        <x:v>12040565.751053793</x:v>
      </x:c>
      <x:c r="I69" s="85" t="n">
        <x:v>22307521.464351367</x:v>
      </x:c>
      <x:c r="J69" s="85" t="n">
        <x:v>16723200.000000002</x:v>
      </x:c>
      <x:c r="K69" s="85" t="n">
        <x:v>0</x:v>
      </x:c>
      <x:c r="L69" s="28" t="n">
        <x:v>46</x:v>
      </x:c>
      <x:c r="M69" s="28" t="n">
        <x:v>44</x:v>
      </x:c>
      <x:c r="N69" s="28" t="n">
        <x:v>2.3283064365386963e-10</x:v>
      </x:c>
      <x:c r="O69" s="28" t="n">
        <x:v>1.862645149230957e-9</x:v>
      </x:c>
      <x:c r="P69" s="28" t="n">
        <x:v>0</x:v>
      </x:c>
      <x:c r="Q69" s="62" t="b">
        <x:v>1</x:v>
      </x:c>
      <x:c r="R69" s="28" t="n">
        <x:v>406265.28508438915</x:v>
      </x:c>
      <x:c r="S69" s="28" t="str">
        <x:v>0307597437c7c56d</x:v>
      </x:c>
    </x:row>
    <x:row r="70" ht="21" customHeight="1">
      <x:c r="A70" s="60" t="n">
        <x:v>0.6</x:v>
      </x:c>
      <x:c r="B70" s="28" t="str">
        <x:v>front_high</x:v>
      </x:c>
      <x:c r="C70" s="60" t="n">
        <x:v>1</x:v>
      </x:c>
      <x:c r="D70" s="60" t="n">
        <x:v>0.9596721012870685</x:v>
      </x:c>
      <x:c r="E70" s="62" t="b">
        <x:v>0</x:v>
      </x:c>
      <x:c r="F70" s="62" t="b">
        <x:v>0</x:v>
      </x:c>
      <x:c r="G70" s="85" t="n">
        <x:v>6059101.144041862</x:v>
      </x:c>
      <x:c r="H70" s="85" t="n">
        <x:v>13027104.071383262</x:v>
      </x:c>
      <x:c r="I70" s="85" t="n">
        <x:v>22325246.72749315</x:v>
      </x:c>
      <x:c r="J70" s="85" t="n">
        <x:v>16723200.000000002</x:v>
      </x:c>
      <x:c r="K70" s="85" t="n">
        <x:v>0</x:v>
      </x:c>
      <x:c r="L70" s="28" t="n">
        <x:v>46</x:v>
      </x:c>
      <x:c r="M70" s="28" t="n">
        <x:v>45</x:v>
      </x:c>
      <x:c r="N70" s="28" t="n">
        <x:v>2.3283064365386963e-10</x:v>
      </x:c>
      <x:c r="O70" s="28" t="n">
        <x:v>1.862645149230957e-9</x:v>
      </x:c>
      <x:c r="P70" s="28" t="n">
        <x:v>0</x:v>
      </x:c>
      <x:c r="Q70" s="62" t="b">
        <x:v>1</x:v>
      </x:c>
      <x:c r="R70" s="28" t="n">
        <x:v>2248038.3858536556</x:v>
      </x:c>
      <x:c r="S70" s="28" t="str">
        <x:v>1fb3b001554b8c48</x:v>
      </x:c>
    </x:row>
    <x:row r="71" ht="21" customHeight="1">
      <x:c r="A71" s="60" t="n">
        <x:v>0.6</x:v>
      </x:c>
      <x:c r="B71" s="28" t="str">
        <x:v>middle_flat</x:v>
      </x:c>
      <x:c r="C71" s="60" t="n">
        <x:v>0</x:v>
      </x:c>
      <x:c r="D71" s="60" t="n">
        <x:v>0</x:v>
      </x:c>
      <x:c r="E71" s="62" t="b">
        <x:v>1</x:v>
      </x:c>
      <x:c r="F71" s="62" t="b">
        <x:v>1</x:v>
      </x:c>
      <x:c r="G71" s="85" t="n">
        <x:v>0</x:v>
      </x:c>
      <x:c r="H71" s="85" t="n">
        <x:v>0</x:v>
      </x:c>
      <x:c r="I71" s="85" t="n">
        <x:v>0</x:v>
      </x:c>
      <x:c r="J71" s="85" t="n">
        <x:v>0</x:v>
      </x:c>
      <x:c r="K71" s="85" t="n">
        <x:v>5516516.670684932</x:v>
      </x:c>
      <x:c r="L71" s="28" t="n">
        <x:v>0</x:v>
      </x:c>
      <x:c r="M71" s="28" t="n">
        <x:v>0</x:v>
      </x:c>
      <x:c r="N71" s="28" t="n">
        <x:v>9.313225746154785e-10</x:v>
      </x:c>
      <x:c r="O71" s="28" t="n">
        <x:v>0</x:v>
      </x:c>
      <x:c r="P71" s="28" t="n">
        <x:v>0</x:v>
      </x:c>
      <x:c r="Q71" s="62" t="b">
        <x:v>1</x:v>
      </x:c>
      <x:c r="R71" s="28" t="n">
        <x:v>0</x:v>
      </x:c>
      <x:c r="S71" s="28" t="str">
        <x:v>225399cc3cab1106</x:v>
      </x:c>
    </x:row>
    <x:row r="72" ht="21" customHeight="1">
      <x:c r="A72" s="60" t="n">
        <x:v>0.6</x:v>
      </x:c>
      <x:c r="B72" s="28" t="str">
        <x:v>middle_flat</x:v>
      </x:c>
      <x:c r="C72" s="60" t="n">
        <x:v>0.05</x:v>
      </x:c>
      <x:c r="D72" s="60" t="n">
        <x:v>0.05</x:v>
      </x:c>
      <x:c r="E72" s="62" t="b">
        <x:v>1</x:v>
      </x:c>
      <x:c r="F72" s="62" t="b">
        <x:v>1</x:v>
      </x:c>
      <x:c r="G72" s="85" t="n">
        <x:v>0</x:v>
      </x:c>
      <x:c r="H72" s="85" t="n">
        <x:v>0</x:v>
      </x:c>
      <x:c r="I72" s="85" t="n">
        <x:v>0</x:v>
      </x:c>
      <x:c r="J72" s="85" t="n">
        <x:v>0</x:v>
      </x:c>
      <x:c r="K72" s="85" t="n">
        <x:v>3278069.4324444504</x:v>
      </x:c>
      <x:c r="L72" s="28" t="n">
        <x:v>0</x:v>
      </x:c>
      <x:c r="M72" s="28" t="n">
        <x:v>0</x:v>
      </x:c>
      <x:c r="N72" s="28" t="n">
        <x:v>9.313225746154785e-10</x:v>
      </x:c>
      <x:c r="O72" s="28" t="n">
        <x:v>7.450580596923828e-9</x:v>
      </x:c>
      <x:c r="P72" s="28" t="n">
        <x:v>0</x:v>
      </x:c>
      <x:c r="Q72" s="62" t="b">
        <x:v>1</x:v>
      </x:c>
      <x:c r="R72" s="28" t="n">
        <x:v>0</x:v>
      </x:c>
      <x:c r="S72" s="28" t="str">
        <x:v>cb29c08ded5f578f</x:v>
      </x:c>
    </x:row>
    <x:row r="73" ht="21" customHeight="1">
      <x:c r="A73" s="60" t="n">
        <x:v>0.6</x:v>
      </x:c>
      <x:c r="B73" s="28" t="str">
        <x:v>middle_flat</x:v>
      </x:c>
      <x:c r="C73" s="60" t="n">
        <x:v>0.1</x:v>
      </x:c>
      <x:c r="D73" s="60" t="n">
        <x:v>0.1</x:v>
      </x:c>
      <x:c r="E73" s="62" t="b">
        <x:v>1</x:v>
      </x:c>
      <x:c r="F73" s="62" t="b">
        <x:v>1</x:v>
      </x:c>
      <x:c r="G73" s="85" t="n">
        <x:v>0</x:v>
      </x:c>
      <x:c r="H73" s="85" t="n">
        <x:v>0</x:v>
      </x:c>
      <x:c r="I73" s="85" t="n">
        <x:v>0</x:v>
      </x:c>
      <x:c r="J73" s="85" t="n">
        <x:v>0</x:v>
      </x:c>
      <x:c r="K73" s="85" t="n">
        <x:v>1039316.117625627</x:v>
      </x:c>
      <x:c r="L73" s="28" t="n">
        <x:v>0</x:v>
      </x:c>
      <x:c r="M73" s="28" t="n">
        <x:v>0</x:v>
      </x:c>
      <x:c r="N73" s="28" t="n">
        <x:v>9.313225746154785e-10</x:v>
      </x:c>
      <x:c r="O73" s="28" t="n">
        <x:v>7.450580596923828e-9</x:v>
      </x:c>
      <x:c r="P73" s="28" t="n">
        <x:v>0</x:v>
      </x:c>
      <x:c r="Q73" s="62" t="b">
        <x:v>1</x:v>
      </x:c>
      <x:c r="R73" s="28" t="n">
        <x:v>0</x:v>
      </x:c>
      <x:c r="S73" s="28" t="str">
        <x:v>06fa84569c10703c</x:v>
      </x:c>
    </x:row>
    <x:row r="74" ht="21" customHeight="1">
      <x:c r="A74" s="60" t="n">
        <x:v>0.6</x:v>
      </x:c>
      <x:c r="B74" s="28" t="str">
        <x:v>middle_flat</x:v>
      </x:c>
      <x:c r="C74" s="60" t="n">
        <x:v>0.15</x:v>
      </x:c>
      <x:c r="D74" s="60" t="n">
        <x:v>0.15</x:v>
      </x:c>
      <x:c r="E74" s="62" t="b">
        <x:v>1</x:v>
      </x:c>
      <x:c r="F74" s="62" t="b">
        <x:v>1</x:v>
      </x:c>
      <x:c r="G74" s="85" t="n">
        <x:v>0</x:v>
      </x:c>
      <x:c r="H74" s="85" t="n">
        <x:v>0</x:v>
      </x:c>
      <x:c r="I74" s="85" t="n">
        <x:v>1079642.7672168466</x:v>
      </x:c>
      <x:c r="J74" s="85" t="n">
        <x:v>0</x:v>
      </x:c>
      <x:c r="K74" s="85" t="n">
        <x:v>62688.933205479625</x:v>
      </x:c>
      <x:c r="L74" s="28" t="n">
        <x:v>0</x:v>
      </x:c>
      <x:c r="M74" s="28" t="n">
        <x:v>0</x:v>
      </x:c>
      <x:c r="N74" s="28" t="n">
        <x:v>4.656612873077393e-10</x:v>
      </x:c>
      <x:c r="O74" s="28" t="n">
        <x:v>7.450580596923828e-9</x:v>
      </x:c>
      <x:c r="P74" s="28" t="n">
        <x:v>0</x:v>
      </x:c>
      <x:c r="Q74" s="62" t="b">
        <x:v>1</x:v>
      </x:c>
      <x:c r="R74" s="28" t="n">
        <x:v>0</x:v>
      </x:c>
      <x:c r="S74" s="28" t="str">
        <x:v>9778831da94f8763</x:v>
      </x:c>
    </x:row>
    <x:row r="75" ht="21" customHeight="1">
      <x:c r="A75" s="60" t="n">
        <x:v>0.6</x:v>
      </x:c>
      <x:c r="B75" s="28" t="str">
        <x:v>middle_flat</x:v>
      </x:c>
      <x:c r="C75" s="60" t="n">
        <x:v>0.2</x:v>
      </x:c>
      <x:c r="D75" s="60" t="n">
        <x:v>0.2</x:v>
      </x:c>
      <x:c r="E75" s="62" t="b">
        <x:v>1</x:v>
      </x:c>
      <x:c r="F75" s="62" t="b">
        <x:v>1</x:v>
      </x:c>
      <x:c r="G75" s="85" t="n">
        <x:v>0</x:v>
      </x:c>
      <x:c r="H75" s="85" t="n">
        <x:v>0</x:v>
      </x:c>
      <x:c r="I75" s="85" t="n">
        <x:v>2613581.3786383774</x:v>
      </x:c>
      <x:c r="J75" s="85" t="n">
        <x:v>1253157.2790409282</x:v>
      </x:c>
      <x:c r="K75" s="85" t="n">
        <x:v>47031.44427397282</x:v>
      </x:c>
      <x:c r="L75" s="28" t="n">
        <x:v>0</x:v>
      </x:c>
      <x:c r="M75" s="28" t="n">
        <x:v>0</x:v>
      </x:c>
      <x:c r="N75" s="28" t="n">
        <x:v>2.3283064365386963e-10</x:v>
      </x:c>
      <x:c r="O75" s="28" t="n">
        <x:v>7.450580596923828e-9</x:v>
      </x:c>
      <x:c r="P75" s="28" t="n">
        <x:v>0</x:v>
      </x:c>
      <x:c r="Q75" s="62" t="b">
        <x:v>1</x:v>
      </x:c>
      <x:c r="R75" s="28" t="n">
        <x:v>0</x:v>
      </x:c>
      <x:c r="S75" s="28" t="str">
        <x:v>eeedd37c2b336220</x:v>
      </x:c>
    </x:row>
    <x:row r="76" ht="21" customHeight="1">
      <x:c r="A76" s="60" t="n">
        <x:v>0.6</x:v>
      </x:c>
      <x:c r="B76" s="28" t="str">
        <x:v>middle_flat</x:v>
      </x:c>
      <x:c r="C76" s="60" t="n">
        <x:v>0.25</x:v>
      </x:c>
      <x:c r="D76" s="60" t="n">
        <x:v>0.25</x:v>
      </x:c>
      <x:c r="E76" s="62" t="b">
        <x:v>1</x:v>
      </x:c>
      <x:c r="F76" s="62" t="b">
        <x:v>1</x:v>
      </x:c>
      <x:c r="G76" s="85" t="n">
        <x:v>0</x:v>
      </x:c>
      <x:c r="H76" s="85" t="n">
        <x:v>0</x:v>
      </x:c>
      <x:c r="I76" s="85" t="n">
        <x:v>3838299.905525328</x:v>
      </x:c>
      <x:c r="J76" s="85" t="n">
        <x:v>2960046.598801156</x:v>
      </x:c>
      <x:c r="K76" s="85" t="n">
        <x:v>31373.955342465666</x:v>
      </x:c>
      <x:c r="L76" s="28" t="n">
        <x:v>0</x:v>
      </x:c>
      <x:c r="M76" s="28" t="n">
        <x:v>0</x:v>
      </x:c>
      <x:c r="N76" s="28" t="n">
        <x:v>2.3283064365386963e-10</x:v>
      </x:c>
      <x:c r="O76" s="28" t="n">
        <x:v>7.450580596923828e-9</x:v>
      </x:c>
      <x:c r="P76" s="28" t="n">
        <x:v>0</x:v>
      </x:c>
      <x:c r="Q76" s="62" t="b">
        <x:v>1</x:v>
      </x:c>
      <x:c r="R76" s="28" t="n">
        <x:v>0</x:v>
      </x:c>
      <x:c r="S76" s="28" t="str">
        <x:v>c46497d6fd3474fe</x:v>
      </x:c>
    </x:row>
    <x:row r="77" ht="21" customHeight="1">
      <x:c r="A77" s="60" t="n">
        <x:v>0.6</x:v>
      </x:c>
      <x:c r="B77" s="28" t="str">
        <x:v>middle_flat</x:v>
      </x:c>
      <x:c r="C77" s="60" t="n">
        <x:v>0.3</x:v>
      </x:c>
      <x:c r="D77" s="60" t="n">
        <x:v>0.3</x:v>
      </x:c>
      <x:c r="E77" s="62" t="b">
        <x:v>1</x:v>
      </x:c>
      <x:c r="F77" s="62" t="b">
        <x:v>1</x:v>
      </x:c>
      <x:c r="G77" s="85" t="n">
        <x:v>0</x:v>
      </x:c>
      <x:c r="H77" s="85" t="n">
        <x:v>0</x:v>
      </x:c>
      <x:c r="I77" s="85" t="n">
        <x:v>5072936.159472525</x:v>
      </x:c>
      <x:c r="J77" s="85" t="n">
        <x:v>4666935.918561379</x:v>
      </x:c>
      <x:c r="K77" s="85" t="n">
        <x:v>25784.432219178303</x:v>
      </x:c>
      <x:c r="L77" s="28" t="n">
        <x:v>0</x:v>
      </x:c>
      <x:c r="M77" s="28" t="n">
        <x:v>0</x:v>
      </x:c>
      <x:c r="N77" s="28" t="n">
        <x:v>4.656612873077393e-10</x:v>
      </x:c>
      <x:c r="O77" s="28" t="n">
        <x:v>7.450580596923828e-9</x:v>
      </x:c>
      <x:c r="P77" s="28" t="n">
        <x:v>0</x:v>
      </x:c>
      <x:c r="Q77" s="62" t="b">
        <x:v>1</x:v>
      </x:c>
      <x:c r="R77" s="28" t="n">
        <x:v>0</x:v>
      </x:c>
      <x:c r="S77" s="28" t="str">
        <x:v>8ba10ad457398024</x:v>
      </x:c>
    </x:row>
    <x:row r="78" ht="21" customHeight="1">
      <x:c r="A78" s="60" t="n">
        <x:v>0.6</x:v>
      </x:c>
      <x:c r="B78" s="28" t="str">
        <x:v>middle_flat</x:v>
      </x:c>
      <x:c r="C78" s="60" t="n">
        <x:v>0.35</x:v>
      </x:c>
      <x:c r="D78" s="60" t="n">
        <x:v>0.35</x:v>
      </x:c>
      <x:c r="E78" s="62" t="b">
        <x:v>1</x:v>
      </x:c>
      <x:c r="F78" s="62" t="b">
        <x:v>1</x:v>
      </x:c>
      <x:c r="G78" s="85" t="n">
        <x:v>0</x:v>
      </x:c>
      <x:c r="H78" s="85" t="n">
        <x:v>0</x:v>
      </x:c>
      <x:c r="I78" s="85" t="n">
        <x:v>6310069.61107411</x:v>
      </x:c>
      <x:c r="J78" s="85" t="n">
        <x:v>6373825.238321613</x:v>
      </x:c>
      <x:c r="K78" s="85" t="n">
        <x:v>21018.498136986105</x:v>
      </x:c>
      <x:c r="L78" s="28" t="n">
        <x:v>0</x:v>
      </x:c>
      <x:c r="M78" s="28" t="n">
        <x:v>0</x:v>
      </x:c>
      <x:c r="N78" s="28" t="n">
        <x:v>9.313225746154785e-10</x:v>
      </x:c>
      <x:c r="O78" s="28" t="n">
        <x:v>7.450580596923828e-9</x:v>
      </x:c>
      <x:c r="P78" s="28" t="n">
        <x:v>0</x:v>
      </x:c>
      <x:c r="Q78" s="62" t="b">
        <x:v>1</x:v>
      </x:c>
      <x:c r="R78" s="28" t="n">
        <x:v>0</x:v>
      </x:c>
      <x:c r="S78" s="28" t="str">
        <x:v>f8f0f9eb045d5fab</x:v>
      </x:c>
    </x:row>
    <x:row r="79" ht="21" customHeight="1">
      <x:c r="A79" s="60" t="n">
        <x:v>0.6</x:v>
      </x:c>
      <x:c r="B79" s="28" t="str">
        <x:v>middle_flat</x:v>
      </x:c>
      <x:c r="C79" s="60" t="n">
        <x:v>0.4</x:v>
      </x:c>
      <x:c r="D79" s="60" t="n">
        <x:v>0.4</x:v>
      </x:c>
      <x:c r="E79" s="62" t="b">
        <x:v>1</x:v>
      </x:c>
      <x:c r="F79" s="62" t="b">
        <x:v>1</x:v>
      </x:c>
      <x:c r="G79" s="85" t="n">
        <x:v>0</x:v>
      </x:c>
      <x:c r="H79" s="85" t="n">
        <x:v>0</x:v>
      </x:c>
      <x:c r="I79" s="85" t="n">
        <x:v>7547203.062675701</x:v>
      </x:c>
      <x:c r="J79" s="85" t="n">
        <x:v>8080714.558081838</x:v>
      </x:c>
      <x:c r="K79" s="85" t="n">
        <x:v>16252.564054794613</x:v>
      </x:c>
      <x:c r="L79" s="28" t="n">
        <x:v>0</x:v>
      </x:c>
      <x:c r="M79" s="28" t="n">
        <x:v>0</x:v>
      </x:c>
      <x:c r="N79" s="28" t="n">
        <x:v>4.656612873077393e-10</x:v>
      </x:c>
      <x:c r="O79" s="28" t="n">
        <x:v>3.725290298461914e-9</x:v>
      </x:c>
      <x:c r="P79" s="28" t="n">
        <x:v>0</x:v>
      </x:c>
      <x:c r="Q79" s="62" t="b">
        <x:v>1</x:v>
      </x:c>
      <x:c r="R79" s="28" t="n">
        <x:v>0</x:v>
      </x:c>
      <x:c r="S79" s="28" t="str">
        <x:v>a7f936ec3ca99fb1</x:v>
      </x:c>
    </x:row>
    <x:row r="80" ht="21" customHeight="1">
      <x:c r="A80" s="60" t="n">
        <x:v>0.6</x:v>
      </x:c>
      <x:c r="B80" s="28" t="str">
        <x:v>middle_flat</x:v>
      </x:c>
      <x:c r="C80" s="60" t="n">
        <x:v>0.45</x:v>
      </x:c>
      <x:c r="D80" s="60" t="n">
        <x:v>0.45</x:v>
      </x:c>
      <x:c r="E80" s="62" t="b">
        <x:v>1</x:v>
      </x:c>
      <x:c r="F80" s="62" t="b">
        <x:v>1</x:v>
      </x:c>
      <x:c r="G80" s="85" t="n">
        <x:v>0</x:v>
      </x:c>
      <x:c r="H80" s="85" t="n">
        <x:v>0</x:v>
      </x:c>
      <x:c r="I80" s="85" t="n">
        <x:v>8783602.35824962</x:v>
      </x:c>
      <x:c r="J80" s="85" t="n">
        <x:v>9787603.877842072</x:v>
      </x:c>
      <x:c r="K80" s="85" t="n">
        <x:v>11486.629972602885</x:v>
      </x:c>
      <x:c r="L80" s="28" t="n">
        <x:v>0</x:v>
      </x:c>
      <x:c r="M80" s="28" t="n">
        <x:v>0</x:v>
      </x:c>
      <x:c r="N80" s="28" t="n">
        <x:v>9.313225746154785e-10</x:v>
      </x:c>
      <x:c r="O80" s="28" t="n">
        <x:v>1.862645149230957e-9</x:v>
      </x:c>
      <x:c r="P80" s="28" t="n">
        <x:v>0</x:v>
      </x:c>
      <x:c r="Q80" s="62" t="b">
        <x:v>1</x:v>
      </x:c>
      <x:c r="R80" s="28" t="n">
        <x:v>0</x:v>
      </x:c>
      <x:c r="S80" s="28" t="str">
        <x:v>fa4d173699f3a2d9</x:v>
      </x:c>
    </x:row>
    <x:row r="81" ht="21" customHeight="1">
      <x:c r="A81" s="60" t="n">
        <x:v>0.6</x:v>
      </x:c>
      <x:c r="B81" s="28" t="str">
        <x:v>middle_flat</x:v>
      </x:c>
      <x:c r="C81" s="60" t="n">
        <x:v>0.5</x:v>
      </x:c>
      <x:c r="D81" s="60" t="n">
        <x:v>0.5</x:v>
      </x:c>
      <x:c r="E81" s="62" t="b">
        <x:v>1</x:v>
      </x:c>
      <x:c r="F81" s="62" t="b">
        <x:v>1</x:v>
      </x:c>
      <x:c r="G81" s="85" t="n">
        <x:v>0</x:v>
      </x:c>
      <x:c r="H81" s="85" t="n">
        <x:v>0</x:v>
      </x:c>
      <x:c r="I81" s="85" t="n">
        <x:v>10072243.973821608</x:v>
      </x:c>
      <x:c r="J81" s="85" t="n">
        <x:v>11376263.285574682</x:v>
      </x:c>
      <x:c r="K81" s="85" t="n">
        <x:v>6720.695890411393</x:v>
      </x:c>
      <x:c r="L81" s="28" t="n">
        <x:v>1</x:v>
      </x:c>
      <x:c r="M81" s="28" t="n">
        <x:v>0</x:v>
      </x:c>
      <x:c r="N81" s="28" t="n">
        <x:v>4.656612873077393e-10</x:v>
      </x:c>
      <x:c r="O81" s="28" t="n">
        <x:v>7.450580596923828e-9</x:v>
      </x:c>
      <x:c r="P81" s="28" t="n">
        <x:v>0</x:v>
      </x:c>
      <x:c r="Q81" s="62" t="b">
        <x:v>1</x:v>
      </x:c>
      <x:c r="R81" s="28" t="n">
        <x:v>0</x:v>
      </x:c>
      <x:c r="S81" s="28" t="str">
        <x:v>bf2fbdba2b664323</x:v>
      </x:c>
    </x:row>
    <x:row r="82" ht="21" customHeight="1">
      <x:c r="A82" s="60" t="n">
        <x:v>0.6</x:v>
      </x:c>
      <x:c r="B82" s="28" t="str">
        <x:v>middle_flat</x:v>
      </x:c>
      <x:c r="C82" s="60" t="n">
        <x:v>0.55</x:v>
      </x:c>
      <x:c r="D82" s="60" t="n">
        <x:v>0.55</x:v>
      </x:c>
      <x:c r="E82" s="62" t="b">
        <x:v>1</x:v>
      </x:c>
      <x:c r="F82" s="62" t="b">
        <x:v>1</x:v>
      </x:c>
      <x:c r="G82" s="85" t="n">
        <x:v>0</x:v>
      </x:c>
      <x:c r="H82" s="85" t="n">
        <x:v>0</x:v>
      </x:c>
      <x:c r="I82" s="85" t="n">
        <x:v>11562859.606471691</x:v>
      </x:c>
      <x:c r="J82" s="85" t="n">
        <x:v>12480895.760274185</x:v>
      </x:c>
      <x:c r="K82" s="85" t="n">
        <x:v>2326.226301369934</x:v>
      </x:c>
      <x:c r="L82" s="28" t="n">
        <x:v>8</x:v>
      </x:c>
      <x:c r="M82" s="28" t="n">
        <x:v>0</x:v>
      </x:c>
      <x:c r="N82" s="28" t="n">
        <x:v>4.656612873077393e-10</x:v>
      </x:c>
      <x:c r="O82" s="28" t="n">
        <x:v>7.450580596923828e-9</x:v>
      </x:c>
      <x:c r="P82" s="28" t="n">
        <x:v>0</x:v>
      </x:c>
      <x:c r="Q82" s="62" t="b">
        <x:v>1</x:v>
      </x:c>
      <x:c r="R82" s="28" t="n">
        <x:v>0</x:v>
      </x:c>
      <x:c r="S82" s="28" t="str">
        <x:v>c70141bbdfd31b2f</x:v>
      </x:c>
    </x:row>
    <x:row r="83" ht="21" customHeight="1">
      <x:c r="A83" s="60" t="n">
        <x:v>0.6</x:v>
      </x:c>
      <x:c r="B83" s="28" t="str">
        <x:v>middle_flat</x:v>
      </x:c>
      <x:c r="C83" s="60" t="n">
        <x:v>0.6</x:v>
      </x:c>
      <x:c r="D83" s="60" t="n">
        <x:v>0.6</x:v>
      </x:c>
      <x:c r="E83" s="62" t="b">
        <x:v>1</x:v>
      </x:c>
      <x:c r="F83" s="62" t="b">
        <x:v>1</x:v>
      </x:c>
      <x:c r="G83" s="85" t="n">
        <x:v>0</x:v>
      </x:c>
      <x:c r="H83" s="85" t="n">
        <x:v>0</x:v>
      </x:c>
      <x:c r="I83" s="85" t="n">
        <x:v>12859865.073716162</x:v>
      </x:c>
      <x:c r="J83" s="85" t="n">
        <x:v>13985388.901503788</x:v>
      </x:c>
      <x:c r="K83" s="85" t="n">
        <x:v>722.0909589039875</x:v>
      </x:c>
      <x:c r="L83" s="28" t="n">
        <x:v>12</x:v>
      </x:c>
      <x:c r="M83" s="28" t="n">
        <x:v>0</x:v>
      </x:c>
      <x:c r="N83" s="28" t="n">
        <x:v>4.656612873077393e-10</x:v>
      </x:c>
      <x:c r="O83" s="28" t="n">
        <x:v>3.725290298461914e-9</x:v>
      </x:c>
      <x:c r="P83" s="28" t="n">
        <x:v>0</x:v>
      </x:c>
      <x:c r="Q83" s="62" t="b">
        <x:v>1</x:v>
      </x:c>
      <x:c r="R83" s="28" t="n">
        <x:v>0</x:v>
      </x:c>
      <x:c r="S83" s="28" t="str">
        <x:v>0a54305c4b60608f</x:v>
      </x:c>
    </x:row>
    <x:row r="84" ht="21" customHeight="1">
      <x:c r="A84" s="60" t="n">
        <x:v>0.6</x:v>
      </x:c>
      <x:c r="B84" s="28" t="str">
        <x:v>middle_flat</x:v>
      </x:c>
      <x:c r="C84" s="60" t="n">
        <x:v>0.65</x:v>
      </x:c>
      <x:c r="D84" s="60" t="n">
        <x:v>0.65</x:v>
      </x:c>
      <x:c r="E84" s="62" t="b">
        <x:v>1</x:v>
      </x:c>
      <x:c r="F84" s="62" t="b">
        <x:v>1</x:v>
      </x:c>
      <x:c r="G84" s="85" t="n">
        <x:v>0</x:v>
      </x:c>
      <x:c r="H84" s="85" t="n">
        <x:v>0</x:v>
      </x:c>
      <x:c r="I84" s="85" t="n">
        <x:v>14041759.940425215</x:v>
      </x:c>
      <x:c r="J84" s="85" t="n">
        <x:v>15744082.939416176</x:v>
      </x:c>
      <x:c r="K84" s="85" t="n">
        <x:v>0</x:v>
      </x:c>
      <x:c r="L84" s="28" t="n">
        <x:v>16</x:v>
      </x:c>
      <x:c r="M84" s="28" t="n">
        <x:v>6</x:v>
      </x:c>
      <x:c r="N84" s="28" t="n">
        <x:v>4.656612873077393e-10</x:v>
      </x:c>
      <x:c r="O84" s="28" t="n">
        <x:v>1.862645149230957e-9</x:v>
      </x:c>
      <x:c r="P84" s="28" t="n">
        <x:v>0</x:v>
      </x:c>
      <x:c r="Q84" s="62" t="b">
        <x:v>1</x:v>
      </x:c>
      <x:c r="R84" s="28" t="n">
        <x:v>0</x:v>
      </x:c>
      <x:c r="S84" s="28" t="str">
        <x:v>40d64ff77f1693e1</x:v>
      </x:c>
    </x:row>
    <x:row r="85" ht="21" customHeight="1">
      <x:c r="A85" s="60" t="n">
        <x:v>0.6</x:v>
      </x:c>
      <x:c r="B85" s="28" t="str">
        <x:v>middle_flat</x:v>
      </x:c>
      <x:c r="C85" s="60" t="n">
        <x:v>0.7</x:v>
      </x:c>
      <x:c r="D85" s="60" t="n">
        <x:v>0.7</x:v>
      </x:c>
      <x:c r="E85" s="62" t="b">
        <x:v>1</x:v>
      </x:c>
      <x:c r="F85" s="62" t="b">
        <x:v>0</x:v>
      </x:c>
      <x:c r="G85" s="85" t="n">
        <x:v>231168.11249991544</x:v>
      </x:c>
      <x:c r="H85" s="85" t="n">
        <x:v>1240543.7883917121</x:v>
      </x:c>
      <x:c r="I85" s="85" t="n">
        <x:v>14548655.394004438</x:v>
      </x:c>
      <x:c r="J85" s="85" t="n">
        <x:v>16723200.000000002</x:v>
      </x:c>
      <x:c r="K85" s="85" t="n">
        <x:v>0</x:v>
      </x:c>
      <x:c r="L85" s="28" t="n">
        <x:v>39</x:v>
      </x:c>
      <x:c r="M85" s="28" t="n">
        <x:v>34</x:v>
      </x:c>
      <x:c r="N85" s="28" t="n">
        <x:v>4.656612873077393e-10</x:v>
      </x:c>
      <x:c r="O85" s="28" t="n">
        <x:v>3.725290298461914e-9</x:v>
      </x:c>
      <x:c r="P85" s="28" t="n">
        <x:v>0</x:v>
      </x:c>
      <x:c r="Q85" s="62" t="b">
        <x:v>1</x:v>
      </x:c>
      <x:c r="R85" s="28" t="n">
        <x:v>0</x:v>
      </x:c>
      <x:c r="S85" s="28" t="str">
        <x:v>27a2c8857366e991</x:v>
      </x:c>
    </x:row>
    <x:row r="86" ht="21" customHeight="1">
      <x:c r="A86" s="60" t="n">
        <x:v>0.6</x:v>
      </x:c>
      <x:c r="B86" s="28" t="str">
        <x:v>middle_flat</x:v>
      </x:c>
      <x:c r="C86" s="60" t="n">
        <x:v>0.75</x:v>
      </x:c>
      <x:c r="D86" s="60" t="n">
        <x:v>0.75</x:v>
      </x:c>
      <x:c r="E86" s="62" t="b">
        <x:v>1</x:v>
      </x:c>
      <x:c r="F86" s="62" t="b">
        <x:v>0</x:v>
      </x:c>
      <x:c r="G86" s="85" t="n">
        <x:v>650926.7024579331</x:v>
      </x:c>
      <x:c r="H86" s="85" t="n">
        <x:v>3360079.9372687554</x:v>
      </x:c>
      <x:c r="I86" s="85" t="n">
        <x:v>14769635.539603973</x:v>
      </x:c>
      <x:c r="J86" s="85" t="n">
        <x:v>16723200.000000002</x:v>
      </x:c>
      <x:c r="K86" s="85" t="n">
        <x:v>0</x:v>
      </x:c>
      <x:c r="L86" s="28" t="n">
        <x:v>40</x:v>
      </x:c>
      <x:c r="M86" s="28" t="n">
        <x:v>36</x:v>
      </x:c>
      <x:c r="N86" s="28" t="n">
        <x:v>4.656612873077393e-10</x:v>
      </x:c>
      <x:c r="O86" s="28" t="n">
        <x:v>3.725290298461914e-9</x:v>
      </x:c>
      <x:c r="P86" s="28" t="n">
        <x:v>0</x:v>
      </x:c>
      <x:c r="Q86" s="62" t="b">
        <x:v>1</x:v>
      </x:c>
      <x:c r="R86" s="28" t="n">
        <x:v>0</x:v>
      </x:c>
      <x:c r="S86" s="28" t="str">
        <x:v>690f882f577a1122</x:v>
      </x:c>
    </x:row>
    <x:row r="87" ht="21" customHeight="1">
      <x:c r="A87" s="60" t="n">
        <x:v>0.6</x:v>
      </x:c>
      <x:c r="B87" s="28" t="str">
        <x:v>middle_flat</x:v>
      </x:c>
      <x:c r="C87" s="60" t="n">
        <x:v>0.8</x:v>
      </x:c>
      <x:c r="D87" s="60" t="n">
        <x:v>0.8</x:v>
      </x:c>
      <x:c r="E87" s="62" t="b">
        <x:v>1</x:v>
      </x:c>
      <x:c r="F87" s="62" t="b">
        <x:v>0</x:v>
      </x:c>
      <x:c r="G87" s="85" t="n">
        <x:v>1055706.9113047088</x:v>
      </x:c>
      <x:c r="H87" s="85" t="n">
        <x:v>5346718.810824942</x:v>
      </x:c>
      <x:c r="I87" s="85" t="n">
        <x:v>15015497.956065752</x:v>
      </x:c>
      <x:c r="J87" s="85" t="n">
        <x:v>16723200.000000002</x:v>
      </x:c>
      <x:c r="K87" s="85" t="n">
        <x:v>0</x:v>
      </x:c>
      <x:c r="L87" s="28" t="n">
        <x:v>41</x:v>
      </x:c>
      <x:c r="M87" s="28" t="n">
        <x:v>36</x:v>
      </x:c>
      <x:c r="N87" s="28" t="n">
        <x:v>4.656612873077393e-10</x:v>
      </x:c>
      <x:c r="O87" s="28" t="n">
        <x:v>1.862645149230957e-9</x:v>
      </x:c>
      <x:c r="P87" s="28" t="n">
        <x:v>0</x:v>
      </x:c>
      <x:c r="Q87" s="62" t="b">
        <x:v>1</x:v>
      </x:c>
      <x:c r="R87" s="28" t="n">
        <x:v>0</x:v>
      </x:c>
      <x:c r="S87" s="28" t="str">
        <x:v>fad670d1c4aa4b80</x:v>
      </x:c>
    </x:row>
    <x:row r="88" ht="21" customHeight="1">
      <x:c r="A88" s="60" t="n">
        <x:v>0.6</x:v>
      </x:c>
      <x:c r="B88" s="28" t="str">
        <x:v>middle_flat</x:v>
      </x:c>
      <x:c r="C88" s="60" t="n">
        <x:v>0.85</x:v>
      </x:c>
      <x:c r="D88" s="60" t="n">
        <x:v>0.85</x:v>
      </x:c>
      <x:c r="E88" s="62" t="b">
        <x:v>1</x:v>
      </x:c>
      <x:c r="F88" s="62" t="b">
        <x:v>0</x:v>
      </x:c>
      <x:c r="G88" s="85" t="n">
        <x:v>1600094.575474143</x:v>
      </x:c>
      <x:c r="H88" s="85" t="n">
        <x:v>7482604.964256183</x:v>
      </x:c>
      <x:c r="I88" s="85" t="n">
        <x:v>15057372.862771915</x:v>
      </x:c>
      <x:c r="J88" s="85" t="n">
        <x:v>16723200.000000002</x:v>
      </x:c>
      <x:c r="K88" s="85" t="n">
        <x:v>0</x:v>
      </x:c>
      <x:c r="L88" s="28" t="n">
        <x:v>41</x:v>
      </x:c>
      <x:c r="M88" s="28" t="n">
        <x:v>37</x:v>
      </x:c>
      <x:c r="N88" s="28" t="n">
        <x:v>4.656612873077393e-10</x:v>
      </x:c>
      <x:c r="O88" s="28" t="n">
        <x:v>3.725290298461914e-9</x:v>
      </x:c>
      <x:c r="P88" s="28" t="n">
        <x:v>0</x:v>
      </x:c>
      <x:c r="Q88" s="62" t="b">
        <x:v>1</x:v>
      </x:c>
      <x:c r="R88" s="28" t="n">
        <x:v>0</x:v>
      </x:c>
      <x:c r="S88" s="28" t="str">
        <x:v>2fc85a5dc3f26d24</x:v>
      </x:c>
    </x:row>
    <x:row r="89" ht="21" customHeight="1">
      <x:c r="A89" s="60" t="n">
        <x:v>0.6</x:v>
      </x:c>
      <x:c r="B89" s="28" t="str">
        <x:v>middle_flat</x:v>
      </x:c>
      <x:c r="C89" s="60" t="n">
        <x:v>0.9</x:v>
      </x:c>
      <x:c r="D89" s="60" t="n">
        <x:v>0.9</x:v>
      </x:c>
      <x:c r="E89" s="62" t="b">
        <x:v>1</x:v>
      </x:c>
      <x:c r="F89" s="62" t="b">
        <x:v>0</x:v>
      </x:c>
      <x:c r="G89" s="85" t="n">
        <x:v>2303492.826257253</x:v>
      </x:c>
      <x:c r="H89" s="85" t="n">
        <x:v>9209209.722935367</x:v>
      </x:c>
      <x:c r="I89" s="85" t="n">
        <x:v>15285485.328816822</x:v>
      </x:c>
      <x:c r="J89" s="85" t="n">
        <x:v>16723200.000000002</x:v>
      </x:c>
      <x:c r="K89" s="85" t="n">
        <x:v>0</x:v>
      </x:c>
      <x:c r="L89" s="28" t="n">
        <x:v>42</x:v>
      </x:c>
      <x:c r="M89" s="28" t="n">
        <x:v>38</x:v>
      </x:c>
      <x:c r="N89" s="28" t="n">
        <x:v>2.3283064365386963e-10</x:v>
      </x:c>
      <x:c r="O89" s="28" t="n">
        <x:v>3.725290298461914e-9</x:v>
      </x:c>
      <x:c r="P89" s="28" t="n">
        <x:v>0</x:v>
      </x:c>
      <x:c r="Q89" s="62" t="b">
        <x:v>1</x:v>
      </x:c>
      <x:c r="R89" s="28" t="n">
        <x:v>0</x:v>
      </x:c>
      <x:c r="S89" s="28" t="str">
        <x:v>e3d35523768bc65e</x:v>
      </x:c>
    </x:row>
    <x:row r="90" ht="21" customHeight="1">
      <x:c r="A90" s="60" t="n">
        <x:v>0.6</x:v>
      </x:c>
      <x:c r="B90" s="28" t="str">
        <x:v>middle_flat</x:v>
      </x:c>
      <x:c r="C90" s="60" t="n">
        <x:v>0.95</x:v>
      </x:c>
      <x:c r="D90" s="60" t="n">
        <x:v>0.9270639118581285</x:v>
      </x:c>
      <x:c r="E90" s="62" t="b">
        <x:v>0</x:v>
      </x:c>
      <x:c r="F90" s="62" t="b">
        <x:v>0</x:v>
      </x:c>
      <x:c r="G90" s="85" t="n">
        <x:v>2686453.2051323387</x:v>
      </x:c>
      <x:c r="H90" s="85" t="n">
        <x:v>10171314.674425373</x:v>
      </x:c>
      <x:c r="I90" s="85" t="n">
        <x:v>15318566.481757179</x:v>
      </x:c>
      <x:c r="J90" s="85" t="n">
        <x:v>16723200.000000002</x:v>
      </x:c>
      <x:c r="K90" s="85" t="n">
        <x:v>0</x:v>
      </x:c>
      <x:c r="L90" s="28" t="n">
        <x:v>42</x:v>
      </x:c>
      <x:c r="M90" s="28" t="n">
        <x:v>38</x:v>
      </x:c>
      <x:c r="N90" s="28" t="n">
        <x:v>2.3283064365386963e-10</x:v>
      </x:c>
      <x:c r="O90" s="28" t="n">
        <x:v>3.725290298461914e-9</x:v>
      </x:c>
      <x:c r="P90" s="28" t="n">
        <x:v>0</x:v>
      </x:c>
      <x:c r="Q90" s="62" t="b">
        <x:v>1</x:v>
      </x:c>
      <x:c r="R90" s="28" t="n">
        <x:v>1278549.2973804846</x:v>
      </x:c>
      <x:c r="S90" s="28" t="str">
        <x:v>9c211ace8355a5ca</x:v>
      </x:c>
    </x:row>
    <x:row r="91" ht="21" customHeight="1">
      <x:c r="A91" s="60" t="n">
        <x:v>0.6</x:v>
      </x:c>
      <x:c r="B91" s="28" t="str">
        <x:v>middle_flat</x:v>
      </x:c>
      <x:c r="C91" s="60" t="n">
        <x:v>1</x:v>
      </x:c>
      <x:c r="D91" s="60" t="n">
        <x:v>0.9427455891708479</x:v>
      </x:c>
      <x:c r="E91" s="62" t="b">
        <x:v>0</x:v>
      </x:c>
      <x:c r="F91" s="62" t="b">
        <x:v>0</x:v>
      </x:c>
      <x:c r="G91" s="85" t="n">
        <x:v>2996238.613306595</x:v>
      </x:c>
      <x:c r="H91" s="85" t="n">
        <x:v>10887061.420946395</x:v>
      </x:c>
      <x:c r="I91" s="85" t="n">
        <x:v>15351647.634697534</x:v>
      </x:c>
      <x:c r="J91" s="85" t="n">
        <x:v>16723200.000000002</x:v>
      </x:c>
      <x:c r="K91" s="85" t="n">
        <x:v>0</x:v>
      </x:c>
      <x:c r="L91" s="28" t="n">
        <x:v>42</x:v>
      </x:c>
      <x:c r="M91" s="28" t="n">
        <x:v>39</x:v>
      </x:c>
      <x:c r="N91" s="28" t="n">
        <x:v>2.3283064365386963e-10</x:v>
      </x:c>
      <x:c r="O91" s="28" t="n">
        <x:v>9.313225746154785e-10</x:v>
      </x:c>
      <x:c r="P91" s="28" t="n">
        <x:v>0</x:v>
      </x:c>
      <x:c r="Q91" s="62" t="b">
        <x:v>1</x:v>
      </x:c>
      <x:c r="R91" s="28" t="n">
        <x:v>3191589.877260253</x:v>
      </x:c>
      <x:c r="S91" s="28" t="str">
        <x:v>3d8262767db49b70</x:v>
      </x:c>
    </x:row>
    <x:row r="92" ht="21" customHeight="1">
      <x:c r="A92" s="60" t="n">
        <x:v>0.6</x:v>
      </x:c>
      <x:c r="B92" s="28" t="str">
        <x:v>middle_low</x:v>
      </x:c>
      <x:c r="C92" s="60" t="n">
        <x:v>0</x:v>
      </x:c>
      <x:c r="D92" s="60" t="n">
        <x:v>0</x:v>
      </x:c>
      <x:c r="E92" s="62" t="b">
        <x:v>1</x:v>
      </x:c>
      <x:c r="F92" s="62" t="b">
        <x:v>1</x:v>
      </x:c>
      <x:c r="G92" s="85" t="n">
        <x:v>0</x:v>
      </x:c>
      <x:c r="H92" s="85" t="n">
        <x:v>0</x:v>
      </x:c>
      <x:c r="I92" s="85" t="n">
        <x:v>0</x:v>
      </x:c>
      <x:c r="J92" s="85" t="n">
        <x:v>0</x:v>
      </x:c>
      <x:c r="K92" s="85" t="n">
        <x:v>4748654.561095889</x:v>
      </x:c>
      <x:c r="L92" s="28" t="n">
        <x:v>0</x:v>
      </x:c>
      <x:c r="M92" s="28" t="n">
        <x:v>0</x:v>
      </x:c>
      <x:c r="N92" s="28" t="n">
        <x:v>4.656612873077393e-10</x:v>
      </x:c>
      <x:c r="O92" s="28" t="n">
        <x:v>0</x:v>
      </x:c>
      <x:c r="P92" s="28" t="n">
        <x:v>0</x:v>
      </x:c>
      <x:c r="Q92" s="62" t="b">
        <x:v>1</x:v>
      </x:c>
      <x:c r="R92" s="28" t="n">
        <x:v>0</x:v>
      </x:c>
      <x:c r="S92" s="28" t="str">
        <x:v>c18f21f1eb3b3ce6</x:v>
      </x:c>
    </x:row>
    <x:row r="93" ht="21" customHeight="1">
      <x:c r="A93" s="60" t="n">
        <x:v>0.6</x:v>
      </x:c>
      <x:c r="B93" s="28" t="str">
        <x:v>middle_low</x:v>
      </x:c>
      <x:c r="C93" s="60" t="n">
        <x:v>0.05</x:v>
      </x:c>
      <x:c r="D93" s="60" t="n">
        <x:v>0.05</x:v>
      </x:c>
      <x:c r="E93" s="62" t="b">
        <x:v>1</x:v>
      </x:c>
      <x:c r="F93" s="62" t="b">
        <x:v>1</x:v>
      </x:c>
      <x:c r="G93" s="85" t="n">
        <x:v>0</x:v>
      </x:c>
      <x:c r="H93" s="85" t="n">
        <x:v>0</x:v>
      </x:c>
      <x:c r="I93" s="85" t="n">
        <x:v>0</x:v>
      </x:c>
      <x:c r="J93" s="85" t="n">
        <x:v>0</x:v>
      </x:c>
      <x:c r="K93" s="85" t="n">
        <x:v>2736161.874638287</x:v>
      </x:c>
      <x:c r="L93" s="28" t="n">
        <x:v>0</x:v>
      </x:c>
      <x:c r="M93" s="28" t="n">
        <x:v>0</x:v>
      </x:c>
      <x:c r="N93" s="28" t="n">
        <x:v>2.3283064365386963e-10</x:v>
      </x:c>
      <x:c r="O93" s="28" t="n">
        <x:v>7.450580596923828e-9</x:v>
      </x:c>
      <x:c r="P93" s="28" t="n">
        <x:v>0</x:v>
      </x:c>
      <x:c r="Q93" s="62" t="b">
        <x:v>1</x:v>
      </x:c>
      <x:c r="R93" s="28" t="n">
        <x:v>0</x:v>
      </x:c>
      <x:c r="S93" s="28" t="str">
        <x:v>5087687d72b4c049</x:v>
      </x:c>
    </x:row>
    <x:row r="94" ht="21" customHeight="1">
      <x:c r="A94" s="60" t="n">
        <x:v>0.6</x:v>
      </x:c>
      <x:c r="B94" s="28" t="str">
        <x:v>middle_low</x:v>
      </x:c>
      <x:c r="C94" s="60" t="n">
        <x:v>0.1</x:v>
      </x:c>
      <x:c r="D94" s="60" t="n">
        <x:v>0.1</x:v>
      </x:c>
      <x:c r="E94" s="62" t="b">
        <x:v>1</x:v>
      </x:c>
      <x:c r="F94" s="62" t="b">
        <x:v>1</x:v>
      </x:c>
      <x:c r="G94" s="85" t="n">
        <x:v>0</x:v>
      </x:c>
      <x:c r="H94" s="85" t="n">
        <x:v>0</x:v>
      </x:c>
      <x:c r="I94" s="85" t="n">
        <x:v>0</x:v>
      </x:c>
      <x:c r="J94" s="85" t="n">
        <x:v>0</x:v>
      </x:c>
      <x:c r="K94" s="85" t="n">
        <x:v>723453.1341253823</x:v>
      </x:c>
      <x:c r="L94" s="28" t="n">
        <x:v>0</x:v>
      </x:c>
      <x:c r="M94" s="28" t="n">
        <x:v>0</x:v>
      </x:c>
      <x:c r="N94" s="28" t="n">
        <x:v>9.313225746154785e-10</x:v>
      </x:c>
      <x:c r="O94" s="28" t="n">
        <x:v>7.450580596923828e-9</x:v>
      </x:c>
      <x:c r="P94" s="28" t="n">
        <x:v>0</x:v>
      </x:c>
      <x:c r="Q94" s="62" t="b">
        <x:v>1</x:v>
      </x:c>
      <x:c r="R94" s="28" t="n">
        <x:v>0</x:v>
      </x:c>
      <x:c r="S94" s="28" t="str">
        <x:v>7652311abe13339e</x:v>
      </x:c>
    </x:row>
    <x:row r="95" ht="21" customHeight="1">
      <x:c r="A95" s="60" t="n">
        <x:v>0.6</x:v>
      </x:c>
      <x:c r="B95" s="28" t="str">
        <x:v>middle_low</x:v>
      </x:c>
      <x:c r="C95" s="60" t="n">
        <x:v>0.15</x:v>
      </x:c>
      <x:c r="D95" s="60" t="n">
        <x:v>0.15</x:v>
      </x:c>
      <x:c r="E95" s="62" t="b">
        <x:v>1</x:v>
      </x:c>
      <x:c r="F95" s="62" t="b">
        <x:v>1</x:v>
      </x:c>
      <x:c r="G95" s="85" t="n">
        <x:v>0</x:v>
      </x:c>
      <x:c r="H95" s="85" t="n">
        <x:v>0</x:v>
      </x:c>
      <x:c r="I95" s="85" t="n">
        <x:v>985401.7739885442</x:v>
      </x:c>
      <x:c r="J95" s="85" t="n">
        <x:v>0</x:v>
      </x:c>
      <x:c r="K95" s="85" t="n">
        <x:v>0</x:v>
      </x:c>
      <x:c r="L95" s="28" t="n">
        <x:v>0</x:v>
      </x:c>
      <x:c r="M95" s="28" t="n">
        <x:v>0</x:v>
      </x:c>
      <x:c r="N95" s="28" t="n">
        <x:v>4.656612873077393e-10</x:v>
      </x:c>
      <x:c r="O95" s="28" t="n">
        <x:v>7.450580596923828e-9</x:v>
      </x:c>
      <x:c r="P95" s="28" t="n">
        <x:v>0</x:v>
      </x:c>
      <x:c r="Q95" s="62" t="b">
        <x:v>1</x:v>
      </x:c>
      <x:c r="R95" s="28" t="n">
        <x:v>0</x:v>
      </x:c>
      <x:c r="S95" s="28" t="str">
        <x:v>4f181e2496a329cd</x:v>
      </x:c>
    </x:row>
    <x:row r="96" ht="21" customHeight="1">
      <x:c r="A96" s="60" t="n">
        <x:v>0.6</x:v>
      </x:c>
      <x:c r="B96" s="28" t="str">
        <x:v>middle_low</x:v>
      </x:c>
      <x:c r="C96" s="60" t="n">
        <x:v>0.2</x:v>
      </x:c>
      <x:c r="D96" s="60" t="n">
        <x:v>0.2</x:v>
      </x:c>
      <x:c r="E96" s="62" t="b">
        <x:v>1</x:v>
      </x:c>
      <x:c r="F96" s="62" t="b">
        <x:v>1</x:v>
      </x:c>
      <x:c r="G96" s="85" t="n">
        <x:v>0</x:v>
      </x:c>
      <x:c r="H96" s="85" t="n">
        <x:v>0</x:v>
      </x:c>
      <x:c r="I96" s="85" t="n">
        <x:v>2161852.0016870457</x:v>
      </x:c>
      <x:c r="J96" s="85" t="n">
        <x:v>1253157.2790409282</x:v>
      </x:c>
      <x:c r="K96" s="85" t="n">
        <x:v>0</x:v>
      </x:c>
      <x:c r="L96" s="28" t="n">
        <x:v>0</x:v>
      </x:c>
      <x:c r="M96" s="28" t="n">
        <x:v>0</x:v>
      </x:c>
      <x:c r="N96" s="28" t="n">
        <x:v>4.656612873077393e-10</x:v>
      </x:c>
      <x:c r="O96" s="28" t="n">
        <x:v>7.450580596923828e-9</x:v>
      </x:c>
      <x:c r="P96" s="28" t="n">
        <x:v>0</x:v>
      </x:c>
      <x:c r="Q96" s="62" t="b">
        <x:v>1</x:v>
      </x:c>
      <x:c r="R96" s="28" t="n">
        <x:v>0</x:v>
      </x:c>
      <x:c r="S96" s="28" t="str">
        <x:v>d901988a80771668</x:v>
      </x:c>
    </x:row>
    <x:row r="97" ht="21" customHeight="1">
      <x:c r="A97" s="60" t="n">
        <x:v>0.6</x:v>
      </x:c>
      <x:c r="B97" s="28" t="str">
        <x:v>middle_low</x:v>
      </x:c>
      <x:c r="C97" s="60" t="n">
        <x:v>0.25</x:v>
      </x:c>
      <x:c r="D97" s="60" t="n">
        <x:v>0.25</x:v>
      </x:c>
      <x:c r="E97" s="62" t="b">
        <x:v>1</x:v>
      </x:c>
      <x:c r="F97" s="62" t="b">
        <x:v>1</x:v>
      </x:c>
      <x:c r="G97" s="85" t="n">
        <x:v>0</x:v>
      </x:c>
      <x:c r="H97" s="85" t="n">
        <x:v>0</x:v>
      </x:c>
      <x:c r="I97" s="85" t="n">
        <x:v>2975752.0588567145</x:v>
      </x:c>
      <x:c r="J97" s="85" t="n">
        <x:v>2960046.598801156</x:v>
      </x:c>
      <x:c r="K97" s="85" t="n">
        <x:v>0</x:v>
      </x:c>
      <x:c r="L97" s="28" t="n">
        <x:v>0</x:v>
      </x:c>
      <x:c r="M97" s="28" t="n">
        <x:v>0</x:v>
      </x:c>
      <x:c r="N97" s="28" t="n">
        <x:v>4.656612873077393e-10</x:v>
      </x:c>
      <x:c r="O97" s="28" t="n">
        <x:v>7.450580596923828e-9</x:v>
      </x:c>
      <x:c r="P97" s="28" t="n">
        <x:v>0</x:v>
      </x:c>
      <x:c r="Q97" s="62" t="b">
        <x:v>1</x:v>
      </x:c>
      <x:c r="R97" s="28" t="n">
        <x:v>0</x:v>
      </x:c>
      <x:c r="S97" s="28" t="str">
        <x:v>bd546104db9dc03c</x:v>
      </x:c>
    </x:row>
    <x:row r="98" ht="21" customHeight="1">
      <x:c r="A98" s="60" t="n">
        <x:v>0.6</x:v>
      </x:c>
      <x:c r="B98" s="28" t="str">
        <x:v>middle_low</x:v>
      </x:c>
      <x:c r="C98" s="60" t="n">
        <x:v>0.3</x:v>
      </x:c>
      <x:c r="D98" s="60" t="n">
        <x:v>0.3</x:v>
      </x:c>
      <x:c r="E98" s="62" t="b">
        <x:v>1</x:v>
      </x:c>
      <x:c r="F98" s="62" t="b">
        <x:v>1</x:v>
      </x:c>
      <x:c r="G98" s="85" t="n">
        <x:v>0</x:v>
      </x:c>
      <x:c r="H98" s="85" t="n">
        <x:v>0</x:v>
      </x:c>
      <x:c r="I98" s="85" t="n">
        <x:v>3785612.8958335337</x:v>
      </x:c>
      <x:c r="J98" s="85" t="n">
        <x:v>4666935.918561379</x:v>
      </x:c>
      <x:c r="K98" s="85" t="n">
        <x:v>0</x:v>
      </x:c>
      <x:c r="L98" s="28" t="n">
        <x:v>0</x:v>
      </x:c>
      <x:c r="M98" s="28" t="n">
        <x:v>0</x:v>
      </x:c>
      <x:c r="N98" s="28" t="n">
        <x:v>2.3283064365386963e-10</x:v>
      </x:c>
      <x:c r="O98" s="28" t="n">
        <x:v>7.450580596923828e-9</x:v>
      </x:c>
      <x:c r="P98" s="28" t="n">
        <x:v>0</x:v>
      </x:c>
      <x:c r="Q98" s="62" t="b">
        <x:v>1</x:v>
      </x:c>
      <x:c r="R98" s="28" t="n">
        <x:v>0</x:v>
      </x:c>
      <x:c r="S98" s="28" t="str">
        <x:v>d023fed565778a7f</x:v>
      </x:c>
    </x:row>
    <x:row r="99" ht="21" customHeight="1">
      <x:c r="A99" s="60" t="n">
        <x:v>0.6</x:v>
      </x:c>
      <x:c r="B99" s="28" t="str">
        <x:v>middle_low</x:v>
      </x:c>
      <x:c r="C99" s="60" t="n">
        <x:v>0.35</x:v>
      </x:c>
      <x:c r="D99" s="60" t="n">
        <x:v>0.35</x:v>
      </x:c>
      <x:c r="E99" s="62" t="b">
        <x:v>1</x:v>
      </x:c>
      <x:c r="F99" s="62" t="b">
        <x:v>1</x:v>
      </x:c>
      <x:c r="G99" s="85" t="n">
        <x:v>0</x:v>
      </x:c>
      <x:c r="H99" s="85" t="n">
        <x:v>0</x:v>
      </x:c>
      <x:c r="I99" s="85" t="n">
        <x:v>4599392.731166518</x:v>
      </x:c>
      <x:c r="J99" s="85" t="n">
        <x:v>6373825.238321613</x:v>
      </x:c>
      <x:c r="K99" s="85" t="n">
        <x:v>0</x:v>
      </x:c>
      <x:c r="L99" s="28" t="n">
        <x:v>0</x:v>
      </x:c>
      <x:c r="M99" s="28" t="n">
        <x:v>0</x:v>
      </x:c>
      <x:c r="N99" s="28" t="n">
        <x:v>4.656612873077393e-10</x:v>
      </x:c>
      <x:c r="O99" s="28" t="n">
        <x:v>7.450580596923828e-9</x:v>
      </x:c>
      <x:c r="P99" s="28" t="n">
        <x:v>0</x:v>
      </x:c>
      <x:c r="Q99" s="62" t="b">
        <x:v>1</x:v>
      </x:c>
      <x:c r="R99" s="28" t="n">
        <x:v>0</x:v>
      </x:c>
      <x:c r="S99" s="28" t="str">
        <x:v>f954fb076a913bf6</x:v>
      </x:c>
    </x:row>
    <x:row r="100" ht="21" customHeight="1">
      <x:c r="A100" s="60" t="n">
        <x:v>0.6</x:v>
      </x:c>
      <x:c r="B100" s="28" t="str">
        <x:v>middle_low</x:v>
      </x:c>
      <x:c r="C100" s="60" t="n">
        <x:v>0.4</x:v>
      </x:c>
      <x:c r="D100" s="60" t="n">
        <x:v>0.4</x:v>
      </x:c>
      <x:c r="E100" s="62" t="b">
        <x:v>1</x:v>
      </x:c>
      <x:c r="F100" s="62" t="b">
        <x:v>1</x:v>
      </x:c>
      <x:c r="G100" s="85" t="n">
        <x:v>0</x:v>
      </x:c>
      <x:c r="H100" s="85" t="n">
        <x:v>0</x:v>
      </x:c>
      <x:c r="I100" s="85" t="n">
        <x:v>5413172.566499504</x:v>
      </x:c>
      <x:c r="J100" s="85" t="n">
        <x:v>8080714.558081838</x:v>
      </x:c>
      <x:c r="K100" s="85" t="n">
        <x:v>0</x:v>
      </x:c>
      <x:c r="L100" s="28" t="n">
        <x:v>0</x:v>
      </x:c>
      <x:c r="M100" s="28" t="n">
        <x:v>0</x:v>
      </x:c>
      <x:c r="N100" s="28" t="n">
        <x:v>2.3283064365386963e-10</x:v>
      </x:c>
      <x:c r="O100" s="28" t="n">
        <x:v>3.725290298461914e-9</x:v>
      </x:c>
      <x:c r="P100" s="28" t="n">
        <x:v>0</x:v>
      </x:c>
      <x:c r="Q100" s="62" t="b">
        <x:v>1</x:v>
      </x:c>
      <x:c r="R100" s="28" t="n">
        <x:v>0</x:v>
      </x:c>
      <x:c r="S100" s="28" t="str">
        <x:v>e671bd5aa619da52</x:v>
      </x:c>
    </x:row>
    <x:row r="101" ht="21" customHeight="1">
      <x:c r="A101" s="60" t="n">
        <x:v>0.6</x:v>
      </x:c>
      <x:c r="B101" s="28" t="str">
        <x:v>middle_low</x:v>
      </x:c>
      <x:c r="C101" s="60" t="n">
        <x:v>0.45</x:v>
      </x:c>
      <x:c r="D101" s="60" t="n">
        <x:v>0.45</x:v>
      </x:c>
      <x:c r="E101" s="62" t="b">
        <x:v>1</x:v>
      </x:c>
      <x:c r="F101" s="62" t="b">
        <x:v>1</x:v>
      </x:c>
      <x:c r="G101" s="85" t="n">
        <x:v>0</x:v>
      </x:c>
      <x:c r="H101" s="85" t="n">
        <x:v>0</x:v>
      </x:c>
      <x:c r="I101" s="85" t="n">
        <x:v>6223730.419613046</x:v>
      </x:c>
      <x:c r="J101" s="85" t="n">
        <x:v>9787603.877842072</x:v>
      </x:c>
      <x:c r="K101" s="85" t="n">
        <x:v>0</x:v>
      </x:c>
      <x:c r="L101" s="28" t="n">
        <x:v>0</x:v>
      </x:c>
      <x:c r="M101" s="28" t="n">
        <x:v>0</x:v>
      </x:c>
      <x:c r="N101" s="28" t="n">
        <x:v>2.3283064365386963e-10</x:v>
      </x:c>
      <x:c r="O101" s="28" t="n">
        <x:v>1.862645149230957e-9</x:v>
      </x:c>
      <x:c r="P101" s="28" t="n">
        <x:v>0</x:v>
      </x:c>
      <x:c r="Q101" s="62" t="b">
        <x:v>1</x:v>
      </x:c>
      <x:c r="R101" s="28" t="n">
        <x:v>0</x:v>
      </x:c>
      <x:c r="S101" s="28" t="str">
        <x:v>3b8cc079451e1d5f</x:v>
      </x:c>
    </x:row>
    <x:row r="102" ht="21" customHeight="1">
      <x:c r="A102" s="60" t="n">
        <x:v>0.6</x:v>
      </x:c>
      <x:c r="B102" s="28" t="str">
        <x:v>middle_low</x:v>
      </x:c>
      <x:c r="C102" s="60" t="n">
        <x:v>0.5</x:v>
      </x:c>
      <x:c r="D102" s="60" t="n">
        <x:v>0.5</x:v>
      </x:c>
      <x:c r="E102" s="62" t="b">
        <x:v>1</x:v>
      </x:c>
      <x:c r="F102" s="62" t="b">
        <x:v>1</x:v>
      </x:c>
      <x:c r="G102" s="85" t="n">
        <x:v>0</x:v>
      </x:c>
      <x:c r="H102" s="85" t="n">
        <x:v>0</x:v>
      </x:c>
      <x:c r="I102" s="85" t="n">
        <x:v>7087820.818039717</x:v>
      </x:c>
      <x:c r="J102" s="85" t="n">
        <x:v>11398377.307354648</x:v>
      </x:c>
      <x:c r="K102" s="85" t="n">
        <x:v>0</x:v>
      </x:c>
      <x:c r="L102" s="28" t="n">
        <x:v>1</x:v>
      </x:c>
      <x:c r="M102" s="28" t="n">
        <x:v>0</x:v>
      </x:c>
      <x:c r="N102" s="28" t="n">
        <x:v>4.656612873077393e-10</x:v>
      </x:c>
      <x:c r="O102" s="28" t="n">
        <x:v>7.450580596923828e-9</x:v>
      </x:c>
      <x:c r="P102" s="28" t="n">
        <x:v>0</x:v>
      </x:c>
      <x:c r="Q102" s="62" t="b">
        <x:v>1</x:v>
      </x:c>
      <x:c r="R102" s="28" t="n">
        <x:v>0</x:v>
      </x:c>
      <x:c r="S102" s="28" t="str">
        <x:v>8854d678a76bef44</x:v>
      </x:c>
    </x:row>
    <x:row r="103" ht="21" customHeight="1">
      <x:c r="A103" s="60" t="n">
        <x:v>0.6</x:v>
      </x:c>
      <x:c r="B103" s="28" t="str">
        <x:v>middle_low</x:v>
      </x:c>
      <x:c r="C103" s="60" t="n">
        <x:v>0.55</x:v>
      </x:c>
      <x:c r="D103" s="60" t="n">
        <x:v>0.55</x:v>
      </x:c>
      <x:c r="E103" s="62" t="b">
        <x:v>1</x:v>
      </x:c>
      <x:c r="F103" s="62" t="b">
        <x:v>1</x:v>
      </x:c>
      <x:c r="G103" s="85" t="n">
        <x:v>0</x:v>
      </x:c>
      <x:c r="H103" s="85" t="n">
        <x:v>0</x:v>
      </x:c>
      <x:c r="I103" s="85" t="n">
        <x:v>8199824.358386863</x:v>
      </x:c>
      <x:c r="J103" s="85" t="n">
        <x:v>12607148.519823361</x:v>
      </x:c>
      <x:c r="K103" s="85" t="n">
        <x:v>0</x:v>
      </x:c>
      <x:c r="L103" s="28" t="n">
        <x:v>8</x:v>
      </x:c>
      <x:c r="M103" s="28" t="n">
        <x:v>0</x:v>
      </x:c>
      <x:c r="N103" s="28" t="n">
        <x:v>4.656612873077393e-10</x:v>
      </x:c>
      <x:c r="O103" s="28" t="n">
        <x:v>7.450580596923828e-9</x:v>
      </x:c>
      <x:c r="P103" s="28" t="n">
        <x:v>0</x:v>
      </x:c>
      <x:c r="Q103" s="62" t="b">
        <x:v>1</x:v>
      </x:c>
      <x:c r="R103" s="28" t="n">
        <x:v>0</x:v>
      </x:c>
      <x:c r="S103" s="28" t="str">
        <x:v>926f27765be63952</x:v>
      </x:c>
    </x:row>
    <x:row r="104" ht="21" customHeight="1">
      <x:c r="A104" s="60" t="n">
        <x:v>0.6</x:v>
      </x:c>
      <x:c r="B104" s="28" t="str">
        <x:v>middle_low</x:v>
      </x:c>
      <x:c r="C104" s="60" t="n">
        <x:v>0.6</x:v>
      </x:c>
      <x:c r="D104" s="60" t="n">
        <x:v>0.6</x:v>
      </x:c>
      <x:c r="E104" s="62" t="b">
        <x:v>1</x:v>
      </x:c>
      <x:c r="F104" s="62" t="b">
        <x:v>1</x:v>
      </x:c>
      <x:c r="G104" s="85" t="n">
        <x:v>0</x:v>
      </x:c>
      <x:c r="H104" s="85" t="n">
        <x:v>0</x:v>
      </x:c>
      <x:c r="I104" s="85" t="n">
        <x:v>9110993.520380309</x:v>
      </x:c>
      <x:c r="J104" s="85" t="n">
        <x:v>14109660.939446928</x:v>
      </x:c>
      <x:c r="K104" s="85" t="n">
        <x:v>0</x:v>
      </x:c>
      <x:c r="L104" s="28" t="n">
        <x:v>12</x:v>
      </x:c>
      <x:c r="M104" s="28" t="n">
        <x:v>0</x:v>
      </x:c>
      <x:c r="N104" s="28" t="n">
        <x:v>4.656612873077393e-10</x:v>
      </x:c>
      <x:c r="O104" s="28" t="n">
        <x:v>3.725290298461914e-9</x:v>
      </x:c>
      <x:c r="P104" s="28" t="n">
        <x:v>0</x:v>
      </x:c>
      <x:c r="Q104" s="62" t="b">
        <x:v>1</x:v>
      </x:c>
      <x:c r="R104" s="28" t="n">
        <x:v>0</x:v>
      </x:c>
      <x:c r="S104" s="28" t="str">
        <x:v>69040c420654e97f</x:v>
      </x:c>
    </x:row>
    <x:row r="105" ht="21" customHeight="1">
      <x:c r="A105" s="60" t="n">
        <x:v>0.6</x:v>
      </x:c>
      <x:c r="B105" s="28" t="str">
        <x:v>middle_low</x:v>
      </x:c>
      <x:c r="C105" s="60" t="n">
        <x:v>0.65</x:v>
      </x:c>
      <x:c r="D105" s="60" t="n">
        <x:v>0.65</x:v>
      </x:c>
      <x:c r="E105" s="62" t="b">
        <x:v>1</x:v>
      </x:c>
      <x:c r="F105" s="62" t="b">
        <x:v>1</x:v>
      </x:c>
      <x:c r="G105" s="85" t="n">
        <x:v>0</x:v>
      </x:c>
      <x:c r="H105" s="85" t="n">
        <x:v>0</x:v>
      </x:c>
      <x:c r="I105" s="85" t="n">
        <x:v>9912237.733887538</x:v>
      </x:c>
      <x:c r="J105" s="85" t="n">
        <x:v>15782218.503403831</x:v>
      </x:c>
      <x:c r="K105" s="85" t="n">
        <x:v>0</x:v>
      </x:c>
      <x:c r="L105" s="28" t="n">
        <x:v>16</x:v>
      </x:c>
      <x:c r="M105" s="28" t="n">
        <x:v>0</x:v>
      </x:c>
      <x:c r="N105" s="28" t="n">
        <x:v>2.3283064365386963e-10</x:v>
      </x:c>
      <x:c r="O105" s="28" t="n">
        <x:v>1.862645149230957e-9</x:v>
      </x:c>
      <x:c r="P105" s="28" t="n">
        <x:v>0</x:v>
      </x:c>
      <x:c r="Q105" s="62" t="b">
        <x:v>1</x:v>
      </x:c>
      <x:c r="R105" s="28" t="n">
        <x:v>0</x:v>
      </x:c>
      <x:c r="S105" s="28" t="str">
        <x:v>33e4aeb09c6f888f</x:v>
      </x:c>
    </x:row>
    <x:row r="106" ht="21" customHeight="1">
      <x:c r="A106" s="60" t="n">
        <x:v>0.6</x:v>
      </x:c>
      <x:c r="B106" s="28" t="str">
        <x:v>middle_low</x:v>
      </x:c>
      <x:c r="C106" s="60" t="n">
        <x:v>0.7</x:v>
      </x:c>
      <x:c r="D106" s="60" t="n">
        <x:v>0.7</x:v>
      </x:c>
      <x:c r="E106" s="62" t="b">
        <x:v>1</x:v>
      </x:c>
      <x:c r="F106" s="62" t="b">
        <x:v>0</x:v>
      </x:c>
      <x:c r="G106" s="85" t="n">
        <x:v>80247.82883774473</x:v>
      </x:c>
      <x:c r="H106" s="85" t="n">
        <x:v>1001181.0455820134</x:v>
      </x:c>
      <x:c r="I106" s="85" t="n">
        <x:v>10252560.684082527</x:v>
      </x:c>
      <x:c r="J106" s="85" t="n">
        <x:v>16723200.000000002</x:v>
      </x:c>
      <x:c r="K106" s="85" t="n">
        <x:v>0</x:v>
      </x:c>
      <x:c r="L106" s="28" t="n">
        <x:v>39</x:v>
      </x:c>
      <x:c r="M106" s="28" t="n">
        <x:v>29</x:v>
      </x:c>
      <x:c r="N106" s="28" t="n">
        <x:v>4.656612873077393e-10</x:v>
      </x:c>
      <x:c r="O106" s="28" t="n">
        <x:v>3.725290298461914e-9</x:v>
      </x:c>
      <x:c r="P106" s="28" t="n">
        <x:v>0</x:v>
      </x:c>
      <x:c r="Q106" s="62" t="b">
        <x:v>1</x:v>
      </x:c>
      <x:c r="R106" s="28" t="n">
        <x:v>0</x:v>
      </x:c>
      <x:c r="S106" s="28" t="str">
        <x:v>9d65ca6179793221</x:v>
      </x:c>
    </x:row>
    <x:row r="107" ht="21" customHeight="1">
      <x:c r="A107" s="60" t="n">
        <x:v>0.6</x:v>
      </x:c>
      <x:c r="B107" s="28" t="str">
        <x:v>middle_low</x:v>
      </x:c>
      <x:c r="C107" s="60" t="n">
        <x:v>0.75</x:v>
      </x:c>
      <x:c r="D107" s="60" t="n">
        <x:v>0.75</x:v>
      </x:c>
      <x:c r="E107" s="62" t="b">
        <x:v>1</x:v>
      </x:c>
      <x:c r="F107" s="62" t="b">
        <x:v>0</x:v>
      </x:c>
      <x:c r="G107" s="85" t="n">
        <x:v>231380.47937600562</x:v>
      </x:c>
      <x:c r="H107" s="85" t="n">
        <x:v>2880440.1548296893</x:v>
      </x:c>
      <x:c r="I107" s="85" t="n">
        <x:v>10415992.431703294</x:v>
      </x:c>
      <x:c r="J107" s="85" t="n">
        <x:v>16723200.000000002</x:v>
      </x:c>
      <x:c r="K107" s="85" t="n">
        <x:v>0</x:v>
      </x:c>
      <x:c r="L107" s="28" t="n">
        <x:v>40</x:v>
      </x:c>
      <x:c r="M107" s="28" t="n">
        <x:v>32</x:v>
      </x:c>
      <x:c r="N107" s="28" t="n">
        <x:v>2.3283064365386963e-10</x:v>
      </x:c>
      <x:c r="O107" s="28" t="n">
        <x:v>3.725290298461914e-9</x:v>
      </x:c>
      <x:c r="P107" s="28" t="n">
        <x:v>0</x:v>
      </x:c>
      <x:c r="Q107" s="62" t="b">
        <x:v>1</x:v>
      </x:c>
      <x:c r="R107" s="28" t="n">
        <x:v>0</x:v>
      </x:c>
      <x:c r="S107" s="28" t="str">
        <x:v>9f8474e82b611c80</x:v>
      </x:c>
    </x:row>
    <x:row r="108" ht="21" customHeight="1">
      <x:c r="A108" s="60" t="n">
        <x:v>0.6</x:v>
      </x:c>
      <x:c r="B108" s="28" t="str">
        <x:v>middle_low</x:v>
      </x:c>
      <x:c r="C108" s="60" t="n">
        <x:v>0.8</x:v>
      </x:c>
      <x:c r="D108" s="60" t="n">
        <x:v>0.8</x:v>
      </x:c>
      <x:c r="E108" s="62" t="b">
        <x:v>1</x:v>
      </x:c>
      <x:c r="F108" s="62" t="b">
        <x:v>0</x:v>
      </x:c>
      <x:c r="G108" s="85" t="n">
        <x:v>387635.41572612483</x:v>
      </x:c>
      <x:c r="H108" s="85" t="n">
        <x:v>4729177.474021277</x:v>
      </x:c>
      <x:c r="I108" s="85" t="n">
        <x:v>10599136.857249321</x:v>
      </x:c>
      <x:c r="J108" s="85" t="n">
        <x:v>16723200.000000002</x:v>
      </x:c>
      <x:c r="K108" s="85" t="n">
        <x:v>0</x:v>
      </x:c>
      <x:c r="L108" s="28" t="n">
        <x:v>41</x:v>
      </x:c>
      <x:c r="M108" s="28" t="n">
        <x:v>34</x:v>
      </x:c>
      <x:c r="N108" s="28" t="n">
        <x:v>4.656612873077393e-10</x:v>
      </x:c>
      <x:c r="O108" s="28" t="n">
        <x:v>1.862645149230957e-9</x:v>
      </x:c>
      <x:c r="P108" s="28" t="n">
        <x:v>0</x:v>
      </x:c>
      <x:c r="Q108" s="62" t="b">
        <x:v>1</x:v>
      </x:c>
      <x:c r="R108" s="28" t="n">
        <x:v>0</x:v>
      </x:c>
      <x:c r="S108" s="28" t="str">
        <x:v>1023b087593dd9eb</x:v>
      </x:c>
    </x:row>
    <x:row r="109" ht="21" customHeight="1">
      <x:c r="A109" s="60" t="n">
        <x:v>0.6</x:v>
      </x:c>
      <x:c r="B109" s="28" t="str">
        <x:v>middle_low</x:v>
      </x:c>
      <x:c r="C109" s="60" t="n">
        <x:v>0.85</x:v>
      </x:c>
      <x:c r="D109" s="60" t="n">
        <x:v>0.85</x:v>
      </x:c>
      <x:c r="E109" s="62" t="b">
        <x:v>1</x:v>
      </x:c>
      <x:c r="F109" s="62" t="b">
        <x:v>0</x:v>
      </x:c>
      <x:c r="G109" s="85" t="n">
        <x:v>571326.0554068623</x:v>
      </x:c>
      <x:c r="H109" s="85" t="n">
        <x:v>6690544.82650399</x:v>
      </x:c>
      <x:c r="I109" s="85" t="n">
        <x:v>10625483.70545069</x:v>
      </x:c>
      <x:c r="J109" s="85" t="n">
        <x:v>16723200.000000002</x:v>
      </x:c>
      <x:c r="K109" s="85" t="n">
        <x:v>0</x:v>
      </x:c>
      <x:c r="L109" s="28" t="n">
        <x:v>41</x:v>
      </x:c>
      <x:c r="M109" s="28" t="n">
        <x:v>34</x:v>
      </x:c>
      <x:c r="N109" s="28" t="n">
        <x:v>4.656612873077393e-10</x:v>
      </x:c>
      <x:c r="O109" s="28" t="n">
        <x:v>3.725290298461914e-9</x:v>
      </x:c>
      <x:c r="P109" s="28" t="n">
        <x:v>0</x:v>
      </x:c>
      <x:c r="Q109" s="62" t="b">
        <x:v>1</x:v>
      </x:c>
      <x:c r="R109" s="28" t="n">
        <x:v>0</x:v>
      </x:c>
      <x:c r="S109" s="28" t="str">
        <x:v>ae7c06883d8c6a6b</x:v>
      </x:c>
    </x:row>
    <x:row r="110" ht="21" customHeight="1">
      <x:c r="A110" s="60" t="n">
        <x:v>0.6</x:v>
      </x:c>
      <x:c r="B110" s="28" t="str">
        <x:v>middle_low</x:v>
      </x:c>
      <x:c r="C110" s="60" t="n">
        <x:v>0.9</x:v>
      </x:c>
      <x:c r="D110" s="60" t="n">
        <x:v>0.9</x:v>
      </x:c>
      <x:c r="E110" s="62" t="b">
        <x:v>1</x:v>
      </x:c>
      <x:c r="F110" s="62" t="b">
        <x:v>0</x:v>
      </x:c>
      <x:c r="G110" s="85" t="n">
        <x:v>807400.7573535236</x:v>
      </x:c>
      <x:c r="H110" s="85" t="n">
        <x:v>8404674.893506384</x:v>
      </x:c>
      <x:c r="I110" s="85" t="n">
        <x:v>10793262.159429157</x:v>
      </x:c>
      <x:c r="J110" s="85" t="n">
        <x:v>16723200.000000002</x:v>
      </x:c>
      <x:c r="K110" s="85" t="n">
        <x:v>0</x:v>
      </x:c>
      <x:c r="L110" s="28" t="n">
        <x:v>42</x:v>
      </x:c>
      <x:c r="M110" s="28" t="n">
        <x:v>36</x:v>
      </x:c>
      <x:c r="N110" s="28" t="n">
        <x:v>4.656612873077393e-10</x:v>
      </x:c>
      <x:c r="O110" s="28" t="n">
        <x:v>3.725290298461914e-9</x:v>
      </x:c>
      <x:c r="P110" s="28" t="n">
        <x:v>0</x:v>
      </x:c>
      <x:c r="Q110" s="62" t="b">
        <x:v>1</x:v>
      </x:c>
      <x:c r="R110" s="28" t="n">
        <x:v>0</x:v>
      </x:c>
      <x:c r="S110" s="28" t="str">
        <x:v>16ee26bb2c6df4d1</x:v>
      </x:c>
    </x:row>
    <x:row r="111" ht="21" customHeight="1">
      <x:c r="A111" s="60" t="n">
        <x:v>0.6</x:v>
      </x:c>
      <x:c r="B111" s="28" t="str">
        <x:v>middle_low</x:v>
      </x:c>
      <x:c r="C111" s="60" t="n">
        <x:v>0.95</x:v>
      </x:c>
      <x:c r="D111" s="60" t="n">
        <x:v>0.9270639118581285</x:v>
      </x:c>
      <x:c r="E111" s="62" t="b">
        <x:v>0</x:v>
      </x:c>
      <x:c r="F111" s="62" t="b">
        <x:v>0</x:v>
      </x:c>
      <x:c r="G111" s="85" t="n">
        <x:v>1064467.644614726</x:v>
      </x:c>
      <x:c r="H111" s="85" t="n">
        <x:v>9333173.755900335</x:v>
      </x:c>
      <x:c r="I111" s="85" t="n">
        <x:v>10812841.618179787</x:v>
      </x:c>
      <x:c r="J111" s="85" t="n">
        <x:v>16723200.000000002</x:v>
      </x:c>
      <x:c r="K111" s="85" t="n">
        <x:v>0</x:v>
      </x:c>
      <x:c r="L111" s="28" t="n">
        <x:v>42</x:v>
      </x:c>
      <x:c r="M111" s="28" t="n">
        <x:v>36</x:v>
      </x:c>
      <x:c r="N111" s="28" t="n">
        <x:v>2.3283064365386963e-10</x:v>
      </x:c>
      <x:c r="O111" s="28" t="n">
        <x:v>3.725290298461914e-9</x:v>
      </x:c>
      <x:c r="P111" s="28" t="n">
        <x:v>0</x:v>
      </x:c>
      <x:c r="Q111" s="62" t="b">
        <x:v>1</x:v>
      </x:c>
      <x:c r="R111" s="28" t="n">
        <x:v>1278549.2973804846</x:v>
      </x:c>
      <x:c r="S111" s="28" t="str">
        <x:v>4f761762159cb077</x:v>
      </x:c>
    </x:row>
    <x:row r="112" ht="21" customHeight="1">
      <x:c r="A112" s="60" t="n">
        <x:v>0.6</x:v>
      </x:c>
      <x:c r="B112" s="28" t="str">
        <x:v>middle_low</x:v>
      </x:c>
      <x:c r="C112" s="60" t="n">
        <x:v>1</x:v>
      </x:c>
      <x:c r="D112" s="60" t="n">
        <x:v>0.9427455891708479</x:v>
      </x:c>
      <x:c r="E112" s="62" t="b">
        <x:v>0</x:v>
      </x:c>
      <x:c r="F112" s="62" t="b">
        <x:v>0</x:v>
      </x:c>
      <x:c r="G112" s="85" t="n">
        <x:v>1187305.2845054944</x:v>
      </x:c>
      <x:c r="H112" s="85" t="n">
        <x:v>9990696.194861455</x:v>
      </x:c>
      <x:c r="I112" s="85" t="n">
        <x:v>10832421.076930417</x:v>
      </x:c>
      <x:c r="J112" s="85" t="n">
        <x:v>16723200.000000002</x:v>
      </x:c>
      <x:c r="K112" s="85" t="n">
        <x:v>0</x:v>
      </x:c>
      <x:c r="L112" s="28" t="n">
        <x:v>42</x:v>
      </x:c>
      <x:c r="M112" s="28" t="n">
        <x:v>37</x:v>
      </x:c>
      <x:c r="N112" s="28" t="n">
        <x:v>2.3283064365386963e-10</x:v>
      </x:c>
      <x:c r="O112" s="28" t="n">
        <x:v>9.313225746154785e-10</x:v>
      </x:c>
      <x:c r="P112" s="28" t="n">
        <x:v>0</x:v>
      </x:c>
      <x:c r="Q112" s="62" t="b">
        <x:v>1</x:v>
      </x:c>
      <x:c r="R112" s="28" t="n">
        <x:v>3191589.877260253</x:v>
      </x:c>
      <x:c r="S112" s="28" t="str">
        <x:v>b7d40f148d365030</x:v>
      </x:c>
    </x:row>
    <x:row r="113" ht="21" customHeight="1">
      <x:c r="A113" s="60" t="n">
        <x:v>0.6</x:v>
      </x:c>
      <x:c r="B113" s="28" t="str">
        <x:v>middle_high</x:v>
      </x:c>
      <x:c r="C113" s="60" t="n">
        <x:v>0</x:v>
      </x:c>
      <x:c r="D113" s="60" t="n">
        <x:v>0</x:v>
      </x:c>
      <x:c r="E113" s="62" t="b">
        <x:v>1</x:v>
      </x:c>
      <x:c r="F113" s="62" t="b">
        <x:v>1</x:v>
      </x:c>
      <x:c r="G113" s="85" t="n">
        <x:v>0</x:v>
      </x:c>
      <x:c r="H113" s="85" t="n">
        <x:v>0</x:v>
      </x:c>
      <x:c r="I113" s="85" t="n">
        <x:v>0</x:v>
      </x:c>
      <x:c r="J113" s="85" t="n">
        <x:v>0</x:v>
      </x:c>
      <x:c r="K113" s="85" t="n">
        <x:v>6437951.202191777</x:v>
      </x:c>
      <x:c r="L113" s="28" t="n">
        <x:v>0</x:v>
      </x:c>
      <x:c r="M113" s="28" t="n">
        <x:v>0</x:v>
      </x:c>
      <x:c r="N113" s="28" t="n">
        <x:v>4.656612873077393e-10</x:v>
      </x:c>
      <x:c r="O113" s="28" t="n">
        <x:v>0</x:v>
      </x:c>
      <x:c r="P113" s="28" t="n">
        <x:v>0</x:v>
      </x:c>
      <x:c r="Q113" s="62" t="b">
        <x:v>1</x:v>
      </x:c>
      <x:c r="R113" s="28" t="n">
        <x:v>0</x:v>
      </x:c>
      <x:c r="S113" s="28" t="str">
        <x:v>b8095e103ccdc4ca</x:v>
      </x:c>
    </x:row>
    <x:row r="114" ht="21" customHeight="1">
      <x:c r="A114" s="60" t="n">
        <x:v>0.6</x:v>
      </x:c>
      <x:c r="B114" s="28" t="str">
        <x:v>middle_high</x:v>
      </x:c>
      <x:c r="C114" s="60" t="n">
        <x:v>0.05</x:v>
      </x:c>
      <x:c r="D114" s="60" t="n">
        <x:v>0.05</x:v>
      </x:c>
      <x:c r="E114" s="62" t="b">
        <x:v>1</x:v>
      </x:c>
      <x:c r="F114" s="62" t="b">
        <x:v>1</x:v>
      </x:c>
      <x:c r="G114" s="85" t="n">
        <x:v>0</x:v>
      </x:c>
      <x:c r="H114" s="85" t="n">
        <x:v>0</x:v>
      </x:c>
      <x:c r="I114" s="85" t="n">
        <x:v>0</x:v>
      </x:c>
      <x:c r="J114" s="85" t="n">
        <x:v>0</x:v>
      </x:c>
      <x:c r="K114" s="85" t="n">
        <x:v>3928358.501811845</x:v>
      </x:c>
      <x:c r="L114" s="28" t="n">
        <x:v>0</x:v>
      </x:c>
      <x:c r="M114" s="28" t="n">
        <x:v>0</x:v>
      </x:c>
      <x:c r="N114" s="28" t="n">
        <x:v>9.313225746154785e-10</x:v>
      </x:c>
      <x:c r="O114" s="28" t="n">
        <x:v>7.450580596923828e-9</x:v>
      </x:c>
      <x:c r="P114" s="28" t="n">
        <x:v>0</x:v>
      </x:c>
      <x:c r="Q114" s="62" t="b">
        <x:v>1</x:v>
      </x:c>
      <x:c r="R114" s="28" t="n">
        <x:v>0</x:v>
      </x:c>
      <x:c r="S114" s="28" t="str">
        <x:v>69337dfd3e0bdcc4</x:v>
      </x:c>
    </x:row>
    <x:row r="115" ht="21" customHeight="1">
      <x:c r="A115" s="60" t="n">
        <x:v>0.6</x:v>
      </x:c>
      <x:c r="B115" s="28" t="str">
        <x:v>middle_high</x:v>
      </x:c>
      <x:c r="C115" s="60" t="n">
        <x:v>0.1</x:v>
      </x:c>
      <x:c r="D115" s="60" t="n">
        <x:v>0.1</x:v>
      </x:c>
      <x:c r="E115" s="62" t="b">
        <x:v>1</x:v>
      </x:c>
      <x:c r="F115" s="62" t="b">
        <x:v>1</x:v>
      </x:c>
      <x:c r="G115" s="85" t="n">
        <x:v>0</x:v>
      </x:c>
      <x:c r="H115" s="85" t="n">
        <x:v>0</x:v>
      </x:c>
      <x:c r="I115" s="85" t="n">
        <x:v>0</x:v>
      </x:c>
      <x:c r="J115" s="85" t="n">
        <x:v>0</x:v>
      </x:c>
      <x:c r="K115" s="85" t="n">
        <x:v>1418351.6978259177</x:v>
      </x:c>
      <x:c r="L115" s="28" t="n">
        <x:v>0</x:v>
      </x:c>
      <x:c r="M115" s="28" t="n">
        <x:v>0</x:v>
      </x:c>
      <x:c r="N115" s="28" t="n">
        <x:v>4.656612873077393e-10</x:v>
      </x:c>
      <x:c r="O115" s="28" t="n">
        <x:v>7.450580596923828e-9</x:v>
      </x:c>
      <x:c r="P115" s="28" t="n">
        <x:v>0</x:v>
      </x:c>
      <x:c r="Q115" s="62" t="b">
        <x:v>1</x:v>
      </x:c>
      <x:c r="R115" s="28" t="n">
        <x:v>0</x:v>
      </x:c>
      <x:c r="S115" s="28" t="str">
        <x:v>f0bc84f02371e76b</x:v>
      </x:c>
    </x:row>
    <x:row r="116" ht="21" customHeight="1">
      <x:c r="A116" s="60" t="n">
        <x:v>0.6</x:v>
      </x:c>
      <x:c r="B116" s="28" t="str">
        <x:v>middle_high</x:v>
      </x:c>
      <x:c r="C116" s="60" t="n">
        <x:v>0.15</x:v>
      </x:c>
      <x:c r="D116" s="60" t="n">
        <x:v>0.15</x:v>
      </x:c>
      <x:c r="E116" s="62" t="b">
        <x:v>1</x:v>
      </x:c>
      <x:c r="F116" s="62" t="b">
        <x:v>1</x:v>
      </x:c>
      <x:c r="G116" s="85" t="n">
        <x:v>0</x:v>
      </x:c>
      <x:c r="H116" s="85" t="n">
        <x:v>0</x:v>
      </x:c>
      <x:c r="I116" s="85" t="n">
        <x:v>1203965.9174329475</x:v>
      </x:c>
      <x:c r="J116" s="85" t="n">
        <x:v>0</x:v>
      </x:c>
      <x:c r="K116" s="85" t="n">
        <x:v>243804.34821262877</x:v>
      </x:c>
      <x:c r="L116" s="28" t="n">
        <x:v>0</x:v>
      </x:c>
      <x:c r="M116" s="28" t="n">
        <x:v>0</x:v>
      </x:c>
      <x:c r="N116" s="28" t="n">
        <x:v>9.313225746154785e-10</x:v>
      </x:c>
      <x:c r="O116" s="28" t="n">
        <x:v>7.450580596923828e-9</x:v>
      </x:c>
      <x:c r="P116" s="28" t="n">
        <x:v>0</x:v>
      </x:c>
      <x:c r="Q116" s="62" t="b">
        <x:v>1</x:v>
      </x:c>
      <x:c r="R116" s="28" t="n">
        <x:v>0</x:v>
      </x:c>
      <x:c r="S116" s="28" t="str">
        <x:v>d4ed464d5b2d8ed4</x:v>
      </x:c>
    </x:row>
    <x:row r="117" ht="21" customHeight="1">
      <x:c r="A117" s="60" t="n">
        <x:v>0.6</x:v>
      </x:c>
      <x:c r="B117" s="28" t="str">
        <x:v>middle_high</x:v>
      </x:c>
      <x:c r="C117" s="60" t="n">
        <x:v>0.2</x:v>
      </x:c>
      <x:c r="D117" s="60" t="n">
        <x:v>0.2</x:v>
      </x:c>
      <x:c r="E117" s="62" t="b">
        <x:v>1</x:v>
      </x:c>
      <x:c r="F117" s="62" t="b">
        <x:v>1</x:v>
      </x:c>
      <x:c r="G117" s="85" t="n">
        <x:v>0</x:v>
      </x:c>
      <x:c r="H117" s="85" t="n">
        <x:v>0</x:v>
      </x:c>
      <x:c r="I117" s="85" t="n">
        <x:v>3179240.523917791</x:v>
      </x:c>
      <x:c r="J117" s="85" t="n">
        <x:v>1253157.2790409282</x:v>
      </x:c>
      <x:c r="K117" s="85" t="n">
        <x:v>177971.28389775215</x:v>
      </x:c>
      <x:c r="L117" s="28" t="n">
        <x:v>0</x:v>
      </x:c>
      <x:c r="M117" s="28" t="n">
        <x:v>0</x:v>
      </x:c>
      <x:c r="N117" s="28" t="n">
        <x:v>4.656612873077393e-10</x:v>
      </x:c>
      <x:c r="O117" s="28" t="n">
        <x:v>7.450580596923828e-9</x:v>
      </x:c>
      <x:c r="P117" s="28" t="n">
        <x:v>0</x:v>
      </x:c>
      <x:c r="Q117" s="62" t="b">
        <x:v>1</x:v>
      </x:c>
      <x:c r="R117" s="28" t="n">
        <x:v>0</x:v>
      </x:c>
      <x:c r="S117" s="28" t="str">
        <x:v>859ff286299ce64f</x:v>
      </x:c>
    </x:row>
    <x:row r="118" ht="21" customHeight="1">
      <x:c r="A118" s="60" t="n">
        <x:v>0.6</x:v>
      </x:c>
      <x:c r="B118" s="28" t="str">
        <x:v>middle_high</x:v>
      </x:c>
      <x:c r="C118" s="60" t="n">
        <x:v>0.25</x:v>
      </x:c>
      <x:c r="D118" s="60" t="n">
        <x:v>0.25</x:v>
      </x:c>
      <x:c r="E118" s="62" t="b">
        <x:v>1</x:v>
      </x:c>
      <x:c r="F118" s="62" t="b">
        <x:v>1</x:v>
      </x:c>
      <x:c r="G118" s="85" t="n">
        <x:v>0</x:v>
      </x:c>
      <x:c r="H118" s="85" t="n">
        <x:v>0</x:v>
      </x:c>
      <x:c r="I118" s="85" t="n">
        <x:v>4895182.559751995</x:v>
      </x:c>
      <x:c r="J118" s="85" t="n">
        <x:v>2960046.598801156</x:v>
      </x:c>
      <x:c r="K118" s="85" t="n">
        <x:v>138211.90821917704</x:v>
      </x:c>
      <x:c r="L118" s="28" t="n">
        <x:v>0</x:v>
      </x:c>
      <x:c r="M118" s="28" t="n">
        <x:v>0</x:v>
      </x:c>
      <x:c r="N118" s="28" t="n">
        <x:v>4.656612873077393e-10</x:v>
      </x:c>
      <x:c r="O118" s="28" t="n">
        <x:v>7.450580596923828e-9</x:v>
      </x:c>
      <x:c r="P118" s="28" t="n">
        <x:v>0</x:v>
      </x:c>
      <x:c r="Q118" s="62" t="b">
        <x:v>1</x:v>
      </x:c>
      <x:c r="R118" s="28" t="n">
        <x:v>0</x:v>
      </x:c>
      <x:c r="S118" s="28" t="str">
        <x:v>b52dbf03e360f9e6</x:v>
      </x:c>
    </x:row>
    <x:row r="119" ht="21" customHeight="1">
      <x:c r="A119" s="60" t="n">
        <x:v>0.6</x:v>
      </x:c>
      <x:c r="B119" s="28" t="str">
        <x:v>middle_high</x:v>
      </x:c>
      <x:c r="C119" s="60" t="n">
        <x:v>0.3</x:v>
      </x:c>
      <x:c r="D119" s="60" t="n">
        <x:v>0.3</x:v>
      </x:c>
      <x:c r="E119" s="62" t="b">
        <x:v>1</x:v>
      </x:c>
      <x:c r="F119" s="62" t="b">
        <x:v>1</x:v>
      </x:c>
      <x:c r="G119" s="85" t="n">
        <x:v>0</x:v>
      </x:c>
      <x:c r="H119" s="85" t="n">
        <x:v>0</x:v>
      </x:c>
      <x:c r="I119" s="85" t="n">
        <x:v>6621052.173325617</x:v>
      </x:c>
      <x:c r="J119" s="85" t="n">
        <x:v>4666935.918561379</x:v>
      </x:c>
      <x:c r="K119" s="85" t="n">
        <x:v>114255.60986301323</x:v>
      </x:c>
      <x:c r="L119" s="28" t="n">
        <x:v>0</x:v>
      </x:c>
      <x:c r="M119" s="28" t="n">
        <x:v>0</x:v>
      </x:c>
      <x:c r="N119" s="28" t="n">
        <x:v>9.313225746154785e-10</x:v>
      </x:c>
      <x:c r="O119" s="28" t="n">
        <x:v>7.450580596923828e-9</x:v>
      </x:c>
      <x:c r="P119" s="28" t="n">
        <x:v>0</x:v>
      </x:c>
      <x:c r="Q119" s="62" t="b">
        <x:v>1</x:v>
      </x:c>
      <x:c r="R119" s="28" t="n">
        <x:v>0</x:v>
      </x:c>
      <x:c r="S119" s="28" t="str">
        <x:v>9237a35073279c7a</x:v>
      </x:c>
    </x:row>
    <x:row r="120" ht="21" customHeight="1">
      <x:c r="A120" s="60" t="n">
        <x:v>0.6</x:v>
      </x:c>
      <x:c r="B120" s="28" t="str">
        <x:v>middle_high</x:v>
      </x:c>
      <x:c r="C120" s="60" t="n">
        <x:v>0.35</x:v>
      </x:c>
      <x:c r="D120" s="60" t="n">
        <x:v>0.35</x:v>
      </x:c>
      <x:c r="E120" s="62" t="b">
        <x:v>1</x:v>
      </x:c>
      <x:c r="F120" s="62" t="b">
        <x:v>1</x:v>
      </x:c>
      <x:c r="G120" s="85" t="n">
        <x:v>0</x:v>
      </x:c>
      <x:c r="H120" s="85" t="n">
        <x:v>0</x:v>
      </x:c>
      <x:c r="I120" s="85" t="n">
        <x:v>8373155.551828977</x:v>
      </x:c>
      <x:c r="J120" s="85" t="n">
        <x:v>6373825.238321613</x:v>
      </x:c>
      <x:c r="K120" s="85" t="n">
        <x:v>90299.31150684963</x:v>
      </x:c>
      <x:c r="L120" s="28" t="n">
        <x:v>0</x:v>
      </x:c>
      <x:c r="M120" s="28" t="n">
        <x:v>0</x:v>
      </x:c>
      <x:c r="N120" s="28" t="n">
        <x:v>9.313225746154785e-10</x:v>
      </x:c>
      <x:c r="O120" s="28" t="n">
        <x:v>7.450580596923828e-9</x:v>
      </x:c>
      <x:c r="P120" s="28" t="n">
        <x:v>0</x:v>
      </x:c>
      <x:c r="Q120" s="62" t="b">
        <x:v>1</x:v>
      </x:c>
      <x:c r="R120" s="28" t="n">
        <x:v>0</x:v>
      </x:c>
      <x:c r="S120" s="28" t="str">
        <x:v>367a22929db3715a</x:v>
      </x:c>
    </x:row>
    <x:row r="121" ht="21" customHeight="1">
      <x:c r="A121" s="60" t="n">
        <x:v>0.6</x:v>
      </x:c>
      <x:c r="B121" s="28" t="str">
        <x:v>middle_high</x:v>
      </x:c>
      <x:c r="C121" s="60" t="n">
        <x:v>0.4</x:v>
      </x:c>
      <x:c r="D121" s="60" t="n">
        <x:v>0.4</x:v>
      </x:c>
      <x:c r="E121" s="62" t="b">
        <x:v>1</x:v>
      </x:c>
      <x:c r="F121" s="62" t="b">
        <x:v>1</x:v>
      </x:c>
      <x:c r="G121" s="85" t="n">
        <x:v>0</x:v>
      </x:c>
      <x:c r="H121" s="85" t="n">
        <x:v>0</x:v>
      </x:c>
      <x:c r="I121" s="85" t="n">
        <x:v>10125801.584399454</x:v>
      </x:c>
      <x:c r="J121" s="85" t="n">
        <x:v>8080714.558081838</x:v>
      </x:c>
      <x:c r="K121" s="85" t="n">
        <x:v>70787.28361643736</x:v>
      </x:c>
      <x:c r="L121" s="28" t="n">
        <x:v>0</x:v>
      </x:c>
      <x:c r="M121" s="28" t="n">
        <x:v>0</x:v>
      </x:c>
      <x:c r="N121" s="28" t="n">
        <x:v>4.656612873077393e-10</x:v>
      </x:c>
      <x:c r="O121" s="28" t="n">
        <x:v>3.725290298461914e-9</x:v>
      </x:c>
      <x:c r="P121" s="28" t="n">
        <x:v>0</x:v>
      </x:c>
      <x:c r="Q121" s="62" t="b">
        <x:v>1</x:v>
      </x:c>
      <x:c r="R121" s="28" t="n">
        <x:v>0</x:v>
      </x:c>
      <x:c r="S121" s="28" t="str">
        <x:v>c1f10b557c388a09</x:v>
      </x:c>
    </x:row>
    <x:row r="122" ht="21" customHeight="1">
      <x:c r="A122" s="60" t="n">
        <x:v>0.6</x:v>
      </x:c>
      <x:c r="B122" s="28" t="str">
        <x:v>middle_high</x:v>
      </x:c>
      <x:c r="C122" s="60" t="n">
        <x:v>0.45</x:v>
      </x:c>
      <x:c r="D122" s="60" t="n">
        <x:v>0.45</x:v>
      </x:c>
      <x:c r="E122" s="62" t="b">
        <x:v>1</x:v>
      </x:c>
      <x:c r="F122" s="62" t="b">
        <x:v>1</x:v>
      </x:c>
      <x:c r="G122" s="85" t="n">
        <x:v>0</x:v>
      </x:c>
      <x:c r="H122" s="85" t="n">
        <x:v>0</x:v>
      </x:c>
      <x:c r="I122" s="85" t="n">
        <x:v>11875225.634750484</x:v>
      </x:c>
      <x:c r="J122" s="85" t="n">
        <x:v>9787603.877842072</x:v>
      </x:c>
      <x:c r="K122" s="85" t="n">
        <x:v>62864.568821918394</x:v>
      </x:c>
      <x:c r="L122" s="28" t="n">
        <x:v>0</x:v>
      </x:c>
      <x:c r="M122" s="28" t="n">
        <x:v>0</x:v>
      </x:c>
      <x:c r="N122" s="28" t="n">
        <x:v>9.313225746154785e-10</x:v>
      </x:c>
      <x:c r="O122" s="28" t="n">
        <x:v>1.862645149230957e-9</x:v>
      </x:c>
      <x:c r="P122" s="28" t="n">
        <x:v>0</x:v>
      </x:c>
      <x:c r="Q122" s="62" t="b">
        <x:v>1</x:v>
      </x:c>
      <x:c r="R122" s="28" t="n">
        <x:v>0</x:v>
      </x:c>
      <x:c r="S122" s="28" t="str">
        <x:v>74952ed4ea24f525</x:v>
      </x:c>
    </x:row>
    <x:row r="123" ht="21" customHeight="1">
      <x:c r="A123" s="60" t="n">
        <x:v>0.6</x:v>
      </x:c>
      <x:c r="B123" s="28" t="str">
        <x:v>middle_high</x:v>
      </x:c>
      <x:c r="C123" s="60" t="n">
        <x:v>0.5</x:v>
      </x:c>
      <x:c r="D123" s="60" t="n">
        <x:v>0.5</x:v>
      </x:c>
      <x:c r="E123" s="62" t="b">
        <x:v>1</x:v>
      </x:c>
      <x:c r="F123" s="62" t="b">
        <x:v>1</x:v>
      </x:c>
      <x:c r="G123" s="85" t="n">
        <x:v>0</x:v>
      </x:c>
      <x:c r="H123" s="85" t="n">
        <x:v>0</x:v>
      </x:c>
      <x:c r="I123" s="85" t="n">
        <x:v>13648515.142106965</x:v>
      </x:c>
      <x:c r="J123" s="85" t="n">
        <x:v>11349726.459438723</x:v>
      </x:c>
      <x:c r="K123" s="85" t="n">
        <x:v>55634.35945205426</x:v>
      </x:c>
      <x:c r="L123" s="28" t="n">
        <x:v>1</x:v>
      </x:c>
      <x:c r="M123" s="28" t="n">
        <x:v>0</x:v>
      </x:c>
      <x:c r="N123" s="28" t="n">
        <x:v>9.313225746154785e-10</x:v>
      </x:c>
      <x:c r="O123" s="28" t="n">
        <x:v>7.450580596923828e-9</x:v>
      </x:c>
      <x:c r="P123" s="28" t="n">
        <x:v>0</x:v>
      </x:c>
      <x:c r="Q123" s="62" t="b">
        <x:v>1</x:v>
      </x:c>
      <x:c r="R123" s="28" t="n">
        <x:v>0</x:v>
      </x:c>
      <x:c r="S123" s="28" t="str">
        <x:v>672d92466ef0e359</x:v>
      </x:c>
    </x:row>
    <x:row r="124" ht="21" customHeight="1">
      <x:c r="A124" s="60" t="n">
        <x:v>0.6</x:v>
      </x:c>
      <x:c r="B124" s="28" t="str">
        <x:v>middle_high</x:v>
      </x:c>
      <x:c r="C124" s="60" t="n">
        <x:v>0.55</x:v>
      </x:c>
      <x:c r="D124" s="60" t="n">
        <x:v>0.55</x:v>
      </x:c>
      <x:c r="E124" s="62" t="b">
        <x:v>1</x:v>
      </x:c>
      <x:c r="F124" s="62" t="b">
        <x:v>1</x:v>
      </x:c>
      <x:c r="G124" s="85" t="n">
        <x:v>0</x:v>
      </x:c>
      <x:c r="H124" s="85" t="n">
        <x:v>0</x:v>
      </x:c>
      <x:c r="I124" s="85" t="n">
        <x:v>15531606.941005224</x:v>
      </x:c>
      <x:c r="J124" s="85" t="n">
        <x:v>12319560.19951836</x:v>
      </x:c>
      <x:c r="K124" s="85" t="n">
        <x:v>48404.15008219221</x:v>
      </x:c>
      <x:c r="L124" s="28" t="n">
        <x:v>8</x:v>
      </x:c>
      <x:c r="M124" s="28" t="n">
        <x:v>0</x:v>
      </x:c>
      <x:c r="N124" s="28" t="n">
        <x:v>4.656612873077393e-10</x:v>
      </x:c>
      <x:c r="O124" s="28" t="n">
        <x:v>7.450580596923828e-9</x:v>
      </x:c>
      <x:c r="P124" s="28" t="n">
        <x:v>0</x:v>
      </x:c>
      <x:c r="Q124" s="62" t="b">
        <x:v>1</x:v>
      </x:c>
      <x:c r="R124" s="28" t="n">
        <x:v>0</x:v>
      </x:c>
      <x:c r="S124" s="28" t="str">
        <x:v>0226d9f482eb15be</x:v>
      </x:c>
    </x:row>
    <x:row r="125" ht="21" customHeight="1">
      <x:c r="A125" s="60" t="n">
        <x:v>0.6</x:v>
      </x:c>
      <x:c r="B125" s="28" t="str">
        <x:v>middle_high</x:v>
      </x:c>
      <x:c r="C125" s="60" t="n">
        <x:v>0.6</x:v>
      </x:c>
      <x:c r="D125" s="60" t="n">
        <x:v>0.6</x:v>
      </x:c>
      <x:c r="E125" s="62" t="b">
        <x:v>1</x:v>
      </x:c>
      <x:c r="F125" s="62" t="b">
        <x:v>1</x:v>
      </x:c>
      <x:c r="G125" s="85" t="n">
        <x:v>0</x:v>
      </x:c>
      <x:c r="H125" s="85" t="n">
        <x:v>0</x:v>
      </x:c>
      <x:c r="I125" s="85" t="n">
        <x:v>17291769.73744478</x:v>
      </x:c>
      <x:c r="J125" s="85" t="n">
        <x:v>13816786.859232087</x:v>
      </x:c>
      <x:c r="K125" s="85" t="n">
        <x:v>41173.940712328775</x:v>
      </x:c>
      <x:c r="L125" s="28" t="n">
        <x:v>12</x:v>
      </x:c>
      <x:c r="M125" s="28" t="n">
        <x:v>3</x:v>
      </x:c>
      <x:c r="N125" s="28" t="n">
        <x:v>4.656612873077393e-10</x:v>
      </x:c>
      <x:c r="O125" s="28" t="n">
        <x:v>3.725290298461914e-9</x:v>
      </x:c>
      <x:c r="P125" s="28" t="n">
        <x:v>0</x:v>
      </x:c>
      <x:c r="Q125" s="62" t="b">
        <x:v>1</x:v>
      </x:c>
      <x:c r="R125" s="28" t="n">
        <x:v>0</x:v>
      </x:c>
      <x:c r="S125" s="28" t="str">
        <x:v>bb7de712a827939f</x:v>
      </x:c>
    </x:row>
    <x:row r="126" ht="21" customHeight="1">
      <x:c r="A126" s="60" t="n">
        <x:v>0.6</x:v>
      </x:c>
      <x:c r="B126" s="28" t="str">
        <x:v>middle_high</x:v>
      </x:c>
      <x:c r="C126" s="60" t="n">
        <x:v>0.65</x:v>
      </x:c>
      <x:c r="D126" s="60" t="n">
        <x:v>0.65</x:v>
      </x:c>
      <x:c r="E126" s="62" t="b">
        <x:v>1</x:v>
      </x:c>
      <x:c r="F126" s="62" t="b">
        <x:v>1</x:v>
      </x:c>
      <x:c r="G126" s="85" t="n">
        <x:v>0</x:v>
      </x:c>
      <x:c r="H126" s="85" t="n">
        <x:v>0</x:v>
      </x:c>
      <x:c r="I126" s="85" t="n">
        <x:v>18973411.5954188</x:v>
      </x:c>
      <x:c r="J126" s="85" t="n">
        <x:v>15672936.866301779</x:v>
      </x:c>
      <x:c r="K126" s="85" t="n">
        <x:v>33943.73134246533</x:v>
      </x:c>
      <x:c r="L126" s="28" t="n">
        <x:v>16</x:v>
      </x:c>
      <x:c r="M126" s="28" t="n">
        <x:v>12</x:v>
      </x:c>
      <x:c r="N126" s="28" t="n">
        <x:v>4.656612873077393e-10</x:v>
      </x:c>
      <x:c r="O126" s="28" t="n">
        <x:v>1.862645149230957e-9</x:v>
      </x:c>
      <x:c r="P126" s="28" t="n">
        <x:v>0</x:v>
      </x:c>
      <x:c r="Q126" s="62" t="b">
        <x:v>1</x:v>
      </x:c>
      <x:c r="R126" s="28" t="n">
        <x:v>0</x:v>
      </x:c>
      <x:c r="S126" s="28" t="str">
        <x:v>13bbf67fe16c149d</x:v>
      </x:c>
    </x:row>
    <x:row r="127" ht="21" customHeight="1">
      <x:c r="A127" s="60" t="n">
        <x:v>0.6</x:v>
      </x:c>
      <x:c r="B127" s="28" t="str">
        <x:v>middle_high</x:v>
      </x:c>
      <x:c r="C127" s="60" t="n">
        <x:v>0.7</x:v>
      </x:c>
      <x:c r="D127" s="60" t="n">
        <x:v>0.7</x:v>
      </x:c>
      <x:c r="E127" s="62" t="b">
        <x:v>1</x:v>
      </x:c>
      <x:c r="F127" s="62" t="b">
        <x:v>0</x:v>
      </x:c>
      <x:c r="G127" s="85" t="n">
        <x:v>486718.27812702674</x:v>
      </x:c>
      <x:c r="H127" s="85" t="n">
        <x:v>1562795.9883492547</x:v>
      </x:c>
      <x:c r="I127" s="85" t="n">
        <x:v>19708780.459811013</x:v>
      </x:c>
      <x:c r="J127" s="85" t="n">
        <x:v>16723200.000000002</x:v>
      </x:c>
      <x:c r="K127" s="85" t="n">
        <x:v>26713.521972602128</x:v>
      </x:c>
      <x:c r="L127" s="28" t="n">
        <x:v>39</x:v>
      </x:c>
      <x:c r="M127" s="28" t="n">
        <x:v>36</x:v>
      </x:c>
      <x:c r="N127" s="28" t="n">
        <x:v>4.656612873077393e-10</x:v>
      </x:c>
      <x:c r="O127" s="28" t="n">
        <x:v>3.725290298461914e-9</x:v>
      </x:c>
      <x:c r="P127" s="28" t="n">
        <x:v>0</x:v>
      </x:c>
      <x:c r="Q127" s="62" t="b">
        <x:v>1</x:v>
      </x:c>
      <x:c r="R127" s="28" t="n">
        <x:v>0</x:v>
      </x:c>
      <x:c r="S127" s="28" t="str">
        <x:v>431663d2091b7698</x:v>
      </x:c>
    </x:row>
    <x:row r="128" ht="21" customHeight="1">
      <x:c r="A128" s="60" t="n">
        <x:v>0.6</x:v>
      </x:c>
      <x:c r="B128" s="28" t="str">
        <x:v>middle_high</x:v>
      </x:c>
      <x:c r="C128" s="60" t="n">
        <x:v>0.75</x:v>
      </x:c>
      <x:c r="D128" s="60" t="n">
        <x:v>0.75</x:v>
      </x:c>
      <x:c r="E128" s="62" t="b">
        <x:v>1</x:v>
      </x:c>
      <x:c r="F128" s="62" t="b">
        <x:v>0</x:v>
      </x:c>
      <x:c r="G128" s="85" t="n">
        <x:v>1295249.6902512154</x:v>
      </x:c>
      <x:c r="H128" s="85" t="n">
        <x:v>3910287.016168899</x:v>
      </x:c>
      <x:c r="I128" s="85" t="n">
        <x:v>20002123.560745068</x:v>
      </x:c>
      <x:c r="J128" s="85" t="n">
        <x:v>16723200.000000002</x:v>
      </x:c>
      <x:c r="K128" s="85" t="n">
        <x:v>20253.920547944996</x:v>
      </x:c>
      <x:c r="L128" s="28" t="n">
        <x:v>40</x:v>
      </x:c>
      <x:c r="M128" s="28" t="n">
        <x:v>37</x:v>
      </x:c>
      <x:c r="N128" s="28" t="n">
        <x:v>4.656612873077393e-10</x:v>
      </x:c>
      <x:c r="O128" s="28" t="n">
        <x:v>3.725290298461914e-9</x:v>
      </x:c>
      <x:c r="P128" s="28" t="n">
        <x:v>0</x:v>
      </x:c>
      <x:c r="Q128" s="62" t="b">
        <x:v>1</x:v>
      </x:c>
      <x:c r="R128" s="28" t="n">
        <x:v>0</x:v>
      </x:c>
      <x:c r="S128" s="28" t="str">
        <x:v>6b7044efb51c262c</x:v>
      </x:c>
    </x:row>
    <x:row r="129" ht="21" customHeight="1">
      <x:c r="A129" s="60" t="n">
        <x:v>0.6</x:v>
      </x:c>
      <x:c r="B129" s="28" t="str">
        <x:v>middle_high</x:v>
      </x:c>
      <x:c r="C129" s="60" t="n">
        <x:v>0.8</x:v>
      </x:c>
      <x:c r="D129" s="60" t="n">
        <x:v>0.8</x:v>
      </x:c>
      <x:c r="E129" s="62" t="b">
        <x:v>1</x:v>
      </x:c>
      <x:c r="F129" s="62" t="b">
        <x:v>0</x:v>
      </x:c>
      <x:c r="G129" s="85" t="n">
        <x:v>2142891.7152745416</x:v>
      </x:c>
      <x:c r="H129" s="85" t="n">
        <x:v>6065416.888377099</x:v>
      </x:c>
      <x:c r="I129" s="85" t="n">
        <x:v>20326552.444065753</x:v>
      </x:c>
      <x:c r="J129" s="85" t="n">
        <x:v>16723200.000000002</x:v>
      </x:c>
      <x:c r="K129" s="85" t="n">
        <x:v>17834.39999999971</x:v>
      </x:c>
      <x:c r="L129" s="28" t="n">
        <x:v>41</x:v>
      </x:c>
      <x:c r="M129" s="28" t="n">
        <x:v>38</x:v>
      </x:c>
      <x:c r="N129" s="28" t="n">
        <x:v>4.656612873077393e-10</x:v>
      </x:c>
      <x:c r="O129" s="28" t="n">
        <x:v>1.862645149230957e-9</x:v>
      </x:c>
      <x:c r="P129" s="28" t="n">
        <x:v>0</x:v>
      </x:c>
      <x:c r="Q129" s="62" t="b">
        <x:v>1</x:v>
      </x:c>
      <x:c r="R129" s="28" t="n">
        <x:v>0</x:v>
      </x:c>
      <x:c r="S129" s="28" t="str">
        <x:v>1a49379152f8d2d1</x:v>
      </x:c>
    </x:row>
    <x:row r="130" ht="21" customHeight="1">
      <x:c r="A130" s="60" t="n">
        <x:v>0.6</x:v>
      </x:c>
      <x:c r="B130" s="28" t="str">
        <x:v>middle_high</x:v>
      </x:c>
      <x:c r="C130" s="60" t="n">
        <x:v>0.85</x:v>
      </x:c>
      <x:c r="D130" s="60" t="n">
        <x:v>0.85</x:v>
      </x:c>
      <x:c r="E130" s="62" t="b">
        <x:v>1</x:v>
      </x:c>
      <x:c r="F130" s="62" t="b">
        <x:v>0</x:v>
      </x:c>
      <x:c r="G130" s="85" t="n">
        <x:v>3151987.0107074017</x:v>
      </x:c>
      <x:c r="H130" s="85" t="n">
        <x:v>8472197.6914585</x:v>
      </x:c>
      <x:c r="I130" s="85" t="n">
        <x:v>20390365.89873767</x:v>
      </x:c>
      <x:c r="J130" s="85" t="n">
        <x:v>16723200.000000002</x:v>
      </x:c>
      <x:c r="K130" s="85" t="n">
        <x:v>15414.879452054658</x:v>
      </x:c>
      <x:c r="L130" s="28" t="n">
        <x:v>41</x:v>
      </x:c>
      <x:c r="M130" s="28" t="n">
        <x:v>38</x:v>
      </x:c>
      <x:c r="N130" s="28" t="n">
        <x:v>4.656612873077393e-10</x:v>
      </x:c>
      <x:c r="O130" s="28" t="n">
        <x:v>3.725290298461914e-9</x:v>
      </x:c>
      <x:c r="P130" s="28" t="n">
        <x:v>0</x:v>
      </x:c>
      <x:c r="Q130" s="62" t="b">
        <x:v>1</x:v>
      </x:c>
      <x:c r="R130" s="28" t="n">
        <x:v>0</x:v>
      </x:c>
      <x:c r="S130" s="28" t="str">
        <x:v>6e44e49ab2d95592</x:v>
      </x:c>
    </x:row>
    <x:row r="131" ht="21" customHeight="1">
      <x:c r="A131" s="60" t="n">
        <x:v>0.6</x:v>
      </x:c>
      <x:c r="B131" s="28" t="str">
        <x:v>middle_high</x:v>
      </x:c>
      <x:c r="C131" s="60" t="n">
        <x:v>0.9</x:v>
      </x:c>
      <x:c r="D131" s="60" t="n">
        <x:v>0.9</x:v>
      </x:c>
      <x:c r="E131" s="62" t="b">
        <x:v>1</x:v>
      </x:c>
      <x:c r="F131" s="62" t="b">
        <x:v>0</x:v>
      </x:c>
      <x:c r="G131" s="85" t="n">
        <x:v>4388976.987664457</x:v>
      </x:c>
      <x:c r="H131" s="85" t="n">
        <x:v>10071842.446951078</x:v>
      </x:c>
      <x:c r="I131" s="85" t="n">
        <x:v>20688886.876914904</x:v>
      </x:c>
      <x:c r="J131" s="85" t="n">
        <x:v>16723200.000000002</x:v>
      </x:c>
      <x:c r="K131" s="85" t="n">
        <x:v>12995.358904109373</x:v>
      </x:c>
      <x:c r="L131" s="28" t="n">
        <x:v>42</x:v>
      </x:c>
      <x:c r="M131" s="28" t="n">
        <x:v>39</x:v>
      </x:c>
      <x:c r="N131" s="28" t="n">
        <x:v>4.656612873077393e-10</x:v>
      </x:c>
      <x:c r="O131" s="28" t="n">
        <x:v>3.725290298461914e-9</x:v>
      </x:c>
      <x:c r="P131" s="28" t="n">
        <x:v>0</x:v>
      </x:c>
      <x:c r="Q131" s="62" t="b">
        <x:v>1</x:v>
      </x:c>
      <x:c r="R131" s="28" t="n">
        <x:v>0</x:v>
      </x:c>
      <x:c r="S131" s="28" t="str">
        <x:v>ec6f1b24962ee11a</x:v>
      </x:c>
    </x:row>
    <x:row r="132" ht="21" customHeight="1">
      <x:c r="A132" s="60" t="n">
        <x:v>0.6</x:v>
      </x:c>
      <x:c r="B132" s="28" t="str">
        <x:v>middle_high</x:v>
      </x:c>
      <x:c r="C132" s="60" t="n">
        <x:v>0.95</x:v>
      </x:c>
      <x:c r="D132" s="60" t="n">
        <x:v>0.9270639118581285</x:v>
      </x:c>
      <x:c r="E132" s="62" t="b">
        <x:v>0</x:v>
      </x:c>
      <x:c r="F132" s="62" t="b">
        <x:v>0</x:v>
      </x:c>
      <x:c r="G132" s="85" t="n">
        <x:v>5012168.313223527</x:v>
      </x:c>
      <x:c r="H132" s="85" t="n">
        <x:v>11215718.984331883</x:v>
      </x:c>
      <x:c r="I132" s="85" t="n">
        <x:v>20734427.25780896</x:v>
      </x:c>
      <x:c r="J132" s="85" t="n">
        <x:v>16723200.000000002</x:v>
      </x:c>
      <x:c r="K132" s="85" t="n">
        <x:v>10575.838356164553</x:v>
      </x:c>
      <x:c r="L132" s="28" t="n">
        <x:v>42</x:v>
      </x:c>
      <x:c r="M132" s="28" t="n">
        <x:v>40</x:v>
      </x:c>
      <x:c r="N132" s="28" t="n">
        <x:v>4.656612873077393e-10</x:v>
      </x:c>
      <x:c r="O132" s="28" t="n">
        <x:v>3.725290298461914e-9</x:v>
      </x:c>
      <x:c r="P132" s="28" t="n">
        <x:v>0</x:v>
      </x:c>
      <x:c r="Q132" s="62" t="b">
        <x:v>1</x:v>
      </x:c>
      <x:c r="R132" s="28" t="n">
        <x:v>1278549.2973804846</x:v>
      </x:c>
      <x:c r="S132" s="28" t="str">
        <x:v>2f2ac6ece91307e0</x:v>
      </x:c>
    </x:row>
    <x:row r="133" ht="21" customHeight="1">
      <x:c r="A133" s="60" t="n">
        <x:v>0.6</x:v>
      </x:c>
      <x:c r="B133" s="28" t="str">
        <x:v>middle_high</x:v>
      </x:c>
      <x:c r="C133" s="60" t="n">
        <x:v>1</x:v>
      </x:c>
      <x:c r="D133" s="60" t="n">
        <x:v>0.9427455891708479</x:v>
      </x:c>
      <x:c r="E133" s="62" t="b">
        <x:v>0</x:v>
      </x:c>
      <x:c r="F133" s="62" t="b">
        <x:v>0</x:v>
      </x:c>
      <x:c r="G133" s="85" t="n">
        <x:v>5600076.430343034</x:v>
      </x:c>
      <x:c r="H133" s="85" t="n">
        <x:v>11985461.862790091</x:v>
      </x:c>
      <x:c r="I133" s="85" t="n">
        <x:v>20784778.83114137</x:v>
      </x:c>
      <x:c r="J133" s="85" t="n">
        <x:v>16723200.000000002</x:v>
      </x:c>
      <x:c r="K133" s="85" t="n">
        <x:v>8156.317808219268</x:v>
      </x:c>
      <x:c r="L133" s="28" t="n">
        <x:v>42</x:v>
      </x:c>
      <x:c r="M133" s="28" t="n">
        <x:v>40</x:v>
      </x:c>
      <x:c r="N133" s="28" t="n">
        <x:v>2.3283064365386963e-10</x:v>
      </x:c>
      <x:c r="O133" s="28" t="n">
        <x:v>9.313225746154785e-10</x:v>
      </x:c>
      <x:c r="P133" s="28" t="n">
        <x:v>0</x:v>
      </x:c>
      <x:c r="Q133" s="62" t="b">
        <x:v>1</x:v>
      </x:c>
      <x:c r="R133" s="28" t="n">
        <x:v>3191589.877260253</x:v>
      </x:c>
      <x:c r="S133" s="28" t="str">
        <x:v>cc3e658949a1017a</x:v>
      </x:c>
    </x:row>
    <x:row r="134" ht="21" customHeight="1">
      <x:c r="A134" s="60" t="n">
        <x:v>0.6</x:v>
      </x:c>
      <x:c r="B134" s="28" t="str">
        <x:v>back_flat</x:v>
      </x:c>
      <x:c r="C134" s="60" t="n">
        <x:v>0</x:v>
      </x:c>
      <x:c r="D134" s="60" t="n">
        <x:v>0</x:v>
      </x:c>
      <x:c r="E134" s="62" t="b">
        <x:v>1</x:v>
      </x:c>
      <x:c r="F134" s="62" t="b">
        <x:v>1</x:v>
      </x:c>
      <x:c r="G134" s="85" t="n">
        <x:v>0</x:v>
      </x:c>
      <x:c r="H134" s="85" t="n">
        <x:v>0</x:v>
      </x:c>
      <x:c r="I134" s="85" t="n">
        <x:v>0</x:v>
      </x:c>
      <x:c r="J134" s="85" t="n">
        <x:v>0</x:v>
      </x:c>
      <x:c r="K134" s="85" t="n">
        <x:v>5516516.670684932</x:v>
      </x:c>
      <x:c r="L134" s="28" t="n">
        <x:v>0</x:v>
      </x:c>
      <x:c r="M134" s="28" t="n">
        <x:v>0</x:v>
      </x:c>
      <x:c r="N134" s="28" t="n">
        <x:v>9.313225746154785e-10</x:v>
      </x:c>
      <x:c r="O134" s="28" t="n">
        <x:v>0</x:v>
      </x:c>
      <x:c r="P134" s="28" t="n">
        <x:v>0</x:v>
      </x:c>
      <x:c r="Q134" s="62" t="b">
        <x:v>1</x:v>
      </x:c>
      <x:c r="R134" s="28" t="n">
        <x:v>0</x:v>
      </x:c>
      <x:c r="S134" s="28" t="str">
        <x:v>678f1944664a5c3d</x:v>
      </x:c>
    </x:row>
    <x:row r="135" ht="21" customHeight="1">
      <x:c r="A135" s="60" t="n">
        <x:v>0.6</x:v>
      </x:c>
      <x:c r="B135" s="28" t="str">
        <x:v>back_flat</x:v>
      </x:c>
      <x:c r="C135" s="60" t="n">
        <x:v>0.05</x:v>
      </x:c>
      <x:c r="D135" s="60" t="n">
        <x:v>0.05</x:v>
      </x:c>
      <x:c r="E135" s="62" t="b">
        <x:v>1</x:v>
      </x:c>
      <x:c r="F135" s="62" t="b">
        <x:v>1</x:v>
      </x:c>
      <x:c r="G135" s="85" t="n">
        <x:v>0</x:v>
      </x:c>
      <x:c r="H135" s="85" t="n">
        <x:v>0</x:v>
      </x:c>
      <x:c r="I135" s="85" t="n">
        <x:v>0</x:v>
      </x:c>
      <x:c r="J135" s="85" t="n">
        <x:v>0</x:v>
      </x:c>
      <x:c r="K135" s="85" t="n">
        <x:v>3317974.978725917</x:v>
      </x:c>
      <x:c r="L135" s="28" t="n">
        <x:v>0</x:v>
      </x:c>
      <x:c r="M135" s="28" t="n">
        <x:v>0</x:v>
      </x:c>
      <x:c r="N135" s="28" t="n">
        <x:v>4.656612873077393e-10</x:v>
      </x:c>
      <x:c r="O135" s="28" t="n">
        <x:v>7.450580596923828e-9</x:v>
      </x:c>
      <x:c r="P135" s="28" t="n">
        <x:v>0</x:v>
      </x:c>
      <x:c r="Q135" s="62" t="b">
        <x:v>1</x:v>
      </x:c>
      <x:c r="R135" s="28" t="n">
        <x:v>0</x:v>
      </x:c>
      <x:c r="S135" s="28" t="str">
        <x:v>038738e3cc13a39b</x:v>
      </x:c>
    </x:row>
    <x:row r="136" ht="21" customHeight="1">
      <x:c r="A136" s="60" t="n">
        <x:v>0.6</x:v>
      </x:c>
      <x:c r="B136" s="28" t="str">
        <x:v>back_flat</x:v>
      </x:c>
      <x:c r="C136" s="60" t="n">
        <x:v>0.1</x:v>
      </x:c>
      <x:c r="D136" s="60" t="n">
        <x:v>0.1</x:v>
      </x:c>
      <x:c r="E136" s="62" t="b">
        <x:v>1</x:v>
      </x:c>
      <x:c r="F136" s="62" t="b">
        <x:v>1</x:v>
      </x:c>
      <x:c r="G136" s="85" t="n">
        <x:v>0</x:v>
      </x:c>
      <x:c r="H136" s="85" t="n">
        <x:v>0</x:v>
      </x:c>
      <x:c r="I136" s="85" t="n">
        <x:v>0</x:v>
      </x:c>
      <x:c r="J136" s="85" t="n">
        <x:v>0</x:v>
      </x:c>
      <x:c r="K136" s="85" t="n">
        <x:v>1119433.286766917</x:v>
      </x:c>
      <x:c r="L136" s="28" t="n">
        <x:v>0</x:v>
      </x:c>
      <x:c r="M136" s="28" t="n">
        <x:v>0</x:v>
      </x:c>
      <x:c r="N136" s="28" t="n">
        <x:v>9.313225746154785e-10</x:v>
      </x:c>
      <x:c r="O136" s="28" t="n">
        <x:v>7.450580596923828e-9</x:v>
      </x:c>
      <x:c r="P136" s="28" t="n">
        <x:v>0</x:v>
      </x:c>
      <x:c r="Q136" s="62" t="b">
        <x:v>1</x:v>
      </x:c>
      <x:c r="R136" s="28" t="n">
        <x:v>0</x:v>
      </x:c>
      <x:c r="S136" s="28" t="str">
        <x:v>16314331ef694c6c</x:v>
      </x:c>
    </x:row>
    <x:row r="137" ht="21" customHeight="1">
      <x:c r="A137" s="60" t="n">
        <x:v>0.6</x:v>
      </x:c>
      <x:c r="B137" s="28" t="str">
        <x:v>back_flat</x:v>
      </x:c>
      <x:c r="C137" s="60" t="n">
        <x:v>0.15</x:v>
      </x:c>
      <x:c r="D137" s="60" t="n">
        <x:v>0.15</x:v>
      </x:c>
      <x:c r="E137" s="62" t="b">
        <x:v>1</x:v>
      </x:c>
      <x:c r="F137" s="62" t="b">
        <x:v>1</x:v>
      </x:c>
      <x:c r="G137" s="85" t="n">
        <x:v>0</x:v>
      </x:c>
      <x:c r="H137" s="85" t="n">
        <x:v>0</x:v>
      </x:c>
      <x:c r="I137" s="85" t="n">
        <x:v>997481.0969037355</x:v>
      </x:c>
      <x:c r="J137" s="85" t="n">
        <x:v>0</x:v>
      </x:c>
      <x:c r="K137" s="85" t="n">
        <x:v>87080.57075046629</x:v>
      </x:c>
      <x:c r="L137" s="28" t="n">
        <x:v>0</x:v>
      </x:c>
      <x:c r="M137" s="28" t="n">
        <x:v>0</x:v>
      </x:c>
      <x:c r="N137" s="28" t="n">
        <x:v>9.313225746154785e-10</x:v>
      </x:c>
      <x:c r="O137" s="28" t="n">
        <x:v>7.450580596923828e-9</x:v>
      </x:c>
      <x:c r="P137" s="28" t="n">
        <x:v>0</x:v>
      </x:c>
      <x:c r="Q137" s="62" t="b">
        <x:v>1</x:v>
      </x:c>
      <x:c r="R137" s="28" t="n">
        <x:v>0</x:v>
      </x:c>
      <x:c r="S137" s="28" t="str">
        <x:v>b5e73203c06fbe87</x:v>
      </x:c>
    </x:row>
    <x:row r="138" ht="21" customHeight="1">
      <x:c r="A138" s="60" t="n">
        <x:v>0.6</x:v>
      </x:c>
      <x:c r="B138" s="28" t="str">
        <x:v>back_flat</x:v>
      </x:c>
      <x:c r="C138" s="60" t="n">
        <x:v>0.2</x:v>
      </x:c>
      <x:c r="D138" s="60" t="n">
        <x:v>0.2</x:v>
      </x:c>
      <x:c r="E138" s="62" t="b">
        <x:v>1</x:v>
      </x:c>
      <x:c r="F138" s="62" t="b">
        <x:v>1</x:v>
      </x:c>
      <x:c r="G138" s="85" t="n">
        <x:v>0</x:v>
      </x:c>
      <x:c r="H138" s="85" t="n">
        <x:v>0</x:v>
      </x:c>
      <x:c r="I138" s="85" t="n">
        <x:v>2502451.251076301</x:v>
      </x:c>
      <x:c r="J138" s="85" t="n">
        <x:v>1245718.9057329397</x:v>
      </x:c>
      <x:c r="K138" s="85" t="n">
        <x:v>62688.933205479625</x:v>
      </x:c>
      <x:c r="L138" s="28" t="n">
        <x:v>0</x:v>
      </x:c>
      <x:c r="M138" s="28" t="n">
        <x:v>0</x:v>
      </x:c>
      <x:c r="N138" s="28" t="n">
        <x:v>2.3283064365386963e-10</x:v>
      </x:c>
      <x:c r="O138" s="28" t="n">
        <x:v>7.450580596923828e-9</x:v>
      </x:c>
      <x:c r="P138" s="28" t="n">
        <x:v>0</x:v>
      </x:c>
      <x:c r="Q138" s="62" t="b">
        <x:v>1</x:v>
      </x:c>
      <x:c r="R138" s="28" t="n">
        <x:v>0</x:v>
      </x:c>
      <x:c r="S138" s="28" t="str">
        <x:v>7486f803f01bd14b</x:v>
      </x:c>
    </x:row>
    <x:row r="139" ht="21" customHeight="1">
      <x:c r="A139" s="60" t="n">
        <x:v>0.6</x:v>
      </x:c>
      <x:c r="B139" s="28" t="str">
        <x:v>back_flat</x:v>
      </x:c>
      <x:c r="C139" s="60" t="n">
        <x:v>0.25</x:v>
      </x:c>
      <x:c r="D139" s="60" t="n">
        <x:v>0.25</x:v>
      </x:c>
      <x:c r="E139" s="62" t="b">
        <x:v>1</x:v>
      </x:c>
      <x:c r="F139" s="62" t="b">
        <x:v>1</x:v>
      </x:c>
      <x:c r="G139" s="85" t="n">
        <x:v>0</x:v>
      </x:c>
      <x:c r="H139" s="85" t="n">
        <x:v>0</x:v>
      </x:c>
      <x:c r="I139" s="85" t="n">
        <x:v>3678157.617346763</x:v>
      </x:c>
      <x:c r="J139" s="85" t="n">
        <x:v>2950748.6321661957</x:v>
      </x:c>
      <x:c r="K139" s="85" t="n">
        <x:v>50945.816506849376</x:v>
      </x:c>
      <x:c r="L139" s="28" t="n">
        <x:v>0</x:v>
      </x:c>
      <x:c r="M139" s="28" t="n">
        <x:v>0</x:v>
      </x:c>
      <x:c r="N139" s="28" t="n">
        <x:v>9.313225746154785e-10</x:v>
      </x:c>
      <x:c r="O139" s="28" t="n">
        <x:v>7.450580596923828e-9</x:v>
      </x:c>
      <x:c r="P139" s="28" t="n">
        <x:v>0</x:v>
      </x:c>
      <x:c r="Q139" s="62" t="b">
        <x:v>1</x:v>
      </x:c>
      <x:c r="R139" s="28" t="n">
        <x:v>0</x:v>
      </x:c>
      <x:c r="S139" s="28" t="str">
        <x:v>b4558552bfa5f681</x:v>
      </x:c>
    </x:row>
    <x:row r="140" ht="21" customHeight="1">
      <x:c r="A140" s="60" t="n">
        <x:v>0.6</x:v>
      </x:c>
      <x:c r="B140" s="28" t="str">
        <x:v>back_flat</x:v>
      </x:c>
      <x:c r="C140" s="60" t="n">
        <x:v>0.3</x:v>
      </x:c>
      <x:c r="D140" s="60" t="n">
        <x:v>0.3</x:v>
      </x:c>
      <x:c r="E140" s="62" t="b">
        <x:v>1</x:v>
      </x:c>
      <x:c r="F140" s="62" t="b">
        <x:v>1</x:v>
      </x:c>
      <x:c r="G140" s="85" t="n">
        <x:v>0</x:v>
      </x:c>
      <x:c r="H140" s="85" t="n">
        <x:v>0</x:v>
      </x:c>
      <x:c r="I140" s="85" t="n">
        <x:v>4867266.776262287</x:v>
      </x:c>
      <x:c r="J140" s="85" t="n">
        <x:v>4655778.3585994225</x:v>
      </x:c>
      <x:c r="K140" s="85" t="n">
        <x:v>39202.699808219244</x:v>
      </x:c>
      <x:c r="L140" s="28" t="n">
        <x:v>0</x:v>
      </x:c>
      <x:c r="M140" s="28" t="n">
        <x:v>0</x:v>
      </x:c>
      <x:c r="N140" s="28" t="n">
        <x:v>4.656612873077393e-10</x:v>
      </x:c>
      <x:c r="O140" s="28" t="n">
        <x:v>7.450580596923828e-9</x:v>
      </x:c>
      <x:c r="P140" s="28" t="n">
        <x:v>0</x:v>
      </x:c>
      <x:c r="Q140" s="62" t="b">
        <x:v>1</x:v>
      </x:c>
      <x:c r="R140" s="28" t="n">
        <x:v>0</x:v>
      </x:c>
      <x:c r="S140" s="28" t="str">
        <x:v>f6ce4928520a5129</x:v>
      </x:c>
    </x:row>
    <x:row r="141" ht="21" customHeight="1">
      <x:c r="A141" s="60" t="n">
        <x:v>0.6</x:v>
      </x:c>
      <x:c r="B141" s="28" t="str">
        <x:v>back_flat</x:v>
      </x:c>
      <x:c r="C141" s="60" t="n">
        <x:v>0.35</x:v>
      </x:c>
      <x:c r="D141" s="60" t="n">
        <x:v>0.35</x:v>
      </x:c>
      <x:c r="E141" s="62" t="b">
        <x:v>1</x:v>
      </x:c>
      <x:c r="F141" s="62" t="b">
        <x:v>1</x:v>
      </x:c>
      <x:c r="G141" s="85" t="n">
        <x:v>0</x:v>
      </x:c>
      <x:c r="H141" s="85" t="n">
        <x:v>0</x:v>
      </x:c>
      <x:c r="I141" s="85" t="n">
        <x:v>6057839.768146691</x:v>
      </x:c>
      <x:c r="J141" s="85" t="n">
        <x:v>6360808.085032656</x:v>
      </x:c>
      <x:c r="K141" s="85" t="n">
        <x:v>29358.882780821747</x:v>
      </x:c>
      <x:c r="L141" s="28" t="n">
        <x:v>0</x:v>
      </x:c>
      <x:c r="M141" s="28" t="n">
        <x:v>0</x:v>
      </x:c>
      <x:c r="N141" s="28" t="n">
        <x:v>2.3283064365386963e-10</x:v>
      </x:c>
      <x:c r="O141" s="28" t="n">
        <x:v>3.725290298461914e-9</x:v>
      </x:c>
      <x:c r="P141" s="28" t="n">
        <x:v>0</x:v>
      </x:c>
      <x:c r="Q141" s="62" t="b">
        <x:v>1</x:v>
      </x:c>
      <x:c r="R141" s="28" t="n">
        <x:v>0</x:v>
      </x:c>
      <x:c r="S141" s="28" t="str">
        <x:v>1cd33419ec950b03</x:v>
      </x:c>
    </x:row>
    <x:row r="142" ht="21" customHeight="1">
      <x:c r="A142" s="60" t="n">
        <x:v>0.6</x:v>
      </x:c>
      <x:c r="B142" s="28" t="str">
        <x:v>back_flat</x:v>
      </x:c>
      <x:c r="C142" s="60" t="n">
        <x:v>0.4</x:v>
      </x:c>
      <x:c r="D142" s="60" t="n">
        <x:v>0.4</x:v>
      </x:c>
      <x:c r="E142" s="62" t="b">
        <x:v>1</x:v>
      </x:c>
      <x:c r="F142" s="62" t="b">
        <x:v>1</x:v>
      </x:c>
      <x:c r="G142" s="85" t="n">
        <x:v>0</x:v>
      </x:c>
      <x:c r="H142" s="85" t="n">
        <x:v>0</x:v>
      </x:c>
      <x:c r="I142" s="85" t="n">
        <x:v>7258940.385044371</x:v>
      </x:c>
      <x:c r="J142" s="85" t="n">
        <x:v>8065837.811465903</x:v>
      </x:c>
      <x:c r="K142" s="85" t="n">
        <x:v>25784.432219178303</x:v>
      </x:c>
      <x:c r="L142" s="28" t="n">
        <x:v>0</x:v>
      </x:c>
      <x:c r="M142" s="28" t="n">
        <x:v>0</x:v>
      </x:c>
      <x:c r="N142" s="28" t="n">
        <x:v>9.313225746154785e-10</x:v>
      </x:c>
      <x:c r="O142" s="28" t="n">
        <x:v>7.450580596923828e-9</x:v>
      </x:c>
      <x:c r="P142" s="28" t="n">
        <x:v>0</x:v>
      </x:c>
      <x:c r="Q142" s="62" t="b">
        <x:v>1</x:v>
      </x:c>
      <x:c r="R142" s="28" t="n">
        <x:v>0</x:v>
      </x:c>
      <x:c r="S142" s="28" t="str">
        <x:v>480b6e0bc8451b0c</x:v>
      </x:c>
    </x:row>
    <x:row r="143" ht="21" customHeight="1">
      <x:c r="A143" s="60" t="n">
        <x:v>0.6</x:v>
      </x:c>
      <x:c r="B143" s="28" t="str">
        <x:v>back_flat</x:v>
      </x:c>
      <x:c r="C143" s="60" t="n">
        <x:v>0.45</x:v>
      </x:c>
      <x:c r="D143" s="60" t="n">
        <x:v>0.45</x:v>
      </x:c>
      <x:c r="E143" s="62" t="b">
        <x:v>1</x:v>
      </x:c>
      <x:c r="F143" s="62" t="b">
        <x:v>1</x:v>
      </x:c>
      <x:c r="G143" s="85" t="n">
        <x:v>0</x:v>
      </x:c>
      <x:c r="H143" s="85" t="n">
        <x:v>0</x:v>
      </x:c>
      <x:c r="I143" s="85" t="n">
        <x:v>8460041.001942035</x:v>
      </x:c>
      <x:c r="J143" s="85" t="n">
        <x:v>9770867.53789914</x:v>
      </x:c>
      <x:c r="K143" s="85" t="n">
        <x:v>22209.981657533808</x:v>
      </x:c>
      <x:c r="L143" s="28" t="n">
        <x:v>0</x:v>
      </x:c>
      <x:c r="M143" s="28" t="n">
        <x:v>0</x:v>
      </x:c>
      <x:c r="N143" s="28" t="n">
        <x:v>4.656612873077393e-10</x:v>
      </x:c>
      <x:c r="O143" s="28" t="n">
        <x:v>7.450580596923828e-9</x:v>
      </x:c>
      <x:c r="P143" s="28" t="n">
        <x:v>0</x:v>
      </x:c>
      <x:c r="Q143" s="62" t="b">
        <x:v>1</x:v>
      </x:c>
      <x:c r="R143" s="28" t="n">
        <x:v>0</x:v>
      </x:c>
      <x:c r="S143" s="28" t="str">
        <x:v>64664459c90570fa</x:v>
      </x:c>
    </x:row>
    <x:row r="144" ht="21" customHeight="1">
      <x:c r="A144" s="60" t="n">
        <x:v>0.6</x:v>
      </x:c>
      <x:c r="B144" s="28" t="str">
        <x:v>back_flat</x:v>
      </x:c>
      <x:c r="C144" s="60" t="n">
        <x:v>0.5</x:v>
      </x:c>
      <x:c r="D144" s="60" t="n">
        <x:v>0.5</x:v>
      </x:c>
      <x:c r="E144" s="62" t="b">
        <x:v>1</x:v>
      </x:c>
      <x:c r="F144" s="62" t="b">
        <x:v>1</x:v>
      </x:c>
      <x:c r="G144" s="85" t="n">
        <x:v>0</x:v>
      </x:c>
      <x:c r="H144" s="85" t="n">
        <x:v>0</x:v>
      </x:c>
      <x:c r="I144" s="85" t="n">
        <x:v>9677220.809523134</x:v>
      </x:c>
      <x:c r="J144" s="85" t="n">
        <x:v>11423106.543437118</x:v>
      </x:c>
      <x:c r="K144" s="85" t="n">
        <x:v>18635.53109589013</x:v>
      </x:c>
      <x:c r="L144" s="28" t="n">
        <x:v>1</x:v>
      </x:c>
      <x:c r="M144" s="28" t="n">
        <x:v>0</x:v>
      </x:c>
      <x:c r="N144" s="28" t="n">
        <x:v>9.313225746154785e-10</x:v>
      </x:c>
      <x:c r="O144" s="28" t="n">
        <x:v>1.862645149230957e-9</x:v>
      </x:c>
      <x:c r="P144" s="28" t="n">
        <x:v>0</x:v>
      </x:c>
      <x:c r="Q144" s="62" t="b">
        <x:v>1</x:v>
      </x:c>
      <x:c r="R144" s="28" t="n">
        <x:v>0</x:v>
      </x:c>
      <x:c r="S144" s="28" t="str">
        <x:v>1fc910588b8fe5e3</x:v>
      </x:c>
    </x:row>
    <x:row r="145" ht="21" customHeight="1">
      <x:c r="A145" s="60" t="n">
        <x:v>0.6</x:v>
      </x:c>
      <x:c r="B145" s="28" t="str">
        <x:v>back_flat</x:v>
      </x:c>
      <x:c r="C145" s="60" t="n">
        <x:v>0.55</x:v>
      </x:c>
      <x:c r="D145" s="60" t="n">
        <x:v>0.55</x:v>
      </x:c>
      <x:c r="E145" s="62" t="b">
        <x:v>1</x:v>
      </x:c>
      <x:c r="F145" s="62" t="b">
        <x:v>1</x:v>
      </x:c>
      <x:c r="G145" s="85" t="n">
        <x:v>0</x:v>
      </x:c>
      <x:c r="H145" s="85" t="n">
        <x:v>0</x:v>
      </x:c>
      <x:c r="I145" s="85" t="n">
        <x:v>11021003.261531789</x:v>
      </x:c>
      <x:c r="J145" s="85" t="n">
        <x:v>12780117.496691575</x:v>
      </x:c>
      <x:c r="K145" s="85" t="n">
        <x:v>15061.080534246914</x:v>
      </x:c>
      <x:c r="L145" s="28" t="n">
        <x:v>6</x:v>
      </x:c>
      <x:c r="M145" s="28" t="n">
        <x:v>0</x:v>
      </x:c>
      <x:c r="N145" s="28" t="n">
        <x:v>4.656612873077393e-10</x:v>
      </x:c>
      <x:c r="O145" s="28" t="n">
        <x:v>7.450580596923828e-9</x:v>
      </x:c>
      <x:c r="P145" s="28" t="n">
        <x:v>0</x:v>
      </x:c>
      <x:c r="Q145" s="62" t="b">
        <x:v>1</x:v>
      </x:c>
      <x:c r="R145" s="28" t="n">
        <x:v>0</x:v>
      </x:c>
      <x:c r="S145" s="28" t="str">
        <x:v>cba68e52a9e1fd00</x:v>
      </x:c>
    </x:row>
    <x:row r="146" ht="21" customHeight="1">
      <x:c r="A146" s="60" t="n">
        <x:v>0.6</x:v>
      </x:c>
      <x:c r="B146" s="28" t="str">
        <x:v>back_flat</x:v>
      </x:c>
      <x:c r="C146" s="60" t="n">
        <x:v>0.6</x:v>
      </x:c>
      <x:c r="D146" s="60" t="n">
        <x:v>0.6</x:v>
      </x:c>
      <x:c r="E146" s="62" t="b">
        <x:v>1</x:v>
      </x:c>
      <x:c r="F146" s="62" t="b">
        <x:v>1</x:v>
      </x:c>
      <x:c r="G146" s="85" t="n">
        <x:v>0</x:v>
      </x:c>
      <x:c r="H146" s="85" t="n">
        <x:v>0</x:v>
      </x:c>
      <x:c r="I146" s="85" t="n">
        <x:v>12201210.417300498</x:v>
      </x:c>
      <x:c r="J146" s="85" t="n">
        <x:v>14469546.726164883</x:v>
      </x:c>
      <x:c r="K146" s="85" t="n">
        <x:v>11486.629972602885</x:v>
      </x:c>
      <x:c r="L146" s="28" t="n">
        <x:v>9</x:v>
      </x:c>
      <x:c r="M146" s="28" t="n">
        <x:v>4</x:v>
      </x:c>
      <x:c r="N146" s="28" t="n">
        <x:v>4.656612873077393e-10</x:v>
      </x:c>
      <x:c r="O146" s="28" t="n">
        <x:v>7.450580596923828e-9</x:v>
      </x:c>
      <x:c r="P146" s="28" t="n">
        <x:v>0</x:v>
      </x:c>
      <x:c r="Q146" s="62" t="b">
        <x:v>1</x:v>
      </x:c>
      <x:c r="R146" s="28" t="n">
        <x:v>0</x:v>
      </x:c>
      <x:c r="S146" s="28" t="str">
        <x:v>69226ab5bdc9b82f</x:v>
      </x:c>
    </x:row>
    <x:row r="147" ht="21" customHeight="1">
      <x:c r="A147" s="60" t="n">
        <x:v>0.6</x:v>
      </x:c>
      <x:c r="B147" s="28" t="str">
        <x:v>back_flat</x:v>
      </x:c>
      <x:c r="C147" s="60" t="n">
        <x:v>0.65</x:v>
      </x:c>
      <x:c r="D147" s="60" t="n">
        <x:v>0.65</x:v>
      </x:c>
      <x:c r="E147" s="62" t="b">
        <x:v>1</x:v>
      </x:c>
      <x:c r="F147" s="62" t="b">
        <x:v>1</x:v>
      </x:c>
      <x:c r="G147" s="85" t="n">
        <x:v>0</x:v>
      </x:c>
      <x:c r="H147" s="85" t="n">
        <x:v>0</x:v>
      </x:c>
      <x:c r="I147" s="85" t="n">
        <x:v>13408836.590995386</x:v>
      </x:c>
      <x:c r="J147" s="85" t="n">
        <x:v>16080576.356715035</x:v>
      </x:c>
      <x:c r="K147" s="85" t="n">
        <x:v>7912.179410959092</x:v>
      </x:c>
      <x:c r="L147" s="28" t="n">
        <x:v>14</x:v>
      </x:c>
      <x:c r="M147" s="28" t="n">
        <x:v>9</x:v>
      </x:c>
      <x:c r="N147" s="28" t="n">
        <x:v>4.656612873077393e-10</x:v>
      </x:c>
      <x:c r="O147" s="28" t="n">
        <x:v>7.450580596923828e-9</x:v>
      </x:c>
      <x:c r="P147" s="28" t="n">
        <x:v>0</x:v>
      </x:c>
      <x:c r="Q147" s="62" t="b">
        <x:v>1</x:v>
      </x:c>
      <x:c r="R147" s="28" t="n">
        <x:v>0</x:v>
      </x:c>
      <x:c r="S147" s="28" t="str">
        <x:v>df53d55978e5f0fa</x:v>
      </x:c>
    </x:row>
    <x:row r="148" ht="21" customHeight="1">
      <x:c r="A148" s="60" t="n">
        <x:v>0.6</x:v>
      </x:c>
      <x:c r="B148" s="28" t="str">
        <x:v>back_flat</x:v>
      </x:c>
      <x:c r="C148" s="60" t="n">
        <x:v>0.7</x:v>
      </x:c>
      <x:c r="D148" s="60" t="n">
        <x:v>0.7</x:v>
      </x:c>
      <x:c r="E148" s="62" t="b">
        <x:v>1</x:v>
      </x:c>
      <x:c r="F148" s="62" t="b">
        <x:v>0</x:v>
      </x:c>
      <x:c r="G148" s="85" t="n">
        <x:v>249840.78524643567</x:v>
      </x:c>
      <x:c r="H148" s="85" t="n">
        <x:v>1342923.8112577721</x:v>
      </x:c>
      <x:c r="I148" s="85" t="n">
        <x:v>13934985.215570621</x:v>
      </x:c>
      <x:c r="J148" s="85" t="n">
        <x:v>16723200.000000002</x:v>
      </x:c>
      <x:c r="K148" s="85" t="n">
        <x:v>4337.728849315179</x:v>
      </x:c>
      <x:c r="L148" s="28" t="n">
        <x:v>37</x:v>
      </x:c>
      <x:c r="M148" s="28" t="n">
        <x:v>32</x:v>
      </x:c>
      <x:c r="N148" s="28" t="n">
        <x:v>2.3283064365386963e-10</x:v>
      </x:c>
      <x:c r="O148" s="28" t="n">
        <x:v>3.725290298461914e-9</x:v>
      </x:c>
      <x:c r="P148" s="28" t="n">
        <x:v>0</x:v>
      </x:c>
      <x:c r="Q148" s="62" t="b">
        <x:v>1</x:v>
      </x:c>
      <x:c r="R148" s="28" t="n">
        <x:v>0</x:v>
      </x:c>
      <x:c r="S148" s="28" t="str">
        <x:v>80a28511951e5ceb</x:v>
      </x:c>
    </x:row>
    <x:row r="149" ht="21" customHeight="1">
      <x:c r="A149" s="60" t="n">
        <x:v>0.6</x:v>
      </x:c>
      <x:c r="B149" s="28" t="str">
        <x:v>back_flat</x:v>
      </x:c>
      <x:c r="C149" s="60" t="n">
        <x:v>0.75</x:v>
      </x:c>
      <x:c r="D149" s="60" t="n">
        <x:v>0.75</x:v>
      </x:c>
      <x:c r="E149" s="62" t="b">
        <x:v>1</x:v>
      </x:c>
      <x:c r="F149" s="62" t="b">
        <x:v>0</x:v>
      </x:c>
      <x:c r="G149" s="85" t="n">
        <x:v>662564.6500625506</x:v>
      </x:c>
      <x:c r="H149" s="85" t="n">
        <x:v>3362021.695944804</x:v>
      </x:c>
      <x:c r="I149" s="85" t="n">
        <x:v>14176809.189628318</x:v>
      </x:c>
      <x:c r="J149" s="85" t="n">
        <x:v>16723200.000000002</x:v>
      </x:c>
      <x:c r="K149" s="85" t="n">
        <x:v>1925.1924657535055</x:v>
      </x:c>
      <x:c r="L149" s="28" t="n">
        <x:v>38</x:v>
      </x:c>
      <x:c r="M149" s="28" t="n">
        <x:v>33</x:v>
      </x:c>
      <x:c r="N149" s="28" t="n">
        <x:v>4.656612873077393e-10</x:v>
      </x:c>
      <x:c r="O149" s="28" t="n">
        <x:v>7.450580596923828e-9</x:v>
      </x:c>
      <x:c r="P149" s="28" t="n">
        <x:v>0</x:v>
      </x:c>
      <x:c r="Q149" s="62" t="b">
        <x:v>1</x:v>
      </x:c>
      <x:c r="R149" s="28" t="n">
        <x:v>0</x:v>
      </x:c>
      <x:c r="S149" s="28" t="str">
        <x:v>53b9eb9af2ee26b7</x:v>
      </x:c>
    </x:row>
    <x:row r="150" ht="21" customHeight="1">
      <x:c r="A150" s="60" t="n">
        <x:v>0.6</x:v>
      </x:c>
      <x:c r="B150" s="28" t="str">
        <x:v>back_flat</x:v>
      </x:c>
      <x:c r="C150" s="60" t="n">
        <x:v>0.8</x:v>
      </x:c>
      <x:c r="D150" s="60" t="n">
        <x:v>0.8</x:v>
      </x:c>
      <x:c r="E150" s="62" t="b">
        <x:v>1</x:v>
      </x:c>
      <x:c r="F150" s="62" t="b">
        <x:v>0</x:v>
      </x:c>
      <x:c r="G150" s="85" t="n">
        <x:v>1122515.250781048</x:v>
      </x:c>
      <x:c r="H150" s="85" t="n">
        <x:v>5500048.702482399</x:v>
      </x:c>
      <x:c r="I150" s="85" t="n">
        <x:v>14245367.138598973</x:v>
      </x:c>
      <x:c r="J150" s="85" t="n">
        <x:v>16723200.000000002</x:v>
      </x:c>
      <x:c r="K150" s="85" t="n">
        <x:v>722.0909589039875</x:v>
      </x:c>
      <x:c r="L150" s="28" t="n">
        <x:v>38</x:v>
      </x:c>
      <x:c r="M150" s="28" t="n">
        <x:v>34</x:v>
      </x:c>
      <x:c r="N150" s="28" t="n">
        <x:v>4.656612873077393e-10</x:v>
      </x:c>
      <x:c r="O150" s="28" t="n">
        <x:v>3.725290298461914e-9</x:v>
      </x:c>
      <x:c r="P150" s="28" t="n">
        <x:v>0</x:v>
      </x:c>
      <x:c r="Q150" s="62" t="b">
        <x:v>1</x:v>
      </x:c>
      <x:c r="R150" s="28" t="n">
        <x:v>0</x:v>
      </x:c>
      <x:c r="S150" s="28" t="str">
        <x:v>2898864063128c20</x:v>
      </x:c>
    </x:row>
    <x:row r="151" ht="21" customHeight="1">
      <x:c r="A151" s="60" t="n">
        <x:v>0.6</x:v>
      </x:c>
      <x:c r="B151" s="28" t="str">
        <x:v>back_flat</x:v>
      </x:c>
      <x:c r="C151" s="60" t="n">
        <x:v>0.85</x:v>
      </x:c>
      <x:c r="D151" s="60" t="n">
        <x:v>0.85</x:v>
      </x:c>
      <x:c r="E151" s="62" t="b">
        <x:v>1</x:v>
      </x:c>
      <x:c r="F151" s="62" t="b">
        <x:v>0</x:v>
      </x:c>
      <x:c r="G151" s="85" t="n">
        <x:v>1635996.1543164134</x:v>
      </x:c>
      <x:c r="H151" s="85" t="n">
        <x:v>7286068.5431170575</x:v>
      </x:c>
      <x:c r="I151" s="85" t="n">
        <x:v>14481499.871489096</x:v>
      </x:c>
      <x:c r="J151" s="85" t="n">
        <x:v>16723200.000000002</x:v>
      </x:c>
      <x:c r="K151" s="85" t="n">
        <x:v>0</x:v>
      </x:c>
      <x:c r="L151" s="28" t="n">
        <x:v>39</x:v>
      </x:c>
      <x:c r="M151" s="28" t="n">
        <x:v>34</x:v>
      </x:c>
      <x:c r="N151" s="28" t="n">
        <x:v>4.656612873077393e-10</x:v>
      </x:c>
      <x:c r="O151" s="28" t="n">
        <x:v>9.313225746154785e-10</x:v>
      </x:c>
      <x:c r="P151" s="28" t="n">
        <x:v>0</x:v>
      </x:c>
      <x:c r="Q151" s="62" t="b">
        <x:v>1</x:v>
      </x:c>
      <x:c r="R151" s="28" t="n">
        <x:v>0</x:v>
      </x:c>
      <x:c r="S151" s="28" t="str">
        <x:v>46544e9f3fdd7c18</x:v>
      </x:c>
    </x:row>
    <x:row r="152" ht="21" customHeight="1">
      <x:c r="A152" s="60" t="n">
        <x:v>0.6</x:v>
      </x:c>
      <x:c r="B152" s="28" t="str">
        <x:v>back_flat</x:v>
      </x:c>
      <x:c r="C152" s="60" t="n">
        <x:v>0.9</x:v>
      </x:c>
      <x:c r="D152" s="60" t="n">
        <x:v>0.880265491166173</x:v>
      </x:c>
      <x:c r="E152" s="62" t="b">
        <x:v>0</x:v>
      </x:c>
      <x:c r="F152" s="62" t="b">
        <x:v>0</x:v>
      </x:c>
      <x:c r="G152" s="85" t="n">
        <x:v>2126234.390968164</x:v>
      </x:c>
      <x:c r="H152" s="85" t="n">
        <x:v>8050242.237909009</x:v>
      </x:c>
      <x:c r="I152" s="85" t="n">
        <x:v>14699238.198770631</x:v>
      </x:c>
      <x:c r="J152" s="85" t="n">
        <x:v>16723200.000000002</x:v>
      </x:c>
      <x:c r="K152" s="85" t="n">
        <x:v>0</x:v>
      </x:c>
      <x:c r="L152" s="28" t="n">
        <x:v>40</x:v>
      </x:c>
      <x:c r="M152" s="28" t="n">
        <x:v>36</x:v>
      </x:c>
      <x:c r="N152" s="28" t="n">
        <x:v>2.3283064365386963e-10</x:v>
      </x:c>
      <x:c r="O152" s="28" t="n">
        <x:v>3.725290298461914e-9</x:v>
      </x:c>
      <x:c r="P152" s="28" t="n">
        <x:v>0</x:v>
      </x:c>
      <x:c r="Q152" s="62" t="b">
        <x:v>1</x:v>
      </x:c>
      <x:c r="R152" s="28" t="n">
        <x:v>1100080.4604328498</x:v>
      </x:c>
      <x:c r="S152" s="28" t="str">
        <x:v>8acfbba815d54e91</x:v>
      </x:c>
    </x:row>
    <x:row r="153" ht="21" customHeight="1">
      <x:c r="A153" s="60" t="n">
        <x:v>0.6</x:v>
      </x:c>
      <x:c r="B153" s="28" t="str">
        <x:v>back_flat</x:v>
      </x:c>
      <x:c r="C153" s="60" t="n">
        <x:v>0.95</x:v>
      </x:c>
      <x:c r="D153" s="60" t="n">
        <x:v>0.8954794051096439</x:v>
      </x:c>
      <x:c r="E153" s="62" t="b">
        <x:v>0</x:v>
      </x:c>
      <x:c r="F153" s="62" t="b">
        <x:v>0</x:v>
      </x:c>
      <x:c r="G153" s="85" t="n">
        <x:v>2333123.2287372756</x:v>
      </x:c>
      <x:c r="H153" s="85" t="n">
        <x:v>8833554.40115665</x:v>
      </x:c>
      <x:c r="I153" s="85" t="n">
        <x:v>14741903.155932164</x:v>
      </x:c>
      <x:c r="J153" s="85" t="n">
        <x:v>16723200.000000002</x:v>
      </x:c>
      <x:c r="K153" s="85" t="n">
        <x:v>0</x:v>
      </x:c>
      <x:c r="L153" s="28" t="n">
        <x:v>40</x:v>
      </x:c>
      <x:c r="M153" s="28" t="n">
        <x:v>36</x:v>
      </x:c>
      <x:c r="N153" s="28" t="n">
        <x:v>2.3283064365386963e-10</x:v>
      </x:c>
      <x:c r="O153" s="28" t="n">
        <x:v>3.725290298461914e-9</x:v>
      </x:c>
      <x:c r="P153" s="28" t="n">
        <x:v>0</x:v>
      </x:c>
      <x:c r="Q153" s="62" t="b">
        <x:v>1</x:v>
      </x:c>
      <x:c r="R153" s="28" t="n">
        <x:v>3039196.041568011</x:v>
      </x:c>
      <x:c r="S153" s="28" t="str">
        <x:v>70c4905e822b3151</x:v>
      </x:c>
    </x:row>
    <x:row r="154" ht="21" customHeight="1">
      <x:c r="A154" s="60" t="n">
        <x:v>0.6</x:v>
      </x:c>
      <x:c r="B154" s="28" t="str">
        <x:v>back_flat</x:v>
      </x:c>
      <x:c r="C154" s="60" t="n">
        <x:v>1</x:v>
      </x:c>
      <x:c r="D154" s="60" t="n">
        <x:v>0.9093341115290656</x:v>
      </x:c>
      <x:c r="E154" s="62" t="b">
        <x:v>0</x:v>
      </x:c>
      <x:c r="F154" s="62" t="b">
        <x:v>0</x:v>
      </x:c>
      <x:c r="G154" s="85" t="n">
        <x:v>2596404.9273296054</x:v>
      </x:c>
      <x:c r="H154" s="85" t="n">
        <x:v>9434235.241461653</x:v>
      </x:c>
      <x:c r="I154" s="85" t="n">
        <x:v>14784568.113093698</x:v>
      </x:c>
      <x:c r="J154" s="85" t="n">
        <x:v>16723200.000000002</x:v>
      </x:c>
      <x:c r="K154" s="85" t="n">
        <x:v>0</x:v>
      </x:c>
      <x:c r="L154" s="28" t="n">
        <x:v>40</x:v>
      </x:c>
      <x:c r="M154" s="28" t="n">
        <x:v>36</x:v>
      </x:c>
      <x:c r="N154" s="28" t="n">
        <x:v>2.3283064365386963e-10</x:v>
      </x:c>
      <x:c r="O154" s="28" t="n">
        <x:v>3.725290298461914e-9</x:v>
      </x:c>
      <x:c r="P154" s="28" t="n">
        <x:v>0</x:v>
      </x:c>
      <x:c r="Q154" s="62" t="b">
        <x:v>1</x:v>
      </x:c>
      <x:c r="R154" s="28" t="n">
        <x:v>5054079.286923766</x:v>
      </x:c>
      <x:c r="S154" s="28" t="str">
        <x:v>3f9fc9baaf90a773</x:v>
      </x:c>
    </x:row>
    <x:row r="155" ht="21" customHeight="1">
      <x:c r="A155" s="60" t="n">
        <x:v>0.6</x:v>
      </x:c>
      <x:c r="B155" s="28" t="str">
        <x:v>back_low</x:v>
      </x:c>
      <x:c r="C155" s="60" t="n">
        <x:v>0</x:v>
      </x:c>
      <x:c r="D155" s="60" t="n">
        <x:v>0</x:v>
      </x:c>
      <x:c r="E155" s="62" t="b">
        <x:v>1</x:v>
      </x:c>
      <x:c r="F155" s="62" t="b">
        <x:v>1</x:v>
      </x:c>
      <x:c r="G155" s="85" t="n">
        <x:v>0</x:v>
      </x:c>
      <x:c r="H155" s="85" t="n">
        <x:v>0</x:v>
      </x:c>
      <x:c r="I155" s="85" t="n">
        <x:v>0</x:v>
      </x:c>
      <x:c r="J155" s="85" t="n">
        <x:v>0</x:v>
      </x:c>
      <x:c r="K155" s="85" t="n">
        <x:v>4748654.561095889</x:v>
      </x:c>
      <x:c r="L155" s="28" t="n">
        <x:v>0</x:v>
      </x:c>
      <x:c r="M155" s="28" t="n">
        <x:v>0</x:v>
      </x:c>
      <x:c r="N155" s="28" t="n">
        <x:v>4.656612873077393e-10</x:v>
      </x:c>
      <x:c r="O155" s="28" t="n">
        <x:v>0</x:v>
      </x:c>
      <x:c r="P155" s="28" t="n">
        <x:v>0</x:v>
      </x:c>
      <x:c r="Q155" s="62" t="b">
        <x:v>1</x:v>
      </x:c>
      <x:c r="R155" s="28" t="n">
        <x:v>0</x:v>
      </x:c>
      <x:c r="S155" s="28" t="str">
        <x:v>05d0da7e84c021c4</x:v>
      </x:c>
    </x:row>
    <x:row r="156" ht="21" customHeight="1">
      <x:c r="A156" s="60" t="n">
        <x:v>0.6</x:v>
      </x:c>
      <x:c r="B156" s="28" t="str">
        <x:v>back_low</x:v>
      </x:c>
      <x:c r="C156" s="60" t="n">
        <x:v>0.05</x:v>
      </x:c>
      <x:c r="D156" s="60" t="n">
        <x:v>0.05</x:v>
      </x:c>
      <x:c r="E156" s="62" t="b">
        <x:v>1</x:v>
      </x:c>
      <x:c r="F156" s="62" t="b">
        <x:v>1</x:v>
      </x:c>
      <x:c r="G156" s="85" t="n">
        <x:v>0</x:v>
      </x:c>
      <x:c r="H156" s="85" t="n">
        <x:v>0</x:v>
      </x:c>
      <x:c r="I156" s="85" t="n">
        <x:v>0</x:v>
      </x:c>
      <x:c r="J156" s="85" t="n">
        <x:v>0</x:v>
      </x:c>
      <x:c r="K156" s="85" t="n">
        <x:v>2760085.9892023723</x:v>
      </x:c>
      <x:c r="L156" s="28" t="n">
        <x:v>0</x:v>
      </x:c>
      <x:c r="M156" s="28" t="n">
        <x:v>0</x:v>
      </x:c>
      <x:c r="N156" s="28" t="n">
        <x:v>4.656612873077393e-10</x:v>
      </x:c>
      <x:c r="O156" s="28" t="n">
        <x:v>7.450580596923828e-9</x:v>
      </x:c>
      <x:c r="P156" s="28" t="n">
        <x:v>0</x:v>
      </x:c>
      <x:c r="Q156" s="62" t="b">
        <x:v>1</x:v>
      </x:c>
      <x:c r="R156" s="28" t="n">
        <x:v>0</x:v>
      </x:c>
      <x:c r="S156" s="28" t="str">
        <x:v>0ba3f33e058e86e4</x:v>
      </x:c>
    </x:row>
    <x:row r="157" ht="21" customHeight="1">
      <x:c r="A157" s="60" t="n">
        <x:v>0.6</x:v>
      </x:c>
      <x:c r="B157" s="28" t="str">
        <x:v>back_low</x:v>
      </x:c>
      <x:c r="C157" s="60" t="n">
        <x:v>0.1</x:v>
      </x:c>
      <x:c r="D157" s="60" t="n">
        <x:v>0.1</x:v>
      </x:c>
      <x:c r="E157" s="62" t="b">
        <x:v>1</x:v>
      </x:c>
      <x:c r="F157" s="62" t="b">
        <x:v>1</x:v>
      </x:c>
      <x:c r="G157" s="85" t="n">
        <x:v>0</x:v>
      </x:c>
      <x:c r="H157" s="85" t="n">
        <x:v>0</x:v>
      </x:c>
      <x:c r="I157" s="85" t="n">
        <x:v>0</x:v>
      </x:c>
      <x:c r="J157" s="85" t="n">
        <x:v>0</x:v>
      </x:c>
      <x:c r="K157" s="85" t="n">
        <x:v>771517.417308864</x:v>
      </x:c>
      <x:c r="L157" s="28" t="n">
        <x:v>0</x:v>
      </x:c>
      <x:c r="M157" s="28" t="n">
        <x:v>0</x:v>
      </x:c>
      <x:c r="N157" s="28" t="n">
        <x:v>9.313225746154785e-10</x:v>
      </x:c>
      <x:c r="O157" s="28" t="n">
        <x:v>7.450580596923828e-9</x:v>
      </x:c>
      <x:c r="P157" s="28" t="n">
        <x:v>0</x:v>
      </x:c>
      <x:c r="Q157" s="62" t="b">
        <x:v>1</x:v>
      </x:c>
      <x:c r="R157" s="28" t="n">
        <x:v>0</x:v>
      </x:c>
      <x:c r="S157" s="28" t="str">
        <x:v>6155d9f19f48b5f5</x:v>
      </x:c>
    </x:row>
    <x:row r="158" ht="21" customHeight="1">
      <x:c r="A158" s="60" t="n">
        <x:v>0.6</x:v>
      </x:c>
      <x:c r="B158" s="28" t="str">
        <x:v>back_low</x:v>
      </x:c>
      <x:c r="C158" s="60" t="n">
        <x:v>0.15</x:v>
      </x:c>
      <x:c r="D158" s="60" t="n">
        <x:v>0.15</x:v>
      </x:c>
      <x:c r="E158" s="62" t="b">
        <x:v>1</x:v>
      </x:c>
      <x:c r="F158" s="62" t="b">
        <x:v>1</x:v>
      </x:c>
      <x:c r="G158" s="85" t="n">
        <x:v>0</x:v>
      </x:c>
      <x:c r="H158" s="85" t="n">
        <x:v>0</x:v>
      </x:c>
      <x:c r="I158" s="85" t="n">
        <x:v>923505.479070799</x:v>
      </x:c>
      <x:c r="J158" s="85" t="n">
        <x:v>0</x:v>
      </x:c>
      <x:c r="K158" s="85" t="n">
        <x:v>0</x:v>
      </x:c>
      <x:c r="L158" s="28" t="n">
        <x:v>0</x:v>
      </x:c>
      <x:c r="M158" s="28" t="n">
        <x:v>0</x:v>
      </x:c>
      <x:c r="N158" s="28" t="n">
        <x:v>4.656612873077393e-10</x:v>
      </x:c>
      <x:c r="O158" s="28" t="n">
        <x:v>7.450580596923828e-9</x:v>
      </x:c>
      <x:c r="P158" s="28" t="n">
        <x:v>0</x:v>
      </x:c>
      <x:c r="Q158" s="62" t="b">
        <x:v>1</x:v>
      </x:c>
      <x:c r="R158" s="28" t="n">
        <x:v>0</x:v>
      </x:c>
      <x:c r="S158" s="28" t="str">
        <x:v>0b2e42f39ce9f6d6</x:v>
      </x:c>
    </x:row>
    <x:row r="159" ht="21" customHeight="1">
      <x:c r="A159" s="60" t="n">
        <x:v>0.6</x:v>
      </x:c>
      <x:c r="B159" s="28" t="str">
        <x:v>back_low</x:v>
      </x:c>
      <x:c r="C159" s="60" t="n">
        <x:v>0.2</x:v>
      </x:c>
      <x:c r="D159" s="60" t="n">
        <x:v>0.2</x:v>
      </x:c>
      <x:c r="E159" s="62" t="b">
        <x:v>1</x:v>
      </x:c>
      <x:c r="F159" s="62" t="b">
        <x:v>1</x:v>
      </x:c>
      <x:c r="G159" s="85" t="n">
        <x:v>0</x:v>
      </x:c>
      <x:c r="H159" s="85" t="n">
        <x:v>0</x:v>
      </x:c>
      <x:c r="I159" s="85" t="n">
        <x:v>2076531.8549451262</x:v>
      </x:c>
      <x:c r="J159" s="85" t="n">
        <x:v>1245718.9057329397</x:v>
      </x:c>
      <x:c r="K159" s="85" t="n">
        <x:v>0</x:v>
      </x:c>
      <x:c r="L159" s="28" t="n">
        <x:v>0</x:v>
      </x:c>
      <x:c r="M159" s="28" t="n">
        <x:v>0</x:v>
      </x:c>
      <x:c r="N159" s="28" t="n">
        <x:v>9.313225746154785e-10</x:v>
      </x:c>
      <x:c r="O159" s="28" t="n">
        <x:v>7.450580596923828e-9</x:v>
      </x:c>
      <x:c r="P159" s="28" t="n">
        <x:v>0</x:v>
      </x:c>
      <x:c r="Q159" s="62" t="b">
        <x:v>1</x:v>
      </x:c>
      <x:c r="R159" s="28" t="n">
        <x:v>0</x:v>
      </x:c>
      <x:c r="S159" s="28" t="str">
        <x:v>db730a6568ab428a</x:v>
      </x:c>
    </x:row>
    <x:row r="160" ht="21" customHeight="1">
      <x:c r="A160" s="60" t="n">
        <x:v>0.6</x:v>
      </x:c>
      <x:c r="B160" s="28" t="str">
        <x:v>back_low</x:v>
      </x:c>
      <x:c r="C160" s="60" t="n">
        <x:v>0.25</x:v>
      </x:c>
      <x:c r="D160" s="60" t="n">
        <x:v>0.25</x:v>
      </x:c>
      <x:c r="E160" s="62" t="b">
        <x:v>1</x:v>
      </x:c>
      <x:c r="F160" s="62" t="b">
        <x:v>1</x:v>
      </x:c>
      <x:c r="G160" s="85" t="n">
        <x:v>0</x:v>
      </x:c>
      <x:c r="H160" s="85" t="n">
        <x:v>0</x:v>
      </x:c>
      <x:c r="I160" s="85" t="n">
        <x:v>2866430.572592169</x:v>
      </x:c>
      <x:c r="J160" s="85" t="n">
        <x:v>2950748.6321661957</x:v>
      </x:c>
      <x:c r="K160" s="85" t="n">
        <x:v>0</x:v>
      </x:c>
      <x:c r="L160" s="28" t="n">
        <x:v>0</x:v>
      </x:c>
      <x:c r="M160" s="28" t="n">
        <x:v>0</x:v>
      </x:c>
      <x:c r="N160" s="28" t="n">
        <x:v>4.656612873077393e-10</x:v>
      </x:c>
      <x:c r="O160" s="28" t="n">
        <x:v>7.450580596923828e-9</x:v>
      </x:c>
      <x:c r="P160" s="28" t="n">
        <x:v>0</x:v>
      </x:c>
      <x:c r="Q160" s="62" t="b">
        <x:v>1</x:v>
      </x:c>
      <x:c r="R160" s="28" t="n">
        <x:v>0</x:v>
      </x:c>
      <x:c r="S160" s="28" t="str">
        <x:v>f9ba1210cc7b2441</x:v>
      </x:c>
    </x:row>
    <x:row r="161" ht="21" customHeight="1">
      <x:c r="A161" s="60" t="n">
        <x:v>0.6</x:v>
      </x:c>
      <x:c r="B161" s="28" t="str">
        <x:v>back_low</x:v>
      </x:c>
      <x:c r="C161" s="60" t="n">
        <x:v>0.3</x:v>
      </x:c>
      <x:c r="D161" s="60" t="n">
        <x:v>0.3</x:v>
      </x:c>
      <x:c r="E161" s="62" t="b">
        <x:v>1</x:v>
      </x:c>
      <x:c r="F161" s="62" t="b">
        <x:v>1</x:v>
      </x:c>
      <x:c r="G161" s="85" t="n">
        <x:v>0</x:v>
      </x:c>
      <x:c r="H161" s="85" t="n">
        <x:v>0</x:v>
      </x:c>
      <x:c r="I161" s="85" t="n">
        <x:v>3654885.4221732137</x:v>
      </x:c>
      <x:c r="J161" s="85" t="n">
        <x:v>4655778.3585994225</x:v>
      </x:c>
      <x:c r="K161" s="85" t="n">
        <x:v>0</x:v>
      </x:c>
      <x:c r="L161" s="28" t="n">
        <x:v>0</x:v>
      </x:c>
      <x:c r="M161" s="28" t="n">
        <x:v>0</x:v>
      </x:c>
      <x:c r="N161" s="28" t="n">
        <x:v>4.656612873077393e-10</x:v>
      </x:c>
      <x:c r="O161" s="28" t="n">
        <x:v>7.450580596923828e-9</x:v>
      </x:c>
      <x:c r="P161" s="28" t="n">
        <x:v>0</x:v>
      </x:c>
      <x:c r="Q161" s="62" t="b">
        <x:v>1</x:v>
      </x:c>
      <x:c r="R161" s="28" t="n">
        <x:v>0</x:v>
      </x:c>
      <x:c r="S161" s="28" t="str">
        <x:v>46afc0f086d98905</x:v>
      </x:c>
    </x:row>
    <x:row r="162" ht="21" customHeight="1">
      <x:c r="A162" s="60" t="n">
        <x:v>0.6</x:v>
      </x:c>
      <x:c r="B162" s="28" t="str">
        <x:v>back_low</x:v>
      </x:c>
      <x:c r="C162" s="60" t="n">
        <x:v>0.35</x:v>
      </x:c>
      <x:c r="D162" s="60" t="n">
        <x:v>0.35</x:v>
      </x:c>
      <x:c r="E162" s="62" t="b">
        <x:v>1</x:v>
      </x:c>
      <x:c r="F162" s="62" t="b">
        <x:v>1</x:v>
      </x:c>
      <x:c r="G162" s="85" t="n">
        <x:v>0</x:v>
      </x:c>
      <x:c r="H162" s="85" t="n">
        <x:v>0</x:v>
      </x:c>
      <x:c r="I162" s="85" t="n">
        <x:v>4441024.011165555</x:v>
      </x:c>
      <x:c r="J162" s="85" t="n">
        <x:v>6360808.085032656</x:v>
      </x:c>
      <x:c r="K162" s="85" t="n">
        <x:v>0</x:v>
      </x:c>
      <x:c r="L162" s="28" t="n">
        <x:v>0</x:v>
      </x:c>
      <x:c r="M162" s="28" t="n">
        <x:v>0</x:v>
      </x:c>
      <x:c r="N162" s="28" t="n">
        <x:v>9.313225746154785e-10</x:v>
      </x:c>
      <x:c r="O162" s="28" t="n">
        <x:v>3.725290298461914e-9</x:v>
      </x:c>
      <x:c r="P162" s="28" t="n">
        <x:v>0</x:v>
      </x:c>
      <x:c r="Q162" s="62" t="b">
        <x:v>1</x:v>
      </x:c>
      <x:c r="R162" s="28" t="n">
        <x:v>0</x:v>
      </x:c>
      <x:c r="S162" s="28" t="str">
        <x:v>88e3df479f110a66</x:v>
      </x:c>
    </x:row>
    <x:row r="163" ht="21" customHeight="1">
      <x:c r="A163" s="60" t="n">
        <x:v>0.6</x:v>
      </x:c>
      <x:c r="B163" s="28" t="str">
        <x:v>back_low</x:v>
      </x:c>
      <x:c r="C163" s="60" t="n">
        <x:v>0.4</x:v>
      </x:c>
      <x:c r="D163" s="60" t="n">
        <x:v>0.4</x:v>
      </x:c>
      <x:c r="E163" s="62" t="b">
        <x:v>1</x:v>
      </x:c>
      <x:c r="F163" s="62" t="b">
        <x:v>1</x:v>
      </x:c>
      <x:c r="G163" s="85" t="n">
        <x:v>0</x:v>
      </x:c>
      <x:c r="H163" s="85" t="n">
        <x:v>0</x:v>
      </x:c>
      <x:c r="I163" s="85" t="n">
        <x:v>5229483.803007214</x:v>
      </x:c>
      <x:c r="J163" s="85" t="n">
        <x:v>8065837.811465903</x:v>
      </x:c>
      <x:c r="K163" s="85" t="n">
        <x:v>0</x:v>
      </x:c>
      <x:c r="L163" s="28" t="n">
        <x:v>0</x:v>
      </x:c>
      <x:c r="M163" s="28" t="n">
        <x:v>0</x:v>
      </x:c>
      <x:c r="N163" s="28" t="n">
        <x:v>9.313225746154785e-10</x:v>
      </x:c>
      <x:c r="O163" s="28" t="n">
        <x:v>7.450580596923828e-9</x:v>
      </x:c>
      <x:c r="P163" s="28" t="n">
        <x:v>0</x:v>
      </x:c>
      <x:c r="Q163" s="62" t="b">
        <x:v>1</x:v>
      </x:c>
      <x:c r="R163" s="28" t="n">
        <x:v>0</x:v>
      </x:c>
      <x:c r="S163" s="28" t="str">
        <x:v>f4c4bfb782a7ab0b</x:v>
      </x:c>
    </x:row>
    <x:row r="164" ht="21" customHeight="1">
      <x:c r="A164" s="60" t="n">
        <x:v>0.6</x:v>
      </x:c>
      <x:c r="B164" s="28" t="str">
        <x:v>back_low</x:v>
      </x:c>
      <x:c r="C164" s="60" t="n">
        <x:v>0.45</x:v>
      </x:c>
      <x:c r="D164" s="60" t="n">
        <x:v>0.45</x:v>
      </x:c>
      <x:c r="E164" s="62" t="b">
        <x:v>1</x:v>
      </x:c>
      <x:c r="F164" s="62" t="b">
        <x:v>1</x:v>
      </x:c>
      <x:c r="G164" s="85" t="n">
        <x:v>0</x:v>
      </x:c>
      <x:c r="H164" s="85" t="n">
        <x:v>0</x:v>
      </x:c>
      <x:c r="I164" s="85" t="n">
        <x:v>6020302.542903663</x:v>
      </x:c>
      <x:c r="J164" s="85" t="n">
        <x:v>9770867.53789914</x:v>
      </x:c>
      <x:c r="K164" s="85" t="n">
        <x:v>0</x:v>
      </x:c>
      <x:c r="L164" s="28" t="n">
        <x:v>0</x:v>
      </x:c>
      <x:c r="M164" s="28" t="n">
        <x:v>0</x:v>
      </x:c>
      <x:c r="N164" s="28" t="n">
        <x:v>9.313225746154785e-10</x:v>
      </x:c>
      <x:c r="O164" s="28" t="n">
        <x:v>7.450580596923828e-9</x:v>
      </x:c>
      <x:c r="P164" s="28" t="n">
        <x:v>0</x:v>
      </x:c>
      <x:c r="Q164" s="62" t="b">
        <x:v>1</x:v>
      </x:c>
      <x:c r="R164" s="28" t="n">
        <x:v>0</x:v>
      </x:c>
      <x:c r="S164" s="28" t="str">
        <x:v>36e68f2faa3eafa5</x:v>
      </x:c>
    </x:row>
    <x:row r="165" ht="21" customHeight="1">
      <x:c r="A165" s="60" t="n">
        <x:v>0.6</x:v>
      </x:c>
      <x:c r="B165" s="28" t="str">
        <x:v>back_low</x:v>
      </x:c>
      <x:c r="C165" s="60" t="n">
        <x:v>0.5</x:v>
      </x:c>
      <x:c r="D165" s="60" t="n">
        <x:v>0.5</x:v>
      </x:c>
      <x:c r="E165" s="62" t="b">
        <x:v>1</x:v>
      </x:c>
      <x:c r="F165" s="62" t="b">
        <x:v>1</x:v>
      </x:c>
      <x:c r="G165" s="85" t="n">
        <x:v>0</x:v>
      </x:c>
      <x:c r="H165" s="85" t="n">
        <x:v>0</x:v>
      </x:c>
      <x:c r="I165" s="85" t="n">
        <x:v>6832685.822859007</x:v>
      </x:c>
      <x:c r="J165" s="85" t="n">
        <x:v>11428971.728287084</x:v>
      </x:c>
      <x:c r="K165" s="85" t="n">
        <x:v>0</x:v>
      </x:c>
      <x:c r="L165" s="28" t="n">
        <x:v>1</x:v>
      </x:c>
      <x:c r="M165" s="28" t="n">
        <x:v>0</x:v>
      </x:c>
      <x:c r="N165" s="28" t="n">
        <x:v>9.313225746154785e-10</x:v>
      </x:c>
      <x:c r="O165" s="28" t="n">
        <x:v>1.862645149230957e-9</x:v>
      </x:c>
      <x:c r="P165" s="28" t="n">
        <x:v>0</x:v>
      </x:c>
      <x:c r="Q165" s="62" t="b">
        <x:v>1</x:v>
      </x:c>
      <x:c r="R165" s="28" t="n">
        <x:v>0</x:v>
      </x:c>
      <x:c r="S165" s="28" t="str">
        <x:v>cec5f82bd476394b</x:v>
      </x:c>
    </x:row>
    <x:row r="166" ht="21" customHeight="1">
      <x:c r="A166" s="60" t="n">
        <x:v>0.6</x:v>
      </x:c>
      <x:c r="B166" s="28" t="str">
        <x:v>back_low</x:v>
      </x:c>
      <x:c r="C166" s="60" t="n">
        <x:v>0.55</x:v>
      </x:c>
      <x:c r="D166" s="60" t="n">
        <x:v>0.55</x:v>
      </x:c>
      <x:c r="E166" s="62" t="b">
        <x:v>1</x:v>
      </x:c>
      <x:c r="F166" s="62" t="b">
        <x:v>1</x:v>
      </x:c>
      <x:c r="G166" s="85" t="n">
        <x:v>0</x:v>
      </x:c>
      <x:c r="H166" s="85" t="n">
        <x:v>0</x:v>
      </x:c>
      <x:c r="I166" s="85" t="n">
        <x:v>7801498.999866039</x:v>
      </x:c>
      <x:c r="J166" s="85" t="n">
        <x:v>12835491.218873534</x:v>
      </x:c>
      <x:c r="K166" s="85" t="n">
        <x:v>0</x:v>
      </x:c>
      <x:c r="L166" s="28" t="n">
        <x:v>6</x:v>
      </x:c>
      <x:c r="M166" s="28" t="n">
        <x:v>0</x:v>
      </x:c>
      <x:c r="N166" s="28" t="n">
        <x:v>4.656612873077393e-10</x:v>
      </x:c>
      <x:c r="O166" s="28" t="n">
        <x:v>7.450580596923828e-9</x:v>
      </x:c>
      <x:c r="P166" s="28" t="n">
        <x:v>0</x:v>
      </x:c>
      <x:c r="Q166" s="62" t="b">
        <x:v>1</x:v>
      </x:c>
      <x:c r="R166" s="28" t="n">
        <x:v>0</x:v>
      </x:c>
      <x:c r="S166" s="28" t="str">
        <x:v>c1059da2efeada72</x:v>
      </x:c>
    </x:row>
    <x:row r="167" ht="21" customHeight="1">
      <x:c r="A167" s="60" t="n">
        <x:v>0.6</x:v>
      </x:c>
      <x:c r="B167" s="28" t="str">
        <x:v>back_low</x:v>
      </x:c>
      <x:c r="C167" s="60" t="n">
        <x:v>0.6</x:v>
      </x:c>
      <x:c r="D167" s="60" t="n">
        <x:v>0.6</x:v>
      </x:c>
      <x:c r="E167" s="62" t="b">
        <x:v>1</x:v>
      </x:c>
      <x:c r="F167" s="62" t="b">
        <x:v>1</x:v>
      </x:c>
      <x:c r="G167" s="85" t="n">
        <x:v>0</x:v>
      </x:c>
      <x:c r="H167" s="85" t="n">
        <x:v>0</x:v>
      </x:c>
      <x:c r="I167" s="85" t="n">
        <x:v>8601984.967126587</x:v>
      </x:c>
      <x:c r="J167" s="85" t="n">
        <x:v>14481161.59364516</x:v>
      </x:c>
      <x:c r="K167" s="85" t="n">
        <x:v>0</x:v>
      </x:c>
      <x:c r="L167" s="28" t="n">
        <x:v>9</x:v>
      </x:c>
      <x:c r="M167" s="28" t="n">
        <x:v>0</x:v>
      </x:c>
      <x:c r="N167" s="28" t="n">
        <x:v>4.656612873077393e-10</x:v>
      </x:c>
      <x:c r="O167" s="28" t="n">
        <x:v>7.450580596923828e-9</x:v>
      </x:c>
      <x:c r="P167" s="28" t="n">
        <x:v>0</x:v>
      </x:c>
      <x:c r="Q167" s="62" t="b">
        <x:v>1</x:v>
      </x:c>
      <x:c r="R167" s="28" t="n">
        <x:v>0</x:v>
      </x:c>
      <x:c r="S167" s="28" t="str">
        <x:v>9683b5d3b13bfd35</x:v>
      </x:c>
    </x:row>
    <x:row r="168" ht="21" customHeight="1">
      <x:c r="A168" s="60" t="n">
        <x:v>0.6</x:v>
      </x:c>
      <x:c r="B168" s="28" t="str">
        <x:v>back_low</x:v>
      </x:c>
      <x:c r="C168" s="60" t="n">
        <x:v>0.65</x:v>
      </x:c>
      <x:c r="D168" s="60" t="n">
        <x:v>0.65</x:v>
      </x:c>
      <x:c r="E168" s="62" t="b">
        <x:v>1</x:v>
      </x:c>
      <x:c r="F168" s="62" t="b">
        <x:v>1</x:v>
      </x:c>
      <x:c r="G168" s="85" t="n">
        <x:v>0</x:v>
      </x:c>
      <x:c r="H168" s="85" t="n">
        <x:v>0</x:v>
      </x:c>
      <x:c r="I168" s="85" t="n">
        <x:v>9443235.769488629</x:v>
      </x:c>
      <x:c r="J168" s="85" t="n">
        <x:v>16053458.761123741</x:v>
      </x:c>
      <x:c r="K168" s="85" t="n">
        <x:v>0</x:v>
      </x:c>
      <x:c r="L168" s="28" t="n">
        <x:v>14</x:v>
      </x:c>
      <x:c r="M168" s="28" t="n">
        <x:v>2</x:v>
      </x:c>
      <x:c r="N168" s="28" t="n">
        <x:v>4.656612873077393e-10</x:v>
      </x:c>
      <x:c r="O168" s="28" t="n">
        <x:v>7.450580596923828e-9</x:v>
      </x:c>
      <x:c r="P168" s="28" t="n">
        <x:v>0</x:v>
      </x:c>
      <x:c r="Q168" s="62" t="b">
        <x:v>1</x:v>
      </x:c>
      <x:c r="R168" s="28" t="n">
        <x:v>0</x:v>
      </x:c>
      <x:c r="S168" s="28" t="str">
        <x:v>6c911ae97950501d</x:v>
      </x:c>
    </x:row>
    <x:row r="169" ht="21" customHeight="1">
      <x:c r="A169" s="60" t="n">
        <x:v>0.6</x:v>
      </x:c>
      <x:c r="B169" s="28" t="str">
        <x:v>back_low</x:v>
      </x:c>
      <x:c r="C169" s="60" t="n">
        <x:v>0.7</x:v>
      </x:c>
      <x:c r="D169" s="60" t="n">
        <x:v>0.7</x:v>
      </x:c>
      <x:c r="E169" s="62" t="b">
        <x:v>1</x:v>
      </x:c>
      <x:c r="F169" s="62" t="b">
        <x:v>0</x:v>
      </x:c>
      <x:c r="G169" s="85" t="n">
        <x:v>89496.90754849106</x:v>
      </x:c>
      <x:c r="H169" s="85" t="n">
        <x:v>1115746.059055657</x:v>
      </x:c>
      <x:c r="I169" s="85" t="n">
        <x:v>9826744.299534163</x:v>
      </x:c>
      <x:c r="J169" s="85" t="n">
        <x:v>16723200.000000002</x:v>
      </x:c>
      <x:c r="K169" s="85" t="n">
        <x:v>0</x:v>
      </x:c>
      <x:c r="L169" s="28" t="n">
        <x:v>37</x:v>
      </x:c>
      <x:c r="M169" s="28" t="n">
        <x:v>30</x:v>
      </x:c>
      <x:c r="N169" s="28" t="n">
        <x:v>4.656612873077393e-10</x:v>
      </x:c>
      <x:c r="O169" s="28" t="n">
        <x:v>3.725290298461914e-9</x:v>
      </x:c>
      <x:c r="P169" s="28" t="n">
        <x:v>0</x:v>
      </x:c>
      <x:c r="Q169" s="62" t="b">
        <x:v>1</x:v>
      </x:c>
      <x:c r="R169" s="28" t="n">
        <x:v>0</x:v>
      </x:c>
      <x:c r="S169" s="28" t="str">
        <x:v>ea7f7fbb32afe953</x:v>
      </x:c>
    </x:row>
    <x:row r="170" ht="21" customHeight="1">
      <x:c r="A170" s="60" t="n">
        <x:v>0.6</x:v>
      </x:c>
      <x:c r="B170" s="28" t="str">
        <x:v>back_low</x:v>
      </x:c>
      <x:c r="C170" s="60" t="n">
        <x:v>0.75</x:v>
      </x:c>
      <x:c r="D170" s="60" t="n">
        <x:v>0.75</x:v>
      </x:c>
      <x:c r="E170" s="62" t="b">
        <x:v>1</x:v>
      </x:c>
      <x:c r="F170" s="62" t="b">
        <x:v>0</x:v>
      </x:c>
      <x:c r="G170" s="85" t="n">
        <x:v>237623.3238885349</x:v>
      </x:c>
      <x:c r="H170" s="85" t="n">
        <x:v>2957575.781922221</x:v>
      </x:c>
      <x:c r="I170" s="85" t="n">
        <x:v>9999063.6598042</x:v>
      </x:c>
      <x:c r="J170" s="85" t="n">
        <x:v>16723200.000000002</x:v>
      </x:c>
      <x:c r="K170" s="85" t="n">
        <x:v>0</x:v>
      </x:c>
      <x:c r="L170" s="28" t="n">
        <x:v>38</x:v>
      </x:c>
      <x:c r="M170" s="28" t="n">
        <x:v>31</x:v>
      </x:c>
      <x:c r="N170" s="28" t="n">
        <x:v>4.656612873077393e-10</x:v>
      </x:c>
      <x:c r="O170" s="28" t="n">
        <x:v>7.450580596923828e-9</x:v>
      </x:c>
      <x:c r="P170" s="28" t="n">
        <x:v>0</x:v>
      </x:c>
      <x:c r="Q170" s="62" t="b">
        <x:v>1</x:v>
      </x:c>
      <x:c r="R170" s="28" t="n">
        <x:v>0</x:v>
      </x:c>
      <x:c r="S170" s="28" t="str">
        <x:v>7aae8c0688ba8971</x:v>
      </x:c>
    </x:row>
    <x:row r="171" ht="21" customHeight="1">
      <x:c r="A171" s="60" t="n">
        <x:v>0.6</x:v>
      </x:c>
      <x:c r="B171" s="28" t="str">
        <x:v>back_low</x:v>
      </x:c>
      <x:c r="C171" s="60" t="n">
        <x:v>0.8</x:v>
      </x:c>
      <x:c r="D171" s="60" t="n">
        <x:v>0.8</x:v>
      </x:c>
      <x:c r="E171" s="62" t="b">
        <x:v>1</x:v>
      </x:c>
      <x:c r="F171" s="62" t="b">
        <x:v>0</x:v>
      </x:c>
      <x:c r="G171" s="85" t="n">
        <x:v>418822.76539971656</x:v>
      </x:c>
      <x:c r="H171" s="85" t="n">
        <x:v>4909230.777939252</x:v>
      </x:c>
      <x:c r="I171" s="85" t="n">
        <x:v>10038062.787151877</x:v>
      </x:c>
      <x:c r="J171" s="85" t="n">
        <x:v>16723200.000000002</x:v>
      </x:c>
      <x:c r="K171" s="85" t="n">
        <x:v>0</x:v>
      </x:c>
      <x:c r="L171" s="28" t="n">
        <x:v>38</x:v>
      </x:c>
      <x:c r="M171" s="28" t="n">
        <x:v>32</x:v>
      </x:c>
      <x:c r="N171" s="28" t="n">
        <x:v>4.656612873077393e-10</x:v>
      </x:c>
      <x:c r="O171" s="28" t="n">
        <x:v>3.725290298461914e-9</x:v>
      </x:c>
      <x:c r="P171" s="28" t="n">
        <x:v>0</x:v>
      </x:c>
      <x:c r="Q171" s="62" t="b">
        <x:v>1</x:v>
      </x:c>
      <x:c r="R171" s="28" t="n">
        <x:v>0</x:v>
      </x:c>
      <x:c r="S171" s="28" t="str">
        <x:v>e4739363f260b751</x:v>
      </x:c>
    </x:row>
    <x:row r="172" ht="21" customHeight="1">
      <x:c r="A172" s="60" t="n">
        <x:v>0.6</x:v>
      </x:c>
      <x:c r="B172" s="28" t="str">
        <x:v>back_low</x:v>
      </x:c>
      <x:c r="C172" s="60" t="n">
        <x:v>0.85</x:v>
      </x:c>
      <x:c r="D172" s="60" t="n">
        <x:v>0.85</x:v>
      </x:c>
      <x:c r="E172" s="62" t="b">
        <x:v>1</x:v>
      </x:c>
      <x:c r="F172" s="62" t="b">
        <x:v>0</x:v>
      </x:c>
      <x:c r="G172" s="85" t="n">
        <x:v>615391.6626181162</x:v>
      </x:c>
      <x:c r="H172" s="85" t="n">
        <x:v>6630630.903723789</x:v>
      </x:c>
      <x:c r="I172" s="85" t="n">
        <x:v>10211001.214712732</x:v>
      </x:c>
      <x:c r="J172" s="85" t="n">
        <x:v>16723200.000000002</x:v>
      </x:c>
      <x:c r="K172" s="85" t="n">
        <x:v>0</x:v>
      </x:c>
      <x:c r="L172" s="28" t="n">
        <x:v>39</x:v>
      </x:c>
      <x:c r="M172" s="28" t="n">
        <x:v>32</x:v>
      </x:c>
      <x:c r="N172" s="28" t="n">
        <x:v>4.656612873077393e-10</x:v>
      </x:c>
      <x:c r="O172" s="28" t="n">
        <x:v>9.313225746154785e-10</x:v>
      </x:c>
      <x:c r="P172" s="28" t="n">
        <x:v>0</x:v>
      </x:c>
      <x:c r="Q172" s="62" t="b">
        <x:v>1</x:v>
      </x:c>
      <x:c r="R172" s="28" t="n">
        <x:v>0</x:v>
      </x:c>
      <x:c r="S172" s="28" t="str">
        <x:v>556702c6e820400b</x:v>
      </x:c>
    </x:row>
    <x:row r="173" ht="21" customHeight="1">
      <x:c r="A173" s="60" t="n">
        <x:v>0.6</x:v>
      </x:c>
      <x:c r="B173" s="28" t="str">
        <x:v>back_low</x:v>
      </x:c>
      <x:c r="C173" s="60" t="n">
        <x:v>0.9</x:v>
      </x:c>
      <x:c r="D173" s="60" t="n">
        <x:v>0.880265491166173</x:v>
      </x:c>
      <x:c r="E173" s="62" t="b">
        <x:v>0</x:v>
      </x:c>
      <x:c r="F173" s="62" t="b">
        <x:v>0</x:v>
      </x:c>
      <x:c r="G173" s="85" t="n">
        <x:v>856441.733158581</x:v>
      </x:c>
      <x:c r="H173" s="85" t="n">
        <x:v>7509217.915464746</x:v>
      </x:c>
      <x:c r="I173" s="85" t="n">
        <x:v>10371980.2709768</x:v>
      </x:c>
      <x:c r="J173" s="85" t="n">
        <x:v>16723200.000000002</x:v>
      </x:c>
      <x:c r="K173" s="85" t="n">
        <x:v>0</x:v>
      </x:c>
      <x:c r="L173" s="28" t="n">
        <x:v>40</x:v>
      </x:c>
      <x:c r="M173" s="28" t="n">
        <x:v>33</x:v>
      </x:c>
      <x:c r="N173" s="28" t="n">
        <x:v>4.656612873077393e-10</x:v>
      </x:c>
      <x:c r="O173" s="28" t="n">
        <x:v>3.725290298461914e-9</x:v>
      </x:c>
      <x:c r="P173" s="28" t="n">
        <x:v>0</x:v>
      </x:c>
      <x:c r="Q173" s="62" t="b">
        <x:v>1</x:v>
      </x:c>
      <x:c r="R173" s="28" t="n">
        <x:v>1100080.4604328498</x:v>
      </x:c>
      <x:c r="S173" s="28" t="str">
        <x:v>de5725ce4eb3def0</x:v>
      </x:c>
    </x:row>
    <x:row r="174" ht="21" customHeight="1">
      <x:c r="A174" s="60" t="n">
        <x:v>0.6</x:v>
      </x:c>
      <x:c r="B174" s="28" t="str">
        <x:v>back_low</x:v>
      </x:c>
      <x:c r="C174" s="60" t="n">
        <x:v>0.95</x:v>
      </x:c>
      <x:c r="D174" s="60" t="n">
        <x:v>0.8954794051096439</x:v>
      </x:c>
      <x:c r="E174" s="62" t="b">
        <x:v>0</x:v>
      </x:c>
      <x:c r="F174" s="62" t="b">
        <x:v>0</x:v>
      </x:c>
      <x:c r="G174" s="85" t="n">
        <x:v>933410.5898257094</x:v>
      </x:c>
      <x:c r="H174" s="85" t="n">
        <x:v>8184075.17082764</x:v>
      </x:c>
      <x:c r="I174" s="85" t="n">
        <x:v>10398207.376655115</x:v>
      </x:c>
      <x:c r="J174" s="85" t="n">
        <x:v>16723200.000000002</x:v>
      </x:c>
      <x:c r="K174" s="85" t="n">
        <x:v>0</x:v>
      </x:c>
      <x:c r="L174" s="28" t="n">
        <x:v>40</x:v>
      </x:c>
      <x:c r="M174" s="28" t="n">
        <x:v>34</x:v>
      </x:c>
      <x:c r="N174" s="28" t="n">
        <x:v>4.656612873077393e-10</x:v>
      </x:c>
      <x:c r="O174" s="28" t="n">
        <x:v>3.725290298461914e-9</x:v>
      </x:c>
      <x:c r="P174" s="28" t="n">
        <x:v>0</x:v>
      </x:c>
      <x:c r="Q174" s="62" t="b">
        <x:v>1</x:v>
      </x:c>
      <x:c r="R174" s="28" t="n">
        <x:v>3039196.041568011</x:v>
      </x:c>
      <x:c r="S174" s="28" t="str">
        <x:v>9758032b861c70d2</x:v>
      </x:c>
    </x:row>
    <x:row r="175" ht="21" customHeight="1">
      <x:c r="A175" s="60" t="n">
        <x:v>0.6</x:v>
      </x:c>
      <x:c r="B175" s="28" t="str">
        <x:v>back_low</x:v>
      </x:c>
      <x:c r="C175" s="60" t="n">
        <x:v>1</x:v>
      </x:c>
      <x:c r="D175" s="60" t="n">
        <x:v>0.9093341115290656</x:v>
      </x:c>
      <x:c r="E175" s="62" t="b">
        <x:v>0</x:v>
      </x:c>
      <x:c r="F175" s="62" t="b">
        <x:v>0</x:v>
      </x:c>
      <x:c r="G175" s="85" t="n">
        <x:v>1039611.3933786232</x:v>
      </x:c>
      <x:c r="H175" s="85" t="n">
        <x:v>8747911.533374773</x:v>
      </x:c>
      <x:c r="I175" s="85" t="n">
        <x:v>10424434.482333431</x:v>
      </x:c>
      <x:c r="J175" s="85" t="n">
        <x:v>16723200.000000002</x:v>
      </x:c>
      <x:c r="K175" s="85" t="n">
        <x:v>0</x:v>
      </x:c>
      <x:c r="L175" s="28" t="n">
        <x:v>40</x:v>
      </x:c>
      <x:c r="M175" s="28" t="n">
        <x:v>34</x:v>
      </x:c>
      <x:c r="N175" s="28" t="n">
        <x:v>4.656612873077393e-10</x:v>
      </x:c>
      <x:c r="O175" s="28" t="n">
        <x:v>3.725290298461914e-9</x:v>
      </x:c>
      <x:c r="P175" s="28" t="n">
        <x:v>0</x:v>
      </x:c>
      <x:c r="Q175" s="62" t="b">
        <x:v>1</x:v>
      </x:c>
      <x:c r="R175" s="28" t="n">
        <x:v>5054079.286923766</x:v>
      </x:c>
      <x:c r="S175" s="28" t="str">
        <x:v>981b6d26e2a00f54</x:v>
      </x:c>
    </x:row>
    <x:row r="176" ht="21" customHeight="1">
      <x:c r="A176" s="60" t="n">
        <x:v>0.6</x:v>
      </x:c>
      <x:c r="B176" s="28" t="str">
        <x:v>back_high</x:v>
      </x:c>
      <x:c r="C176" s="60" t="n">
        <x:v>0</x:v>
      </x:c>
      <x:c r="D176" s="60" t="n">
        <x:v>0</x:v>
      </x:c>
      <x:c r="E176" s="62" t="b">
        <x:v>1</x:v>
      </x:c>
      <x:c r="F176" s="62" t="b">
        <x:v>1</x:v>
      </x:c>
      <x:c r="G176" s="85" t="n">
        <x:v>0</x:v>
      </x:c>
      <x:c r="H176" s="85" t="n">
        <x:v>0</x:v>
      </x:c>
      <x:c r="I176" s="85" t="n">
        <x:v>0</x:v>
      </x:c>
      <x:c r="J176" s="85" t="n">
        <x:v>0</x:v>
      </x:c>
      <x:c r="K176" s="85" t="n">
        <x:v>6437951.202191777</x:v>
      </x:c>
      <x:c r="L176" s="28" t="n">
        <x:v>0</x:v>
      </x:c>
      <x:c r="M176" s="28" t="n">
        <x:v>0</x:v>
      </x:c>
      <x:c r="N176" s="28" t="n">
        <x:v>4.656612873077393e-10</x:v>
      </x:c>
      <x:c r="O176" s="28" t="n">
        <x:v>0</x:v>
      </x:c>
      <x:c r="P176" s="28" t="n">
        <x:v>0</x:v>
      </x:c>
      <x:c r="Q176" s="62" t="b">
        <x:v>1</x:v>
      </x:c>
      <x:c r="R176" s="28" t="n">
        <x:v>0</x:v>
      </x:c>
      <x:c r="S176" s="28" t="str">
        <x:v>c2097498eaf6cd99</x:v>
      </x:c>
    </x:row>
    <x:row r="177" ht="21" customHeight="1">
      <x:c r="A177" s="60" t="n">
        <x:v>0.6</x:v>
      </x:c>
      <x:c r="B177" s="28" t="str">
        <x:v>back_high</x:v>
      </x:c>
      <x:c r="C177" s="60" t="n">
        <x:v>0.05</x:v>
      </x:c>
      <x:c r="D177" s="60" t="n">
        <x:v>0.05</x:v>
      </x:c>
      <x:c r="E177" s="62" t="b">
        <x:v>1</x:v>
      </x:c>
      <x:c r="F177" s="62" t="b">
        <x:v>1</x:v>
      </x:c>
      <x:c r="G177" s="85" t="n">
        <x:v>0</x:v>
      </x:c>
      <x:c r="H177" s="85" t="n">
        <x:v>0</x:v>
      </x:c>
      <x:c r="I177" s="85" t="n">
        <x:v>0</x:v>
      </x:c>
      <x:c r="J177" s="85" t="n">
        <x:v>0</x:v>
      </x:c>
      <x:c r="K177" s="85" t="n">
        <x:v>3987441.7661541738</x:v>
      </x:c>
      <x:c r="L177" s="28" t="n">
        <x:v>0</x:v>
      </x:c>
      <x:c r="M177" s="28" t="n">
        <x:v>0</x:v>
      </x:c>
      <x:c r="N177" s="28" t="n">
        <x:v>4.656612873077393e-10</x:v>
      </x:c>
      <x:c r="O177" s="28" t="n">
        <x:v>7.450580596923828e-9</x:v>
      </x:c>
      <x:c r="P177" s="28" t="n">
        <x:v>0</x:v>
      </x:c>
      <x:c r="Q177" s="62" t="b">
        <x:v>1</x:v>
      </x:c>
      <x:c r="R177" s="28" t="n">
        <x:v>0</x:v>
      </x:c>
      <x:c r="S177" s="28" t="str">
        <x:v>6b1a1dfa538b9f5c</x:v>
      </x:c>
    </x:row>
    <x:row r="178" ht="21" customHeight="1">
      <x:c r="A178" s="60" t="n">
        <x:v>0.6</x:v>
      </x:c>
      <x:c r="B178" s="28" t="str">
        <x:v>back_high</x:v>
      </x:c>
      <x:c r="C178" s="60" t="n">
        <x:v>0.1</x:v>
      </x:c>
      <x:c r="D178" s="60" t="n">
        <x:v>0.1</x:v>
      </x:c>
      <x:c r="E178" s="62" t="b">
        <x:v>1</x:v>
      </x:c>
      <x:c r="F178" s="62" t="b">
        <x:v>1</x:v>
      </x:c>
      <x:c r="G178" s="85" t="n">
        <x:v>0</x:v>
      </x:c>
      <x:c r="H178" s="85" t="n">
        <x:v>0</x:v>
      </x:c>
      <x:c r="I178" s="85" t="n">
        <x:v>0</x:v>
      </x:c>
      <x:c r="J178" s="85" t="n">
        <x:v>0</x:v>
      </x:c>
      <x:c r="K178" s="85" t="n">
        <x:v>1536932.3301165793</x:v>
      </x:c>
      <x:c r="L178" s="28" t="n">
        <x:v>0</x:v>
      </x:c>
      <x:c r="M178" s="28" t="n">
        <x:v>0</x:v>
      </x:c>
      <x:c r="N178" s="28" t="n">
        <x:v>9.313225746154785e-10</x:v>
      </x:c>
      <x:c r="O178" s="28" t="n">
        <x:v>7.450580596923828e-9</x:v>
      </x:c>
      <x:c r="P178" s="28" t="n">
        <x:v>0</x:v>
      </x:c>
      <x:c r="Q178" s="62" t="b">
        <x:v>1</x:v>
      </x:c>
      <x:c r="R178" s="28" t="n">
        <x:v>0</x:v>
      </x:c>
      <x:c r="S178" s="28" t="str">
        <x:v>820afd03acdd36f0</x:v>
      </x:c>
    </x:row>
    <x:row r="179" ht="21" customHeight="1">
      <x:c r="A179" s="60" t="n">
        <x:v>0.6</x:v>
      </x:c>
      <x:c r="B179" s="28" t="str">
        <x:v>back_high</x:v>
      </x:c>
      <x:c r="C179" s="60" t="n">
        <x:v>0.15</x:v>
      </x:c>
      <x:c r="D179" s="60" t="n">
        <x:v>0.15</x:v>
      </x:c>
      <x:c r="E179" s="62" t="b">
        <x:v>1</x:v>
      </x:c>
      <x:c r="F179" s="62" t="b">
        <x:v>1</x:v>
      </x:c>
      <x:c r="G179" s="85" t="n">
        <x:v>0</x:v>
      </x:c>
      <x:c r="H179" s="85" t="n">
        <x:v>0</x:v>
      </x:c>
      <x:c r="I179" s="85" t="n">
        <x:v>1112318.4389989898</x:v>
      </x:c>
      <x:c r="J179" s="85" t="n">
        <x:v>0</x:v>
      </x:c>
      <x:c r="K179" s="85" t="n">
        <x:v>308653.98983498465</x:v>
      </x:c>
      <x:c r="L179" s="28" t="n">
        <x:v>0</x:v>
      </x:c>
      <x:c r="M179" s="28" t="n">
        <x:v>0</x:v>
      </x:c>
      <x:c r="N179" s="28" t="n">
        <x:v>9.313225746154785e-10</x:v>
      </x:c>
      <x:c r="O179" s="28" t="n">
        <x:v>7.450580596923828e-9</x:v>
      </x:c>
      <x:c r="P179" s="28" t="n">
        <x:v>0</x:v>
      </x:c>
      <x:c r="Q179" s="62" t="b">
        <x:v>1</x:v>
      </x:c>
      <x:c r="R179" s="28" t="n">
        <x:v>0</x:v>
      </x:c>
      <x:c r="S179" s="28" t="str">
        <x:v>390f7b53010c05e6</x:v>
      </x:c>
    </x:row>
    <x:row r="180" ht="21" customHeight="1">
      <x:c r="A180" s="60" t="n">
        <x:v>0.6</x:v>
      </x:c>
      <x:c r="B180" s="28" t="str">
        <x:v>back_high</x:v>
      </x:c>
      <x:c r="C180" s="60" t="n">
        <x:v>0.2</x:v>
      </x:c>
      <x:c r="D180" s="60" t="n">
        <x:v>0.2</x:v>
      </x:c>
      <x:c r="E180" s="62" t="b">
        <x:v>1</x:v>
      </x:c>
      <x:c r="F180" s="62" t="b">
        <x:v>1</x:v>
      </x:c>
      <x:c r="G180" s="85" t="n">
        <x:v>0</x:v>
      </x:c>
      <x:c r="H180" s="85" t="n">
        <x:v>0</x:v>
      </x:c>
      <x:c r="I180" s="85" t="n">
        <x:v>3026192.530047087</x:v>
      </x:c>
      <x:c r="J180" s="85" t="n">
        <x:v>1245718.9057329397</x:v>
      </x:c>
      <x:c r="K180" s="85" t="n">
        <x:v>239307.4427023569</x:v>
      </x:c>
      <x:c r="L180" s="28" t="n">
        <x:v>0</x:v>
      </x:c>
      <x:c r="M180" s="28" t="n">
        <x:v>0</x:v>
      </x:c>
      <x:c r="N180" s="28" t="n">
        <x:v>9.313225746154785e-10</x:v>
      </x:c>
      <x:c r="O180" s="28" t="n">
        <x:v>7.450580596923828e-9</x:v>
      </x:c>
      <x:c r="P180" s="28" t="n">
        <x:v>0</x:v>
      </x:c>
      <x:c r="Q180" s="62" t="b">
        <x:v>1</x:v>
      </x:c>
      <x:c r="R180" s="28" t="n">
        <x:v>0</x:v>
      </x:c>
      <x:c r="S180" s="28" t="str">
        <x:v>10cdf7a4ab2e44e5</x:v>
      </x:c>
    </x:row>
    <x:row r="181" ht="21" customHeight="1">
      <x:c r="A181" s="60" t="n">
        <x:v>0.6</x:v>
      </x:c>
      <x:c r="B181" s="28" t="str">
        <x:v>back_high</x:v>
      </x:c>
      <x:c r="C181" s="60" t="n">
        <x:v>0.25</x:v>
      </x:c>
      <x:c r="D181" s="60" t="n">
        <x:v>0.25</x:v>
      </x:c>
      <x:c r="E181" s="62" t="b">
        <x:v>1</x:v>
      </x:c>
      <x:c r="F181" s="62" t="b">
        <x:v>1</x:v>
      </x:c>
      <x:c r="G181" s="85" t="n">
        <x:v>0</x:v>
      </x:c>
      <x:c r="H181" s="85" t="n">
        <x:v>0</x:v>
      </x:c>
      <x:c r="I181" s="85" t="n">
        <x:v>4679305.621736961</x:v>
      </x:c>
      <x:c r="J181" s="85" t="n">
        <x:v>2950748.6321661957</x:v>
      </x:c>
      <x:c r="K181" s="85" t="n">
        <x:v>189311.9166464366</x:v>
      </x:c>
      <x:c r="L181" s="28" t="n">
        <x:v>0</x:v>
      </x:c>
      <x:c r="M181" s="28" t="n">
        <x:v>0</x:v>
      </x:c>
      <x:c r="N181" s="28" t="n">
        <x:v>9.313225746154785e-10</x:v>
      </x:c>
      <x:c r="O181" s="28" t="n">
        <x:v>7.450580596923828e-9</x:v>
      </x:c>
      <x:c r="P181" s="28" t="n">
        <x:v>0</x:v>
      </x:c>
      <x:c r="Q181" s="62" t="b">
        <x:v>1</x:v>
      </x:c>
      <x:c r="R181" s="28" t="n">
        <x:v>0</x:v>
      </x:c>
      <x:c r="S181" s="28" t="str">
        <x:v>90e955d16cd87a4a</x:v>
      </x:c>
    </x:row>
    <x:row r="182" ht="21" customHeight="1">
      <x:c r="A182" s="60" t="n">
        <x:v>0.6</x:v>
      </x:c>
      <x:c r="B182" s="28" t="str">
        <x:v>back_high</x:v>
      </x:c>
      <x:c r="C182" s="60" t="n">
        <x:v>0.3</x:v>
      </x:c>
      <x:c r="D182" s="60" t="n">
        <x:v>0.3</x:v>
      </x:c>
      <x:c r="E182" s="62" t="b">
        <x:v>1</x:v>
      </x:c>
      <x:c r="F182" s="62" t="b">
        <x:v>1</x:v>
      </x:c>
      <x:c r="G182" s="85" t="n">
        <x:v>0</x:v>
      </x:c>
      <x:c r="H182" s="85" t="n">
        <x:v>0</x:v>
      </x:c>
      <x:c r="I182" s="85" t="n">
        <x:v>6338531.594066413</x:v>
      </x:c>
      <x:c r="J182" s="85" t="n">
        <x:v>4655778.3585994225</x:v>
      </x:c>
      <x:c r="K182" s="85" t="n">
        <x:v>150190.0573972607</x:v>
      </x:c>
      <x:c r="L182" s="28" t="n">
        <x:v>0</x:v>
      </x:c>
      <x:c r="M182" s="28" t="n">
        <x:v>0</x:v>
      </x:c>
      <x:c r="N182" s="28" t="n">
        <x:v>4.656612873077393e-10</x:v>
      </x:c>
      <x:c r="O182" s="28" t="n">
        <x:v>7.450580596923828e-9</x:v>
      </x:c>
      <x:c r="P182" s="28" t="n">
        <x:v>0</x:v>
      </x:c>
      <x:c r="Q182" s="62" t="b">
        <x:v>1</x:v>
      </x:c>
      <x:c r="R182" s="28" t="n">
        <x:v>0</x:v>
      </x:c>
      <x:c r="S182" s="28" t="str">
        <x:v>1301b93f78e1521c</x:v>
      </x:c>
    </x:row>
    <x:row r="183" ht="21" customHeight="1">
      <x:c r="A183" s="60" t="n">
        <x:v>0.6</x:v>
      </x:c>
      <x:c r="B183" s="28" t="str">
        <x:v>back_high</x:v>
      </x:c>
      <x:c r="C183" s="60" t="n">
        <x:v>0.35</x:v>
      </x:c>
      <x:c r="D183" s="60" t="n">
        <x:v>0.35</x:v>
      </x:c>
      <x:c r="E183" s="62" t="b">
        <x:v>1</x:v>
      </x:c>
      <x:c r="F183" s="62" t="b">
        <x:v>1</x:v>
      </x:c>
      <x:c r="G183" s="85" t="n">
        <x:v>0</x:v>
      </x:c>
      <x:c r="H183" s="85" t="n">
        <x:v>0</x:v>
      </x:c>
      <x:c r="I183" s="85" t="n">
        <x:v>8015791.848785241</x:v>
      </x:c>
      <x:c r="J183" s="85" t="n">
        <x:v>6360808.085032656</x:v>
      </x:c>
      <x:c r="K183" s="85" t="n">
        <x:v>132222.8336301372</x:v>
      </x:c>
      <x:c r="L183" s="28" t="n">
        <x:v>0</x:v>
      </x:c>
      <x:c r="M183" s="28" t="n">
        <x:v>0</x:v>
      </x:c>
      <x:c r="N183" s="28" t="n">
        <x:v>4.656612873077393e-10</x:v>
      </x:c>
      <x:c r="O183" s="28" t="n">
        <x:v>3.725290298461914e-9</x:v>
      </x:c>
      <x:c r="P183" s="28" t="n">
        <x:v>0</x:v>
      </x:c>
      <x:c r="Q183" s="62" t="b">
        <x:v>1</x:v>
      </x:c>
      <x:c r="R183" s="28" t="n">
        <x:v>0</x:v>
      </x:c>
      <x:c r="S183" s="28" t="str">
        <x:v>5c9258e3fa2aa733</x:v>
      </x:c>
    </x:row>
    <x:row r="184" ht="21" customHeight="1">
      <x:c r="A184" s="60" t="n">
        <x:v>0.6</x:v>
      </x:c>
      <x:c r="B184" s="28" t="str">
        <x:v>back_high</x:v>
      </x:c>
      <x:c r="C184" s="60" t="n">
        <x:v>0.4</x:v>
      </x:c>
      <x:c r="D184" s="60" t="n">
        <x:v>0.4</x:v>
      </x:c>
      <x:c r="E184" s="62" t="b">
        <x:v>1</x:v>
      </x:c>
      <x:c r="F184" s="62" t="b">
        <x:v>1</x:v>
      </x:c>
      <x:c r="G184" s="85" t="n">
        <x:v>0</x:v>
      </x:c>
      <x:c r="H184" s="85" t="n">
        <x:v>0</x:v>
      </x:c>
      <x:c r="I184" s="85" t="n">
        <x:v>9697073.726908129</x:v>
      </x:c>
      <x:c r="J184" s="85" t="n">
        <x:v>8065837.811465903</x:v>
      </x:c>
      <x:c r="K184" s="85" t="n">
        <x:v>114255.60986301323</x:v>
      </x:c>
      <x:c r="L184" s="28" t="n">
        <x:v>0</x:v>
      </x:c>
      <x:c r="M184" s="28" t="n">
        <x:v>0</x:v>
      </x:c>
      <x:c r="N184" s="28" t="n">
        <x:v>4.656612873077393e-10</x:v>
      </x:c>
      <x:c r="O184" s="28" t="n">
        <x:v>7.450580596923828e-9</x:v>
      </x:c>
      <x:c r="P184" s="28" t="n">
        <x:v>0</x:v>
      </x:c>
      <x:c r="Q184" s="62" t="b">
        <x:v>1</x:v>
      </x:c>
      <x:c r="R184" s="28" t="n">
        <x:v>0</x:v>
      </x:c>
      <x:c r="S184" s="28" t="str">
        <x:v>7f8712eb6d687647</x:v>
      </x:c>
    </x:row>
    <x:row r="185" ht="21" customHeight="1">
      <x:c r="A185" s="60" t="n">
        <x:v>0.6</x:v>
      </x:c>
      <x:c r="B185" s="28" t="str">
        <x:v>back_high</x:v>
      </x:c>
      <x:c r="C185" s="60" t="n">
        <x:v>0.45</x:v>
      </x:c>
      <x:c r="D185" s="60" t="n">
        <x:v>0.45</x:v>
      </x:c>
      <x:c r="E185" s="62" t="b">
        <x:v>1</x:v>
      </x:c>
      <x:c r="F185" s="62" t="b">
        <x:v>1</x:v>
      </x:c>
      <x:c r="G185" s="85" t="n">
        <x:v>0</x:v>
      </x:c>
      <x:c r="H185" s="85" t="n">
        <x:v>0</x:v>
      </x:c>
      <x:c r="I185" s="85" t="n">
        <x:v>11396128.777292196</x:v>
      </x:c>
      <x:c r="J185" s="85" t="n">
        <x:v>9770867.53789914</x:v>
      </x:c>
      <x:c r="K185" s="85" t="n">
        <x:v>96288.38609588996</x:v>
      </x:c>
      <x:c r="L185" s="28" t="n">
        <x:v>0</x:v>
      </x:c>
      <x:c r="M185" s="28" t="n">
        <x:v>0</x:v>
      </x:c>
      <x:c r="N185" s="28" t="n">
        <x:v>2.3283064365386963e-10</x:v>
      </x:c>
      <x:c r="O185" s="28" t="n">
        <x:v>7.450580596923828e-9</x:v>
      </x:c>
      <x:c r="P185" s="28" t="n">
        <x:v>0</x:v>
      </x:c>
      <x:c r="Q185" s="62" t="b">
        <x:v>1</x:v>
      </x:c>
      <x:c r="R185" s="28" t="n">
        <x:v>0</x:v>
      </x:c>
      <x:c r="S185" s="28" t="str">
        <x:v>72bb8f3c8696eb50</x:v>
      </x:c>
    </x:row>
    <x:row r="186" ht="21" customHeight="1">
      <x:c r="A186" s="60" t="n">
        <x:v>0.6</x:v>
      </x:c>
      <x:c r="B186" s="28" t="str">
        <x:v>back_high</x:v>
      </x:c>
      <x:c r="C186" s="60" t="n">
        <x:v>0.5</x:v>
      </x:c>
      <x:c r="D186" s="60" t="n">
        <x:v>0.5</x:v>
      </x:c>
      <x:c r="E186" s="62" t="b">
        <x:v>1</x:v>
      </x:c>
      <x:c r="F186" s="62" t="b">
        <x:v>1</x:v>
      </x:c>
      <x:c r="G186" s="85" t="n">
        <x:v>0</x:v>
      </x:c>
      <x:c r="H186" s="85" t="n">
        <x:v>0</x:v>
      </x:c>
      <x:c r="I186" s="85" t="n">
        <x:v>13101968.762600511</x:v>
      </x:c>
      <x:c r="J186" s="85" t="n">
        <x:v>11416068.321617158</x:v>
      </x:c>
      <x:c r="K186" s="85" t="n">
        <x:v>78321.16232876712</x:v>
      </x:c>
      <x:c r="L186" s="28" t="n">
        <x:v>1</x:v>
      </x:c>
      <x:c r="M186" s="28" t="n">
        <x:v>0</x:v>
      </x:c>
      <x:c r="N186" s="28" t="n">
        <x:v>4.656612873077393e-10</x:v>
      </x:c>
      <x:c r="O186" s="28" t="n">
        <x:v>1.862645149230957e-9</x:v>
      </x:c>
      <x:c r="P186" s="28" t="n">
        <x:v>0</x:v>
      </x:c>
      <x:c r="Q186" s="62" t="b">
        <x:v>1</x:v>
      </x:c>
      <x:c r="R186" s="28" t="n">
        <x:v>0</x:v>
      </x:c>
      <x:c r="S186" s="28" t="str">
        <x:v>ba8b939d6d8344ca</x:v>
      </x:c>
    </x:row>
    <x:row r="187" ht="21" customHeight="1">
      <x:c r="A187" s="60" t="n">
        <x:v>0.6</x:v>
      </x:c>
      <x:c r="B187" s="28" t="str">
        <x:v>back_high</x:v>
      </x:c>
      <x:c r="C187" s="60" t="n">
        <x:v>0.55</x:v>
      </x:c>
      <x:c r="D187" s="60" t="n">
        <x:v>0.55</x:v>
      </x:c>
      <x:c r="E187" s="62" t="b">
        <x:v>1</x:v>
      </x:c>
      <x:c r="F187" s="62" t="b">
        <x:v>1</x:v>
      </x:c>
      <x:c r="G187" s="85" t="n">
        <x:v>0</x:v>
      </x:c>
      <x:c r="H187" s="85" t="n">
        <x:v>0</x:v>
      </x:c>
      <x:c r="I187" s="85" t="n">
        <x:v>14875966.014541142</x:v>
      </x:c>
      <x:c r="J187" s="85" t="n">
        <x:v>12709792.645768512</x:v>
      </x:c>
      <x:c r="K187" s="85" t="n">
        <x:v>68287.22584931429</x:v>
      </x:c>
      <x:c r="L187" s="28" t="n">
        <x:v>6</x:v>
      </x:c>
      <x:c r="M187" s="28" t="n">
        <x:v>1</x:v>
      </x:c>
      <x:c r="N187" s="28" t="n">
        <x:v>4.656612873077393e-10</x:v>
      </x:c>
      <x:c r="O187" s="28" t="n">
        <x:v>7.450580596923828e-9</x:v>
      </x:c>
      <x:c r="P187" s="28" t="n">
        <x:v>0</x:v>
      </x:c>
      <x:c r="Q187" s="62" t="b">
        <x:v>1</x:v>
      </x:c>
      <x:c r="R187" s="28" t="n">
        <x:v>0</x:v>
      </x:c>
      <x:c r="S187" s="28" t="str">
        <x:v>c29fad84736967e4</x:v>
      </x:c>
    </x:row>
    <x:row r="188" ht="21" customHeight="1">
      <x:c r="A188" s="60" t="n">
        <x:v>0.6</x:v>
      </x:c>
      <x:c r="B188" s="28" t="str">
        <x:v>back_high</x:v>
      </x:c>
      <x:c r="C188" s="60" t="n">
        <x:v>0.6</x:v>
      </x:c>
      <x:c r="D188" s="60" t="n">
        <x:v>0.6</x:v>
      </x:c>
      <x:c r="E188" s="62" t="b">
        <x:v>1</x:v>
      </x:c>
      <x:c r="F188" s="62" t="b">
        <x:v>1</x:v>
      </x:c>
      <x:c r="G188" s="85" t="n">
        <x:v>0</x:v>
      </x:c>
      <x:c r="H188" s="85" t="n">
        <x:v>0</x:v>
      </x:c>
      <x:c r="I188" s="85" t="n">
        <x:v>16532324.836151041</x:v>
      </x:c>
      <x:c r="J188" s="85" t="n">
        <x:v>14451210.070984233</x:v>
      </x:c>
      <x:c r="K188" s="85" t="n">
        <x:v>62864.568821918394</x:v>
      </x:c>
      <x:c r="L188" s="28" t="n">
        <x:v>9</x:v>
      </x:c>
      <x:c r="M188" s="28" t="n">
        <x:v>5</x:v>
      </x:c>
      <x:c r="N188" s="28" t="n">
        <x:v>4.656612873077393e-10</x:v>
      </x:c>
      <x:c r="O188" s="28" t="n">
        <x:v>7.450580596923828e-9</x:v>
      </x:c>
      <x:c r="P188" s="28" t="n">
        <x:v>0</x:v>
      </x:c>
      <x:c r="Q188" s="62" t="b">
        <x:v>1</x:v>
      </x:c>
      <x:c r="R188" s="28" t="n">
        <x:v>0</x:v>
      </x:c>
      <x:c r="S188" s="28" t="str">
        <x:v>94ed9f25477e4e73</x:v>
      </x:c>
    </x:row>
    <x:row r="189" ht="21" customHeight="1">
      <x:c r="A189" s="60" t="n">
        <x:v>0.6</x:v>
      </x:c>
      <x:c r="B189" s="28" t="str">
        <x:v>back_high</x:v>
      </x:c>
      <x:c r="C189" s="60" t="n">
        <x:v>0.65</x:v>
      </x:c>
      <x:c r="D189" s="60" t="n">
        <x:v>0.65</x:v>
      </x:c>
      <x:c r="E189" s="62" t="b">
        <x:v>1</x:v>
      </x:c>
      <x:c r="F189" s="62" t="b">
        <x:v>1</x:v>
      </x:c>
      <x:c r="G189" s="85" t="n">
        <x:v>0</x:v>
      </x:c>
      <x:c r="H189" s="85" t="n">
        <x:v>0</x:v>
      </x:c>
      <x:c r="I189" s="85" t="n">
        <x:v>18178730.640577674</x:v>
      </x:c>
      <x:c r="J189" s="85" t="n">
        <x:v>16112093.681498451</x:v>
      </x:c>
      <x:c r="K189" s="85" t="n">
        <x:v>57441.91179452111</x:v>
      </x:c>
      <x:c r="L189" s="28" t="n">
        <x:v>14</x:v>
      </x:c>
      <x:c r="M189" s="28" t="n">
        <x:v>10</x:v>
      </x:c>
      <x:c r="N189" s="28" t="n">
        <x:v>4.656612873077393e-10</x:v>
      </x:c>
      <x:c r="O189" s="28" t="n">
        <x:v>7.450580596923828e-9</x:v>
      </x:c>
      <x:c r="P189" s="28" t="n">
        <x:v>0</x:v>
      </x:c>
      <x:c r="Q189" s="62" t="b">
        <x:v>1</x:v>
      </x:c>
      <x:c r="R189" s="28" t="n">
        <x:v>0</x:v>
      </x:c>
      <x:c r="S189" s="28" t="str">
        <x:v>48e36f56d0242fc2</x:v>
      </x:c>
    </x:row>
    <x:row r="190" ht="21" customHeight="1">
      <x:c r="A190" s="60" t="n">
        <x:v>0.6</x:v>
      </x:c>
      <x:c r="B190" s="28" t="str">
        <x:v>back_high</x:v>
      </x:c>
      <x:c r="C190" s="60" t="n">
        <x:v>0.7</x:v>
      </x:c>
      <x:c r="D190" s="60" t="n">
        <x:v>0.7</x:v>
      </x:c>
      <x:c r="E190" s="62" t="b">
        <x:v>1</x:v>
      </x:c>
      <x:c r="F190" s="62" t="b">
        <x:v>0</x:v>
      </x:c>
      <x:c r="G190" s="85" t="n">
        <x:v>510614.34121664095</x:v>
      </x:c>
      <x:c r="H190" s="85" t="n">
        <x:v>1642194.023021782</x:v>
      </x:c>
      <x:c r="I190" s="85" t="n">
        <x:v>18867910.31935137</x:v>
      </x:c>
      <x:c r="J190" s="85" t="n">
        <x:v>16723200.000000002</x:v>
      </x:c>
      <x:c r="K190" s="85" t="n">
        <x:v>52019.25476712312</x:v>
      </x:c>
      <x:c r="L190" s="28" t="n">
        <x:v>37</x:v>
      </x:c>
      <x:c r="M190" s="28" t="n">
        <x:v>33</x:v>
      </x:c>
      <x:c r="N190" s="28" t="n">
        <x:v>4.656612873077393e-10</x:v>
      </x:c>
      <x:c r="O190" s="28" t="n">
        <x:v>3.725290298461914e-9</x:v>
      </x:c>
      <x:c r="P190" s="28" t="n">
        <x:v>0</x:v>
      </x:c>
      <x:c r="Q190" s="62" t="b">
        <x:v>1</x:v>
      </x:c>
      <x:c r="R190" s="28" t="n">
        <x:v>0</x:v>
      </x:c>
      <x:c r="S190" s="28" t="str">
        <x:v>4c88efbdebbcb571</x:v>
      </x:c>
    </x:row>
    <x:row r="191" ht="21" customHeight="1">
      <x:c r="A191" s="60" t="n">
        <x:v>0.6</x:v>
      </x:c>
      <x:c r="B191" s="28" t="str">
        <x:v>back_high</x:v>
      </x:c>
      <x:c r="C191" s="60" t="n">
        <x:v>0.75</x:v>
      </x:c>
      <x:c r="D191" s="60" t="n">
        <x:v>0.75</x:v>
      </x:c>
      <x:c r="E191" s="62" t="b">
        <x:v>1</x:v>
      </x:c>
      <x:c r="F191" s="62" t="b">
        <x:v>0</x:v>
      </x:c>
      <x:c r="G191" s="85" t="n">
        <x:v>1272817.888073174</x:v>
      </x:c>
      <x:c r="H191" s="85" t="n">
        <x:v>3839099.859173704</x:v>
      </x:c>
      <x:c r="I191" s="85" t="n">
        <x:v>19190103.825417265</x:v>
      </x:c>
      <x:c r="J191" s="85" t="n">
        <x:v>16723200.000000002</x:v>
      </x:c>
      <x:c r="K191" s="85" t="n">
        <x:v>46596.5977397256</x:v>
      </x:c>
      <x:c r="L191" s="28" t="n">
        <x:v>38</x:v>
      </x:c>
      <x:c r="M191" s="28" t="n">
        <x:v>34</x:v>
      </x:c>
      <x:c r="N191" s="28" t="n">
        <x:v>4.656612873077393e-10</x:v>
      </x:c>
      <x:c r="O191" s="28" t="n">
        <x:v>7.450580596923828e-9</x:v>
      </x:c>
      <x:c r="P191" s="28" t="n">
        <x:v>0</x:v>
      </x:c>
      <x:c r="Q191" s="62" t="b">
        <x:v>1</x:v>
      </x:c>
      <x:c r="R191" s="28" t="n">
        <x:v>0</x:v>
      </x:c>
      <x:c r="S191" s="28" t="str">
        <x:v>3ec78bee0887a7ee</x:v>
      </x:c>
    </x:row>
    <x:row r="192" ht="21" customHeight="1">
      <x:c r="A192" s="60" t="n">
        <x:v>0.6</x:v>
      </x:c>
      <x:c r="B192" s="28" t="str">
        <x:v>back_high</x:v>
      </x:c>
      <x:c r="C192" s="60" t="n">
        <x:v>0.8</x:v>
      </x:c>
      <x:c r="D192" s="60" t="n">
        <x:v>0.8</x:v>
      </x:c>
      <x:c r="E192" s="62" t="b">
        <x:v>1</x:v>
      </x:c>
      <x:c r="F192" s="62" t="b">
        <x:v>0</x:v>
      </x:c>
      <x:c r="G192" s="85" t="n">
        <x:v>2232216.7410123805</x:v>
      </x:c>
      <x:c r="H192" s="85" t="n">
        <x:v>6155875.59304401</x:v>
      </x:c>
      <x:c r="I192" s="85" t="n">
        <x:v>19294132.360335495</x:v>
      </x:c>
      <x:c r="J192" s="85" t="n">
        <x:v>16723200.000000002</x:v>
      </x:c>
      <x:c r="K192" s="85" t="n">
        <x:v>41173.940712328775</x:v>
      </x:c>
      <x:c r="L192" s="28" t="n">
        <x:v>38</x:v>
      </x:c>
      <x:c r="M192" s="28" t="n">
        <x:v>35</x:v>
      </x:c>
      <x:c r="N192" s="28" t="n">
        <x:v>4.656612873077393e-10</x:v>
      </x:c>
      <x:c r="O192" s="28" t="n">
        <x:v>3.725290298461914e-9</x:v>
      </x:c>
      <x:c r="P192" s="28" t="n">
        <x:v>0</x:v>
      </x:c>
      <x:c r="Q192" s="62" t="b">
        <x:v>1</x:v>
      </x:c>
      <x:c r="R192" s="28" t="n">
        <x:v>0</x:v>
      </x:c>
      <x:c r="S192" s="28" t="str">
        <x:v>3dfcdeafa39f8f22</x:v>
      </x:c>
    </x:row>
    <x:row r="193" ht="21" customHeight="1">
      <x:c r="A193" s="60" t="n">
        <x:v>0.6</x:v>
      </x:c>
      <x:c r="B193" s="28" t="str">
        <x:v>back_high</x:v>
      </x:c>
      <x:c r="C193" s="60" t="n">
        <x:v>0.85</x:v>
      </x:c>
      <x:c r="D193" s="60" t="n">
        <x:v>0.85</x:v>
      </x:c>
      <x:c r="E193" s="62" t="b">
        <x:v>1</x:v>
      </x:c>
      <x:c r="F193" s="62" t="b">
        <x:v>0</x:v>
      </x:c>
      <x:c r="G193" s="85" t="n">
        <x:v>3339774.9866690263</x:v>
      </x:c>
      <x:c r="H193" s="85" t="n">
        <x:v>7970366.332551515</x:v>
      </x:c>
      <x:c r="I193" s="85" t="n">
        <x:v>19606778.576321013</x:v>
      </x:c>
      <x:c r="J193" s="85" t="n">
        <x:v>16723200.000000002</x:v>
      </x:c>
      <x:c r="K193" s="85" t="n">
        <x:v>35751.283684931484</x:v>
      </x:c>
      <x:c r="L193" s="28" t="n">
        <x:v>39</x:v>
      </x:c>
      <x:c r="M193" s="28" t="n">
        <x:v>36</x:v>
      </x:c>
      <x:c r="N193" s="28" t="n">
        <x:v>4.656612873077393e-10</x:v>
      </x:c>
      <x:c r="O193" s="28" t="n">
        <x:v>9.313225746154785e-10</x:v>
      </x:c>
      <x:c r="P193" s="28" t="n">
        <x:v>0</x:v>
      </x:c>
      <x:c r="Q193" s="62" t="b">
        <x:v>1</x:v>
      </x:c>
      <x:c r="R193" s="28" t="n">
        <x:v>0</x:v>
      </x:c>
      <x:c r="S193" s="28" t="str">
        <x:v>9ee675d77d9e938c</x:v>
      </x:c>
    </x:row>
    <x:row r="194" ht="21" customHeight="1">
      <x:c r="A194" s="60" t="n">
        <x:v>0.6</x:v>
      </x:c>
      <x:c r="B194" s="28" t="str">
        <x:v>back_high</x:v>
      </x:c>
      <x:c r="C194" s="60" t="n">
        <x:v>0.9</x:v>
      </x:c>
      <x:c r="D194" s="60" t="n">
        <x:v>0.880265491166173</x:v>
      </x:c>
      <x:c r="E194" s="62" t="b">
        <x:v>0</x:v>
      </x:c>
      <x:c r="F194" s="62" t="b">
        <x:v>0</x:v>
      </x:c>
      <x:c r="G194" s="85" t="n">
        <x:v>3874500.9921800797</x:v>
      </x:c>
      <x:c r="H194" s="85" t="n">
        <x:v>8722370.768288758</x:v>
      </x:c>
      <x:c r="I194" s="85" t="n">
        <x:v>19895106.687143505</x:v>
      </x:c>
      <x:c r="J194" s="85" t="n">
        <x:v>16723200.000000002</x:v>
      </x:c>
      <x:c r="K194" s="85" t="n">
        <x:v>30328.62665753373</x:v>
      </x:c>
      <x:c r="L194" s="28" t="n">
        <x:v>40</x:v>
      </x:c>
      <x:c r="M194" s="28" t="n">
        <x:v>36</x:v>
      </x:c>
      <x:c r="N194" s="28" t="n">
        <x:v>4.656612873077393e-10</x:v>
      </x:c>
      <x:c r="O194" s="28" t="n">
        <x:v>3.725290298461914e-9</x:v>
      </x:c>
      <x:c r="P194" s="28" t="n">
        <x:v>0</x:v>
      </x:c>
      <x:c r="Q194" s="62" t="b">
        <x:v>1</x:v>
      </x:c>
      <x:c r="R194" s="28" t="n">
        <x:v>1100080.4604328498</x:v>
      </x:c>
      <x:c r="S194" s="28" t="str">
        <x:v>fcbae1d2802ca587</x:v>
      </x:c>
    </x:row>
    <x:row r="195" ht="21" customHeight="1">
      <x:c r="A195" s="60" t="n">
        <x:v>0.6</x:v>
      </x:c>
      <x:c r="B195" s="28" t="str">
        <x:v>back_high</x:v>
      </x:c>
      <x:c r="C195" s="60" t="n">
        <x:v>0.95</x:v>
      </x:c>
      <x:c r="D195" s="60" t="n">
        <x:v>0.8954794051096439</x:v>
      </x:c>
      <x:c r="E195" s="62" t="b">
        <x:v>0</x:v>
      </x:c>
      <x:c r="F195" s="62" t="b">
        <x:v>0</x:v>
      </x:c>
      <x:c r="G195" s="85" t="n">
        <x:v>4326209.264389922</x:v>
      </x:c>
      <x:c r="H195" s="85" t="n">
        <x:v>9583376.777377605</x:v>
      </x:c>
      <x:c r="I195" s="85" t="n">
        <x:v>19959975.724404905</x:v>
      </x:c>
      <x:c r="J195" s="85" t="n">
        <x:v>16723200.000000002</x:v>
      </x:c>
      <x:c r="K195" s="85" t="n">
        <x:v>24905.969630136904</x:v>
      </x:c>
      <x:c r="L195" s="28" t="n">
        <x:v>40</x:v>
      </x:c>
      <x:c r="M195" s="28" t="n">
        <x:v>37</x:v>
      </x:c>
      <x:c r="N195" s="28" t="n">
        <x:v>4.656612873077393e-10</x:v>
      </x:c>
      <x:c r="O195" s="28" t="n">
        <x:v>3.725290298461914e-9</x:v>
      </x:c>
      <x:c r="P195" s="28" t="n">
        <x:v>0</x:v>
      </x:c>
      <x:c r="Q195" s="62" t="b">
        <x:v>1</x:v>
      </x:c>
      <x:c r="R195" s="28" t="n">
        <x:v>3039196.041568011</x:v>
      </x:c>
      <x:c r="S195" s="28" t="str">
        <x:v>212d5a616ca91c6e</x:v>
      </x:c>
    </x:row>
    <x:row r="196" ht="21" customHeight="1">
      <x:c r="A196" s="60" t="n">
        <x:v>0.6</x:v>
      </x:c>
      <x:c r="B196" s="28" t="str">
        <x:v>back_high</x:v>
      </x:c>
      <x:c r="C196" s="60" t="n">
        <x:v>1</x:v>
      </x:c>
      <x:c r="D196" s="60" t="n">
        <x:v>0.9093341115290656</x:v>
      </x:c>
      <x:c r="E196" s="62" t="b">
        <x:v>0</x:v>
      </x:c>
      <x:c r="F196" s="62" t="b">
        <x:v>0</x:v>
      </x:c>
      <x:c r="G196" s="85" t="n">
        <x:v>4767943.416626606</x:v>
      </x:c>
      <x:c r="H196" s="85" t="n">
        <x:v>10301164.58351808</x:v>
      </x:c>
      <x:c r="I196" s="85" t="n">
        <x:v>20024844.7616663</x:v>
      </x:c>
      <x:c r="J196" s="85" t="n">
        <x:v>16723200.000000002</x:v>
      </x:c>
      <x:c r="K196" s="85" t="n">
        <x:v>20253.920547944996</x:v>
      </x:c>
      <x:c r="L196" s="28" t="n">
        <x:v>40</x:v>
      </x:c>
      <x:c r="M196" s="28" t="n">
        <x:v>38</x:v>
      </x:c>
      <x:c r="N196" s="28" t="n">
        <x:v>4.656612873077393e-10</x:v>
      </x:c>
      <x:c r="O196" s="28" t="n">
        <x:v>3.725290298461914e-9</x:v>
      </x:c>
      <x:c r="P196" s="28" t="n">
        <x:v>0</x:v>
      </x:c>
      <x:c r="Q196" s="62" t="b">
        <x:v>1</x:v>
      </x:c>
      <x:c r="R196" s="28" t="n">
        <x:v>5054079.286923766</x:v>
      </x:c>
      <x:c r="S196" s="28" t="str">
        <x:v>933adfba24488f1b</x:v>
      </x:c>
    </x:row>
    <x:row r="197" ht="21" customHeight="1">
      <x:c r="A197" s="60" t="n">
        <x:v>0.6</x:v>
      </x:c>
      <x:c r="B197" s="28" t="str">
        <x:v>level_flat</x:v>
      </x:c>
      <x:c r="C197" s="60" t="n">
        <x:v>0</x:v>
      </x:c>
      <x:c r="D197" s="60" t="n">
        <x:v>0</x:v>
      </x:c>
      <x:c r="E197" s="62" t="b">
        <x:v>1</x:v>
      </x:c>
      <x:c r="F197" s="62" t="b">
        <x:v>1</x:v>
      </x:c>
      <x:c r="G197" s="85" t="n">
        <x:v>0</x:v>
      </x:c>
      <x:c r="H197" s="85" t="n">
        <x:v>0</x:v>
      </x:c>
      <x:c r="I197" s="85" t="n">
        <x:v>0</x:v>
      </x:c>
      <x:c r="J197" s="85" t="n">
        <x:v>0</x:v>
      </x:c>
      <x:c r="K197" s="85" t="n">
        <x:v>5516516.670684932</x:v>
      </x:c>
      <x:c r="L197" s="28" t="n">
        <x:v>0</x:v>
      </x:c>
      <x:c r="M197" s="28" t="n">
        <x:v>0</x:v>
      </x:c>
      <x:c r="N197" s="28" t="n">
        <x:v>9.313225746154785e-10</x:v>
      </x:c>
      <x:c r="O197" s="28" t="n">
        <x:v>0</x:v>
      </x:c>
      <x:c r="P197" s="28" t="n">
        <x:v>0</x:v>
      </x:c>
      <x:c r="Q197" s="62" t="b">
        <x:v>1</x:v>
      </x:c>
      <x:c r="R197" s="28" t="n">
        <x:v>0</x:v>
      </x:c>
      <x:c r="S197" s="28" t="str">
        <x:v>fe979662cef5c337</x:v>
      </x:c>
    </x:row>
    <x:row r="198" ht="21" customHeight="1">
      <x:c r="A198" s="60" t="n">
        <x:v>0.6</x:v>
      </x:c>
      <x:c r="B198" s="28" t="str">
        <x:v>level_flat</x:v>
      </x:c>
      <x:c r="C198" s="60" t="n">
        <x:v>0.05</x:v>
      </x:c>
      <x:c r="D198" s="60" t="n">
        <x:v>0.05</x:v>
      </x:c>
      <x:c r="E198" s="62" t="b">
        <x:v>1</x:v>
      </x:c>
      <x:c r="F198" s="62" t="b">
        <x:v>1</x:v>
      </x:c>
      <x:c r="G198" s="85" t="n">
        <x:v>0</x:v>
      </x:c>
      <x:c r="H198" s="85" t="n">
        <x:v>0</x:v>
      </x:c>
      <x:c r="I198" s="85" t="n">
        <x:v>0</x:v>
      </x:c>
      <x:c r="J198" s="85" t="n">
        <x:v>0</x:v>
      </x:c>
      <x:c r="K198" s="85" t="n">
        <x:v>3286051.6909255725</x:v>
      </x:c>
      <x:c r="L198" s="28" t="n">
        <x:v>0</x:v>
      </x:c>
      <x:c r="M198" s="28" t="n">
        <x:v>0</x:v>
      </x:c>
      <x:c r="N198" s="28" t="n">
        <x:v>9.313225746154785e-10</x:v>
      </x:c>
      <x:c r="O198" s="28" t="n">
        <x:v>7.450580596923828e-9</x:v>
      </x:c>
      <x:c r="P198" s="28" t="n">
        <x:v>0</x:v>
      </x:c>
      <x:c r="Q198" s="62" t="b">
        <x:v>1</x:v>
      </x:c>
      <x:c r="R198" s="28" t="n">
        <x:v>0</x:v>
      </x:c>
      <x:c r="S198" s="28" t="str">
        <x:v>d9674a7a737f0610</x:v>
      </x:c>
    </x:row>
    <x:row r="199" ht="21" customHeight="1">
      <x:c r="A199" s="60" t="n">
        <x:v>0.6</x:v>
      </x:c>
      <x:c r="B199" s="28" t="str">
        <x:v>level_flat</x:v>
      </x:c>
      <x:c r="C199" s="60" t="n">
        <x:v>0.1</x:v>
      </x:c>
      <x:c r="D199" s="60" t="n">
        <x:v>0.1</x:v>
      </x:c>
      <x:c r="E199" s="62" t="b">
        <x:v>1</x:v>
      </x:c>
      <x:c r="F199" s="62" t="b">
        <x:v>1</x:v>
      </x:c>
      <x:c r="G199" s="85" t="n">
        <x:v>0</x:v>
      </x:c>
      <x:c r="H199" s="85" t="n">
        <x:v>0</x:v>
      </x:c>
      <x:c r="I199" s="85" t="n">
        <x:v>0</x:v>
      </x:c>
      <x:c r="J199" s="85" t="n">
        <x:v>0</x:v>
      </x:c>
      <x:c r="K199" s="85" t="n">
        <x:v>1055472.2220836433</x:v>
      </x:c>
      <x:c r="L199" s="28" t="n">
        <x:v>0</x:v>
      </x:c>
      <x:c r="M199" s="28" t="n">
        <x:v>0</x:v>
      </x:c>
      <x:c r="N199" s="28" t="n">
        <x:v>4.656612873077393e-10</x:v>
      </x:c>
      <x:c r="O199" s="28" t="n">
        <x:v>7.450580596923828e-9</x:v>
      </x:c>
      <x:c r="P199" s="28" t="n">
        <x:v>0</x:v>
      </x:c>
      <x:c r="Q199" s="62" t="b">
        <x:v>1</x:v>
      </x:c>
      <x:c r="R199" s="28" t="n">
        <x:v>0</x:v>
      </x:c>
      <x:c r="S199" s="28" t="str">
        <x:v>2d684d1669059f9b</x:v>
      </x:c>
    </x:row>
    <x:row r="200" ht="21" customHeight="1">
      <x:c r="A200" s="60" t="n">
        <x:v>0.6</x:v>
      </x:c>
      <x:c r="B200" s="28" t="str">
        <x:v>level_flat</x:v>
      </x:c>
      <x:c r="C200" s="60" t="n">
        <x:v>0.15</x:v>
      </x:c>
      <x:c r="D200" s="60" t="n">
        <x:v>0.15</x:v>
      </x:c>
      <x:c r="E200" s="62" t="b">
        <x:v>1</x:v>
      </x:c>
      <x:c r="F200" s="62" t="b">
        <x:v>1</x:v>
      </x:c>
      <x:c r="G200" s="85" t="n">
        <x:v>0</x:v>
      </x:c>
      <x:c r="H200" s="85" t="n">
        <x:v>0</x:v>
      </x:c>
      <x:c r="I200" s="85" t="n">
        <x:v>1034664.7914213436</x:v>
      </x:c>
      <x:c r="J200" s="85" t="n">
        <x:v>0</x:v>
      </x:c>
      <x:c r="K200" s="85" t="n">
        <x:v>50945.816506849376</x:v>
      </x:c>
      <x:c r="L200" s="28" t="n">
        <x:v>0</x:v>
      </x:c>
      <x:c r="M200" s="28" t="n">
        <x:v>0</x:v>
      </x:c>
      <x:c r="N200" s="28" t="n">
        <x:v>9.313225746154785e-10</x:v>
      </x:c>
      <x:c r="O200" s="28" t="n">
        <x:v>7.450580596923828e-9</x:v>
      </x:c>
      <x:c r="P200" s="28" t="n">
        <x:v>0</x:v>
      </x:c>
      <x:c r="Q200" s="62" t="b">
        <x:v>1</x:v>
      </x:c>
      <x:c r="R200" s="28" t="n">
        <x:v>0</x:v>
      </x:c>
      <x:c r="S200" s="28" t="str">
        <x:v>42ae74b5f1d9cf21</x:v>
      </x:c>
    </x:row>
    <x:row r="201" ht="21" customHeight="1">
      <x:c r="A201" s="60" t="n">
        <x:v>0.6</x:v>
      </x:c>
      <x:c r="B201" s="28" t="str">
        <x:v>level_flat</x:v>
      </x:c>
      <x:c r="C201" s="60" t="n">
        <x:v>0.2</x:v>
      </x:c>
      <x:c r="D201" s="60" t="n">
        <x:v>0.2</x:v>
      </x:c>
      <x:c r="E201" s="62" t="b">
        <x:v>1</x:v>
      </x:c>
      <x:c r="F201" s="62" t="b">
        <x:v>1</x:v>
      </x:c>
      <x:c r="G201" s="85" t="n">
        <x:v>0</x:v>
      </x:c>
      <x:c r="H201" s="85" t="n">
        <x:v>0</x:v>
      </x:c>
      <x:c r="I201" s="85" t="n">
        <x:v>2558699.6826740806</x:v>
      </x:c>
      <x:c r="J201" s="85" t="n">
        <x:v>1248509.6821693014</x:v>
      </x:c>
      <x:c r="K201" s="85" t="n">
        <x:v>31373.955342465666</x:v>
      </x:c>
      <x:c r="L201" s="28" t="n">
        <x:v>0</x:v>
      </x:c>
      <x:c r="M201" s="28" t="n">
        <x:v>0</x:v>
      </x:c>
      <x:c r="N201" s="28" t="n">
        <x:v>9.313225746154785e-10</x:v>
      </x:c>
      <x:c r="O201" s="28" t="n">
        <x:v>7.450580596923828e-9</x:v>
      </x:c>
      <x:c r="P201" s="28" t="n">
        <x:v>0</x:v>
      </x:c>
      <x:c r="Q201" s="62" t="b">
        <x:v>1</x:v>
      </x:c>
      <x:c r="R201" s="28" t="n">
        <x:v>0</x:v>
      </x:c>
      <x:c r="S201" s="28" t="str">
        <x:v>74b5999f34606a65</x:v>
      </x:c>
    </x:row>
    <x:row r="202" ht="21" customHeight="1">
      <x:c r="A202" s="60" t="n">
        <x:v>0.6</x:v>
      </x:c>
      <x:c r="B202" s="28" t="str">
        <x:v>level_flat</x:v>
      </x:c>
      <x:c r="C202" s="60" t="n">
        <x:v>0.25</x:v>
      </x:c>
      <x:c r="D202" s="60" t="n">
        <x:v>0.25</x:v>
      </x:c>
      <x:c r="E202" s="62" t="b">
        <x:v>1</x:v>
      </x:c>
      <x:c r="F202" s="62" t="b">
        <x:v>1</x:v>
      </x:c>
      <x:c r="G202" s="85" t="n">
        <x:v>0</x:v>
      </x:c>
      <x:c r="H202" s="85" t="n">
        <x:v>0</x:v>
      </x:c>
      <x:c r="I202" s="85" t="n">
        <x:v>3777883.410713835</x:v>
      </x:c>
      <x:c r="J202" s="85" t="n">
        <x:v>2954237.1027116347</x:v>
      </x:c>
      <x:c r="K202" s="85" t="n">
        <x:v>24592.948698630134</x:v>
      </x:c>
      <x:c r="L202" s="28" t="n">
        <x:v>0</x:v>
      </x:c>
      <x:c r="M202" s="28" t="n">
        <x:v>0</x:v>
      </x:c>
      <x:c r="N202" s="28" t="n">
        <x:v>4.656612873077393e-10</x:v>
      </x:c>
      <x:c r="O202" s="28" t="n">
        <x:v>7.450580596923828e-9</x:v>
      </x:c>
      <x:c r="P202" s="28" t="n">
        <x:v>0</x:v>
      </x:c>
      <x:c r="Q202" s="62" t="b">
        <x:v>1</x:v>
      </x:c>
      <x:c r="R202" s="28" t="n">
        <x:v>0</x:v>
      </x:c>
      <x:c r="S202" s="28" t="str">
        <x:v>f4c200a37e8f565c</x:v>
      </x:c>
    </x:row>
    <x:row r="203" ht="21" customHeight="1">
      <x:c r="A203" s="60" t="n">
        <x:v>0.6</x:v>
      </x:c>
      <x:c r="B203" s="28" t="str">
        <x:v>level_flat</x:v>
      </x:c>
      <x:c r="C203" s="60" t="n">
        <x:v>0.3</x:v>
      </x:c>
      <x:c r="D203" s="60" t="n">
        <x:v>0.3</x:v>
      </x:c>
      <x:c r="E203" s="62" t="b">
        <x:v>1</x:v>
      </x:c>
      <x:c r="F203" s="62" t="b">
        <x:v>1</x:v>
      </x:c>
      <x:c r="G203" s="85" t="n">
        <x:v>0</x:v>
      </x:c>
      <x:c r="H203" s="85" t="n">
        <x:v>0</x:v>
      </x:c>
      <x:c r="I203" s="85" t="n">
        <x:v>5004620.42686081</x:v>
      </x:c>
      <x:c r="J203" s="85" t="n">
        <x:v>4659964.523253947</x:v>
      </x:c>
      <x:c r="K203" s="85" t="n">
        <x:v>18635.53109589013</x:v>
      </x:c>
      <x:c r="L203" s="28" t="n">
        <x:v>0</x:v>
      </x:c>
      <x:c r="M203" s="28" t="n">
        <x:v>0</x:v>
      </x:c>
      <x:c r="N203" s="28" t="n">
        <x:v>4.656612873077393e-10</x:v>
      </x:c>
      <x:c r="O203" s="28" t="n">
        <x:v>7.450580596923828e-9</x:v>
      </x:c>
      <x:c r="P203" s="28" t="n">
        <x:v>0</x:v>
      </x:c>
      <x:c r="Q203" s="62" t="b">
        <x:v>1</x:v>
      </x:c>
      <x:c r="R203" s="28" t="n">
        <x:v>0</x:v>
      </x:c>
      <x:c r="S203" s="28" t="str">
        <x:v>c576db9551f8be02</x:v>
      </x:c>
    </x:row>
    <x:row r="204" ht="21" customHeight="1">
      <x:c r="A204" s="60" t="n">
        <x:v>0.6</x:v>
      </x:c>
      <x:c r="B204" s="28" t="str">
        <x:v>level_flat</x:v>
      </x:c>
      <x:c r="C204" s="60" t="n">
        <x:v>0.35</x:v>
      </x:c>
      <x:c r="D204" s="60" t="n">
        <x:v>0.35</x:v>
      </x:c>
      <x:c r="E204" s="62" t="b">
        <x:v>1</x:v>
      </x:c>
      <x:c r="F204" s="62" t="b">
        <x:v>1</x:v>
      </x:c>
      <x:c r="G204" s="85" t="n">
        <x:v>0</x:v>
      </x:c>
      <x:c r="H204" s="85" t="n">
        <x:v>0</x:v>
      </x:c>
      <x:c r="I204" s="85" t="n">
        <x:v>6230367.923027114</x:v>
      </x:c>
      <x:c r="J204" s="85" t="n">
        <x:v>6365691.943796274</x:v>
      </x:c>
      <x:c r="K204" s="85" t="n">
        <x:v>12678.113493150817</x:v>
      </x:c>
      <x:c r="L204" s="28" t="n">
        <x:v>0</x:v>
      </x:c>
      <x:c r="M204" s="28" t="n">
        <x:v>0</x:v>
      </x:c>
      <x:c r="N204" s="28" t="n">
        <x:v>2.3283064365386963e-10</x:v>
      </x:c>
      <x:c r="O204" s="28" t="n">
        <x:v>7.450580596923828e-9</x:v>
      </x:c>
      <x:c r="P204" s="28" t="n">
        <x:v>0</x:v>
      </x:c>
      <x:c r="Q204" s="62" t="b">
        <x:v>1</x:v>
      </x:c>
      <x:c r="R204" s="28" t="n">
        <x:v>0</x:v>
      </x:c>
      <x:c r="S204" s="28" t="str">
        <x:v>bebb1a31cd22ddff</x:v>
      </x:c>
    </x:row>
    <x:row r="205" ht="21" customHeight="1">
      <x:c r="A205" s="60" t="n">
        <x:v>0.6</x:v>
      </x:c>
      <x:c r="B205" s="28" t="str">
        <x:v>level_flat</x:v>
      </x:c>
      <x:c r="C205" s="60" t="n">
        <x:v>0.4</x:v>
      </x:c>
      <x:c r="D205" s="60" t="n">
        <x:v>0.4</x:v>
      </x:c>
      <x:c r="E205" s="62" t="b">
        <x:v>1</x:v>
      </x:c>
      <x:c r="F205" s="62" t="b">
        <x:v>1</x:v>
      </x:c>
      <x:c r="G205" s="85" t="n">
        <x:v>0</x:v>
      </x:c>
      <x:c r="H205" s="85" t="n">
        <x:v>0</x:v>
      </x:c>
      <x:c r="I205" s="85" t="n">
        <x:v>7469705.558371494</x:v>
      </x:c>
      <x:c r="J205" s="85" t="n">
        <x:v>8071419.364338589</x:v>
      </x:c>
      <x:c r="K205" s="85" t="n">
        <x:v>6720.695890411393</x:v>
      </x:c>
      <x:c r="L205" s="28" t="n">
        <x:v>0</x:v>
      </x:c>
      <x:c r="M205" s="28" t="n">
        <x:v>0</x:v>
      </x:c>
      <x:c r="N205" s="28" t="n">
        <x:v>9.313225746154785e-10</x:v>
      </x:c>
      <x:c r="O205" s="28" t="n">
        <x:v>7.450580596923828e-9</x:v>
      </x:c>
      <x:c r="P205" s="28" t="n">
        <x:v>0</x:v>
      </x:c>
      <x:c r="Q205" s="62" t="b">
        <x:v>1</x:v>
      </x:c>
      <x:c r="R205" s="28" t="n">
        <x:v>0</x:v>
      </x:c>
      <x:c r="S205" s="28" t="str">
        <x:v>39ee16097a7a8886</x:v>
      </x:c>
    </x:row>
    <x:row r="206" ht="21" customHeight="1">
      <x:c r="A206" s="60" t="n">
        <x:v>0.6</x:v>
      </x:c>
      <x:c r="B206" s="28" t="str">
        <x:v>level_flat</x:v>
      </x:c>
      <x:c r="C206" s="60" t="n">
        <x:v>0.45</x:v>
      </x:c>
      <x:c r="D206" s="60" t="n">
        <x:v>0.45</x:v>
      </x:c>
      <x:c r="E206" s="62" t="b">
        <x:v>1</x:v>
      </x:c>
      <x:c r="F206" s="62" t="b">
        <x:v>1</x:v>
      </x:c>
      <x:c r="G206" s="85" t="n">
        <x:v>0</x:v>
      </x:c>
      <x:c r="H206" s="85" t="n">
        <x:v>0</x:v>
      </x:c>
      <x:c r="I206" s="85" t="n">
        <x:v>8708047.293643821</x:v>
      </x:c>
      <x:c r="J206" s="85" t="n">
        <x:v>9777146.78488093</x:v>
      </x:c>
      <x:c r="K206" s="85" t="n">
        <x:v>1925.1924657535055</x:v>
      </x:c>
      <x:c r="L206" s="28" t="n">
        <x:v>0</x:v>
      </x:c>
      <x:c r="M206" s="28" t="n">
        <x:v>0</x:v>
      </x:c>
      <x:c r="N206" s="28" t="n">
        <x:v>4.656612873077393e-10</x:v>
      </x:c>
      <x:c r="O206" s="28" t="n">
        <x:v>3.725290298461914e-9</x:v>
      </x:c>
      <x:c r="P206" s="28" t="n">
        <x:v>0</x:v>
      </x:c>
      <x:c r="Q206" s="62" t="b">
        <x:v>1</x:v>
      </x:c>
      <x:c r="R206" s="28" t="n">
        <x:v>0</x:v>
      </x:c>
      <x:c r="S206" s="28" t="str">
        <x:v>08829a85d7e128ef</x:v>
      </x:c>
    </x:row>
    <x:row r="207" ht="21" customHeight="1">
      <x:c r="A207" s="60" t="n">
        <x:v>0.6</x:v>
      </x:c>
      <x:c r="B207" s="28" t="str">
        <x:v>level_flat</x:v>
      </x:c>
      <x:c r="C207" s="60" t="n">
        <x:v>0.5</x:v>
      </x:c>
      <x:c r="D207" s="60" t="n">
        <x:v>0.5</x:v>
      </x:c>
      <x:c r="E207" s="62" t="b">
        <x:v>1</x:v>
      </x:c>
      <x:c r="F207" s="62" t="b">
        <x:v>1</x:v>
      </x:c>
      <x:c r="G207" s="85" t="n">
        <x:v>0</x:v>
      </x:c>
      <x:c r="H207" s="85" t="n">
        <x:v>0</x:v>
      </x:c>
      <x:c r="I207" s="85" t="n">
        <x:v>9966842.385749036</x:v>
      </x:c>
      <x:c r="J207" s="85" t="n">
        <x:v>11421843.619793545</x:v>
      </x:c>
      <x:c r="K207" s="85" t="n">
        <x:v>0</x:v>
      </x:c>
      <x:c r="L207" s="28" t="n">
        <x:v>1</x:v>
      </x:c>
      <x:c r="M207" s="28" t="n">
        <x:v>0</x:v>
      </x:c>
      <x:c r="N207" s="28" t="n">
        <x:v>2.3283064365386963e-10</x:v>
      </x:c>
      <x:c r="O207" s="28" t="n">
        <x:v>3.725290298461914e-9</x:v>
      </x:c>
      <x:c r="P207" s="28" t="n">
        <x:v>0</x:v>
      </x:c>
      <x:c r="Q207" s="62" t="b">
        <x:v>1</x:v>
      </x:c>
      <x:c r="R207" s="28" t="n">
        <x:v>0</x:v>
      </x:c>
      <x:c r="S207" s="28" t="str">
        <x:v>15eb860a25ad7735</x:v>
      </x:c>
    </x:row>
    <x:row r="208" ht="21" customHeight="1">
      <x:c r="A208" s="60" t="n">
        <x:v>0.6</x:v>
      </x:c>
      <x:c r="B208" s="28" t="str">
        <x:v>level_flat</x:v>
      </x:c>
      <x:c r="C208" s="60" t="n">
        <x:v>0.55</x:v>
      </x:c>
      <x:c r="D208" s="60" t="n">
        <x:v>0.55</x:v>
      </x:c>
      <x:c r="E208" s="62" t="b">
        <x:v>1</x:v>
      </x:c>
      <x:c r="F208" s="62" t="b">
        <x:v>1</x:v>
      </x:c>
      <x:c r="G208" s="85" t="n">
        <x:v>0</x:v>
      </x:c>
      <x:c r="H208" s="85" t="n">
        <x:v>0</x:v>
      </x:c>
      <x:c r="I208" s="85" t="n">
        <x:v>11348380.346118474</x:v>
      </x:c>
      <x:c r="J208" s="85" t="n">
        <x:v>12778428.414961908</x:v>
      </x:c>
      <x:c r="K208" s="85" t="n">
        <x:v>0</x:v>
      </x:c>
      <x:c r="L208" s="28" t="n">
        <x:v>6</x:v>
      </x:c>
      <x:c r="M208" s="28" t="n">
        <x:v>0</x:v>
      </x:c>
      <x:c r="N208" s="28" t="n">
        <x:v>4.656612873077393e-10</x:v>
      </x:c>
      <x:c r="O208" s="28" t="n">
        <x:v>3.725290298461914e-9</x:v>
      </x:c>
      <x:c r="P208" s="28" t="n">
        <x:v>0</x:v>
      </x:c>
      <x:c r="Q208" s="62" t="b">
        <x:v>1</x:v>
      </x:c>
      <x:c r="R208" s="28" t="n">
        <x:v>0</x:v>
      </x:c>
      <x:c r="S208" s="28" t="str">
        <x:v>3f316880fb2d4ad3</x:v>
      </x:c>
    </x:row>
    <x:row r="209" ht="21" customHeight="1">
      <x:c r="A209" s="60" t="n">
        <x:v>0.6</x:v>
      </x:c>
      <x:c r="B209" s="28" t="str">
        <x:v>level_flat</x:v>
      </x:c>
      <x:c r="C209" s="60" t="n">
        <x:v>0.6</x:v>
      </x:c>
      <x:c r="D209" s="60" t="n">
        <x:v>0.6</x:v>
      </x:c>
      <x:c r="E209" s="62" t="b">
        <x:v>1</x:v>
      </x:c>
      <x:c r="F209" s="62" t="b">
        <x:v>1</x:v>
      </x:c>
      <x:c r="G209" s="85" t="n">
        <x:v>0</x:v>
      </x:c>
      <x:c r="H209" s="85" t="n">
        <x:v>0</x:v>
      </x:c>
      <x:c r="I209" s="85" t="n">
        <x:v>12624700.893900203</x:v>
      </x:c>
      <x:c r="J209" s="85" t="n">
        <x:v>14325131.55893975</x:v>
      </x:c>
      <x:c r="K209" s="85" t="n">
        <x:v>0</x:v>
      </x:c>
      <x:c r="L209" s="28" t="n">
        <x:v>10</x:v>
      </x:c>
      <x:c r="M209" s="28" t="n">
        <x:v>3</x:v>
      </x:c>
      <x:c r="N209" s="28" t="n">
        <x:v>4.656612873077393e-10</x:v>
      </x:c>
      <x:c r="O209" s="28" t="n">
        <x:v>7.450580596923828e-9</x:v>
      </x:c>
      <x:c r="P209" s="28" t="n">
        <x:v>0</x:v>
      </x:c>
      <x:c r="Q209" s="62" t="b">
        <x:v>1</x:v>
      </x:c>
      <x:c r="R209" s="28" t="n">
        <x:v>0</x:v>
      </x:c>
      <x:c r="S209" s="28" t="str">
        <x:v>3ec375cb4945b909</x:v>
      </x:c>
    </x:row>
    <x:row r="210" ht="21" customHeight="1">
      <x:c r="A210" s="60" t="n">
        <x:v>0.6</x:v>
      </x:c>
      <x:c r="B210" s="28" t="str">
        <x:v>level_flat</x:v>
      </x:c>
      <x:c r="C210" s="60" t="n">
        <x:v>0.65</x:v>
      </x:c>
      <x:c r="D210" s="60" t="n">
        <x:v>0.65</x:v>
      </x:c>
      <x:c r="E210" s="62" t="b">
        <x:v>1</x:v>
      </x:c>
      <x:c r="F210" s="62" t="b">
        <x:v>1</x:v>
      </x:c>
      <x:c r="G210" s="85" t="n">
        <x:v>0</x:v>
      </x:c>
      <x:c r="H210" s="85" t="n">
        <x:v>0</x:v>
      </x:c>
      <x:c r="I210" s="85" t="n">
        <x:v>13858606.863844642</x:v>
      </x:c>
      <x:c r="J210" s="85" t="n">
        <x:v>15940458.574960737</x:v>
      </x:c>
      <x:c r="K210" s="85" t="n">
        <x:v>0</x:v>
      </x:c>
      <x:c r="L210" s="28" t="n">
        <x:v>15</x:v>
      </x:c>
      <x:c r="M210" s="28" t="n">
        <x:v>8</x:v>
      </x:c>
      <x:c r="N210" s="28" t="n">
        <x:v>4.656612873077393e-10</x:v>
      </x:c>
      <x:c r="O210" s="28" t="n">
        <x:v>3.725290298461914e-9</x:v>
      </x:c>
      <x:c r="P210" s="28" t="n">
        <x:v>0</x:v>
      </x:c>
      <x:c r="Q210" s="62" t="b">
        <x:v>1</x:v>
      </x:c>
      <x:c r="R210" s="28" t="n">
        <x:v>0</x:v>
      </x:c>
      <x:c r="S210" s="28" t="str">
        <x:v>c65b6909dd679e05</x:v>
      </x:c>
    </x:row>
    <x:row r="211" ht="21" customHeight="1">
      <x:c r="A211" s="60" t="n">
        <x:v>0.6</x:v>
      </x:c>
      <x:c r="B211" s="28" t="str">
        <x:v>level_flat</x:v>
      </x:c>
      <x:c r="C211" s="60" t="n">
        <x:v>0.7</x:v>
      </x:c>
      <x:c r="D211" s="60" t="n">
        <x:v>0.7</x:v>
      </x:c>
      <x:c r="E211" s="62" t="b">
        <x:v>1</x:v>
      </x:c>
      <x:c r="F211" s="62" t="b">
        <x:v>0</x:v>
      </x:c>
      <x:c r="G211" s="85" t="n">
        <x:v>230132.3536840421</x:v>
      </x:c>
      <x:c r="H211" s="85" t="n">
        <x:v>1235686.1283369686</x:v>
      </x:c>
      <x:c r="I211" s="85" t="n">
        <x:v>14438229.019432696</x:v>
      </x:c>
      <x:c r="J211" s="85" t="n">
        <x:v>16723200.000000002</x:v>
      </x:c>
      <x:c r="K211" s="85" t="n">
        <x:v>0</x:v>
      </x:c>
      <x:c r="L211" s="28" t="n">
        <x:v>38</x:v>
      </x:c>
      <x:c r="M211" s="28" t="n">
        <x:v>32</x:v>
      </x:c>
      <x:c r="N211" s="28" t="n">
        <x:v>4.656612873077393e-10</x:v>
      </x:c>
      <x:c r="O211" s="28" t="n">
        <x:v>3.725290298461914e-9</x:v>
      </x:c>
      <x:c r="P211" s="28" t="n">
        <x:v>0</x:v>
      </x:c>
      <x:c r="Q211" s="62" t="b">
        <x:v>1</x:v>
      </x:c>
      <x:c r="R211" s="28" t="n">
        <x:v>0</x:v>
      </x:c>
      <x:c r="S211" s="28" t="str">
        <x:v>48e3662ea0df1b2a</x:v>
      </x:c>
    </x:row>
    <x:row r="212" ht="21" customHeight="1">
      <x:c r="A212" s="60" t="n">
        <x:v>0.6</x:v>
      </x:c>
      <x:c r="B212" s="28" t="str">
        <x:v>level_flat</x:v>
      </x:c>
      <x:c r="C212" s="60" t="n">
        <x:v>0.75</x:v>
      </x:c>
      <x:c r="D212" s="60" t="n">
        <x:v>0.75</x:v>
      </x:c>
      <x:c r="E212" s="62" t="b">
        <x:v>1</x:v>
      </x:c>
      <x:c r="F212" s="62" t="b">
        <x:v>0</x:v>
      </x:c>
      <x:c r="G212" s="85" t="n">
        <x:v>603550.2326112445</x:v>
      </x:c>
      <x:c r="H212" s="85" t="n">
        <x:v>3092225.987283556</x:v>
      </x:c>
      <x:c r="I212" s="85" t="n">
        <x:v>14853377.59229178</x:v>
      </x:c>
      <x:c r="J212" s="85" t="n">
        <x:v>16723200.000000002</x:v>
      </x:c>
      <x:c r="K212" s="85" t="n">
        <x:v>0</x:v>
      </x:c>
      <x:c r="L212" s="28" t="n">
        <x:v>40</x:v>
      </x:c>
      <x:c r="M212" s="28" t="n">
        <x:v>33</x:v>
      </x:c>
      <x:c r="N212" s="28" t="n">
        <x:v>4.656612873077393e-10</x:v>
      </x:c>
      <x:c r="O212" s="28" t="n">
        <x:v>3.725290298461914e-9</x:v>
      </x:c>
      <x:c r="P212" s="28" t="n">
        <x:v>0</x:v>
      </x:c>
      <x:c r="Q212" s="62" t="b">
        <x:v>1</x:v>
      </x:c>
      <x:c r="R212" s="28" t="n">
        <x:v>0</x:v>
      </x:c>
      <x:c r="S212" s="28" t="str">
        <x:v>32c55a986edf2096</x:v>
      </x:c>
    </x:row>
    <x:row r="213" ht="21" customHeight="1">
      <x:c r="A213" s="60" t="n">
        <x:v>0.6</x:v>
      </x:c>
      <x:c r="B213" s="28" t="str">
        <x:v>level_flat</x:v>
      </x:c>
      <x:c r="C213" s="60" t="n">
        <x:v>0.8</x:v>
      </x:c>
      <x:c r="D213" s="60" t="n">
        <x:v>0.8</x:v>
      </x:c>
      <x:c r="E213" s="62" t="b">
        <x:v>1</x:v>
      </x:c>
      <x:c r="F213" s="62" t="b">
        <x:v>0</x:v>
      </x:c>
      <x:c r="G213" s="85" t="n">
        <x:v>1047978.6635453636</x:v>
      </x:c>
      <x:c r="H213" s="85" t="n">
        <x:v>5305309.248133049</x:v>
      </x:c>
      <x:c r="I213" s="85" t="n">
        <x:v>14918535.170481095</x:v>
      </x:c>
      <x:c r="J213" s="85" t="n">
        <x:v>16723200.000000002</x:v>
      </x:c>
      <x:c r="K213" s="85" t="n">
        <x:v>0</x:v>
      </x:c>
      <x:c r="L213" s="28" t="n">
        <x:v>40</x:v>
      </x:c>
      <x:c r="M213" s="28" t="n">
        <x:v>34</x:v>
      </x:c>
      <x:c r="N213" s="28" t="n">
        <x:v>4.656612873077393e-10</x:v>
      </x:c>
      <x:c r="O213" s="28" t="n">
        <x:v>3.725290298461914e-9</x:v>
      </x:c>
      <x:c r="P213" s="28" t="n">
        <x:v>0</x:v>
      </x:c>
      <x:c r="Q213" s="62" t="b">
        <x:v>1</x:v>
      </x:c>
      <x:c r="R213" s="28" t="n">
        <x:v>0</x:v>
      </x:c>
      <x:c r="S213" s="28" t="str">
        <x:v>f66b2e9bf1e38397</x:v>
      </x:c>
    </x:row>
    <x:row r="214" ht="21" customHeight="1">
      <x:c r="A214" s="60" t="n">
        <x:v>0.6</x:v>
      </x:c>
      <x:c r="B214" s="28" t="str">
        <x:v>level_flat</x:v>
      </x:c>
      <x:c r="C214" s="60" t="n">
        <x:v>0.85</x:v>
      </x:c>
      <x:c r="D214" s="60" t="n">
        <x:v>0.85</x:v>
      </x:c>
      <x:c r="E214" s="62" t="b">
        <x:v>1</x:v>
      </x:c>
      <x:c r="F214" s="62" t="b">
        <x:v>0</x:v>
      </x:c>
      <x:c r="G214" s="85" t="n">
        <x:v>1560336.3243390198</x:v>
      </x:c>
      <x:c r="H214" s="85" t="n">
        <x:v>7145488.094021206</x:v>
      </x:c>
      <x:c r="I214" s="85" t="n">
        <x:v>15159390.036239725</x:v>
      </x:c>
      <x:c r="J214" s="85" t="n">
        <x:v>16723200.000000002</x:v>
      </x:c>
      <x:c r="K214" s="85" t="n">
        <x:v>0</x:v>
      </x:c>
      <x:c r="L214" s="28" t="n">
        <x:v>41</x:v>
      </x:c>
      <x:c r="M214" s="28" t="n">
        <x:v>36</x:v>
      </x:c>
      <x:c r="N214" s="28" t="n">
        <x:v>2.3283064365386963e-10</x:v>
      </x:c>
      <x:c r="O214" s="28" t="n">
        <x:v>3.725290298461914e-9</x:v>
      </x:c>
      <x:c r="P214" s="28" t="n">
        <x:v>0</x:v>
      </x:c>
      <x:c r="Q214" s="62" t="b">
        <x:v>1</x:v>
      </x:c>
      <x:c r="R214" s="28" t="n">
        <x:v>0</x:v>
      </x:c>
      <x:c r="S214" s="28" t="str">
        <x:v>ff3b601af5d11c25</x:v>
      </x:c>
    </x:row>
    <x:row r="215" ht="21" customHeight="1">
      <x:c r="A215" s="60" t="n">
        <x:v>0.6</x:v>
      </x:c>
      <x:c r="B215" s="28" t="str">
        <x:v>level_flat</x:v>
      </x:c>
      <x:c r="C215" s="60" t="n">
        <x:v>0.9</x:v>
      </x:c>
      <x:c r="D215" s="60" t="n">
        <x:v>0.8949513562027351</x:v>
      </x:c>
      <x:c r="E215" s="62" t="b">
        <x:v>0</x:v>
      </x:c>
      <x:c r="F215" s="62" t="b">
        <x:v>0</x:v>
      </x:c>
      <x:c r="G215" s="85" t="n">
        <x:v>2226292.1751126945</x:v>
      </x:c>
      <x:c r="H215" s="85" t="n">
        <x:v>8429076.012573479</x:v>
      </x:c>
      <x:c r="I215" s="85" t="n">
        <x:v>15386846.888865205</x:v>
      </x:c>
      <x:c r="J215" s="85" t="n">
        <x:v>16723200.000000002</x:v>
      </x:c>
      <x:c r="K215" s="85" t="n">
        <x:v>0</x:v>
      </x:c>
      <x:c r="L215" s="28" t="n">
        <x:v>42</x:v>
      </x:c>
      <x:c r="M215" s="28" t="n">
        <x:v>36</x:v>
      </x:c>
      <x:c r="N215" s="28" t="n">
        <x:v>4.656612873077393e-10</x:v>
      </x:c>
      <x:c r="O215" s="28" t="n">
        <x:v>3.725290298461914e-9</x:v>
      </x:c>
      <x:c r="P215" s="28" t="n">
        <x:v>0</x:v>
      </x:c>
      <x:c r="Q215" s="62" t="b">
        <x:v>1</x:v>
      </x:c>
      <x:c r="R215" s="28" t="n">
        <x:v>281431.5998347327</x:v>
      </x:c>
      <x:c r="S215" s="28" t="str">
        <x:v>bdbe7f1a6230250b</x:v>
      </x:c>
    </x:row>
    <x:row r="216" ht="21" customHeight="1">
      <x:c r="A216" s="60" t="n">
        <x:v>0.6</x:v>
      </x:c>
      <x:c r="B216" s="28" t="str">
        <x:v>level_flat</x:v>
      </x:c>
      <x:c r="C216" s="60" t="n">
        <x:v>0.95</x:v>
      </x:c>
      <x:c r="D216" s="60" t="n">
        <x:v>0.9109811515371262</x:v>
      </x:c>
      <x:c r="E216" s="62" t="b">
        <x:v>0</x:v>
      </x:c>
      <x:c r="F216" s="62" t="b">
        <x:v>0</x:v>
      </x:c>
      <x:c r="G216" s="85" t="n">
        <x:v>2453048.1137012746</x:v>
      </x:c>
      <x:c r="H216" s="85" t="n">
        <x:v>9287607.998640774</x:v>
      </x:c>
      <x:c r="I216" s="85" t="n">
        <x:v>15425559.239586027</x:v>
      </x:c>
      <x:c r="J216" s="85" t="n">
        <x:v>16723200.000000002</x:v>
      </x:c>
      <x:c r="K216" s="85" t="n">
        <x:v>0</x:v>
      </x:c>
      <x:c r="L216" s="28" t="n">
        <x:v>42</x:v>
      </x:c>
      <x:c r="M216" s="28" t="n">
        <x:v>37</x:v>
      </x:c>
      <x:c r="N216" s="28" t="n">
        <x:v>2.3283064365386963e-10</x:v>
      </x:c>
      <x:c r="O216" s="28" t="n">
        <x:v>3.725290298461914e-9</x:v>
      </x:c>
      <x:c r="P216" s="28" t="n">
        <x:v>0</x:v>
      </x:c>
      <x:c r="Q216" s="62" t="b">
        <x:v>1</x:v>
      </x:c>
      <x:c r="R216" s="28" t="n">
        <x:v>2175066.688714437</x:v>
      </x:c>
      <x:c r="S216" s="28" t="str">
        <x:v>a4d96c3d5c82898f</x:v>
      </x:c>
    </x:row>
    <x:row r="217" ht="21" customHeight="1">
      <x:c r="A217" s="60" t="n">
        <x:v>0.6</x:v>
      </x:c>
      <x:c r="B217" s="28" t="str">
        <x:v>level_flat</x:v>
      </x:c>
      <x:c r="C217" s="60" t="n">
        <x:v>1</x:v>
      </x:c>
      <x:c r="D217" s="60" t="n">
        <x:v>0.9258453085724337</x:v>
      </x:c>
      <x:c r="E217" s="62" t="b">
        <x:v>0</x:v>
      </x:c>
      <x:c r="F217" s="62" t="b">
        <x:v>0</x:v>
      </x:c>
      <x:c r="G217" s="85" t="n">
        <x:v>2681780.4206049335</x:v>
      </x:c>
      <x:c r="H217" s="85" t="n">
        <x:v>9744453.604913797</x:v>
      </x:c>
      <x:c r="I217" s="85" t="n">
        <x:v>15650414.089315068</x:v>
      </x:c>
      <x:c r="J217" s="85" t="n">
        <x:v>16723200.000000002</x:v>
      </x:c>
      <x:c r="K217" s="85" t="n">
        <x:v>0</x:v>
      </x:c>
      <x:c r="L217" s="28" t="n">
        <x:v>43</x:v>
      </x:c>
      <x:c r="M217" s="28" t="n">
        <x:v>38</x:v>
      </x:c>
      <x:c r="N217" s="28" t="n">
        <x:v>4.656612873077393e-10</x:v>
      </x:c>
      <x:c r="O217" s="28" t="n">
        <x:v>1.862645149230957e-9</x:v>
      </x:c>
      <x:c r="P217" s="28" t="n">
        <x:v>0</x:v>
      </x:c>
      <x:c r="Q217" s="62" t="b">
        <x:v>1</x:v>
      </x:c>
      <x:c r="R217" s="28" t="n">
        <x:v>4133679.1189382523</x:v>
      </x:c>
      <x:c r="S217" s="28" t="str">
        <x:v>293b07c0dc6fb4d0</x:v>
      </x:c>
    </x:row>
    <x:row r="218" ht="21" customHeight="1">
      <x:c r="A218" s="60" t="n">
        <x:v>0.6</x:v>
      </x:c>
      <x:c r="B218" s="28" t="str">
        <x:v>level_low</x:v>
      </x:c>
      <x:c r="C218" s="60" t="n">
        <x:v>0</x:v>
      </x:c>
      <x:c r="D218" s="60" t="n">
        <x:v>0</x:v>
      </x:c>
      <x:c r="E218" s="62" t="b">
        <x:v>1</x:v>
      </x:c>
      <x:c r="F218" s="62" t="b">
        <x:v>1</x:v>
      </x:c>
      <x:c r="G218" s="85" t="n">
        <x:v>0</x:v>
      </x:c>
      <x:c r="H218" s="85" t="n">
        <x:v>0</x:v>
      </x:c>
      <x:c r="I218" s="85" t="n">
        <x:v>0</x:v>
      </x:c>
      <x:c r="J218" s="85" t="n">
        <x:v>0</x:v>
      </x:c>
      <x:c r="K218" s="85" t="n">
        <x:v>4748654.561095889</x:v>
      </x:c>
      <x:c r="L218" s="28" t="n">
        <x:v>0</x:v>
      </x:c>
      <x:c r="M218" s="28" t="n">
        <x:v>0</x:v>
      </x:c>
      <x:c r="N218" s="28" t="n">
        <x:v>4.656612873077393e-10</x:v>
      </x:c>
      <x:c r="O218" s="28" t="n">
        <x:v>0</x:v>
      </x:c>
      <x:c r="P218" s="28" t="n">
        <x:v>0</x:v>
      </x:c>
      <x:c r="Q218" s="62" t="b">
        <x:v>1</x:v>
      </x:c>
      <x:c r="R218" s="28" t="n">
        <x:v>0</x:v>
      </x:c>
      <x:c r="S218" s="28" t="str">
        <x:v>7c1590e56dad7040</x:v>
      </x:c>
    </x:row>
    <x:row r="219" ht="21" customHeight="1">
      <x:c r="A219" s="60" t="n">
        <x:v>0.6</x:v>
      </x:c>
      <x:c r="B219" s="28" t="str">
        <x:v>level_low</x:v>
      </x:c>
      <x:c r="C219" s="60" t="n">
        <x:v>0.05</x:v>
      </x:c>
      <x:c r="D219" s="60" t="n">
        <x:v>0.05</x:v>
      </x:c>
      <x:c r="E219" s="62" t="b">
        <x:v>1</x:v>
      </x:c>
      <x:c r="F219" s="62" t="b">
        <x:v>1</x:v>
      </x:c>
      <x:c r="G219" s="85" t="n">
        <x:v>0</x:v>
      </x:c>
      <x:c r="H219" s="85" t="n">
        <x:v>0</x:v>
      </x:c>
      <x:c r="I219" s="85" t="n">
        <x:v>0</x:v>
      </x:c>
      <x:c r="J219" s="85" t="n">
        <x:v>0</x:v>
      </x:c>
      <x:c r="K219" s="85" t="n">
        <x:v>2741176.5601469344</x:v>
      </x:c>
      <x:c r="L219" s="28" t="n">
        <x:v>0</x:v>
      </x:c>
      <x:c r="M219" s="28" t="n">
        <x:v>0</x:v>
      </x:c>
      <x:c r="N219" s="28" t="n">
        <x:v>9.313225746154785e-10</x:v>
      </x:c>
      <x:c r="O219" s="28" t="n">
        <x:v>7.450580596923828e-9</x:v>
      </x:c>
      <x:c r="P219" s="28" t="n">
        <x:v>0</x:v>
      </x:c>
      <x:c r="Q219" s="62" t="b">
        <x:v>1</x:v>
      </x:c>
      <x:c r="R219" s="28" t="n">
        <x:v>0</x:v>
      </x:c>
      <x:c r="S219" s="28" t="str">
        <x:v>e09079f3ee1207f1</x:v>
      </x:c>
    </x:row>
    <x:row r="220" ht="21" customHeight="1">
      <x:c r="A220" s="60" t="n">
        <x:v>0.6</x:v>
      </x:c>
      <x:c r="B220" s="28" t="str">
        <x:v>level_low</x:v>
      </x:c>
      <x:c r="C220" s="60" t="n">
        <x:v>0.1</x:v>
      </x:c>
      <x:c r="D220" s="60" t="n">
        <x:v>0.1</x:v>
      </x:c>
      <x:c r="E220" s="62" t="b">
        <x:v>1</x:v>
      </x:c>
      <x:c r="F220" s="62" t="b">
        <x:v>1</x:v>
      </x:c>
      <x:c r="G220" s="85" t="n">
        <x:v>0</x:v>
      </x:c>
      <x:c r="H220" s="85" t="n">
        <x:v>0</x:v>
      </x:c>
      <x:c r="I220" s="85" t="n">
        <x:v>0</x:v>
      </x:c>
      <x:c r="J220" s="85" t="n">
        <x:v>0</x:v>
      </x:c>
      <x:c r="K220" s="85" t="n">
        <x:v>733617.7433749901</x:v>
      </x:c>
      <x:c r="L220" s="28" t="n">
        <x:v>0</x:v>
      </x:c>
      <x:c r="M220" s="28" t="n">
        <x:v>0</x:v>
      </x:c>
      <x:c r="N220" s="28" t="n">
        <x:v>9.313225746154785e-10</x:v>
      </x:c>
      <x:c r="O220" s="28" t="n">
        <x:v>7.450580596923828e-9</x:v>
      </x:c>
      <x:c r="P220" s="28" t="n">
        <x:v>0</x:v>
      </x:c>
      <x:c r="Q220" s="62" t="b">
        <x:v>1</x:v>
      </x:c>
      <x:c r="R220" s="28" t="n">
        <x:v>0</x:v>
      </x:c>
      <x:c r="S220" s="28" t="str">
        <x:v>d0051f18b754349e</x:v>
      </x:c>
    </x:row>
    <x:row r="221" ht="21" customHeight="1">
      <x:c r="A221" s="60" t="n">
        <x:v>0.6</x:v>
      </x:c>
      <x:c r="B221" s="28" t="str">
        <x:v>level_low</x:v>
      </x:c>
      <x:c r="C221" s="60" t="n">
        <x:v>0.15</x:v>
      </x:c>
      <x:c r="D221" s="60" t="n">
        <x:v>0.15</x:v>
      </x:c>
      <x:c r="E221" s="62" t="b">
        <x:v>1</x:v>
      </x:c>
      <x:c r="F221" s="62" t="b">
        <x:v>1</x:v>
      </x:c>
      <x:c r="G221" s="85" t="n">
        <x:v>0</x:v>
      </x:c>
      <x:c r="H221" s="85" t="n">
        <x:v>0</x:v>
      </x:c>
      <x:c r="I221" s="85" t="n">
        <x:v>959366.5942389695</x:v>
      </x:c>
      <x:c r="J221" s="85" t="n">
        <x:v>0</x:v>
      </x:c>
      <x:c r="K221" s="85" t="n">
        <x:v>0</x:v>
      </x:c>
      <x:c r="L221" s="28" t="n">
        <x:v>0</x:v>
      </x:c>
      <x:c r="M221" s="28" t="n">
        <x:v>0</x:v>
      </x:c>
      <x:c r="N221" s="28" t="n">
        <x:v>2.3283064365386963e-10</x:v>
      </x:c>
      <x:c r="O221" s="28" t="n">
        <x:v>7.450580596923828e-9</x:v>
      </x:c>
      <x:c r="P221" s="28" t="n">
        <x:v>0</x:v>
      </x:c>
      <x:c r="Q221" s="62" t="b">
        <x:v>1</x:v>
      </x:c>
      <x:c r="R221" s="28" t="n">
        <x:v>0</x:v>
      </x:c>
      <x:c r="S221" s="28" t="str">
        <x:v>edc3d2a1cdcae8c9</x:v>
      </x:c>
    </x:row>
    <x:row r="222" ht="21" customHeight="1">
      <x:c r="A222" s="60" t="n">
        <x:v>0.6</x:v>
      </x:c>
      <x:c r="B222" s="28" t="str">
        <x:v>level_low</x:v>
      </x:c>
      <x:c r="C222" s="60" t="n">
        <x:v>0.2</x:v>
      </x:c>
      <x:c r="D222" s="60" t="n">
        <x:v>0.2</x:v>
      </x:c>
      <x:c r="E222" s="62" t="b">
        <x:v>1</x:v>
      </x:c>
      <x:c r="F222" s="62" t="b">
        <x:v>1</x:v>
      </x:c>
      <x:c r="G222" s="85" t="n">
        <x:v>0</x:v>
      </x:c>
      <x:c r="H222" s="85" t="n">
        <x:v>0</x:v>
      </x:c>
      <x:c r="I222" s="85" t="n">
        <x:v>2134855.3231493807</x:v>
      </x:c>
      <x:c r="J222" s="85" t="n">
        <x:v>1248509.6821693014</x:v>
      </x:c>
      <x:c r="K222" s="85" t="n">
        <x:v>0</x:v>
      </x:c>
      <x:c r="L222" s="28" t="n">
        <x:v>0</x:v>
      </x:c>
      <x:c r="M222" s="28" t="n">
        <x:v>0</x:v>
      </x:c>
      <x:c r="N222" s="28" t="n">
        <x:v>4.656612873077393e-10</x:v>
      </x:c>
      <x:c r="O222" s="28" t="n">
        <x:v>7.450580596923828e-9</x:v>
      </x:c>
      <x:c r="P222" s="28" t="n">
        <x:v>0</x:v>
      </x:c>
      <x:c r="Q222" s="62" t="b">
        <x:v>1</x:v>
      </x:c>
      <x:c r="R222" s="28" t="n">
        <x:v>0</x:v>
      </x:c>
      <x:c r="S222" s="28" t="str">
        <x:v>eea8501fb43454ee</x:v>
      </x:c>
    </x:row>
    <x:row r="223" ht="21" customHeight="1">
      <x:c r="A223" s="60" t="n">
        <x:v>0.6</x:v>
      </x:c>
      <x:c r="B223" s="28" t="str">
        <x:v>level_low</x:v>
      </x:c>
      <x:c r="C223" s="60" t="n">
        <x:v>0.25</x:v>
      </x:c>
      <x:c r="D223" s="60" t="n">
        <x:v>0.25</x:v>
      </x:c>
      <x:c r="E223" s="62" t="b">
        <x:v>1</x:v>
      </x:c>
      <x:c r="F223" s="62" t="b">
        <x:v>1</x:v>
      </x:c>
      <x:c r="G223" s="85" t="n">
        <x:v>0</x:v>
      </x:c>
      <x:c r="H223" s="85" t="n">
        <x:v>0</x:v>
      </x:c>
      <x:c r="I223" s="85" t="n">
        <x:v>2946296.554210701</x:v>
      </x:c>
      <x:c r="J223" s="85" t="n">
        <x:v>2954237.1027116347</x:v>
      </x:c>
      <x:c r="K223" s="85" t="n">
        <x:v>0</x:v>
      </x:c>
      <x:c r="L223" s="28" t="n">
        <x:v>0</x:v>
      </x:c>
      <x:c r="M223" s="28" t="n">
        <x:v>0</x:v>
      </x:c>
      <x:c r="N223" s="28" t="n">
        <x:v>4.656612873077393e-10</x:v>
      </x:c>
      <x:c r="O223" s="28" t="n">
        <x:v>7.450580596923828e-9</x:v>
      </x:c>
      <x:c r="P223" s="28" t="n">
        <x:v>0</x:v>
      </x:c>
      <x:c r="Q223" s="62" t="b">
        <x:v>1</x:v>
      </x:c>
      <x:c r="R223" s="28" t="n">
        <x:v>0</x:v>
      </x:c>
      <x:c r="S223" s="28" t="str">
        <x:v>1b51dbd7fa489e0c</x:v>
      </x:c>
    </x:row>
    <x:row r="224" ht="21" customHeight="1">
      <x:c r="A224" s="60" t="n">
        <x:v>0.6</x:v>
      </x:c>
      <x:c r="B224" s="28" t="str">
        <x:v>level_low</x:v>
      </x:c>
      <x:c r="C224" s="60" t="n">
        <x:v>0.3</x:v>
      </x:c>
      <x:c r="D224" s="60" t="n">
        <x:v>0.3</x:v>
      </x:c>
      <x:c r="E224" s="62" t="b">
        <x:v>1</x:v>
      </x:c>
      <x:c r="F224" s="62" t="b">
        <x:v>1</x:v>
      </x:c>
      <x:c r="G224" s="85" t="n">
        <x:v>0</x:v>
      </x:c>
      <x:c r="H224" s="85" t="n">
        <x:v>0</x:v>
      </x:c>
      <x:c r="I224" s="85" t="n">
        <x:v>3756156.512262527</x:v>
      </x:c>
      <x:c r="J224" s="85" t="n">
        <x:v>4659964.523253947</x:v>
      </x:c>
      <x:c r="K224" s="85" t="n">
        <x:v>0</x:v>
      </x:c>
      <x:c r="L224" s="28" t="n">
        <x:v>0</x:v>
      </x:c>
      <x:c r="M224" s="28" t="n">
        <x:v>0</x:v>
      </x:c>
      <x:c r="N224" s="28" t="n">
        <x:v>4.656612873077393e-10</x:v>
      </x:c>
      <x:c r="O224" s="28" t="n">
        <x:v>7.450580596923828e-9</x:v>
      </x:c>
      <x:c r="P224" s="28" t="n">
        <x:v>0</x:v>
      </x:c>
      <x:c r="Q224" s="62" t="b">
        <x:v>1</x:v>
      </x:c>
      <x:c r="R224" s="28" t="n">
        <x:v>0</x:v>
      </x:c>
      <x:c r="S224" s="28" t="str">
        <x:v>1169756d26d2fa5f</x:v>
      </x:c>
    </x:row>
    <x:row r="225" ht="21" customHeight="1">
      <x:c r="A225" s="60" t="n">
        <x:v>0.6</x:v>
      </x:c>
      <x:c r="B225" s="28" t="str">
        <x:v>level_low</x:v>
      </x:c>
      <x:c r="C225" s="60" t="n">
        <x:v>0.35</x:v>
      </x:c>
      <x:c r="D225" s="60" t="n">
        <x:v>0.35</x:v>
      </x:c>
      <x:c r="E225" s="62" t="b">
        <x:v>1</x:v>
      </x:c>
      <x:c r="F225" s="62" t="b">
        <x:v>1</x:v>
      </x:c>
      <x:c r="G225" s="85" t="n">
        <x:v>0</x:v>
      </x:c>
      <x:c r="H225" s="85" t="n">
        <x:v>0</x:v>
      </x:c>
      <x:c r="I225" s="85" t="n">
        <x:v>4565026.950333683</x:v>
      </x:c>
      <x:c r="J225" s="85" t="n">
        <x:v>6365691.943796274</x:v>
      </x:c>
      <x:c r="K225" s="85" t="n">
        <x:v>0</x:v>
      </x:c>
      <x:c r="L225" s="28" t="n">
        <x:v>0</x:v>
      </x:c>
      <x:c r="M225" s="28" t="n">
        <x:v>0</x:v>
      </x:c>
      <x:c r="N225" s="28" t="n">
        <x:v>9.313225746154785e-10</x:v>
      </x:c>
      <x:c r="O225" s="28" t="n">
        <x:v>7.450580596923828e-9</x:v>
      </x:c>
      <x:c r="P225" s="28" t="n">
        <x:v>0</x:v>
      </x:c>
      <x:c r="Q225" s="62" t="b">
        <x:v>1</x:v>
      </x:c>
      <x:c r="R225" s="28" t="n">
        <x:v>0</x:v>
      </x:c>
      <x:c r="S225" s="28" t="str">
        <x:v>aa63741825882af0</x:v>
      </x:c>
    </x:row>
    <x:row r="226" ht="21" customHeight="1">
      <x:c r="A226" s="60" t="n">
        <x:v>0.6</x:v>
      </x:c>
      <x:c r="B226" s="28" t="str">
        <x:v>level_low</x:v>
      </x:c>
      <x:c r="C226" s="60" t="n">
        <x:v>0.4</x:v>
      </x:c>
      <x:c r="D226" s="60" t="n">
        <x:v>0.4</x:v>
      </x:c>
      <x:c r="E226" s="62" t="b">
        <x:v>1</x:v>
      </x:c>
      <x:c r="F226" s="62" t="b">
        <x:v>1</x:v>
      </x:c>
      <x:c r="G226" s="85" t="n">
        <x:v>0</x:v>
      </x:c>
      <x:c r="H226" s="85" t="n">
        <x:v>0</x:v>
      </x:c>
      <x:c r="I226" s="85" t="n">
        <x:v>5373897.388404829</x:v>
      </x:c>
      <x:c r="J226" s="85" t="n">
        <x:v>8071419.364338589</x:v>
      </x:c>
      <x:c r="K226" s="85" t="n">
        <x:v>0</x:v>
      </x:c>
      <x:c r="L226" s="28" t="n">
        <x:v>0</x:v>
      </x:c>
      <x:c r="M226" s="28" t="n">
        <x:v>0</x:v>
      </x:c>
      <x:c r="N226" s="28" t="n">
        <x:v>9.313225746154785e-10</x:v>
      </x:c>
      <x:c r="O226" s="28" t="n">
        <x:v>7.450580596923828e-9</x:v>
      </x:c>
      <x:c r="P226" s="28" t="n">
        <x:v>0</x:v>
      </x:c>
      <x:c r="Q226" s="62" t="b">
        <x:v>1</x:v>
      </x:c>
      <x:c r="R226" s="28" t="n">
        <x:v>0</x:v>
      </x:c>
      <x:c r="S226" s="28" t="str">
        <x:v>fb58fbaf32b5c6d7</x:v>
      </x:c>
    </x:row>
    <x:row r="227" ht="21" customHeight="1">
      <x:c r="A227" s="60" t="n">
        <x:v>0.6</x:v>
      </x:c>
      <x:c r="B227" s="28" t="str">
        <x:v>level_low</x:v>
      </x:c>
      <x:c r="C227" s="60" t="n">
        <x:v>0.45</x:v>
      </x:c>
      <x:c r="D227" s="60" t="n">
        <x:v>0.45</x:v>
      </x:c>
      <x:c r="E227" s="62" t="b">
        <x:v>1</x:v>
      </x:c>
      <x:c r="F227" s="62" t="b">
        <x:v>1</x:v>
      </x:c>
      <x:c r="G227" s="85" t="n">
        <x:v>0</x:v>
      </x:c>
      <x:c r="H227" s="85" t="n">
        <x:v>0</x:v>
      </x:c>
      <x:c r="I227" s="85" t="n">
        <x:v>6181484.174349135</x:v>
      </x:c>
      <x:c r="J227" s="85" t="n">
        <x:v>9777146.78488093</x:v>
      </x:c>
      <x:c r="K227" s="85" t="n">
        <x:v>0</x:v>
      </x:c>
      <x:c r="L227" s="28" t="n">
        <x:v>0</x:v>
      </x:c>
      <x:c r="M227" s="28" t="n">
        <x:v>0</x:v>
      </x:c>
      <x:c r="N227" s="28" t="n">
        <x:v>9.313225746154785e-10</x:v>
      </x:c>
      <x:c r="O227" s="28" t="n">
        <x:v>3.725290298461914e-9</x:v>
      </x:c>
      <x:c r="P227" s="28" t="n">
        <x:v>0</x:v>
      </x:c>
      <x:c r="Q227" s="62" t="b">
        <x:v>1</x:v>
      </x:c>
      <x:c r="R227" s="28" t="n">
        <x:v>0</x:v>
      </x:c>
      <x:c r="S227" s="28" t="str">
        <x:v>90f27af96105f1c7</x:v>
      </x:c>
    </x:row>
    <x:row r="228" ht="21" customHeight="1">
      <x:c r="A228" s="60" t="n">
        <x:v>0.6</x:v>
      </x:c>
      <x:c r="B228" s="28" t="str">
        <x:v>level_low</x:v>
      </x:c>
      <x:c r="C228" s="60" t="n">
        <x:v>0.5</x:v>
      </x:c>
      <x:c r="D228" s="60" t="n">
        <x:v>0.5</x:v>
      </x:c>
      <x:c r="E228" s="62" t="b">
        <x:v>1</x:v>
      </x:c>
      <x:c r="F228" s="62" t="b">
        <x:v>1</x:v>
      </x:c>
      <x:c r="G228" s="85" t="n">
        <x:v>0</x:v>
      </x:c>
      <x:c r="H228" s="85" t="n">
        <x:v>0</x:v>
      </x:c>
      <x:c r="I228" s="85" t="n">
        <x:v>7014069.020075092</x:v>
      </x:c>
      <x:c r="J228" s="85" t="n">
        <x:v>11431426.938284358</x:v>
      </x:c>
      <x:c r="K228" s="85" t="n">
        <x:v>0</x:v>
      </x:c>
      <x:c r="L228" s="28" t="n">
        <x:v>1</x:v>
      </x:c>
      <x:c r="M228" s="28" t="n">
        <x:v>0</x:v>
      </x:c>
      <x:c r="N228" s="28" t="n">
        <x:v>2.3283064365386963e-10</x:v>
      </x:c>
      <x:c r="O228" s="28" t="n">
        <x:v>3.725290298461914e-9</x:v>
      </x:c>
      <x:c r="P228" s="28" t="n">
        <x:v>0</x:v>
      </x:c>
      <x:c r="Q228" s="62" t="b">
        <x:v>1</x:v>
      </x:c>
      <x:c r="R228" s="28" t="n">
        <x:v>0</x:v>
      </x:c>
      <x:c r="S228" s="28" t="str">
        <x:v>4cc68833e2188d10</x:v>
      </x:c>
    </x:row>
    <x:row r="229" ht="21" customHeight="1">
      <x:c r="A229" s="60" t="n">
        <x:v>0.6</x:v>
      </x:c>
      <x:c r="B229" s="28" t="str">
        <x:v>level_low</x:v>
      </x:c>
      <x:c r="C229" s="60" t="n">
        <x:v>0.55</x:v>
      </x:c>
      <x:c r="D229" s="60" t="n">
        <x:v>0.55</x:v>
      </x:c>
      <x:c r="E229" s="62" t="b">
        <x:v>1</x:v>
      </x:c>
      <x:c r="F229" s="62" t="b">
        <x:v>1</x:v>
      </x:c>
      <x:c r="G229" s="85" t="n">
        <x:v>0</x:v>
      </x:c>
      <x:c r="H229" s="85" t="n">
        <x:v>0</x:v>
      </x:c>
      <x:c r="I229" s="85" t="n">
        <x:v>8001537.438377331</x:v>
      </x:c>
      <x:c r="J229" s="85" t="n">
        <x:v>12840174.454301849</x:v>
      </x:c>
      <x:c r="K229" s="85" t="n">
        <x:v>0</x:v>
      </x:c>
      <x:c r="L229" s="28" t="n">
        <x:v>6</x:v>
      </x:c>
      <x:c r="M229" s="28" t="n">
        <x:v>0</x:v>
      </x:c>
      <x:c r="N229" s="28" t="n">
        <x:v>4.656612873077393e-10</x:v>
      </x:c>
      <x:c r="O229" s="28" t="n">
        <x:v>3.725290298461914e-9</x:v>
      </x:c>
      <x:c r="P229" s="28" t="n">
        <x:v>0</x:v>
      </x:c>
      <x:c r="Q229" s="62" t="b">
        <x:v>1</x:v>
      </x:c>
      <x:c r="R229" s="28" t="n">
        <x:v>0</x:v>
      </x:c>
      <x:c r="S229" s="28" t="str">
        <x:v>8ea6a20e9c628d5c</x:v>
      </x:c>
    </x:row>
    <x:row r="230" ht="21" customHeight="1">
      <x:c r="A230" s="60" t="n">
        <x:v>0.6</x:v>
      </x:c>
      <x:c r="B230" s="28" t="str">
        <x:v>level_low</x:v>
      </x:c>
      <x:c r="C230" s="60" t="n">
        <x:v>0.6</x:v>
      </x:c>
      <x:c r="D230" s="60" t="n">
        <x:v>0.6</x:v>
      </x:c>
      <x:c r="E230" s="62" t="b">
        <x:v>1</x:v>
      </x:c>
      <x:c r="F230" s="62" t="b">
        <x:v>1</x:v>
      </x:c>
      <x:c r="G230" s="85" t="n">
        <x:v>0</x:v>
      </x:c>
      <x:c r="H230" s="85" t="n">
        <x:v>0</x:v>
      </x:c>
      <x:c r="I230" s="85" t="n">
        <x:v>8890341.51348933</x:v>
      </x:c>
      <x:c r="J230" s="85" t="n">
        <x:v>14378376.39051955</x:v>
      </x:c>
      <x:c r="K230" s="85" t="n">
        <x:v>0</x:v>
      </x:c>
      <x:c r="L230" s="28" t="n">
        <x:v>10</x:v>
      </x:c>
      <x:c r="M230" s="28" t="n">
        <x:v>0</x:v>
      </x:c>
      <x:c r="N230" s="28" t="n">
        <x:v>4.656612873077393e-10</x:v>
      </x:c>
      <x:c r="O230" s="28" t="n">
        <x:v>7.450580596923828e-9</x:v>
      </x:c>
      <x:c r="P230" s="28" t="n">
        <x:v>0</x:v>
      </x:c>
      <x:c r="Q230" s="62" t="b">
        <x:v>1</x:v>
      </x:c>
      <x:c r="R230" s="28" t="n">
        <x:v>0</x:v>
      </x:c>
      <x:c r="S230" s="28" t="str">
        <x:v>dd287b095542dc7f</x:v>
      </x:c>
    </x:row>
    <x:row r="231" ht="21" customHeight="1">
      <x:c r="A231" s="60" t="n">
        <x:v>0.6</x:v>
      </x:c>
      <x:c r="B231" s="28" t="str">
        <x:v>level_low</x:v>
      </x:c>
      <x:c r="C231" s="60" t="n">
        <x:v>0.65</x:v>
      </x:c>
      <x:c r="D231" s="60" t="n">
        <x:v>0.65</x:v>
      </x:c>
      <x:c r="E231" s="62" t="b">
        <x:v>1</x:v>
      </x:c>
      <x:c r="F231" s="62" t="b">
        <x:v>1</x:v>
      </x:c>
      <x:c r="G231" s="85" t="n">
        <x:v>0</x:v>
      </x:c>
      <x:c r="H231" s="85" t="n">
        <x:v>0</x:v>
      </x:c>
      <x:c r="I231" s="85" t="n">
        <x:v>9751896.233395007</x:v>
      </x:c>
      <x:c r="J231" s="85" t="n">
        <x:v>15951152.47313932</x:v>
      </x:c>
      <x:c r="K231" s="85" t="n">
        <x:v>0</x:v>
      </x:c>
      <x:c r="L231" s="28" t="n">
        <x:v>15</x:v>
      </x:c>
      <x:c r="M231" s="28" t="n">
        <x:v>1</x:v>
      </x:c>
      <x:c r="N231" s="28" t="n">
        <x:v>4.656612873077393e-10</x:v>
      </x:c>
      <x:c r="O231" s="28" t="n">
        <x:v>3.725290298461914e-9</x:v>
      </x:c>
      <x:c r="P231" s="28" t="n">
        <x:v>0</x:v>
      </x:c>
      <x:c r="Q231" s="62" t="b">
        <x:v>1</x:v>
      </x:c>
      <x:c r="R231" s="28" t="n">
        <x:v>0</x:v>
      </x:c>
      <x:c r="S231" s="28" t="str">
        <x:v>a0983d66aeef1280</x:v>
      </x:c>
    </x:row>
    <x:row r="232" ht="21" customHeight="1">
      <x:c r="A232" s="60" t="n">
        <x:v>0.6</x:v>
      </x:c>
      <x:c r="B232" s="28" t="str">
        <x:v>level_low</x:v>
      </x:c>
      <x:c r="C232" s="60" t="n">
        <x:v>0.7</x:v>
      </x:c>
      <x:c r="D232" s="60" t="n">
        <x:v>0.7</x:v>
      </x:c>
      <x:c r="E232" s="62" t="b">
        <x:v>1</x:v>
      </x:c>
      <x:c r="F232" s="62" t="b">
        <x:v>0</x:v>
      </x:c>
      <x:c r="G232" s="85" t="n">
        <x:v>83051.32068541086</x:v>
      </x:c>
      <x:c r="H232" s="85" t="n">
        <x:v>1035806.9591899165</x:v>
      </x:c>
      <x:c r="I232" s="85" t="n">
        <x:v>10162390.692559617</x:v>
      </x:c>
      <x:c r="J232" s="85" t="n">
        <x:v>16723200.000000002</x:v>
      </x:c>
      <x:c r="K232" s="85" t="n">
        <x:v>0</x:v>
      </x:c>
      <x:c r="L232" s="28" t="n">
        <x:v>38</x:v>
      </x:c>
      <x:c r="M232" s="28" t="n">
        <x:v>29</x:v>
      </x:c>
      <x:c r="N232" s="28" t="n">
        <x:v>4.656612873077393e-10</x:v>
      </x:c>
      <x:c r="O232" s="28" t="n">
        <x:v>3.725290298461914e-9</x:v>
      </x:c>
      <x:c r="P232" s="28" t="n">
        <x:v>0</x:v>
      </x:c>
      <x:c r="Q232" s="62" t="b">
        <x:v>1</x:v>
      </x:c>
      <x:c r="R232" s="28" t="n">
        <x:v>0</x:v>
      </x:c>
      <x:c r="S232" s="28" t="str">
        <x:v>8cfc95bfa0b97c5d</x:v>
      </x:c>
    </x:row>
    <x:row r="233" ht="21" customHeight="1">
      <x:c r="A233" s="60" t="n">
        <x:v>0.6</x:v>
      </x:c>
      <x:c r="B233" s="28" t="str">
        <x:v>level_low</x:v>
      </x:c>
      <x:c r="C233" s="60" t="n">
        <x:v>0.75</x:v>
      </x:c>
      <x:c r="D233" s="60" t="n">
        <x:v>0.75</x:v>
      </x:c>
      <x:c r="E233" s="62" t="b">
        <x:v>1</x:v>
      </x:c>
      <x:c r="F233" s="62" t="b">
        <x:v>0</x:v>
      </x:c>
      <x:c r="G233" s="85" t="n">
        <x:v>220647.50452926857</x:v>
      </x:c>
      <x:c r="H233" s="85" t="n">
        <x:v>2746667.4072042415</x:v>
      </x:c>
      <x:c r="I233" s="85" t="n">
        <x:v>10471149.504423637</x:v>
      </x:c>
      <x:c r="J233" s="85" t="n">
        <x:v>16723200.000000002</x:v>
      </x:c>
      <x:c r="K233" s="85" t="n">
        <x:v>0</x:v>
      </x:c>
      <x:c r="L233" s="28" t="n">
        <x:v>40</x:v>
      </x:c>
      <x:c r="M233" s="28" t="n">
        <x:v>31</x:v>
      </x:c>
      <x:c r="N233" s="28" t="n">
        <x:v>4.656612873077393e-10</x:v>
      </x:c>
      <x:c r="O233" s="28" t="n">
        <x:v>3.725290298461914e-9</x:v>
      </x:c>
      <x:c r="P233" s="28" t="n">
        <x:v>0</x:v>
      </x:c>
      <x:c r="Q233" s="62" t="b">
        <x:v>1</x:v>
      </x:c>
      <x:c r="R233" s="28" t="n">
        <x:v>0</x:v>
      </x:c>
      <x:c r="S233" s="28" t="str">
        <x:v>11f1b009e147df47</x:v>
      </x:c>
    </x:row>
    <x:row r="234" ht="21" customHeight="1">
      <x:c r="A234" s="60" t="n">
        <x:v>0.6</x:v>
      </x:c>
      <x:c r="B234" s="28" t="str">
        <x:v>level_low</x:v>
      </x:c>
      <x:c r="C234" s="60" t="n">
        <x:v>0.8</x:v>
      </x:c>
      <x:c r="D234" s="60" t="n">
        <x:v>0.8</x:v>
      </x:c>
      <x:c r="E234" s="62" t="b">
        <x:v>1</x:v>
      </x:c>
      <x:c r="F234" s="62" t="b">
        <x:v>0</x:v>
      </x:c>
      <x:c r="G234" s="85" t="n">
        <x:v>403679.4856091416</x:v>
      </x:c>
      <x:c r="H234" s="85" t="n">
        <x:v>4740679.957522433</x:v>
      </x:c>
      <x:c r="I234" s="85" t="n">
        <x:v>10509233.313467402</x:v>
      </x:c>
      <x:c r="J234" s="85" t="n">
        <x:v>16723200.000000002</x:v>
      </x:c>
      <x:c r="K234" s="85" t="n">
        <x:v>0</x:v>
      </x:c>
      <x:c r="L234" s="28" t="n">
        <x:v>40</x:v>
      </x:c>
      <x:c r="M234" s="28" t="n">
        <x:v>32</x:v>
      </x:c>
      <x:c r="N234" s="28" t="n">
        <x:v>2.3283064365386963e-10</x:v>
      </x:c>
      <x:c r="O234" s="28" t="n">
        <x:v>3.725290298461914e-9</x:v>
      </x:c>
      <x:c r="P234" s="28" t="n">
        <x:v>0</x:v>
      </x:c>
      <x:c r="Q234" s="62" t="b">
        <x:v>1</x:v>
      </x:c>
      <x:c r="R234" s="28" t="n">
        <x:v>0</x:v>
      </x:c>
      <x:c r="S234" s="28" t="str">
        <x:v>7cdeca506c6027f4</x:v>
      </x:c>
    </x:row>
    <x:row r="235" ht="21" customHeight="1">
      <x:c r="A235" s="60" t="n">
        <x:v>0.6</x:v>
      </x:c>
      <x:c r="B235" s="28" t="str">
        <x:v>level_low</x:v>
      </x:c>
      <x:c r="C235" s="60" t="n">
        <x:v>0.85</x:v>
      </x:c>
      <x:c r="D235" s="60" t="n">
        <x:v>0.85</x:v>
      </x:c>
      <x:c r="E235" s="62" t="b">
        <x:v>1</x:v>
      </x:c>
      <x:c r="F235" s="62" t="b">
        <x:v>0</x:v>
      </x:c>
      <x:c r="G235" s="85" t="n">
        <x:v>562436.4578140439</x:v>
      </x:c>
      <x:c r="H235" s="85" t="n">
        <x:v>6522540.355993865</x:v>
      </x:c>
      <x:c r="I235" s="85" t="n">
        <x:v>10687221.854347609</x:v>
      </x:c>
      <x:c r="J235" s="85" t="n">
        <x:v>16723200.000000002</x:v>
      </x:c>
      <x:c r="K235" s="85" t="n">
        <x:v>0</x:v>
      </x:c>
      <x:c r="L235" s="28" t="n">
        <x:v>41</x:v>
      </x:c>
      <x:c r="M235" s="28" t="n">
        <x:v>33</x:v>
      </x:c>
      <x:c r="N235" s="28" t="n">
        <x:v>4.656612873077393e-10</x:v>
      </x:c>
      <x:c r="O235" s="28" t="n">
        <x:v>3.725290298461914e-9</x:v>
      </x:c>
      <x:c r="P235" s="28" t="n">
        <x:v>0</x:v>
      </x:c>
      <x:c r="Q235" s="62" t="b">
        <x:v>1</x:v>
      </x:c>
      <x:c r="R235" s="28" t="n">
        <x:v>0</x:v>
      </x:c>
      <x:c r="S235" s="28" t="str">
        <x:v>b5c408c7a0fdd14b</x:v>
      </x:c>
    </x:row>
    <x:row r="236" ht="21" customHeight="1">
      <x:c r="A236" s="60" t="n">
        <x:v>0.6</x:v>
      </x:c>
      <x:c r="B236" s="28" t="str">
        <x:v>level_low</x:v>
      </x:c>
      <x:c r="C236" s="60" t="n">
        <x:v>0.9</x:v>
      </x:c>
      <x:c r="D236" s="60" t="n">
        <x:v>0.8949513562027351</x:v>
      </x:c>
      <x:c r="E236" s="62" t="b">
        <x:v>0</x:v>
      </x:c>
      <x:c r="F236" s="62" t="b">
        <x:v>0</x:v>
      </x:c>
      <x:c r="G236" s="85" t="n">
        <x:v>898844.7553115065</x:v>
      </x:c>
      <x:c r="H236" s="85" t="n">
        <x:v>7881004.484582859</x:v>
      </x:c>
      <x:c r="I236" s="85" t="n">
        <x:v>10854155.172806991</x:v>
      </x:c>
      <x:c r="J236" s="85" t="n">
        <x:v>16723200.000000002</x:v>
      </x:c>
      <x:c r="K236" s="85" t="n">
        <x:v>0</x:v>
      </x:c>
      <x:c r="L236" s="28" t="n">
        <x:v>42</x:v>
      </x:c>
      <x:c r="M236" s="28" t="n">
        <x:v>34</x:v>
      </x:c>
      <x:c r="N236" s="28" t="n">
        <x:v>4.656612873077393e-10</x:v>
      </x:c>
      <x:c r="O236" s="28" t="n">
        <x:v>3.725290298461914e-9</x:v>
      </x:c>
      <x:c r="P236" s="28" t="n">
        <x:v>0</x:v>
      </x:c>
      <x:c r="Q236" s="62" t="b">
        <x:v>1</x:v>
      </x:c>
      <x:c r="R236" s="28" t="n">
        <x:v>281431.5998347327</x:v>
      </x:c>
      <x:c r="S236" s="28" t="str">
        <x:v>e0003f71a17cffa1</x:v>
      </x:c>
    </x:row>
    <x:row r="237" ht="21" customHeight="1">
      <x:c r="A237" s="60" t="n">
        <x:v>0.6</x:v>
      </x:c>
      <x:c r="B237" s="28" t="str">
        <x:v>level_low</x:v>
      </x:c>
      <x:c r="C237" s="60" t="n">
        <x:v>0.95</x:v>
      </x:c>
      <x:c r="D237" s="60" t="n">
        <x:v>0.9109811515371262</x:v>
      </x:c>
      <x:c r="E237" s="62" t="b">
        <x:v>0</x:v>
      </x:c>
      <x:c r="F237" s="62" t="b">
        <x:v>0</x:v>
      </x:c>
      <x:c r="G237" s="85" t="n">
        <x:v>981875.6393851619</x:v>
      </x:c>
      <x:c r="H237" s="85" t="n">
        <x:v>8609013.148900623</x:v>
      </x:c>
      <x:c r="I237" s="85" t="n">
        <x:v>10877117.57674528</x:v>
      </x:c>
      <x:c r="J237" s="85" t="n">
        <x:v>16723200.000000002</x:v>
      </x:c>
      <x:c r="K237" s="85" t="n">
        <x:v>0</x:v>
      </x:c>
      <x:c r="L237" s="28" t="n">
        <x:v>42</x:v>
      </x:c>
      <x:c r="M237" s="28" t="n">
        <x:v>34</x:v>
      </x:c>
      <x:c r="N237" s="28" t="n">
        <x:v>2.3283064365386963e-10</x:v>
      </x:c>
      <x:c r="O237" s="28" t="n">
        <x:v>3.725290298461914e-9</x:v>
      </x:c>
      <x:c r="P237" s="28" t="n">
        <x:v>0</x:v>
      </x:c>
      <x:c r="Q237" s="62" t="b">
        <x:v>1</x:v>
      </x:c>
      <x:c r="R237" s="28" t="n">
        <x:v>2175066.688714437</x:v>
      </x:c>
      <x:c r="S237" s="28" t="str">
        <x:v>9f2b51e973329026</x:v>
      </x:c>
    </x:row>
    <x:row r="238" ht="21" customHeight="1">
      <x:c r="A238" s="60" t="n">
        <x:v>0.6</x:v>
      </x:c>
      <x:c r="B238" s="28" t="str">
        <x:v>level_low</x:v>
      </x:c>
      <x:c r="C238" s="60" t="n">
        <x:v>1</x:v>
      </x:c>
      <x:c r="D238" s="60" t="n">
        <x:v>0.9258453085724337</x:v>
      </x:c>
      <x:c r="E238" s="62" t="b">
        <x:v>0</x:v>
      </x:c>
      <x:c r="F238" s="62" t="b">
        <x:v>0</x:v>
      </x:c>
      <x:c r="G238" s="85" t="n">
        <x:v>1078330.3565986871</x:v>
      </x:c>
      <x:c r="H238" s="85" t="n">
        <x:v>9073716.028275833</x:v>
      </x:c>
      <x:c r="I238" s="85" t="n">
        <x:v>11047501.76465754</x:v>
      </x:c>
      <x:c r="J238" s="85" t="n">
        <x:v>16723200.000000002</x:v>
      </x:c>
      <x:c r="K238" s="85" t="n">
        <x:v>0</x:v>
      </x:c>
      <x:c r="L238" s="28" t="n">
        <x:v>43</x:v>
      </x:c>
      <x:c r="M238" s="28" t="n">
        <x:v>35</x:v>
      </x:c>
      <x:c r="N238" s="28" t="n">
        <x:v>2.3283064365386963e-10</x:v>
      </x:c>
      <x:c r="O238" s="28" t="n">
        <x:v>1.862645149230957e-9</x:v>
      </x:c>
      <x:c r="P238" s="28" t="n">
        <x:v>0</x:v>
      </x:c>
      <x:c r="Q238" s="62" t="b">
        <x:v>1</x:v>
      </x:c>
      <x:c r="R238" s="28" t="n">
        <x:v>4133679.1189382523</x:v>
      </x:c>
      <x:c r="S238" s="28" t="str">
        <x:v>cfe23e7806cc7a37</x:v>
      </x:c>
    </x:row>
    <x:row r="239" ht="21" customHeight="1">
      <x:c r="A239" s="60" t="n">
        <x:v>0.6</x:v>
      </x:c>
      <x:c r="B239" s="28" t="str">
        <x:v>level_high</x:v>
      </x:c>
      <x:c r="C239" s="60" t="n">
        <x:v>0</x:v>
      </x:c>
      <x:c r="D239" s="60" t="n">
        <x:v>0</x:v>
      </x:c>
      <x:c r="E239" s="62" t="b">
        <x:v>1</x:v>
      </x:c>
      <x:c r="F239" s="62" t="b">
        <x:v>1</x:v>
      </x:c>
      <x:c r="G239" s="85" t="n">
        <x:v>0</x:v>
      </x:c>
      <x:c r="H239" s="85" t="n">
        <x:v>0</x:v>
      </x:c>
      <x:c r="I239" s="85" t="n">
        <x:v>0</x:v>
      </x:c>
      <x:c r="J239" s="85" t="n">
        <x:v>0</x:v>
      </x:c>
      <x:c r="K239" s="85" t="n">
        <x:v>6437951.202191777</x:v>
      </x:c>
      <x:c r="L239" s="28" t="n">
        <x:v>0</x:v>
      </x:c>
      <x:c r="M239" s="28" t="n">
        <x:v>0</x:v>
      </x:c>
      <x:c r="N239" s="28" t="n">
        <x:v>4.656612873077393e-10</x:v>
      </x:c>
      <x:c r="O239" s="28" t="n">
        <x:v>0</x:v>
      </x:c>
      <x:c r="P239" s="28" t="n">
        <x:v>0</x:v>
      </x:c>
      <x:c r="Q239" s="62" t="b">
        <x:v>1</x:v>
      </x:c>
      <x:c r="R239" s="28" t="n">
        <x:v>0</x:v>
      </x:c>
      <x:c r="S239" s="28" t="str">
        <x:v>34b774acbe925a1e</x:v>
      </x:c>
    </x:row>
    <x:row r="240" ht="21" customHeight="1">
      <x:c r="A240" s="60" t="n">
        <x:v>0.6</x:v>
      </x:c>
      <x:c r="B240" s="28" t="str">
        <x:v>level_high</x:v>
      </x:c>
      <x:c r="C240" s="60" t="n">
        <x:v>0.05</x:v>
      </x:c>
      <x:c r="D240" s="60" t="n">
        <x:v>0.05</x:v>
      </x:c>
      <x:c r="E240" s="62" t="b">
        <x:v>1</x:v>
      </x:c>
      <x:c r="F240" s="62" t="b">
        <x:v>1</x:v>
      </x:c>
      <x:c r="G240" s="85" t="n">
        <x:v>0</x:v>
      </x:c>
      <x:c r="H240" s="85" t="n">
        <x:v>0</x:v>
      </x:c>
      <x:c r="I240" s="85" t="n">
        <x:v>0</x:v>
      </x:c>
      <x:c r="J240" s="85" t="n">
        <x:v>0</x:v>
      </x:c>
      <x:c r="K240" s="85" t="n">
        <x:v>3939901.847859935</x:v>
      </x:c>
      <x:c r="L240" s="28" t="n">
        <x:v>0</x:v>
      </x:c>
      <x:c r="M240" s="28" t="n">
        <x:v>0</x:v>
      </x:c>
      <x:c r="N240" s="28" t="n">
        <x:v>4.656612873077393e-10</x:v>
      </x:c>
      <x:c r="O240" s="28" t="n">
        <x:v>7.450580596923828e-9</x:v>
      </x:c>
      <x:c r="P240" s="28" t="n">
        <x:v>0</x:v>
      </x:c>
      <x:c r="Q240" s="62" t="b">
        <x:v>1</x:v>
      </x:c>
      <x:c r="R240" s="28" t="n">
        <x:v>0</x:v>
      </x:c>
      <x:c r="S240" s="28" t="str">
        <x:v>132e442699cc7955</x:v>
      </x:c>
    </x:row>
    <x:row r="241" ht="21" customHeight="1">
      <x:c r="A241" s="60" t="n">
        <x:v>0.6</x:v>
      </x:c>
      <x:c r="B241" s="28" t="str">
        <x:v>level_high</x:v>
      </x:c>
      <x:c r="C241" s="60" t="n">
        <x:v>0.1</x:v>
      </x:c>
      <x:c r="D241" s="60" t="n">
        <x:v>0.1</x:v>
      </x:c>
      <x:c r="E241" s="62" t="b">
        <x:v>1</x:v>
      </x:c>
      <x:c r="F241" s="62" t="b">
        <x:v>1</x:v>
      </x:c>
      <x:c r="G241" s="85" t="n">
        <x:v>0</x:v>
      </x:c>
      <x:c r="H241" s="85" t="n">
        <x:v>0</x:v>
      </x:c>
      <x:c r="I241" s="85" t="n">
        <x:v>0</x:v>
      </x:c>
      <x:c r="J241" s="85" t="n">
        <x:v>0</x:v>
      </x:c>
      <x:c r="K241" s="85" t="n">
        <x:v>1441697.5965340263</x:v>
      </x:c>
      <x:c r="L241" s="28" t="n">
        <x:v>0</x:v>
      </x:c>
      <x:c r="M241" s="28" t="n">
        <x:v>0</x:v>
      </x:c>
      <x:c r="N241" s="28" t="n">
        <x:v>9.313225746154785e-10</x:v>
      </x:c>
      <x:c r="O241" s="28" t="n">
        <x:v>7.450580596923828e-9</x:v>
      </x:c>
      <x:c r="P241" s="28" t="n">
        <x:v>0</x:v>
      </x:c>
      <x:c r="Q241" s="62" t="b">
        <x:v>1</x:v>
      </x:c>
      <x:c r="R241" s="28" t="n">
        <x:v>0</x:v>
      </x:c>
      <x:c r="S241" s="28" t="str">
        <x:v>85c3521fb97776a5</x:v>
      </x:c>
    </x:row>
    <x:row r="242" ht="21" customHeight="1">
      <x:c r="A242" s="60" t="n">
        <x:v>0.6</x:v>
      </x:c>
      <x:c r="B242" s="28" t="str">
        <x:v>level_high</x:v>
      </x:c>
      <x:c r="C242" s="60" t="n">
        <x:v>0.15</x:v>
      </x:c>
      <x:c r="D242" s="60" t="n">
        <x:v>0.15</x:v>
      </x:c>
      <x:c r="E242" s="62" t="b">
        <x:v>1</x:v>
      </x:c>
      <x:c r="F242" s="62" t="b">
        <x:v>1</x:v>
      </x:c>
      <x:c r="G242" s="85" t="n">
        <x:v>0</x:v>
      </x:c>
      <x:c r="H242" s="85" t="n">
        <x:v>0</x:v>
      </x:c>
      <x:c r="I242" s="85" t="n">
        <x:v>1142081.144303754</x:v>
      </x:c>
      <x:c r="J242" s="85" t="n">
        <x:v>0</x:v>
      </x:c>
      <x:c r="K242" s="85" t="n">
        <x:v>214929.95067246447</x:v>
      </x:c>
      <x:c r="L242" s="28" t="n">
        <x:v>0</x:v>
      </x:c>
      <x:c r="M242" s="28" t="n">
        <x:v>0</x:v>
      </x:c>
      <x:c r="N242" s="28" t="n">
        <x:v>9.313225746154785e-10</x:v>
      </x:c>
      <x:c r="O242" s="28" t="n">
        <x:v>7.450580596923828e-9</x:v>
      </x:c>
      <x:c r="P242" s="28" t="n">
        <x:v>0</x:v>
      </x:c>
      <x:c r="Q242" s="62" t="b">
        <x:v>1</x:v>
      </x:c>
      <x:c r="R242" s="28" t="n">
        <x:v>0</x:v>
      </x:c>
      <x:c r="S242" s="28" t="str">
        <x:v>1219d9be8ebaf450</x:v>
      </x:c>
    </x:row>
    <x:row r="243" ht="21" customHeight="1">
      <x:c r="A243" s="60" t="n">
        <x:v>0.6</x:v>
      </x:c>
      <x:c r="B243" s="28" t="str">
        <x:v>level_high</x:v>
      </x:c>
      <x:c r="C243" s="60" t="n">
        <x:v>0.2</x:v>
      </x:c>
      <x:c r="D243" s="60" t="n">
        <x:v>0.2</x:v>
      </x:c>
      <x:c r="E243" s="62" t="b">
        <x:v>1</x:v>
      </x:c>
      <x:c r="F243" s="62" t="b">
        <x:v>1</x:v>
      </x:c>
      <x:c r="G243" s="85" t="n">
        <x:v>0</x:v>
      </x:c>
      <x:c r="H243" s="85" t="n">
        <x:v>0</x:v>
      </x:c>
      <x:c r="I243" s="85" t="n">
        <x:v>3093954.255758191</x:v>
      </x:c>
      <x:c r="J243" s="85" t="n">
        <x:v>1248509.6821693014</x:v>
      </x:c>
      <x:c r="K243" s="85" t="n">
        <x:v>141680.51173862923</x:v>
      </x:c>
      <x:c r="L243" s="28" t="n">
        <x:v>0</x:v>
      </x:c>
      <x:c r="M243" s="28" t="n">
        <x:v>0</x:v>
      </x:c>
      <x:c r="N243" s="28" t="n">
        <x:v>9.313225746154785e-10</x:v>
      </x:c>
      <x:c r="O243" s="28" t="n">
        <x:v>7.450580596923828e-9</x:v>
      </x:c>
      <x:c r="P243" s="28" t="n">
        <x:v>0</x:v>
      </x:c>
      <x:c r="Q243" s="62" t="b">
        <x:v>1</x:v>
      </x:c>
      <x:c r="R243" s="28" t="n">
        <x:v>0</x:v>
      </x:c>
      <x:c r="S243" s="28" t="str">
        <x:v>58690435d2c89442</x:v>
      </x:c>
    </x:row>
    <x:row r="244" ht="21" customHeight="1">
      <x:c r="A244" s="60" t="n">
        <x:v>0.6</x:v>
      </x:c>
      <x:c r="B244" s="28" t="str">
        <x:v>level_high</x:v>
      </x:c>
      <x:c r="C244" s="60" t="n">
        <x:v>0.25</x:v>
      </x:c>
      <x:c r="D244" s="60" t="n">
        <x:v>0.25</x:v>
      </x:c>
      <x:c r="E244" s="62" t="b">
        <x:v>1</x:v>
      </x:c>
      <x:c r="F244" s="62" t="b">
        <x:v>1</x:v>
      </x:c>
      <x:c r="G244" s="85" t="n">
        <x:v>0</x:v>
      </x:c>
      <x:c r="H244" s="85" t="n">
        <x:v>0</x:v>
      </x:c>
      <x:c r="I244" s="85" t="n">
        <x:v>4791968.276149798</x:v>
      </x:c>
      <x:c r="J244" s="85" t="n">
        <x:v>2954237.1027116347</x:v>
      </x:c>
      <x:c r="K244" s="85" t="n">
        <x:v>108266.53527397173</x:v>
      </x:c>
      <x:c r="L244" s="28" t="n">
        <x:v>0</x:v>
      </x:c>
      <x:c r="M244" s="28" t="n">
        <x:v>0</x:v>
      </x:c>
      <x:c r="N244" s="28" t="n">
        <x:v>4.656612873077393e-10</x:v>
      </x:c>
      <x:c r="O244" s="28" t="n">
        <x:v>7.450580596923828e-9</x:v>
      </x:c>
      <x:c r="P244" s="28" t="n">
        <x:v>0</x:v>
      </x:c>
      <x:c r="Q244" s="62" t="b">
        <x:v>1</x:v>
      </x:c>
      <x:c r="R244" s="28" t="n">
        <x:v>0</x:v>
      </x:c>
      <x:c r="S244" s="28" t="str">
        <x:v>c5c056adcd08b84d</x:v>
      </x:c>
    </x:row>
    <x:row r="245" ht="21" customHeight="1">
      <x:c r="A245" s="60" t="n">
        <x:v>0.6</x:v>
      </x:c>
      <x:c r="B245" s="28" t="str">
        <x:v>level_high</x:v>
      </x:c>
      <x:c r="C245" s="60" t="n">
        <x:v>0.3</x:v>
      </x:c>
      <x:c r="D245" s="60" t="n">
        <x:v>0.3</x:v>
      </x:c>
      <x:c r="E245" s="62" t="b">
        <x:v>1</x:v>
      </x:c>
      <x:c r="F245" s="62" t="b">
        <x:v>1</x:v>
      </x:c>
      <x:c r="G245" s="85" t="n">
        <x:v>0</x:v>
      </x:c>
      <x:c r="H245" s="85" t="n">
        <x:v>0</x:v>
      </x:c>
      <x:c r="I245" s="85" t="n">
        <x:v>6516794.929967796</x:v>
      </x:c>
      <x:c r="J245" s="85" t="n">
        <x:v>4659964.523253947</x:v>
      </x:c>
      <x:c r="K245" s="85" t="n">
        <x:v>78321.16232876712</x:v>
      </x:c>
      <x:c r="L245" s="28" t="n">
        <x:v>0</x:v>
      </x:c>
      <x:c r="M245" s="28" t="n">
        <x:v>0</x:v>
      </x:c>
      <x:c r="N245" s="28" t="n">
        <x:v>9.313225746154785e-10</x:v>
      </x:c>
      <x:c r="O245" s="28" t="n">
        <x:v>7.450580596923828e-9</x:v>
      </x:c>
      <x:c r="P245" s="28" t="n">
        <x:v>0</x:v>
      </x:c>
      <x:c r="Q245" s="62" t="b">
        <x:v>1</x:v>
      </x:c>
      <x:c r="R245" s="28" t="n">
        <x:v>0</x:v>
      </x:c>
      <x:c r="S245" s="28" t="str">
        <x:v>a0a2ace77f861145</x:v>
      </x:c>
    </x:row>
    <x:row r="246" ht="21" customHeight="1">
      <x:c r="A246" s="60" t="n">
        <x:v>0.6</x:v>
      </x:c>
      <x:c r="B246" s="28" t="str">
        <x:v>level_high</x:v>
      </x:c>
      <x:c r="C246" s="60" t="n">
        <x:v>0.35</x:v>
      </x:c>
      <x:c r="D246" s="60" t="n">
        <x:v>0.35</x:v>
      </x:c>
      <x:c r="E246" s="62" t="b">
        <x:v>1</x:v>
      </x:c>
      <x:c r="F246" s="62" t="b">
        <x:v>1</x:v>
      </x:c>
      <x:c r="G246" s="85" t="n">
        <x:v>0</x:v>
      </x:c>
      <x:c r="H246" s="85" t="n">
        <x:v>0</x:v>
      </x:c>
      <x:c r="I246" s="85" t="n">
        <x:v>8252155.197656499</x:v>
      </x:c>
      <x:c r="J246" s="85" t="n">
        <x:v>6365691.943796274</x:v>
      </x:c>
      <x:c r="K246" s="85" t="n">
        <x:v>64672.121164383614</x:v>
      </x:c>
      <x:c r="L246" s="28" t="n">
        <x:v>0</x:v>
      </x:c>
      <x:c r="M246" s="28" t="n">
        <x:v>0</x:v>
      </x:c>
      <x:c r="N246" s="28" t="n">
        <x:v>4.656612873077393e-10</x:v>
      </x:c>
      <x:c r="O246" s="28" t="n">
        <x:v>7.450580596923828e-9</x:v>
      </x:c>
      <x:c r="P246" s="28" t="n">
        <x:v>0</x:v>
      </x:c>
      <x:c r="Q246" s="62" t="b">
        <x:v>1</x:v>
      </x:c>
      <x:c r="R246" s="28" t="n">
        <x:v>0</x:v>
      </x:c>
      <x:c r="S246" s="28" t="str">
        <x:v>9528ee2e9e246a3c</x:v>
      </x:c>
    </x:row>
    <x:row r="247" ht="21" customHeight="1">
      <x:c r="A247" s="60" t="n">
        <x:v>0.6</x:v>
      </x:c>
      <x:c r="B247" s="28" t="str">
        <x:v>level_high</x:v>
      </x:c>
      <x:c r="C247" s="60" t="n">
        <x:v>0.4</x:v>
      </x:c>
      <x:c r="D247" s="60" t="n">
        <x:v>0.4</x:v>
      </x:c>
      <x:c r="E247" s="62" t="b">
        <x:v>1</x:v>
      </x:c>
      <x:c r="F247" s="62" t="b">
        <x:v>1</x:v>
      </x:c>
      <x:c r="G247" s="85" t="n">
        <x:v>0</x:v>
      </x:c>
      <x:c r="H247" s="85" t="n">
        <x:v>0</x:v>
      </x:c>
      <x:c r="I247" s="85" t="n">
        <x:v>9991322.944578059</x:v>
      </x:c>
      <x:c r="J247" s="85" t="n">
        <x:v>8071419.364338589</x:v>
      </x:c>
      <x:c r="K247" s="85" t="n">
        <x:v>55634.35945205426</x:v>
      </x:c>
      <x:c r="L247" s="28" t="n">
        <x:v>0</x:v>
      </x:c>
      <x:c r="M247" s="28" t="n">
        <x:v>0</x:v>
      </x:c>
      <x:c r="N247" s="28" t="n">
        <x:v>2.3283064365386963e-10</x:v>
      </x:c>
      <x:c r="O247" s="28" t="n">
        <x:v>7.450580596923828e-9</x:v>
      </x:c>
      <x:c r="P247" s="28" t="n">
        <x:v>0</x:v>
      </x:c>
      <x:c r="Q247" s="62" t="b">
        <x:v>1</x:v>
      </x:c>
      <x:c r="R247" s="28" t="n">
        <x:v>0</x:v>
      </x:c>
      <x:c r="S247" s="28" t="str">
        <x:v>400df65aa2f7b391</x:v>
      </x:c>
    </x:row>
    <x:row r="248" ht="21" customHeight="1">
      <x:c r="A248" s="60" t="n">
        <x:v>0.6</x:v>
      </x:c>
      <x:c r="B248" s="28" t="str">
        <x:v>level_high</x:v>
      </x:c>
      <x:c r="C248" s="60" t="n">
        <x:v>0.45</x:v>
      </x:c>
      <x:c r="D248" s="60" t="n">
        <x:v>0.45</x:v>
      </x:c>
      <x:c r="E248" s="62" t="b">
        <x:v>1</x:v>
      </x:c>
      <x:c r="F248" s="62" t="b">
        <x:v>1</x:v>
      </x:c>
      <x:c r="G248" s="85" t="n">
        <x:v>0</x:v>
      </x:c>
      <x:c r="H248" s="85" t="n">
        <x:v>0</x:v>
      </x:c>
      <x:c r="I248" s="85" t="n">
        <x:v>11739923.036797443</x:v>
      </x:c>
      <x:c r="J248" s="85" t="n">
        <x:v>9777146.78488093</x:v>
      </x:c>
      <x:c r="K248" s="85" t="n">
        <x:v>46596.5977397256</x:v>
      </x:c>
      <x:c r="L248" s="28" t="n">
        <x:v>0</x:v>
      </x:c>
      <x:c r="M248" s="28" t="n">
        <x:v>0</x:v>
      </x:c>
      <x:c r="N248" s="28" t="n">
        <x:v>4.656612873077393e-10</x:v>
      </x:c>
      <x:c r="O248" s="28" t="n">
        <x:v>3.725290298461914e-9</x:v>
      </x:c>
      <x:c r="P248" s="28" t="n">
        <x:v>0</x:v>
      </x:c>
      <x:c r="Q248" s="62" t="b">
        <x:v>1</x:v>
      </x:c>
      <x:c r="R248" s="28" t="n">
        <x:v>0</x:v>
      </x:c>
      <x:c r="S248" s="28" t="str">
        <x:v>e9a0386bddda64f2</x:v>
      </x:c>
    </x:row>
    <x:row r="249" ht="21" customHeight="1">
      <x:c r="A249" s="60" t="n">
        <x:v>0.6</x:v>
      </x:c>
      <x:c r="B249" s="28" t="str">
        <x:v>level_high</x:v>
      </x:c>
      <x:c r="C249" s="60" t="n">
        <x:v>0.5</x:v>
      </x:c>
      <x:c r="D249" s="60" t="n">
        <x:v>0.5</x:v>
      </x:c>
      <x:c r="E249" s="62" t="b">
        <x:v>1</x:v>
      </x:c>
      <x:c r="F249" s="62" t="b">
        <x:v>1</x:v>
      </x:c>
      <x:c r="G249" s="85" t="n">
        <x:v>0</x:v>
      </x:c>
      <x:c r="H249" s="85" t="n">
        <x:v>0</x:v>
      </x:c>
      <x:c r="I249" s="85" t="n">
        <x:v>13505739.465666965</x:v>
      </x:c>
      <x:c r="J249" s="85" t="n">
        <x:v>11410343.63760457</x:v>
      </x:c>
      <x:c r="K249" s="85" t="n">
        <x:v>37558.83602739647</x:v>
      </x:c>
      <x:c r="L249" s="28" t="n">
        <x:v>1</x:v>
      </x:c>
      <x:c r="M249" s="28" t="n">
        <x:v>0</x:v>
      </x:c>
      <x:c r="N249" s="28" t="n">
        <x:v>4.656612873077393e-10</x:v>
      </x:c>
      <x:c r="O249" s="28" t="n">
        <x:v>3.725290298461914e-9</x:v>
      </x:c>
      <x:c r="P249" s="28" t="n">
        <x:v>0</x:v>
      </x:c>
      <x:c r="Q249" s="62" t="b">
        <x:v>1</x:v>
      </x:c>
      <x:c r="R249" s="28" t="n">
        <x:v>0</x:v>
      </x:c>
      <x:c r="S249" s="28" t="str">
        <x:v>77f136ba0554f9de</x:v>
      </x:c>
    </x:row>
    <x:row r="250" ht="21" customHeight="1">
      <x:c r="A250" s="60" t="n">
        <x:v>0.6</x:v>
      </x:c>
      <x:c r="B250" s="28" t="str">
        <x:v>level_high</x:v>
      </x:c>
      <x:c r="C250" s="60" t="n">
        <x:v>0.55</x:v>
      </x:c>
      <x:c r="D250" s="60" t="n">
        <x:v>0.55</x:v>
      </x:c>
      <x:c r="E250" s="62" t="b">
        <x:v>1</x:v>
      </x:c>
      <x:c r="F250" s="62" t="b">
        <x:v>1</x:v>
      </x:c>
      <x:c r="G250" s="85" t="n">
        <x:v>0</x:v>
      </x:c>
      <x:c r="H250" s="85" t="n">
        <x:v>0</x:v>
      </x:c>
      <x:c r="I250" s="85" t="n">
        <x:v>15338390.623077976</x:v>
      </x:c>
      <x:c r="J250" s="85" t="n">
        <x:v>12700624.173109356</x:v>
      </x:c>
      <x:c r="K250" s="85" t="n">
        <x:v>28521.074315068046</x:v>
      </x:c>
      <x:c r="L250" s="28" t="n">
        <x:v>6</x:v>
      </x:c>
      <x:c r="M250" s="28" t="n">
        <x:v>1</x:v>
      </x:c>
      <x:c r="N250" s="28" t="n">
        <x:v>2.3283064365386963e-10</x:v>
      </x:c>
      <x:c r="O250" s="28" t="n">
        <x:v>3.725290298461914e-9</x:v>
      </x:c>
      <x:c r="P250" s="28" t="n">
        <x:v>0</x:v>
      </x:c>
      <x:c r="Q250" s="62" t="b">
        <x:v>1</x:v>
      </x:c>
      <x:c r="R250" s="28" t="n">
        <x:v>0</x:v>
      </x:c>
      <x:c r="S250" s="28" t="str">
        <x:v>2b0fd9449939d6d8</x:v>
      </x:c>
    </x:row>
    <x:row r="251" ht="21" customHeight="1">
      <x:c r="A251" s="60" t="n">
        <x:v>0.6</x:v>
      </x:c>
      <x:c r="B251" s="28" t="str">
        <x:v>level_high</x:v>
      </x:c>
      <x:c r="C251" s="60" t="n">
        <x:v>0.6</x:v>
      </x:c>
      <x:c r="D251" s="60" t="n">
        <x:v>0.6</x:v>
      </x:c>
      <x:c r="E251" s="62" t="b">
        <x:v>1</x:v>
      </x:c>
      <x:c r="F251" s="62" t="b">
        <x:v>1</x:v>
      </x:c>
      <x:c r="G251" s="85" t="n">
        <x:v>0</x:v>
      </x:c>
      <x:c r="H251" s="85" t="n">
        <x:v>0</x:v>
      </x:c>
      <x:c r="I251" s="85" t="n">
        <x:v>17086340.98001236</x:v>
      </x:c>
      <x:c r="J251" s="85" t="n">
        <x:v>14252663.805668266</x:v>
      </x:c>
      <x:c r="K251" s="85" t="n">
        <x:v>20253.920547944996</x:v>
      </x:c>
      <x:c r="L251" s="28" t="n">
        <x:v>10</x:v>
      </x:c>
      <x:c r="M251" s="28" t="n">
        <x:v>5</x:v>
      </x:c>
      <x:c r="N251" s="28" t="n">
        <x:v>4.656612873077393e-10</x:v>
      </x:c>
      <x:c r="O251" s="28" t="n">
        <x:v>7.450580596923828e-9</x:v>
      </x:c>
      <x:c r="P251" s="28" t="n">
        <x:v>0</x:v>
      </x:c>
      <x:c r="Q251" s="62" t="b">
        <x:v>1</x:v>
      </x:c>
      <x:c r="R251" s="28" t="n">
        <x:v>0</x:v>
      </x:c>
      <x:c r="S251" s="28" t="str">
        <x:v>70f813ee98f3f385</x:v>
      </x:c>
    </x:row>
    <x:row r="252" ht="21" customHeight="1">
      <x:c r="A252" s="60" t="n">
        <x:v>0.6</x:v>
      </x:c>
      <x:c r="B252" s="28" t="str">
        <x:v>level_high</x:v>
      </x:c>
      <x:c r="C252" s="60" t="n">
        <x:v>0.65</x:v>
      </x:c>
      <x:c r="D252" s="60" t="n">
        <x:v>0.65</x:v>
      </x:c>
      <x:c r="E252" s="62" t="b">
        <x:v>1</x:v>
      </x:c>
      <x:c r="F252" s="62" t="b">
        <x:v>1</x:v>
      </x:c>
      <x:c r="G252" s="85" t="n">
        <x:v>0</x:v>
      </x:c>
      <x:c r="H252" s="85" t="n">
        <x:v>0</x:v>
      </x:c>
      <x:c r="I252" s="85" t="n">
        <x:v>18776530.056683607</x:v>
      </x:c>
      <x:c r="J252" s="85" t="n">
        <x:v>15941245.417425327</x:v>
      </x:c>
      <x:c r="K252" s="85" t="n">
        <x:v>17229.51986301368</x:v>
      </x:c>
      <x:c r="L252" s="28" t="n">
        <x:v>14</x:v>
      </x:c>
      <x:c r="M252" s="28" t="n">
        <x:v>10</x:v>
      </x:c>
      <x:c r="N252" s="28" t="n">
        <x:v>4.656612873077393e-10</x:v>
      </x:c>
      <x:c r="O252" s="28" t="n">
        <x:v>3.725290298461914e-9</x:v>
      </x:c>
      <x:c r="P252" s="28" t="n">
        <x:v>0</x:v>
      </x:c>
      <x:c r="Q252" s="62" t="b">
        <x:v>1</x:v>
      </x:c>
      <x:c r="R252" s="28" t="n">
        <x:v>0</x:v>
      </x:c>
      <x:c r="S252" s="28" t="str">
        <x:v>b45bcec2bf991b24</x:v>
      </x:c>
    </x:row>
    <x:row r="253" ht="21" customHeight="1">
      <x:c r="A253" s="60" t="n">
        <x:v>0.6</x:v>
      </x:c>
      <x:c r="B253" s="28" t="str">
        <x:v>level_high</x:v>
      </x:c>
      <x:c r="C253" s="60" t="n">
        <x:v>0.7</x:v>
      </x:c>
      <x:c r="D253" s="60" t="n">
        <x:v>0.7</x:v>
      </x:c>
      <x:c r="E253" s="62" t="b">
        <x:v>1</x:v>
      </x:c>
      <x:c r="F253" s="62" t="b">
        <x:v>0</x:v>
      </x:c>
      <x:c r="G253" s="85" t="n">
        <x:v>465477.349266037</x:v>
      </x:c>
      <x:c r="H253" s="85" t="n">
        <x:v>1495089.836096608</x:v>
      </x:c>
      <x:c r="I253" s="85" t="n">
        <x:v>19583840.15905026</x:v>
      </x:c>
      <x:c r="J253" s="85" t="n">
        <x:v>16723200.000000002</x:v>
      </x:c>
      <x:c r="K253" s="85" t="n">
        <x:v>14205.119178082598</x:v>
      </x:c>
      <x:c r="L253" s="28" t="n">
        <x:v>38</x:v>
      </x:c>
      <x:c r="M253" s="28" t="n">
        <x:v>34</x:v>
      </x:c>
      <x:c r="N253" s="28" t="n">
        <x:v>4.656612873077393e-10</x:v>
      </x:c>
      <x:c r="O253" s="28" t="n">
        <x:v>3.725290298461914e-9</x:v>
      </x:c>
      <x:c r="P253" s="28" t="n">
        <x:v>0</x:v>
      </x:c>
      <x:c r="Q253" s="62" t="b">
        <x:v>1</x:v>
      </x:c>
      <x:c r="R253" s="28" t="n">
        <x:v>0</x:v>
      </x:c>
      <x:c r="S253" s="28" t="str">
        <x:v>0e6eaeb25d2f5d88</x:v>
      </x:c>
    </x:row>
    <x:row r="254" ht="21" customHeight="1">
      <x:c r="A254" s="60" t="n">
        <x:v>0.6</x:v>
      </x:c>
      <x:c r="B254" s="28" t="str">
        <x:v>level_high</x:v>
      </x:c>
      <x:c r="C254" s="60" t="n">
        <x:v>0.75</x:v>
      </x:c>
      <x:c r="D254" s="60" t="n">
        <x:v>0.75</x:v>
      </x:c>
      <x:c r="E254" s="62" t="b">
        <x:v>1</x:v>
      </x:c>
      <x:c r="F254" s="62" t="b">
        <x:v>0</x:v>
      </x:c>
      <x:c r="G254" s="85" t="n">
        <x:v>1144774.2841504111</x:v>
      </x:c>
      <x:c r="H254" s="85" t="n">
        <x:v>3456014.781619061</x:v>
      </x:c>
      <x:c r="I254" s="85" t="n">
        <x:v>20121977.93876096</x:v>
      </x:c>
      <x:c r="J254" s="85" t="n">
        <x:v>16723200.000000002</x:v>
      </x:c>
      <x:c r="K254" s="85" t="n">
        <x:v>11180.718493150584</x:v>
      </x:c>
      <x:c r="L254" s="28" t="n">
        <x:v>40</x:v>
      </x:c>
      <x:c r="M254" s="28" t="n">
        <x:v>35</x:v>
      </x:c>
      <x:c r="N254" s="28" t="n">
        <x:v>4.656612873077393e-10</x:v>
      </x:c>
      <x:c r="O254" s="28" t="n">
        <x:v>3.725290298461914e-9</x:v>
      </x:c>
      <x:c r="P254" s="28" t="n">
        <x:v>0</x:v>
      </x:c>
      <x:c r="Q254" s="62" t="b">
        <x:v>1</x:v>
      </x:c>
      <x:c r="R254" s="28" t="n">
        <x:v>0</x:v>
      </x:c>
      <x:c r="S254" s="28" t="str">
        <x:v>7ac3803c9ab055a8</x:v>
      </x:c>
    </x:row>
    <x:row r="255" ht="21" customHeight="1">
      <x:c r="A255" s="60" t="n">
        <x:v>0.6</x:v>
      </x:c>
      <x:c r="B255" s="28" t="str">
        <x:v>level_high</x:v>
      </x:c>
      <x:c r="C255" s="60" t="n">
        <x:v>0.8</x:v>
      </x:c>
      <x:c r="D255" s="60" t="n">
        <x:v>0.8</x:v>
      </x:c>
      <x:c r="E255" s="62" t="b">
        <x:v>1</x:v>
      </x:c>
      <x:c r="F255" s="62" t="b">
        <x:v>0</x:v>
      </x:c>
      <x:c r="G255" s="85" t="n">
        <x:v>2118749.416550904</x:v>
      </x:c>
      <x:c r="H255" s="85" t="n">
        <x:v>5911245.251768429</x:v>
      </x:c>
      <x:c r="I255" s="85" t="n">
        <x:v>20219756.72602082</x:v>
      </x:c>
      <x:c r="J255" s="85" t="n">
        <x:v>16723200.000000002</x:v>
      </x:c>
      <x:c r="K255" s="85" t="n">
        <x:v>8156.317808219268</x:v>
      </x:c>
      <x:c r="L255" s="28" t="n">
        <x:v>40</x:v>
      </x:c>
      <x:c r="M255" s="28" t="n">
        <x:v>36</x:v>
      </x:c>
      <x:c r="N255" s="28" t="n">
        <x:v>4.656612873077393e-10</x:v>
      </x:c>
      <x:c r="O255" s="28" t="n">
        <x:v>3.725290298461914e-9</x:v>
      </x:c>
      <x:c r="P255" s="28" t="n">
        <x:v>0</x:v>
      </x:c>
      <x:c r="Q255" s="62" t="b">
        <x:v>1</x:v>
      </x:c>
      <x:c r="R255" s="28" t="n">
        <x:v>0</x:v>
      </x:c>
      <x:c r="S255" s="28" t="str">
        <x:v>c36938beba7836f5</x:v>
      </x:c>
    </x:row>
    <x:row r="256" ht="21" customHeight="1">
      <x:c r="A256" s="60" t="n">
        <x:v>0.6</x:v>
      </x:c>
      <x:c r="B256" s="28" t="str">
        <x:v>level_high</x:v>
      </x:c>
      <x:c r="C256" s="60" t="n">
        <x:v>0.85</x:v>
      </x:c>
      <x:c r="D256" s="60" t="n">
        <x:v>0.85</x:v>
      </x:c>
      <x:c r="E256" s="62" t="b">
        <x:v>1</x:v>
      </x:c>
      <x:c r="F256" s="62" t="b">
        <x:v>0</x:v>
      </x:c>
      <x:c r="G256" s="85" t="n">
        <x:v>2990973.567366479</x:v>
      </x:c>
      <x:c r="H256" s="85" t="n">
        <x:v>7940339.137515033</x:v>
      </x:c>
      <x:c r="I256" s="85" t="n">
        <x:v>20537438.15314041</x:v>
      </x:c>
      <x:c r="J256" s="85" t="n">
        <x:v>16723200.000000002</x:v>
      </x:c>
      <x:c r="K256" s="85" t="n">
        <x:v>5131.91712328772</x:v>
      </x:c>
      <x:c r="L256" s="28" t="n">
        <x:v>41</x:v>
      </x:c>
      <x:c r="M256" s="28" t="n">
        <x:v>37</x:v>
      </x:c>
      <x:c r="N256" s="28" t="n">
        <x:v>4.656612873077393e-10</x:v>
      </x:c>
      <x:c r="O256" s="28" t="n">
        <x:v>3.725290298461914e-9</x:v>
      </x:c>
      <x:c r="P256" s="28" t="n">
        <x:v>0</x:v>
      </x:c>
      <x:c r="Q256" s="62" t="b">
        <x:v>1</x:v>
      </x:c>
      <x:c r="R256" s="28" t="n">
        <x:v>0</x:v>
      </x:c>
      <x:c r="S256" s="28" t="str">
        <x:v>6b0b09fc24026a5c</x:v>
      </x:c>
    </x:row>
    <x:row r="257" ht="21" customHeight="1">
      <x:c r="A257" s="60" t="n">
        <x:v>0.6</x:v>
      </x:c>
      <x:c r="B257" s="28" t="str">
        <x:v>level_high</x:v>
      </x:c>
      <x:c r="C257" s="60" t="n">
        <x:v>0.9</x:v>
      </x:c>
      <x:c r="D257" s="60" t="n">
        <x:v>0.8949513562027351</x:v>
      </x:c>
      <x:c r="E257" s="62" t="b">
        <x:v>0</x:v>
      </x:c>
      <x:c r="F257" s="62" t="b">
        <x:v>0</x:v>
      </x:c>
      <x:c r="G257" s="85" t="n">
        <x:v>4044786.706523984</x:v>
      </x:c>
      <x:c r="H257" s="85" t="n">
        <x:v>9105722.105673421</x:v>
      </x:c>
      <x:c r="I257" s="85" t="n">
        <x:v>20838910.218272056</x:v>
      </x:c>
      <x:c r="J257" s="85" t="n">
        <x:v>16723200.000000002</x:v>
      </x:c>
      <x:c r="K257" s="85" t="n">
        <x:v>2107.5164383559386</x:v>
      </x:c>
      <x:c r="L257" s="28" t="n">
        <x:v>42</x:v>
      </x:c>
      <x:c r="M257" s="28" t="n">
        <x:v>38</x:v>
      </x:c>
      <x:c r="N257" s="28" t="n">
        <x:v>2.3283064365386963e-10</x:v>
      </x:c>
      <x:c r="O257" s="28" t="n">
        <x:v>3.725290298461914e-9</x:v>
      </x:c>
      <x:c r="P257" s="28" t="n">
        <x:v>0</x:v>
      </x:c>
      <x:c r="Q257" s="62" t="b">
        <x:v>1</x:v>
      </x:c>
      <x:c r="R257" s="28" t="n">
        <x:v>281431.5998347327</x:v>
      </x:c>
      <x:c r="S257" s="28" t="str">
        <x:v>ae11bc9879c96c8b</x:v>
      </x:c>
    </x:row>
    <x:row r="258" ht="21" customHeight="1">
      <x:c r="A258" s="60" t="n">
        <x:v>0.6</x:v>
      </x:c>
      <x:c r="B258" s="28" t="str">
        <x:v>level_high</x:v>
      </x:c>
      <x:c r="C258" s="60" t="n">
        <x:v>0.95</x:v>
      </x:c>
      <x:c r="D258" s="60" t="n">
        <x:v>0.9109811515371262</x:v>
      </x:c>
      <x:c r="E258" s="62" t="b">
        <x:v>0</x:v>
      </x:c>
      <x:c r="F258" s="62" t="b">
        <x:v>0</x:v>
      </x:c>
      <x:c r="G258" s="85" t="n">
        <x:v>4505601.138311664</x:v>
      </x:c>
      <x:c r="H258" s="85" t="n">
        <x:v>10143118.750439497</x:v>
      </x:c>
      <x:c r="I258" s="85" t="n">
        <x:v>20897909.476638768</x:v>
      </x:c>
      <x:c r="J258" s="85" t="n">
        <x:v>16723200.000000002</x:v>
      </x:c>
      <x:c r="K258" s="85" t="n">
        <x:v>0</x:v>
      </x:c>
      <x:c r="L258" s="28" t="n">
        <x:v>42</x:v>
      </x:c>
      <x:c r="M258" s="28" t="n">
        <x:v>38</x:v>
      </x:c>
      <x:c r="N258" s="28" t="n">
        <x:v>2.3283064365386963e-10</x:v>
      </x:c>
      <x:c r="O258" s="28" t="n">
        <x:v>3.725290298461914e-9</x:v>
      </x:c>
      <x:c r="P258" s="28" t="n">
        <x:v>0</x:v>
      </x:c>
      <x:c r="Q258" s="62" t="b">
        <x:v>1</x:v>
      </x:c>
      <x:c r="R258" s="28" t="n">
        <x:v>2175066.688714437</x:v>
      </x:c>
      <x:c r="S258" s="28" t="str">
        <x:v>2c6bec38f18e0eb0</x:v>
      </x:c>
    </x:row>
    <x:row r="259" ht="21" customHeight="1">
      <x:c r="A259" s="60" t="n">
        <x:v>0.6</x:v>
      </x:c>
      <x:c r="B259" s="28" t="str">
        <x:v>level_high</x:v>
      </x:c>
      <x:c r="C259" s="60" t="n">
        <x:v>1</x:v>
      </x:c>
      <x:c r="D259" s="60" t="n">
        <x:v>0.9258453085724337</x:v>
      </x:c>
      <x:c r="E259" s="62" t="b">
        <x:v>0</x:v>
      </x:c>
      <x:c r="F259" s="62" t="b">
        <x:v>0</x:v>
      </x:c>
      <x:c r="G259" s="85" t="n">
        <x:v>4898213.412339717</x:v>
      </x:c>
      <x:c r="H259" s="85" t="n">
        <x:v>10582613.5330705</x:v>
      </x:c>
      <x:c r="I259" s="85" t="n">
        <x:v>21189516.092054795</x:v>
      </x:c>
      <x:c r="J259" s="85" t="n">
        <x:v>16723200.000000002</x:v>
      </x:c>
      <x:c r="K259" s="85" t="n">
        <x:v>0</x:v>
      </x:c>
      <x:c r="L259" s="28" t="n">
        <x:v>43</x:v>
      </x:c>
      <x:c r="M259" s="28" t="n">
        <x:v>40</x:v>
      </x:c>
      <x:c r="N259" s="28" t="n">
        <x:v>0</x:v>
      </x:c>
      <x:c r="O259" s="28" t="n">
        <x:v>1.862645149230957e-9</x:v>
      </x:c>
      <x:c r="P259" s="28" t="n">
        <x:v>0</x:v>
      </x:c>
      <x:c r="Q259" s="62" t="b">
        <x:v>1</x:v>
      </x:c>
      <x:c r="R259" s="28" t="n">
        <x:v>4133679.1189382523</x:v>
      </x:c>
      <x:c r="S259" s="28" t="str">
        <x:v>4ac61a261c4c4833</x:v>
      </x:c>
    </x:row>
    <x:row r="260" ht="21" customHeight="1">
      <x:c r="A260" s="60" t="n">
        <x:v>0.61</x:v>
      </x:c>
      <x:c r="B260" s="28" t="str">
        <x:v>front_flat</x:v>
      </x:c>
      <x:c r="C260" s="60" t="n">
        <x:v>0</x:v>
      </x:c>
      <x:c r="D260" s="60" t="n">
        <x:v>0</x:v>
      </x:c>
      <x:c r="E260" s="62" t="b">
        <x:v>1</x:v>
      </x:c>
      <x:c r="F260" s="62" t="b">
        <x:v>1</x:v>
      </x:c>
      <x:c r="G260" s="85" t="n">
        <x:v>0</x:v>
      </x:c>
      <x:c r="H260" s="85" t="n">
        <x:v>0</x:v>
      </x:c>
      <x:c r="I260" s="85" t="n">
        <x:v>0</x:v>
      </x:c>
      <x:c r="J260" s="85" t="n">
        <x:v>0</x:v>
      </x:c>
      <x:c r="K260" s="85" t="n">
        <x:v>5653772.143780821</x:v>
      </x:c>
      <x:c r="L260" s="28" t="n">
        <x:v>0</x:v>
      </x:c>
      <x:c r="M260" s="28" t="n">
        <x:v>0</x:v>
      </x:c>
      <x:c r="N260" s="28" t="n">
        <x:v>9.313225746154785e-10</x:v>
      </x:c>
      <x:c r="O260" s="28" t="n">
        <x:v>0</x:v>
      </x:c>
      <x:c r="P260" s="28" t="n">
        <x:v>0</x:v>
      </x:c>
      <x:c r="Q260" s="62" t="b">
        <x:v>1</x:v>
      </x:c>
      <x:c r="R260" s="28" t="n">
        <x:v>0</x:v>
      </x:c>
      <x:c r="S260" s="28" t="str">
        <x:v>902cb1a08fe8aae4</x:v>
      </x:c>
    </x:row>
    <x:row r="261" ht="21" customHeight="1">
      <x:c r="A261" s="60" t="n">
        <x:v>0.61</x:v>
      </x:c>
      <x:c r="B261" s="28" t="str">
        <x:v>front_flat</x:v>
      </x:c>
      <x:c r="C261" s="60" t="n">
        <x:v>0.05</x:v>
      </x:c>
      <x:c r="D261" s="60" t="n">
        <x:v>0.05</x:v>
      </x:c>
      <x:c r="E261" s="62" t="b">
        <x:v>1</x:v>
      </x:c>
      <x:c r="F261" s="62" t="b">
        <x:v>1</x:v>
      </x:c>
      <x:c r="G261" s="85" t="n">
        <x:v>0</x:v>
      </x:c>
      <x:c r="H261" s="85" t="n">
        <x:v>0</x:v>
      </x:c>
      <x:c r="I261" s="85" t="n">
        <x:v>0</x:v>
      </x:c>
      <x:c r="J261" s="85" t="n">
        <x:v>0</x:v>
      </x:c>
      <x:c r="K261" s="85" t="n">
        <x:v>3354375.256635988</x:v>
      </x:c>
      <x:c r="L261" s="28" t="n">
        <x:v>0</x:v>
      </x:c>
      <x:c r="M261" s="28" t="n">
        <x:v>0</x:v>
      </x:c>
      <x:c r="N261" s="28" t="n">
        <x:v>9.313225746154785e-10</x:v>
      </x:c>
      <x:c r="O261" s="28" t="n">
        <x:v>7.450580596923828e-9</x:v>
      </x:c>
      <x:c r="P261" s="28" t="n">
        <x:v>0</x:v>
      </x:c>
      <x:c r="Q261" s="62" t="b">
        <x:v>1</x:v>
      </x:c>
      <x:c r="R261" s="28" t="n">
        <x:v>0</x:v>
      </x:c>
      <x:c r="S261" s="28" t="str">
        <x:v>4430dffdc5101d71</x:v>
      </x:c>
    </x:row>
    <x:row r="262" ht="21" customHeight="1">
      <x:c r="A262" s="60" t="n">
        <x:v>0.61</x:v>
      </x:c>
      <x:c r="B262" s="28" t="str">
        <x:v>front_flat</x:v>
      </x:c>
      <x:c r="C262" s="60" t="n">
        <x:v>0.1</x:v>
      </x:c>
      <x:c r="D262" s="60" t="n">
        <x:v>0.1</x:v>
      </x:c>
      <x:c r="E262" s="62" t="b">
        <x:v>1</x:v>
      </x:c>
      <x:c r="F262" s="62" t="b">
        <x:v>1</x:v>
      </x:c>
      <x:c r="G262" s="85" t="n">
        <x:v>0</x:v>
      </x:c>
      <x:c r="H262" s="85" t="n">
        <x:v>0</x:v>
      </x:c>
      <x:c r="I262" s="85" t="n">
        <x:v>0</x:v>
      </x:c>
      <x:c r="J262" s="85" t="n">
        <x:v>0</x:v>
      </x:c>
      <x:c r="K262" s="85" t="n">
        <x:v>1054523.461459084</x:v>
      </x:c>
      <x:c r="L262" s="28" t="n">
        <x:v>0</x:v>
      </x:c>
      <x:c r="M262" s="28" t="n">
        <x:v>0</x:v>
      </x:c>
      <x:c r="N262" s="28" t="n">
        <x:v>2.3283064365386963e-10</x:v>
      </x:c>
      <x:c r="O262" s="28" t="n">
        <x:v>7.450580596923828e-9</x:v>
      </x:c>
      <x:c r="P262" s="28" t="n">
        <x:v>0</x:v>
      </x:c>
      <x:c r="Q262" s="62" t="b">
        <x:v>1</x:v>
      </x:c>
      <x:c r="R262" s="28" t="n">
        <x:v>0</x:v>
      </x:c>
      <x:c r="S262" s="28" t="str">
        <x:v>6aea1af384b436e4</x:v>
      </x:c>
    </x:row>
    <x:row r="263" ht="21" customHeight="1">
      <x:c r="A263" s="60" t="n">
        <x:v>0.61</x:v>
      </x:c>
      <x:c r="B263" s="28" t="str">
        <x:v>front_flat</x:v>
      </x:c>
      <x:c r="C263" s="60" t="n">
        <x:v>0.15</x:v>
      </x:c>
      <x:c r="D263" s="60" t="n">
        <x:v>0.15</x:v>
      </x:c>
      <x:c r="E263" s="62" t="b">
        <x:v>1</x:v>
      </x:c>
      <x:c r="F263" s="62" t="b">
        <x:v>1</x:v>
      </x:c>
      <x:c r="G263" s="85" t="n">
        <x:v>0</x:v>
      </x:c>
      <x:c r="H263" s="85" t="n">
        <x:v>0</x:v>
      </x:c>
      <x:c r="I263" s="85" t="n">
        <x:v>1029012.1379085296</x:v>
      </x:c>
      <x:c r="J263" s="85" t="n">
        <x:v>0</x:v>
      </x:c>
      <x:c r="K263" s="85" t="n">
        <x:v>30862.73891438343</x:v>
      </x:c>
      <x:c r="L263" s="28" t="n">
        <x:v>0</x:v>
      </x:c>
      <x:c r="M263" s="28" t="n">
        <x:v>0</x:v>
      </x:c>
      <x:c r="N263" s="28" t="n">
        <x:v>4.656612873077393e-10</x:v>
      </x:c>
      <x:c r="O263" s="28" t="n">
        <x:v>7.450580596923828e-9</x:v>
      </x:c>
      <x:c r="P263" s="28" t="n">
        <x:v>0</x:v>
      </x:c>
      <x:c r="Q263" s="62" t="b">
        <x:v>1</x:v>
      </x:c>
      <x:c r="R263" s="28" t="n">
        <x:v>0</x:v>
      </x:c>
      <x:c r="S263" s="28" t="str">
        <x:v>33496b50b5046b5d</x:v>
      </x:c>
    </x:row>
    <x:row r="264" ht="21" customHeight="1">
      <x:c r="A264" s="60" t="n">
        <x:v>0.61</x:v>
      </x:c>
      <x:c r="B264" s="28" t="str">
        <x:v>front_flat</x:v>
      </x:c>
      <x:c r="C264" s="60" t="n">
        <x:v>0.2</x:v>
      </x:c>
      <x:c r="D264" s="60" t="n">
        <x:v>0.2</x:v>
      </x:c>
      <x:c r="E264" s="62" t="b">
        <x:v>1</x:v>
      </x:c>
      <x:c r="F264" s="62" t="b">
        <x:v>1</x:v>
      </x:c>
      <x:c r="G264" s="85" t="n">
        <x:v>0</x:v>
      </x:c>
      <x:c r="H264" s="85" t="n">
        <x:v>0</x:v>
      </x:c>
      <x:c r="I264" s="85" t="n">
        <x:v>2639955.3879507454</x:v>
      </x:c>
      <x:c r="J264" s="85" t="n">
        <x:v>1254093.4388721196</x:v>
      </x:c>
      <x:c r="K264" s="85" t="n">
        <x:v>19245.774589041328</x:v>
      </x:c>
      <x:c r="L264" s="28" t="n">
        <x:v>0</x:v>
      </x:c>
      <x:c r="M264" s="28" t="n">
        <x:v>0</x:v>
      </x:c>
      <x:c r="N264" s="28" t="n">
        <x:v>4.656612873077393e-10</x:v>
      </x:c>
      <x:c r="O264" s="28" t="n">
        <x:v>7.450580596923828e-9</x:v>
      </x:c>
      <x:c r="P264" s="28" t="n">
        <x:v>0</x:v>
      </x:c>
      <x:c r="Q264" s="62" t="b">
        <x:v>1</x:v>
      </x:c>
      <x:c r="R264" s="28" t="n">
        <x:v>0</x:v>
      </x:c>
      <x:c r="S264" s="28" t="str">
        <x:v>8955ba058fc1e4e5</x:v>
      </x:c>
    </x:row>
    <x:row r="265" ht="21" customHeight="1">
      <x:c r="A265" s="60" t="n">
        <x:v>0.61</x:v>
      </x:c>
      <x:c r="B265" s="28" t="str">
        <x:v>front_flat</x:v>
      </x:c>
      <x:c r="C265" s="60" t="n">
        <x:v>0.25</x:v>
      </x:c>
      <x:c r="D265" s="60" t="n">
        <x:v>0.25</x:v>
      </x:c>
      <x:c r="E265" s="62" t="b">
        <x:v>1</x:v>
      </x:c>
      <x:c r="F265" s="62" t="b">
        <x:v>1</x:v>
      </x:c>
      <x:c r="G265" s="85" t="n">
        <x:v>0</x:v>
      </x:c>
      <x:c r="H265" s="85" t="n">
        <x:v>0</x:v>
      </x:c>
      <x:c r="I265" s="85" t="n">
        <x:v>3943150.062732937</x:v>
      </x:c>
      <x:c r="J265" s="85" t="n">
        <x:v>2961216.798590132</x:v>
      </x:c>
      <x:c r="K265" s="85" t="n">
        <x:v>7628.810263698524</x:v>
      </x:c>
      <x:c r="L265" s="28" t="n">
        <x:v>0</x:v>
      </x:c>
      <x:c r="M265" s="28" t="n">
        <x:v>0</x:v>
      </x:c>
      <x:c r="N265" s="28" t="n">
        <x:v>4.656612873077393e-10</x:v>
      </x:c>
      <x:c r="O265" s="28" t="n">
        <x:v>3.725290298461914e-9</x:v>
      </x:c>
      <x:c r="P265" s="28" t="n">
        <x:v>0</x:v>
      </x:c>
      <x:c r="Q265" s="62" t="b">
        <x:v>1</x:v>
      </x:c>
      <x:c r="R265" s="28" t="n">
        <x:v>0</x:v>
      </x:c>
      <x:c r="S265" s="28" t="str">
        <x:v>16684977cfb02aa5</x:v>
      </x:c>
    </x:row>
    <x:row r="266" ht="21" customHeight="1">
      <x:c r="A266" s="60" t="n">
        <x:v>0.61</x:v>
      </x:c>
      <x:c r="B266" s="28" t="str">
        <x:v>front_flat</x:v>
      </x:c>
      <x:c r="C266" s="60" t="n">
        <x:v>0.3</x:v>
      </x:c>
      <x:c r="D266" s="60" t="n">
        <x:v>0.3</x:v>
      </x:c>
      <x:c r="E266" s="62" t="b">
        <x:v>1</x:v>
      </x:c>
      <x:c r="F266" s="62" t="b">
        <x:v>1</x:v>
      </x:c>
      <x:c r="G266" s="85" t="n">
        <x:v>0</x:v>
      </x:c>
      <x:c r="H266" s="85" t="n">
        <x:v>0</x:v>
      </x:c>
      <x:c r="I266" s="85" t="n">
        <x:v>5247551.056890488</x:v>
      </x:c>
      <x:c r="J266" s="85" t="n">
        <x:v>4668340.158308157</x:v>
      </x:c>
      <x:c r="K266" s="85" t="n">
        <x:v>2146.725000000246</x:v>
      </x:c>
      <x:c r="L266" s="28" t="n">
        <x:v>0</x:v>
      </x:c>
      <x:c r="M266" s="28" t="n">
        <x:v>0</x:v>
      </x:c>
      <x:c r="N266" s="28" t="n">
        <x:v>4.656612873077393e-10</x:v>
      </x:c>
      <x:c r="O266" s="28" t="n">
        <x:v>7.450580596923828e-9</x:v>
      </x:c>
      <x:c r="P266" s="28" t="n">
        <x:v>0</x:v>
      </x:c>
      <x:c r="Q266" s="62" t="b">
        <x:v>1</x:v>
      </x:c>
      <x:c r="R266" s="28" t="n">
        <x:v>0</x:v>
      </x:c>
      <x:c r="S266" s="28" t="str">
        <x:v>90ab2ac771f00261</x:v>
      </x:c>
    </x:row>
    <x:row r="267" ht="21" customHeight="1">
      <x:c r="A267" s="60" t="n">
        <x:v>0.61</x:v>
      </x:c>
      <x:c r="B267" s="28" t="str">
        <x:v>front_flat</x:v>
      </x:c>
      <x:c r="C267" s="60" t="n">
        <x:v>0.35</x:v>
      </x:c>
      <x:c r="D267" s="60" t="n">
        <x:v>0.35</x:v>
      </x:c>
      <x:c r="E267" s="62" t="b">
        <x:v>1</x:v>
      </x:c>
      <x:c r="F267" s="62" t="b">
        <x:v>1</x:v>
      </x:c>
      <x:c r="G267" s="85" t="n">
        <x:v>0</x:v>
      </x:c>
      <x:c r="H267" s="85" t="n">
        <x:v>0</x:v>
      </x:c>
      <x:c r="I267" s="85" t="n">
        <x:v>6551952.051048035</x:v>
      </x:c>
      <x:c r="J267" s="85" t="n">
        <x:v>6375463.518026188</x:v>
      </x:c>
      <x:c r="K267" s="85" t="n">
        <x:v>0</x:v>
      </x:c>
      <x:c r="L267" s="28" t="n">
        <x:v>0</x:v>
      </x:c>
      <x:c r="M267" s="28" t="n">
        <x:v>0</x:v>
      </x:c>
      <x:c r="N267" s="28" t="n">
        <x:v>9.313225746154785e-10</x:v>
      </x:c>
      <x:c r="O267" s="28" t="n">
        <x:v>7.450580596923828e-9</x:v>
      </x:c>
      <x:c r="P267" s="28" t="n">
        <x:v>0</x:v>
      </x:c>
      <x:c r="Q267" s="62" t="b">
        <x:v>1</x:v>
      </x:c>
      <x:c r="R267" s="28" t="n">
        <x:v>0</x:v>
      </x:c>
      <x:c r="S267" s="28" t="str">
        <x:v>ab7f5cfc165144e1</x:v>
      </x:c>
    </x:row>
    <x:row r="268" ht="21" customHeight="1">
      <x:c r="A268" s="60" t="n">
        <x:v>0.61</x:v>
      </x:c>
      <x:c r="B268" s="28" t="str">
        <x:v>front_flat</x:v>
      </x:c>
      <x:c r="C268" s="60" t="n">
        <x:v>0.4</x:v>
      </x:c>
      <x:c r="D268" s="60" t="n">
        <x:v>0.4</x:v>
      </x:c>
      <x:c r="E268" s="62" t="b">
        <x:v>1</x:v>
      </x:c>
      <x:c r="F268" s="62" t="b">
        <x:v>1</x:v>
      </x:c>
      <x:c r="G268" s="85" t="n">
        <x:v>0</x:v>
      </x:c>
      <x:c r="H268" s="85" t="n">
        <x:v>0</x:v>
      </x:c>
      <x:c r="I268" s="85" t="n">
        <x:v>7856829.399469969</x:v>
      </x:c>
      <x:c r="J268" s="85" t="n">
        <x:v>8082586.877744218</x:v>
      </x:c>
      <x:c r="K268" s="85" t="n">
        <x:v>0</x:v>
      </x:c>
      <x:c r="L268" s="28" t="n">
        <x:v>0</x:v>
      </x:c>
      <x:c r="M268" s="28" t="n">
        <x:v>0</x:v>
      </x:c>
      <x:c r="N268" s="28" t="n">
        <x:v>4.656612873077393e-10</x:v>
      </x:c>
      <x:c r="O268" s="28" t="n">
        <x:v>7.450580596923828e-9</x:v>
      </x:c>
      <x:c r="P268" s="28" t="n">
        <x:v>0</x:v>
      </x:c>
      <x:c r="Q268" s="62" t="b">
        <x:v>1</x:v>
      </x:c>
      <x:c r="R268" s="28" t="n">
        <x:v>0</x:v>
      </x:c>
      <x:c r="S268" s="28" t="str">
        <x:v>aa38668ab921bd19</x:v>
      </x:c>
    </x:row>
    <x:row r="269" ht="21" customHeight="1">
      <x:c r="A269" s="60" t="n">
        <x:v>0.61</x:v>
      </x:c>
      <x:c r="B269" s="28" t="str">
        <x:v>front_flat</x:v>
      </x:c>
      <x:c r="C269" s="60" t="n">
        <x:v>0.45</x:v>
      </x:c>
      <x:c r="D269" s="60" t="n">
        <x:v>0.45</x:v>
      </x:c>
      <x:c r="E269" s="62" t="b">
        <x:v>1</x:v>
      </x:c>
      <x:c r="F269" s="62" t="b">
        <x:v>1</x:v>
      </x:c>
      <x:c r="G269" s="85" t="n">
        <x:v>0</x:v>
      </x:c>
      <x:c r="H269" s="85" t="n">
        <x:v>0</x:v>
      </x:c>
      <x:c r="I269" s="85" t="n">
        <x:v>9159353.940335222</x:v>
      </x:c>
      <x:c r="J269" s="85" t="n">
        <x:v>9789710.237462243</x:v>
      </x:c>
      <x:c r="K269" s="85" t="n">
        <x:v>0</x:v>
      </x:c>
      <x:c r="L269" s="28" t="n">
        <x:v>0</x:v>
      </x:c>
      <x:c r="M269" s="28" t="n">
        <x:v>0</x:v>
      </x:c>
      <x:c r="N269" s="28" t="n">
        <x:v>4.656612873077393e-10</x:v>
      </x:c>
      <x:c r="O269" s="28" t="n">
        <x:v>3.725290298461914e-9</x:v>
      </x:c>
      <x:c r="P269" s="28" t="n">
        <x:v>0</x:v>
      </x:c>
      <x:c r="Q269" s="62" t="b">
        <x:v>1</x:v>
      </x:c>
      <x:c r="R269" s="28" t="n">
        <x:v>0</x:v>
      </x:c>
      <x:c r="S269" s="28" t="str">
        <x:v>f05e09ea0ef55c7e</x:v>
      </x:c>
    </x:row>
    <x:row r="270" ht="21" customHeight="1">
      <x:c r="A270" s="60" t="n">
        <x:v>0.61</x:v>
      </x:c>
      <x:c r="B270" s="28" t="str">
        <x:v>front_flat</x:v>
      </x:c>
      <x:c r="C270" s="60" t="n">
        <x:v>0.5</x:v>
      </x:c>
      <x:c r="D270" s="60" t="n">
        <x:v>0.5</x:v>
      </x:c>
      <x:c r="E270" s="62" t="b">
        <x:v>1</x:v>
      </x:c>
      <x:c r="F270" s="62" t="b">
        <x:v>1</x:v>
      </x:c>
      <x:c r="G270" s="85" t="n">
        <x:v>0</x:v>
      </x:c>
      <x:c r="H270" s="85" t="n">
        <x:v>0</x:v>
      </x:c>
      <x:c r="I270" s="85" t="n">
        <x:v>10562767.348469438</x:v>
      </x:c>
      <x:c r="J270" s="85" t="n">
        <x:v>11252180.550192785</x:v>
      </x:c>
      <x:c r="K270" s="85" t="n">
        <x:v>0</x:v>
      </x:c>
      <x:c r="L270" s="28" t="n">
        <x:v>2</x:v>
      </x:c>
      <x:c r="M270" s="28" t="n">
        <x:v>0</x:v>
      </x:c>
      <x:c r="N270" s="28" t="n">
        <x:v>4.656612873077393e-10</x:v>
      </x:c>
      <x:c r="O270" s="28" t="n">
        <x:v>7.450580596923828e-9</x:v>
      </x:c>
      <x:c r="P270" s="28" t="n">
        <x:v>0</x:v>
      </x:c>
      <x:c r="Q270" s="62" t="b">
        <x:v>1</x:v>
      </x:c>
      <x:c r="R270" s="28" t="n">
        <x:v>0</x:v>
      </x:c>
      <x:c r="S270" s="28" t="str">
        <x:v>7c3d0ba4d5e837a2</x:v>
      </x:c>
    </x:row>
    <x:row r="271" ht="21" customHeight="1">
      <x:c r="A271" s="60" t="n">
        <x:v>0.61</x:v>
      </x:c>
      <x:c r="B271" s="28" t="str">
        <x:v>front_flat</x:v>
      </x:c>
      <x:c r="C271" s="60" t="n">
        <x:v>0.55</x:v>
      </x:c>
      <x:c r="D271" s="60" t="n">
        <x:v>0.55</x:v>
      </x:c>
      <x:c r="E271" s="62" t="b">
        <x:v>1</x:v>
      </x:c>
      <x:c r="F271" s="62" t="b">
        <x:v>1</x:v>
      </x:c>
      <x:c r="G271" s="85" t="n">
        <x:v>0</x:v>
      </x:c>
      <x:c r="H271" s="85" t="n">
        <x:v>0</x:v>
      </x:c>
      <x:c r="I271" s="85" t="n">
        <x:v>12240751.405244332</x:v>
      </x:c>
      <x:c r="J271" s="85" t="n">
        <x:v>11968191.194161624</x:v>
      </x:c>
      <x:c r="K271" s="85" t="n">
        <x:v>0</x:v>
      </x:c>
      <x:c r="L271" s="28" t="n">
        <x:v>10</x:v>
      </x:c>
      <x:c r="M271" s="28" t="n">
        <x:v>0</x:v>
      </x:c>
      <x:c r="N271" s="28" t="n">
        <x:v>4.656612873077393e-10</x:v>
      </x:c>
      <x:c r="O271" s="28" t="n">
        <x:v>3.725290298461914e-9</x:v>
      </x:c>
      <x:c r="P271" s="28" t="n">
        <x:v>0</x:v>
      </x:c>
      <x:c r="Q271" s="62" t="b">
        <x:v>1</x:v>
      </x:c>
      <x:c r="R271" s="28" t="n">
        <x:v>0</x:v>
      </x:c>
      <x:c r="S271" s="28" t="str">
        <x:v>181ab28ac14f2395</x:v>
      </x:c>
    </x:row>
    <x:row r="272" ht="21" customHeight="1">
      <x:c r="A272" s="60" t="n">
        <x:v>0.61</x:v>
      </x:c>
      <x:c r="B272" s="28" t="str">
        <x:v>front_flat</x:v>
      </x:c>
      <x:c r="C272" s="60" t="n">
        <x:v>0.6</x:v>
      </x:c>
      <x:c r="D272" s="60" t="n">
        <x:v>0.6</x:v>
      </x:c>
      <x:c r="E272" s="62" t="b">
        <x:v>1</x:v>
      </x:c>
      <x:c r="F272" s="62" t="b">
        <x:v>1</x:v>
      </x:c>
      <x:c r="G272" s="85" t="n">
        <x:v>0</x:v>
      </x:c>
      <x:c r="H272" s="85" t="n">
        <x:v>0</x:v>
      </x:c>
      <x:c r="I272" s="85" t="n">
        <x:v>13759340.021641433</x:v>
      </x:c>
      <x:c r="J272" s="85" t="n">
        <x:v>12995077.758828523</x:v>
      </x:c>
      <x:c r="K272" s="85" t="n">
        <x:v>0</x:v>
      </x:c>
      <x:c r="L272" s="28" t="n">
        <x:v>17</x:v>
      </x:c>
      <x:c r="M272" s="28" t="n">
        <x:v>0</x:v>
      </x:c>
      <x:c r="N272" s="28" t="n">
        <x:v>4.656612873077393e-10</x:v>
      </x:c>
      <x:c r="O272" s="28" t="n">
        <x:v>3.725290298461914e-9</x:v>
      </x:c>
      <x:c r="P272" s="28" t="n">
        <x:v>0</x:v>
      </x:c>
      <x:c r="Q272" s="62" t="b">
        <x:v>1</x:v>
      </x:c>
      <x:c r="R272" s="28" t="n">
        <x:v>0</x:v>
      </x:c>
      <x:c r="S272" s="28" t="str">
        <x:v>a4e8734e181fdf71</x:v>
      </x:c>
    </x:row>
    <x:row r="273" ht="21" customHeight="1">
      <x:c r="A273" s="60" t="n">
        <x:v>0.61</x:v>
      </x:c>
      <x:c r="B273" s="28" t="str">
        <x:v>front_flat</x:v>
      </x:c>
      <x:c r="C273" s="60" t="n">
        <x:v>0.65</x:v>
      </x:c>
      <x:c r="D273" s="60" t="n">
        <x:v>0.65</x:v>
      </x:c>
      <x:c r="E273" s="62" t="b">
        <x:v>1</x:v>
      </x:c>
      <x:c r="F273" s="62" t="b">
        <x:v>1</x:v>
      </x:c>
      <x:c r="G273" s="85" t="n">
        <x:v>0</x:v>
      </x:c>
      <x:c r="H273" s="85" t="n">
        <x:v>0</x:v>
      </x:c>
      <x:c r="I273" s="85" t="n">
        <x:v>14988172.15497879</x:v>
      </x:c>
      <x:c r="J273" s="85" t="n">
        <x:v>14794416.72702669</x:v>
      </x:c>
      <x:c r="K273" s="85" t="n">
        <x:v>0</x:v>
      </x:c>
      <x:c r="L273" s="28" t="n">
        <x:v>21</x:v>
      </x:c>
      <x:c r="M273" s="28" t="n">
        <x:v>3</x:v>
      </x:c>
      <x:c r="N273" s="28" t="n">
        <x:v>4.656612873077393e-10</x:v>
      </x:c>
      <x:c r="O273" s="28" t="n">
        <x:v>3.725290298461914e-9</x:v>
      </x:c>
      <x:c r="P273" s="28" t="n">
        <x:v>0</x:v>
      </x:c>
      <x:c r="Q273" s="62" t="b">
        <x:v>1</x:v>
      </x:c>
      <x:c r="R273" s="28" t="n">
        <x:v>0</x:v>
      </x:c>
      <x:c r="S273" s="28" t="str">
        <x:v>3885395f40414517</x:v>
      </x:c>
    </x:row>
    <x:row r="274" ht="21" customHeight="1">
      <x:c r="A274" s="60" t="n">
        <x:v>0.61</x:v>
      </x:c>
      <x:c r="B274" s="28" t="str">
        <x:v>front_flat</x:v>
      </x:c>
      <x:c r="C274" s="60" t="n">
        <x:v>0.7</x:v>
      </x:c>
      <x:c r="D274" s="60" t="n">
        <x:v>0.7</x:v>
      </x:c>
      <x:c r="E274" s="62" t="b">
        <x:v>1</x:v>
      </x:c>
      <x:c r="F274" s="62" t="b">
        <x:v>0</x:v>
      </x:c>
      <x:c r="G274" s="85" t="n">
        <x:v>175804.06762597125</x:v>
      </x:c>
      <x:c r="H274" s="85" t="n">
        <x:v>940581.2097652222</x:v>
      </x:c>
      <x:c r="I274" s="85" t="n">
        <x:v>15643415.694061643</x:v>
      </x:c>
      <x:c r="J274" s="85" t="n">
        <x:v>16165760.000000002</x:v>
      </x:c>
      <x:c r="K274" s="85" t="n">
        <x:v>0</x:v>
      </x:c>
      <x:c r="L274" s="28" t="n">
        <x:v>45</x:v>
      </x:c>
      <x:c r="M274" s="28" t="n">
        <x:v>34</x:v>
      </x:c>
      <x:c r="N274" s="28" t="n">
        <x:v>4.656612873077393e-10</x:v>
      </x:c>
      <x:c r="O274" s="28" t="n">
        <x:v>1.862645149230957e-9</x:v>
      </x:c>
      <x:c r="P274" s="28" t="n">
        <x:v>0</x:v>
      </x:c>
      <x:c r="Q274" s="62" t="b">
        <x:v>1</x:v>
      </x:c>
      <x:c r="R274" s="28" t="n">
        <x:v>0</x:v>
      </x:c>
      <x:c r="S274" s="28" t="str">
        <x:v>03203d450379e848</x:v>
      </x:c>
    </x:row>
    <x:row r="275" ht="21" customHeight="1">
      <x:c r="A275" s="60" t="n">
        <x:v>0.61</x:v>
      </x:c>
      <x:c r="B275" s="28" t="str">
        <x:v>front_flat</x:v>
      </x:c>
      <x:c r="C275" s="60" t="n">
        <x:v>0.75</x:v>
      </x:c>
      <x:c r="D275" s="60" t="n">
        <x:v>0.75</x:v>
      </x:c>
      <x:c r="E275" s="62" t="b">
        <x:v>1</x:v>
      </x:c>
      <x:c r="F275" s="62" t="b">
        <x:v>0</x:v>
      </x:c>
      <x:c r="G275" s="85" t="n">
        <x:v>652350.5587337535</x:v>
      </x:c>
      <x:c r="H275" s="85" t="n">
        <x:v>3427185.749647993</x:v>
      </x:c>
      <x:c r="I275" s="85" t="n">
        <x:v>15666645.723113012</x:v>
      </x:c>
      <x:c r="J275" s="85" t="n">
        <x:v>16165760.000000002</x:v>
      </x:c>
      <x:c r="K275" s="85" t="n">
        <x:v>0</x:v>
      </x:c>
      <x:c r="L275" s="28" t="n">
        <x:v>45</x:v>
      </x:c>
      <x:c r="M275" s="28" t="n">
        <x:v>36</x:v>
      </x:c>
      <x:c r="N275" s="28" t="n">
        <x:v>2.3283064365386963e-10</x:v>
      </x:c>
      <x:c r="O275" s="28" t="n">
        <x:v>3.725290298461914e-9</x:v>
      </x:c>
      <x:c r="P275" s="28" t="n">
        <x:v>0</x:v>
      </x:c>
      <x:c r="Q275" s="62" t="b">
        <x:v>1</x:v>
      </x:c>
      <x:c r="R275" s="28" t="n">
        <x:v>0</x:v>
      </x:c>
      <x:c r="S275" s="28" t="str">
        <x:v>e0de07e0eff2a805</x:v>
      </x:c>
    </x:row>
    <x:row r="276" ht="21" customHeight="1">
      <x:c r="A276" s="60" t="n">
        <x:v>0.61</x:v>
      </x:c>
      <x:c r="B276" s="28" t="str">
        <x:v>front_flat</x:v>
      </x:c>
      <x:c r="C276" s="60" t="n">
        <x:v>0.8</x:v>
      </x:c>
      <x:c r="D276" s="60" t="n">
        <x:v>0.8</x:v>
      </x:c>
      <x:c r="E276" s="62" t="b">
        <x:v>1</x:v>
      </x:c>
      <x:c r="F276" s="62" t="b">
        <x:v>0</x:v>
      </x:c>
      <x:c r="G276" s="85" t="n">
        <x:v>1143061.919038698</x:v>
      </x:c>
      <x:c r="H276" s="85" t="n">
        <x:v>5790333.423689441</x:v>
      </x:c>
      <x:c r="I276" s="85" t="n">
        <x:v>15689875.752164382</x:v>
      </x:c>
      <x:c r="J276" s="85" t="n">
        <x:v>16165760.000000002</x:v>
      </x:c>
      <x:c r="K276" s="85" t="n">
        <x:v>0</x:v>
      </x:c>
      <x:c r="L276" s="28" t="n">
        <x:v>45</x:v>
      </x:c>
      <x:c r="M276" s="28" t="n">
        <x:v>38</x:v>
      </x:c>
      <x:c r="N276" s="28" t="n">
        <x:v>4.656612873077393e-10</x:v>
      </x:c>
      <x:c r="O276" s="28" t="n">
        <x:v>3.725290298461914e-9</x:v>
      </x:c>
      <x:c r="P276" s="28" t="n">
        <x:v>0</x:v>
      </x:c>
      <x:c r="Q276" s="62" t="b">
        <x:v>1</x:v>
      </x:c>
      <x:c r="R276" s="28" t="n">
        <x:v>0</x:v>
      </x:c>
      <x:c r="S276" s="28" t="str">
        <x:v>4c709a63833c1743</x:v>
      </x:c>
    </x:row>
    <x:row r="277" ht="21" customHeight="1">
      <x:c r="A277" s="60" t="n">
        <x:v>0.61</x:v>
      </x:c>
      <x:c r="B277" s="28" t="str">
        <x:v>front_flat</x:v>
      </x:c>
      <x:c r="C277" s="60" t="n">
        <x:v>0.85</x:v>
      </x:c>
      <x:c r="D277" s="60" t="n">
        <x:v>0.85</x:v>
      </x:c>
      <x:c r="E277" s="62" t="b">
        <x:v>1</x:v>
      </x:c>
      <x:c r="F277" s="62" t="b">
        <x:v>0</x:v>
      </x:c>
      <x:c r="G277" s="85" t="n">
        <x:v>1648831.4174675161</x:v>
      </x:c>
      <x:c r="H277" s="85" t="n">
        <x:v>7804492.793025667</x:v>
      </x:c>
      <x:c r="I277" s="85" t="n">
        <x:v>15911009.292369178</x:v>
      </x:c>
      <x:c r="J277" s="85" t="n">
        <x:v>16165760.000000002</x:v>
      </x:c>
      <x:c r="K277" s="85" t="n">
        <x:v>0</x:v>
      </x:c>
      <x:c r="L277" s="28" t="n">
        <x:v>46</x:v>
      </x:c>
      <x:c r="M277" s="28" t="n">
        <x:v>40</x:v>
      </x:c>
      <x:c r="N277" s="28" t="n">
        <x:v>2.3283064365386963e-10</x:v>
      </x:c>
      <x:c r="O277" s="28" t="n">
        <x:v>1.862645149230957e-9</x:v>
      </x:c>
      <x:c r="P277" s="28" t="n">
        <x:v>0</x:v>
      </x:c>
      <x:c r="Q277" s="62" t="b">
        <x:v>1</x:v>
      </x:c>
      <x:c r="R277" s="28" t="n">
        <x:v>0</x:v>
      </x:c>
      <x:c r="S277" s="28" t="str">
        <x:v>5e783a7bde1ed17e</x:v>
      </x:c>
    </x:row>
    <x:row r="278" ht="21" customHeight="1">
      <x:c r="A278" s="60" t="n">
        <x:v>0.61</x:v>
      </x:c>
      <x:c r="B278" s="28" t="str">
        <x:v>front_flat</x:v>
      </x:c>
      <x:c r="C278" s="60" t="n">
        <x:v>0.9</x:v>
      </x:c>
      <x:c r="D278" s="60" t="n">
        <x:v>0.9</x:v>
      </x:c>
      <x:c r="E278" s="62" t="b">
        <x:v>1</x:v>
      </x:c>
      <x:c r="F278" s="62" t="b">
        <x:v>0</x:v>
      </x:c>
      <x:c r="G278" s="85" t="n">
        <x:v>2233871.6611160035</x:v>
      </x:c>
      <x:c r="H278" s="85" t="n">
        <x:v>10008893.633843562</x:v>
      </x:c>
      <x:c r="I278" s="85" t="n">
        <x:v>15922727.884497259</x:v>
      </x:c>
      <x:c r="J278" s="85" t="n">
        <x:v>16165760.000000002</x:v>
      </x:c>
      <x:c r="K278" s="85" t="n">
        <x:v>0</x:v>
      </x:c>
      <x:c r="L278" s="28" t="n">
        <x:v>46</x:v>
      </x:c>
      <x:c r="M278" s="28" t="n">
        <x:v>42</x:v>
      </x:c>
      <x:c r="N278" s="28" t="n">
        <x:v>2.3283064365386963e-10</x:v>
      </x:c>
      <x:c r="O278" s="28" t="n">
        <x:v>3.725290298461914e-9</x:v>
      </x:c>
      <x:c r="P278" s="28" t="n">
        <x:v>0</x:v>
      </x:c>
      <x:c r="Q278" s="62" t="b">
        <x:v>1</x:v>
      </x:c>
      <x:c r="R278" s="28" t="n">
        <x:v>0</x:v>
      </x:c>
      <x:c r="S278" s="28" t="str">
        <x:v>58a9e1de1a663ed5</x:v>
      </x:c>
    </x:row>
    <x:row r="279" ht="21" customHeight="1">
      <x:c r="A279" s="60" t="n">
        <x:v>0.61</x:v>
      </x:c>
      <x:c r="B279" s="28" t="str">
        <x:v>front_flat</x:v>
      </x:c>
      <x:c r="C279" s="60" t="n">
        <x:v>0.95</x:v>
      </x:c>
      <x:c r="D279" s="60" t="n">
        <x:v>0.9427119459478259</x:v>
      </x:c>
      <x:c r="E279" s="62" t="b">
        <x:v>0</x:v>
      </x:c>
      <x:c r="F279" s="62" t="b">
        <x:v>0</x:v>
      </x:c>
      <x:c r="G279" s="85" t="n">
        <x:v>3024218.3917430067</x:v>
      </x:c>
      <x:c r="H279" s="85" t="n">
        <x:v>11450144.319594592</x:v>
      </x:c>
      <x:c r="I279" s="85" t="n">
        <x:v>15934446.476625342</x:v>
      </x:c>
      <x:c r="J279" s="85" t="n">
        <x:v>16165760.000000002</x:v>
      </x:c>
      <x:c r="K279" s="85" t="n">
        <x:v>0</x:v>
      </x:c>
      <x:c r="L279" s="28" t="n">
        <x:v>46</x:v>
      </x:c>
      <x:c r="M279" s="28" t="n">
        <x:v>44</x:v>
      </x:c>
      <x:c r="N279" s="28" t="n">
        <x:v>2.3283064365386963e-10</x:v>
      </x:c>
      <x:c r="O279" s="28" t="n">
        <x:v>1.862645149230957e-9</x:v>
      </x:c>
      <x:c r="P279" s="28" t="n">
        <x:v>0</x:v>
      </x:c>
      <x:c r="Q279" s="62" t="b">
        <x:v>1</x:v>
      </x:c>
      <x:c r="R279" s="28" t="n">
        <x:v>406265.28508438915</x:v>
      </x:c>
      <x:c r="S279" s="28" t="str">
        <x:v>3e0d80cc9f69a0ff</x:v>
      </x:c>
    </x:row>
    <x:row r="280" ht="21" customHeight="1">
      <x:c r="A280" s="60" t="n">
        <x:v>0.61</x:v>
      </x:c>
      <x:c r="B280" s="28" t="str">
        <x:v>front_flat</x:v>
      </x:c>
      <x:c r="C280" s="60" t="n">
        <x:v>1</x:v>
      </x:c>
      <x:c r="D280" s="60" t="n">
        <x:v>0.9596721012870685</x:v>
      </x:c>
      <x:c r="E280" s="62" t="b">
        <x:v>0</x:v>
      </x:c>
      <x:c r="F280" s="62" t="b">
        <x:v>0</x:v>
      </x:c>
      <x:c r="G280" s="85" t="n">
        <x:v>3388310.2789468197</x:v>
      </x:c>
      <x:c r="H280" s="85" t="n">
        <x:v>12311683.70779665</x:v>
      </x:c>
      <x:c r="I280" s="85" t="n">
        <x:v>15946165.068753423</x:v>
      </x:c>
      <x:c r="J280" s="85" t="n">
        <x:v>16165760.000000002</x:v>
      </x:c>
      <x:c r="K280" s="85" t="n">
        <x:v>0</x:v>
      </x:c>
      <x:c r="L280" s="28" t="n">
        <x:v>46</x:v>
      </x:c>
      <x:c r="M280" s="28" t="n">
        <x:v>44</x:v>
      </x:c>
      <x:c r="N280" s="28" t="n">
        <x:v>2.3283064365386963e-10</x:v>
      </x:c>
      <x:c r="O280" s="28" t="n">
        <x:v>1.862645149230957e-9</x:v>
      </x:c>
      <x:c r="P280" s="28" t="n">
        <x:v>0</x:v>
      </x:c>
      <x:c r="Q280" s="62" t="b">
        <x:v>1</x:v>
      </x:c>
      <x:c r="R280" s="28" t="n">
        <x:v>2248038.3858536556</x:v>
      </x:c>
      <x:c r="S280" s="28" t="str">
        <x:v>1e0055ec9c536075</x:v>
      </x:c>
    </x:row>
    <x:row r="281" ht="21" customHeight="1">
      <x:c r="A281" s="60" t="n">
        <x:v>0.61</x:v>
      </x:c>
      <x:c r="B281" s="28" t="str">
        <x:v>front_low</x:v>
      </x:c>
      <x:c r="C281" s="60" t="n">
        <x:v>0</x:v>
      </x:c>
      <x:c r="D281" s="60" t="n">
        <x:v>0</x:v>
      </x:c>
      <x:c r="E281" s="62" t="b">
        <x:v>1</x:v>
      </x:c>
      <x:c r="F281" s="62" t="b">
        <x:v>1</x:v>
      </x:c>
      <x:c r="G281" s="85" t="n">
        <x:v>0</x:v>
      </x:c>
      <x:c r="H281" s="85" t="n">
        <x:v>0</x:v>
      </x:c>
      <x:c r="I281" s="85" t="n">
        <x:v>0</x:v>
      </x:c>
      <x:c r="J281" s="85" t="n">
        <x:v>0</x:v>
      </x:c>
      <x:c r="K281" s="85" t="n">
        <x:v>4885910.034191779</x:v>
      </x:c>
      <x:c r="L281" s="28" t="n">
        <x:v>0</x:v>
      </x:c>
      <x:c r="M281" s="28" t="n">
        <x:v>0</x:v>
      </x:c>
      <x:c r="N281" s="28" t="n">
        <x:v>4.656612873077393e-10</x:v>
      </x:c>
      <x:c r="O281" s="28" t="n">
        <x:v>0</x:v>
      </x:c>
      <x:c r="P281" s="28" t="n">
        <x:v>0</x:v>
      </x:c>
      <x:c r="Q281" s="62" t="b">
        <x:v>1</x:v>
      </x:c>
      <x:c r="R281" s="28" t="n">
        <x:v>0</x:v>
      </x:c>
      <x:c r="S281" s="28" t="str">
        <x:v>fb4d343ed97245f6</x:v>
      </x:c>
    </x:row>
    <x:row r="282" ht="21" customHeight="1">
      <x:c r="A282" s="60" t="n">
        <x:v>0.61</x:v>
      </x:c>
      <x:c r="B282" s="28" t="str">
        <x:v>front_low</x:v>
      </x:c>
      <x:c r="C282" s="60" t="n">
        <x:v>0.05</x:v>
      </x:c>
      <x:c r="D282" s="60" t="n">
        <x:v>0.05</x:v>
      </x:c>
      <x:c r="E282" s="62" t="b">
        <x:v>1</x:v>
      </x:c>
      <x:c r="F282" s="62" t="b">
        <x:v>1</x:v>
      </x:c>
      <x:c r="G282" s="85" t="n">
        <x:v>0</x:v>
      </x:c>
      <x:c r="H282" s="85" t="n">
        <x:v>0</x:v>
      </x:c>
      <x:c r="I282" s="85" t="n">
        <x:v>0</x:v>
      </x:c>
      <x:c r="J282" s="85" t="n">
        <x:v>0</x:v>
      </x:c>
      <x:c r="K282" s="85" t="n">
        <x:v>2837627.0914005926</x:v>
      </x:c>
      <x:c r="L282" s="28" t="n">
        <x:v>0</x:v>
      </x:c>
      <x:c r="M282" s="28" t="n">
        <x:v>0</x:v>
      </x:c>
      <x:c r="N282" s="28" t="n">
        <x:v>9.313225746154785e-10</x:v>
      </x:c>
      <x:c r="O282" s="28" t="n">
        <x:v>7.450580596923828e-9</x:v>
      </x:c>
      <x:c r="P282" s="28" t="n">
        <x:v>0</x:v>
      </x:c>
      <x:c r="Q282" s="62" t="b">
        <x:v>1</x:v>
      </x:c>
      <x:c r="R282" s="28" t="n">
        <x:v>0</x:v>
      </x:c>
      <x:c r="S282" s="28" t="str">
        <x:v>fd49299ed509fa0e</x:v>
      </x:c>
    </x:row>
    <x:row r="283" ht="21" customHeight="1">
      <x:c r="A283" s="60" t="n">
        <x:v>0.61</x:v>
      </x:c>
      <x:c r="B283" s="28" t="str">
        <x:v>front_low</x:v>
      </x:c>
      <x:c r="C283" s="60" t="n">
        <x:v>0.1</x:v>
      </x:c>
      <x:c r="D283" s="60" t="n">
        <x:v>0.1</x:v>
      </x:c>
      <x:c r="E283" s="62" t="b">
        <x:v>1</x:v>
      </x:c>
      <x:c r="F283" s="62" t="b">
        <x:v>1</x:v>
      </x:c>
      <x:c r="G283" s="85" t="n">
        <x:v>0</x:v>
      </x:c>
      <x:c r="H283" s="85" t="n">
        <x:v>0</x:v>
      </x:c>
      <x:c r="I283" s="85" t="n">
        <x:v>0</x:v>
      </x:c>
      <x:c r="J283" s="85" t="n">
        <x:v>0</x:v>
      </x:c>
      <x:c r="K283" s="85" t="n">
        <x:v>789023.037057353</x:v>
      </x:c>
      <x:c r="L283" s="28" t="n">
        <x:v>0</x:v>
      </x:c>
      <x:c r="M283" s="28" t="n">
        <x:v>0</x:v>
      </x:c>
      <x:c r="N283" s="28" t="n">
        <x:v>2.3283064365386963e-10</x:v>
      </x:c>
      <x:c r="O283" s="28" t="n">
        <x:v>7.450580596923828e-9</x:v>
      </x:c>
      <x:c r="P283" s="28" t="n">
        <x:v>0</x:v>
      </x:c>
      <x:c r="Q283" s="62" t="b">
        <x:v>1</x:v>
      </x:c>
      <x:c r="R283" s="28" t="n">
        <x:v>0</x:v>
      </x:c>
      <x:c r="S283" s="28" t="str">
        <x:v>166aef8deee1d6b9</x:v>
      </x:c>
    </x:row>
    <x:row r="284" ht="21" customHeight="1">
      <x:c r="A284" s="60" t="n">
        <x:v>0.61</x:v>
      </x:c>
      <x:c r="B284" s="28" t="str">
        <x:v>front_low</x:v>
      </x:c>
      <x:c r="C284" s="60" t="n">
        <x:v>0.15</x:v>
      </x:c>
      <x:c r="D284" s="60" t="n">
        <x:v>0.15</x:v>
      </x:c>
      <x:c r="E284" s="62" t="b">
        <x:v>1</x:v>
      </x:c>
      <x:c r="F284" s="62" t="b">
        <x:v>1</x:v>
      </x:c>
      <x:c r="G284" s="85" t="n">
        <x:v>0</x:v>
      </x:c>
      <x:c r="H284" s="85" t="n">
        <x:v>0</x:v>
      </x:c>
      <x:c r="I284" s="85" t="n">
        <x:v>944029.7323897079</x:v>
      </x:c>
      <x:c r="J284" s="85" t="n">
        <x:v>0</x:v>
      </x:c>
      <x:c r="K284" s="85" t="n">
        <x:v>0</x:v>
      </x:c>
      <x:c r="L284" s="28" t="n">
        <x:v>0</x:v>
      </x:c>
      <x:c r="M284" s="28" t="n">
        <x:v>0</x:v>
      </x:c>
      <x:c r="N284" s="28" t="n">
        <x:v>4.656612873077393e-10</x:v>
      </x:c>
      <x:c r="O284" s="28" t="n">
        <x:v>7.450580596923828e-9</x:v>
      </x:c>
      <x:c r="P284" s="28" t="n">
        <x:v>0</x:v>
      </x:c>
      <x:c r="Q284" s="62" t="b">
        <x:v>1</x:v>
      </x:c>
      <x:c r="R284" s="28" t="n">
        <x:v>0</x:v>
      </x:c>
      <x:c r="S284" s="28" t="str">
        <x:v>d45b1d628f986123</x:v>
      </x:c>
    </x:row>
    <x:row r="285" ht="21" customHeight="1">
      <x:c r="A285" s="60" t="n">
        <x:v>0.61</x:v>
      </x:c>
      <x:c r="B285" s="28" t="str">
        <x:v>front_low</x:v>
      </x:c>
      <x:c r="C285" s="60" t="n">
        <x:v>0.2</x:v>
      </x:c>
      <x:c r="D285" s="60" t="n">
        <x:v>0.2</x:v>
      </x:c>
      <x:c r="E285" s="62" t="b">
        <x:v>1</x:v>
      </x:c>
      <x:c r="F285" s="62" t="b">
        <x:v>1</x:v>
      </x:c>
      <x:c r="G285" s="85" t="n">
        <x:v>0</x:v>
      </x:c>
      <x:c r="H285" s="85" t="n">
        <x:v>0</x:v>
      </x:c>
      <x:c r="I285" s="85" t="n">
        <x:v>2161919.3871018584</x:v>
      </x:c>
      <x:c r="J285" s="85" t="n">
        <x:v>1254093.4388721196</x:v>
      </x:c>
      <x:c r="K285" s="85" t="n">
        <x:v>0</x:v>
      </x:c>
      <x:c r="L285" s="28" t="n">
        <x:v>0</x:v>
      </x:c>
      <x:c r="M285" s="28" t="n">
        <x:v>0</x:v>
      </x:c>
      <x:c r="N285" s="28" t="n">
        <x:v>4.656612873077393e-10</x:v>
      </x:c>
      <x:c r="O285" s="28" t="n">
        <x:v>7.450580596923828e-9</x:v>
      </x:c>
      <x:c r="P285" s="28" t="n">
        <x:v>0</x:v>
      </x:c>
      <x:c r="Q285" s="62" t="b">
        <x:v>1</x:v>
      </x:c>
      <x:c r="R285" s="28" t="n">
        <x:v>0</x:v>
      </x:c>
      <x:c r="S285" s="28" t="str">
        <x:v>6cf6b98a7252f5b6</x:v>
      </x:c>
    </x:row>
    <x:row r="286" ht="21" customHeight="1">
      <x:c r="A286" s="60" t="n">
        <x:v>0.61</x:v>
      </x:c>
      <x:c r="B286" s="28" t="str">
        <x:v>front_low</x:v>
      </x:c>
      <x:c r="C286" s="60" t="n">
        <x:v>0.25</x:v>
      </x:c>
      <x:c r="D286" s="60" t="n">
        <x:v>0.25</x:v>
      </x:c>
      <x:c r="E286" s="62" t="b">
        <x:v>1</x:v>
      </x:c>
      <x:c r="F286" s="62" t="b">
        <x:v>1</x:v>
      </x:c>
      <x:c r="G286" s="85" t="n">
        <x:v>0</x:v>
      </x:c>
      <x:c r="H286" s="85" t="n">
        <x:v>0</x:v>
      </x:c>
      <x:c r="I286" s="85" t="n">
        <x:v>3009555.1047266317</x:v>
      </x:c>
      <x:c r="J286" s="85" t="n">
        <x:v>2961216.798590132</x:v>
      </x:c>
      <x:c r="K286" s="85" t="n">
        <x:v>0</x:v>
      </x:c>
      <x:c r="L286" s="28" t="n">
        <x:v>0</x:v>
      </x:c>
      <x:c r="M286" s="28" t="n">
        <x:v>0</x:v>
      </x:c>
      <x:c r="N286" s="28" t="n">
        <x:v>4.656612873077393e-10</x:v>
      </x:c>
      <x:c r="O286" s="28" t="n">
        <x:v>3.725290298461914e-9</x:v>
      </x:c>
      <x:c r="P286" s="28" t="n">
        <x:v>0</x:v>
      </x:c>
      <x:c r="Q286" s="62" t="b">
        <x:v>1</x:v>
      </x:c>
      <x:c r="R286" s="28" t="n">
        <x:v>0</x:v>
      </x:c>
      <x:c r="S286" s="28" t="str">
        <x:v>f1f3ee3af9802381</x:v>
      </x:c>
    </x:row>
    <x:row r="287" ht="21" customHeight="1">
      <x:c r="A287" s="60" t="n">
        <x:v>0.61</x:v>
      </x:c>
      <x:c r="B287" s="28" t="str">
        <x:v>front_low</x:v>
      </x:c>
      <x:c r="C287" s="60" t="n">
        <x:v>0.3</x:v>
      </x:c>
      <x:c r="D287" s="60" t="n">
        <x:v>0.3</x:v>
      </x:c>
      <x:c r="E287" s="62" t="b">
        <x:v>1</x:v>
      </x:c>
      <x:c r="F287" s="62" t="b">
        <x:v>1</x:v>
      </x:c>
      <x:c r="G287" s="85" t="n">
        <x:v>0</x:v>
      </x:c>
      <x:c r="H287" s="85" t="n">
        <x:v>0</x:v>
      </x:c>
      <x:c r="I287" s="85" t="n">
        <x:v>3857190.82235141</x:v>
      </x:c>
      <x:c r="J287" s="85" t="n">
        <x:v>4668340.158308157</x:v>
      </x:c>
      <x:c r="K287" s="85" t="n">
        <x:v>0</x:v>
      </x:c>
      <x:c r="L287" s="28" t="n">
        <x:v>0</x:v>
      </x:c>
      <x:c r="M287" s="28" t="n">
        <x:v>0</x:v>
      </x:c>
      <x:c r="N287" s="28" t="n">
        <x:v>4.656612873077393e-10</x:v>
      </x:c>
      <x:c r="O287" s="28" t="n">
        <x:v>7.450580596923828e-9</x:v>
      </x:c>
      <x:c r="P287" s="28" t="n">
        <x:v>0</x:v>
      </x:c>
      <x:c r="Q287" s="62" t="b">
        <x:v>1</x:v>
      </x:c>
      <x:c r="R287" s="28" t="n">
        <x:v>0</x:v>
      </x:c>
      <x:c r="S287" s="28" t="str">
        <x:v>9983a5a47c1a9b54</x:v>
      </x:c>
    </x:row>
    <x:row r="288" ht="21" customHeight="1">
      <x:c r="A288" s="60" t="n">
        <x:v>0.61</x:v>
      </x:c>
      <x:c r="B288" s="28" t="str">
        <x:v>front_low</x:v>
      </x:c>
      <x:c r="C288" s="60" t="n">
        <x:v>0.35</x:v>
      </x:c>
      <x:c r="D288" s="60" t="n">
        <x:v>0.35</x:v>
      </x:c>
      <x:c r="E288" s="62" t="b">
        <x:v>1</x:v>
      </x:c>
      <x:c r="F288" s="62" t="b">
        <x:v>1</x:v>
      </x:c>
      <x:c r="G288" s="85" t="n">
        <x:v>0</x:v>
      </x:c>
      <x:c r="H288" s="85" t="n">
        <x:v>0</x:v>
      </x:c>
      <x:c r="I288" s="85" t="n">
        <x:v>4705936.779831668</x:v>
      </x:c>
      <x:c r="J288" s="85" t="n">
        <x:v>6375463.518026188</x:v>
      </x:c>
      <x:c r="K288" s="85" t="n">
        <x:v>0</x:v>
      </x:c>
      <x:c r="L288" s="28" t="n">
        <x:v>0</x:v>
      </x:c>
      <x:c r="M288" s="28" t="n">
        <x:v>0</x:v>
      </x:c>
      <x:c r="N288" s="28" t="n">
        <x:v>2.3283064365386963e-10</x:v>
      </x:c>
      <x:c r="O288" s="28" t="n">
        <x:v>7.450580596923828e-9</x:v>
      </x:c>
      <x:c r="P288" s="28" t="n">
        <x:v>0</x:v>
      </x:c>
      <x:c r="Q288" s="62" t="b">
        <x:v>1</x:v>
      </x:c>
      <x:c r="R288" s="28" t="n">
        <x:v>0</x:v>
      </x:c>
      <x:c r="S288" s="28" t="str">
        <x:v>0620e66782b78176</x:v>
      </x:c>
    </x:row>
    <x:row r="289" ht="21" customHeight="1">
      <x:c r="A289" s="60" t="n">
        <x:v>0.61</x:v>
      </x:c>
      <x:c r="B289" s="28" t="str">
        <x:v>front_low</x:v>
      </x:c>
      <x:c r="C289" s="60" t="n">
        <x:v>0.4</x:v>
      </x:c>
      <x:c r="D289" s="60" t="n">
        <x:v>0.4</x:v>
      </x:c>
      <x:c r="E289" s="62" t="b">
        <x:v>1</x:v>
      </x:c>
      <x:c r="F289" s="62" t="b">
        <x:v>1</x:v>
      </x:c>
      <x:c r="G289" s="85" t="n">
        <x:v>0</x:v>
      </x:c>
      <x:c r="H289" s="85" t="n">
        <x:v>0</x:v>
      </x:c>
      <x:c r="I289" s="85" t="n">
        <x:v>5559246.943098233</x:v>
      </x:c>
      <x:c r="J289" s="85" t="n">
        <x:v>8082586.877744218</x:v>
      </x:c>
      <x:c r="K289" s="85" t="n">
        <x:v>0</x:v>
      </x:c>
      <x:c r="L289" s="28" t="n">
        <x:v>0</x:v>
      </x:c>
      <x:c r="M289" s="28" t="n">
        <x:v>0</x:v>
      </x:c>
      <x:c r="N289" s="28" t="n">
        <x:v>4.656612873077393e-10</x:v>
      </x:c>
      <x:c r="O289" s="28" t="n">
        <x:v>7.450580596923828e-9</x:v>
      </x:c>
      <x:c r="P289" s="28" t="n">
        <x:v>0</x:v>
      </x:c>
      <x:c r="Q289" s="62" t="b">
        <x:v>1</x:v>
      </x:c>
      <x:c r="R289" s="28" t="n">
        <x:v>0</x:v>
      </x:c>
      <x:c r="S289" s="28" t="str">
        <x:v>0210e82a61ae342c</x:v>
      </x:c>
    </x:row>
    <x:row r="290" ht="21" customHeight="1">
      <x:c r="A290" s="60" t="n">
        <x:v>0.61</x:v>
      </x:c>
      <x:c r="B290" s="28" t="str">
        <x:v>front_low</x:v>
      </x:c>
      <x:c r="C290" s="60" t="n">
        <x:v>0.45</x:v>
      </x:c>
      <x:c r="D290" s="60" t="n">
        <x:v>0.45</x:v>
      </x:c>
      <x:c r="E290" s="62" t="b">
        <x:v>1</x:v>
      </x:c>
      <x:c r="F290" s="62" t="b">
        <x:v>1</x:v>
      </x:c>
      <x:c r="G290" s="85" t="n">
        <x:v>0</x:v>
      </x:c>
      <x:c r="H290" s="85" t="n">
        <x:v>0</x:v>
      </x:c>
      <x:c r="I290" s="85" t="n">
        <x:v>6403910.728149892</x:v>
      </x:c>
      <x:c r="J290" s="85" t="n">
        <x:v>9789710.237462243</x:v>
      </x:c>
      <x:c r="K290" s="85" t="n">
        <x:v>0</x:v>
      </x:c>
      <x:c r="L290" s="28" t="n">
        <x:v>0</x:v>
      </x:c>
      <x:c r="M290" s="28" t="n">
        <x:v>0</x:v>
      </x:c>
      <x:c r="N290" s="28" t="n">
        <x:v>4.656612873077393e-10</x:v>
      </x:c>
      <x:c r="O290" s="28" t="n">
        <x:v>3.725290298461914e-9</x:v>
      </x:c>
      <x:c r="P290" s="28" t="n">
        <x:v>0</x:v>
      </x:c>
      <x:c r="Q290" s="62" t="b">
        <x:v>1</x:v>
      </x:c>
      <x:c r="R290" s="28" t="n">
        <x:v>0</x:v>
      </x:c>
      <x:c r="S290" s="28" t="str">
        <x:v>2a28dea3ea8c36b5</x:v>
      </x:c>
    </x:row>
    <x:row r="291" ht="21" customHeight="1">
      <x:c r="A291" s="60" t="n">
        <x:v>0.61</x:v>
      </x:c>
      <x:c r="B291" s="28" t="str">
        <x:v>front_low</x:v>
      </x:c>
      <x:c r="C291" s="60" t="n">
        <x:v>0.5</x:v>
      </x:c>
      <x:c r="D291" s="60" t="n">
        <x:v>0.5</x:v>
      </x:c>
      <x:c r="E291" s="62" t="b">
        <x:v>1</x:v>
      </x:c>
      <x:c r="F291" s="62" t="b">
        <x:v>1</x:v>
      </x:c>
      <x:c r="G291" s="85" t="n">
        <x:v>0</x:v>
      </x:c>
      <x:c r="H291" s="85" t="n">
        <x:v>0</x:v>
      </x:c>
      <x:c r="I291" s="85" t="n">
        <x:v>7366841.216408395</x:v>
      </x:c>
      <x:c r="J291" s="85" t="n">
        <x:v>11303561.221745115</x:v>
      </x:c>
      <x:c r="K291" s="85" t="n">
        <x:v>0</x:v>
      </x:c>
      <x:c r="L291" s="28" t="n">
        <x:v>2</x:v>
      </x:c>
      <x:c r="M291" s="28" t="n">
        <x:v>0</x:v>
      </x:c>
      <x:c r="N291" s="28" t="n">
        <x:v>4.656612873077393e-10</x:v>
      </x:c>
      <x:c r="O291" s="28" t="n">
        <x:v>7.450580596923828e-9</x:v>
      </x:c>
      <x:c r="P291" s="28" t="n">
        <x:v>0</x:v>
      </x:c>
      <x:c r="Q291" s="62" t="b">
        <x:v>1</x:v>
      </x:c>
      <x:c r="R291" s="28" t="n">
        <x:v>0</x:v>
      </x:c>
      <x:c r="S291" s="28" t="str">
        <x:v>2fa57ee0bc7ff1a7</x:v>
      </x:c>
    </x:row>
    <x:row r="292" ht="21" customHeight="1">
      <x:c r="A292" s="60" t="n">
        <x:v>0.61</x:v>
      </x:c>
      <x:c r="B292" s="28" t="str">
        <x:v>front_low</x:v>
      </x:c>
      <x:c r="C292" s="60" t="n">
        <x:v>0.55</x:v>
      </x:c>
      <x:c r="D292" s="60" t="n">
        <x:v>0.55</x:v>
      </x:c>
      <x:c r="E292" s="62" t="b">
        <x:v>1</x:v>
      </x:c>
      <x:c r="F292" s="62" t="b">
        <x:v>1</x:v>
      </x:c>
      <x:c r="G292" s="85" t="n">
        <x:v>0</x:v>
      </x:c>
      <x:c r="H292" s="85" t="n">
        <x:v>0</x:v>
      </x:c>
      <x:c r="I292" s="85" t="n">
        <x:v>8747131.171963701</x:v>
      </x:c>
      <x:c r="J292" s="85" t="n">
        <x:v>12125609.868972491</x:v>
      </x:c>
      <x:c r="K292" s="85" t="n">
        <x:v>0</x:v>
      </x:c>
      <x:c r="L292" s="28" t="n">
        <x:v>12</x:v>
      </x:c>
      <x:c r="M292" s="28" t="n">
        <x:v>0</x:v>
      </x:c>
      <x:c r="N292" s="28" t="n">
        <x:v>4.656612873077393e-10</x:v>
      </x:c>
      <x:c r="O292" s="28" t="n">
        <x:v>3.725290298461914e-9</x:v>
      </x:c>
      <x:c r="P292" s="28" t="n">
        <x:v>0</x:v>
      </x:c>
      <x:c r="Q292" s="62" t="b">
        <x:v>1</x:v>
      </x:c>
      <x:c r="R292" s="28" t="n">
        <x:v>0</x:v>
      </x:c>
      <x:c r="S292" s="28" t="str">
        <x:v>da8931d786228365</x:v>
      </x:c>
    </x:row>
    <x:row r="293" ht="21" customHeight="1">
      <x:c r="A293" s="60" t="n">
        <x:v>0.61</x:v>
      </x:c>
      <x:c r="B293" s="28" t="str">
        <x:v>front_low</x:v>
      </x:c>
      <x:c r="C293" s="60" t="n">
        <x:v>0.6</x:v>
      </x:c>
      <x:c r="D293" s="60" t="n">
        <x:v>0.6</x:v>
      </x:c>
      <x:c r="E293" s="62" t="b">
        <x:v>1</x:v>
      </x:c>
      <x:c r="F293" s="62" t="b">
        <x:v>1</x:v>
      </x:c>
      <x:c r="G293" s="85" t="n">
        <x:v>0</x:v>
      </x:c>
      <x:c r="H293" s="85" t="n">
        <x:v>0</x:v>
      </x:c>
      <x:c r="I293" s="85" t="n">
        <x:v>9840493.541354248</x:v>
      </x:c>
      <x:c r="J293" s="85" t="n">
        <x:v>13373042.804804895</x:v>
      </x:c>
      <x:c r="K293" s="85" t="n">
        <x:v>0</x:v>
      </x:c>
      <x:c r="L293" s="28" t="n">
        <x:v>17</x:v>
      </x:c>
      <x:c r="M293" s="28" t="n">
        <x:v>0</x:v>
      </x:c>
      <x:c r="N293" s="28" t="n">
        <x:v>2.3283064365386963e-10</x:v>
      </x:c>
      <x:c r="O293" s="28" t="n">
        <x:v>3.725290298461914e-9</x:v>
      </x:c>
      <x:c r="P293" s="28" t="n">
        <x:v>0</x:v>
      </x:c>
      <x:c r="Q293" s="62" t="b">
        <x:v>1</x:v>
      </x:c>
      <x:c r="R293" s="28" t="n">
        <x:v>0</x:v>
      </x:c>
      <x:c r="S293" s="28" t="str">
        <x:v>aa3b4c884e716926</x:v>
      </x:c>
    </x:row>
    <x:row r="294" ht="21" customHeight="1">
      <x:c r="A294" s="60" t="n">
        <x:v>0.61</x:v>
      </x:c>
      <x:c r="B294" s="28" t="str">
        <x:v>front_low</x:v>
      </x:c>
      <x:c r="C294" s="60" t="n">
        <x:v>0.65</x:v>
      </x:c>
      <x:c r="D294" s="60" t="n">
        <x:v>0.65</x:v>
      </x:c>
      <x:c r="E294" s="62" t="b">
        <x:v>1</x:v>
      </x:c>
      <x:c r="F294" s="62" t="b">
        <x:v>1</x:v>
      </x:c>
      <x:c r="G294" s="85" t="n">
        <x:v>0</x:v>
      </x:c>
      <x:c r="H294" s="85" t="n">
        <x:v>0</x:v>
      </x:c>
      <x:c r="I294" s="85" t="n">
        <x:v>10677768.8073209</x:v>
      </x:c>
      <x:c r="J294" s="85" t="n">
        <x:v>15048058.461235687</x:v>
      </x:c>
      <x:c r="K294" s="85" t="n">
        <x:v>0</x:v>
      </x:c>
      <x:c r="L294" s="28" t="n">
        <x:v>22</x:v>
      </x:c>
      <x:c r="M294" s="28" t="n">
        <x:v>0</x:v>
      </x:c>
      <x:c r="N294" s="28" t="n">
        <x:v>4.656612873077393e-10</x:v>
      </x:c>
      <x:c r="O294" s="28" t="n">
        <x:v>3.725290298461914e-9</x:v>
      </x:c>
      <x:c r="P294" s="28" t="n">
        <x:v>0</x:v>
      </x:c>
      <x:c r="Q294" s="62" t="b">
        <x:v>1</x:v>
      </x:c>
      <x:c r="R294" s="28" t="n">
        <x:v>0</x:v>
      </x:c>
      <x:c r="S294" s="28" t="str">
        <x:v>3920c299204335dc</x:v>
      </x:c>
    </x:row>
    <x:row r="295" ht="21" customHeight="1">
      <x:c r="A295" s="60" t="n">
        <x:v>0.61</x:v>
      </x:c>
      <x:c r="B295" s="28" t="str">
        <x:v>front_low</x:v>
      </x:c>
      <x:c r="C295" s="60" t="n">
        <x:v>0.7</x:v>
      </x:c>
      <x:c r="D295" s="60" t="n">
        <x:v>0.7</x:v>
      </x:c>
      <x:c r="E295" s="62" t="b">
        <x:v>1</x:v>
      </x:c>
      <x:c r="F295" s="62" t="b">
        <x:v>0</x:v>
      </x:c>
      <x:c r="G295" s="85" t="n">
        <x:v>71376.77766798492</x:v>
      </x:c>
      <x:c r="H295" s="85" t="n">
        <x:v>891073.6770495401</x:v>
      </x:c>
      <x:c r="I295" s="85" t="n">
        <x:v>11043910.823239729</x:v>
      </x:c>
      <x:c r="J295" s="85" t="n">
        <x:v>16165760.000000002</x:v>
      </x:c>
      <x:c r="K295" s="85" t="n">
        <x:v>0</x:v>
      </x:c>
      <x:c r="L295" s="28" t="n">
        <x:v>45</x:v>
      </x:c>
      <x:c r="M295" s="28" t="n">
        <x:v>26</x:v>
      </x:c>
      <x:c r="N295" s="28" t="n">
        <x:v>4.656612873077393e-10</x:v>
      </x:c>
      <x:c r="O295" s="28" t="n">
        <x:v>1.862645149230957e-9</x:v>
      </x:c>
      <x:c r="P295" s="28" t="n">
        <x:v>0</x:v>
      </x:c>
      <x:c r="Q295" s="62" t="b">
        <x:v>1</x:v>
      </x:c>
      <x:c r="R295" s="28" t="n">
        <x:v>0</x:v>
      </x:c>
      <x:c r="S295" s="28" t="str">
        <x:v>9d8129c6d39f34f4</x:v>
      </x:c>
    </x:row>
    <x:row r="296" ht="21" customHeight="1">
      <x:c r="A296" s="60" t="n">
        <x:v>0.61</x:v>
      </x:c>
      <x:c r="B296" s="28" t="str">
        <x:v>front_low</x:v>
      </x:c>
      <x:c r="C296" s="60" t="n">
        <x:v>0.75</x:v>
      </x:c>
      <x:c r="D296" s="60" t="n">
        <x:v>0.75</x:v>
      </x:c>
      <x:c r="E296" s="62" t="b">
        <x:v>1</x:v>
      </x:c>
      <x:c r="F296" s="62" t="b">
        <x:v>0</x:v>
      </x:c>
      <x:c r="G296" s="85" t="n">
        <x:v>239638.20212885534</x:v>
      </x:c>
      <x:c r="H296" s="85" t="n">
        <x:v>2983415.9233766687</x:v>
      </x:c>
      <x:c r="I296" s="85" t="n">
        <x:v>11057056.122770552</x:v>
      </x:c>
      <x:c r="J296" s="85" t="n">
        <x:v>16165760.000000002</x:v>
      </x:c>
      <x:c r="K296" s="85" t="n">
        <x:v>0</x:v>
      </x:c>
      <x:c r="L296" s="28" t="n">
        <x:v>45</x:v>
      </x:c>
      <x:c r="M296" s="28" t="n">
        <x:v>31</x:v>
      </x:c>
      <x:c r="N296" s="28" t="n">
        <x:v>1.1641532182693481e-10</x:v>
      </x:c>
      <x:c r="O296" s="28" t="n">
        <x:v>3.725290298461914e-9</x:v>
      </x:c>
      <x:c r="P296" s="28" t="n">
        <x:v>0</x:v>
      </x:c>
      <x:c r="Q296" s="62" t="b">
        <x:v>1</x:v>
      </x:c>
      <x:c r="R296" s="28" t="n">
        <x:v>0</x:v>
      </x:c>
      <x:c r="S296" s="28" t="str">
        <x:v>94c1e6e0a890e419</x:v>
      </x:c>
    </x:row>
    <x:row r="297" ht="21" customHeight="1">
      <x:c r="A297" s="60" t="n">
        <x:v>0.61</x:v>
      </x:c>
      <x:c r="B297" s="28" t="str">
        <x:v>front_low</x:v>
      </x:c>
      <x:c r="C297" s="60" t="n">
        <x:v>0.8</x:v>
      </x:c>
      <x:c r="D297" s="60" t="n">
        <x:v>0.8</x:v>
      </x:c>
      <x:c r="E297" s="62" t="b">
        <x:v>1</x:v>
      </x:c>
      <x:c r="F297" s="62" t="b">
        <x:v>0</x:v>
      </x:c>
      <x:c r="G297" s="85" t="n">
        <x:v>407899.6265897254</x:v>
      </x:c>
      <x:c r="H297" s="85" t="n">
        <x:v>5075758.169703793</x:v>
      </x:c>
      <x:c r="I297" s="85" t="n">
        <x:v>11070201.422301374</x:v>
      </x:c>
      <x:c r="J297" s="85" t="n">
        <x:v>16165760.000000002</x:v>
      </x:c>
      <x:c r="K297" s="85" t="n">
        <x:v>0</x:v>
      </x:c>
      <x:c r="L297" s="28" t="n">
        <x:v>45</x:v>
      </x:c>
      <x:c r="M297" s="28" t="n">
        <x:v>34</x:v>
      </x:c>
      <x:c r="N297" s="28" t="n">
        <x:v>2.3283064365386963e-10</x:v>
      </x:c>
      <x:c r="O297" s="28" t="n">
        <x:v>3.725290298461914e-9</x:v>
      </x:c>
      <x:c r="P297" s="28" t="n">
        <x:v>0</x:v>
      </x:c>
      <x:c r="Q297" s="62" t="b">
        <x:v>1</x:v>
      </x:c>
      <x:c r="R297" s="28" t="n">
        <x:v>0</x:v>
      </x:c>
      <x:c r="S297" s="28" t="str">
        <x:v>30c7cd33507b8099</x:v>
      </x:c>
    </x:row>
    <x:row r="298" ht="21" customHeight="1">
      <x:c r="A298" s="60" t="n">
        <x:v>0.61</x:v>
      </x:c>
      <x:c r="B298" s="28" t="str">
        <x:v>front_low</x:v>
      </x:c>
      <x:c r="C298" s="60" t="n">
        <x:v>0.85</x:v>
      </x:c>
      <x:c r="D298" s="60" t="n">
        <x:v>0.85</x:v>
      </x:c>
      <x:c r="E298" s="62" t="b">
        <x:v>1</x:v>
      </x:c>
      <x:c r="F298" s="62" t="b">
        <x:v>0</x:v>
      </x:c>
      <x:c r="G298" s="85" t="n">
        <x:v>590853.2856425346</x:v>
      </x:c>
      <x:c r="H298" s="85" t="n">
        <x:v>6922392.702023094</x:v>
      </x:c>
      <x:c r="I298" s="85" t="n">
        <x:v>11234573.20278014</x:v>
      </x:c>
      <x:c r="J298" s="85" t="n">
        <x:v>16165760.000000002</x:v>
      </x:c>
      <x:c r="K298" s="85" t="n">
        <x:v>0</x:v>
      </x:c>
      <x:c r="L298" s="28" t="n">
        <x:v>46</x:v>
      </x:c>
      <x:c r="M298" s="28" t="n">
        <x:v>35</x:v>
      </x:c>
      <x:c r="N298" s="28" t="n">
        <x:v>2.3283064365386963e-10</x:v>
      </x:c>
      <x:c r="O298" s="28" t="n">
        <x:v>1.862645149230957e-9</x:v>
      </x:c>
      <x:c r="P298" s="28" t="n">
        <x:v>0</x:v>
      </x:c>
      <x:c r="Q298" s="62" t="b">
        <x:v>1</x:v>
      </x:c>
      <x:c r="R298" s="28" t="n">
        <x:v>0</x:v>
      </x:c>
      <x:c r="S298" s="28" t="str">
        <x:v>585f56b21159f5c6</x:v>
      </x:c>
    </x:row>
    <x:row r="299" ht="21" customHeight="1">
      <x:c r="A299" s="60" t="n">
        <x:v>0.61</x:v>
      </x:c>
      <x:c r="B299" s="28" t="str">
        <x:v>front_low</x:v>
      </x:c>
      <x:c r="C299" s="60" t="n">
        <x:v>0.9</x:v>
      </x:c>
      <x:c r="D299" s="60" t="n">
        <x:v>0.9</x:v>
      </x:c>
      <x:c r="E299" s="62" t="b">
        <x:v>1</x:v>
      </x:c>
      <x:c r="F299" s="62" t="b">
        <x:v>0</x:v>
      </x:c>
      <x:c r="G299" s="85" t="n">
        <x:v>819149.8166293746</x:v>
      </x:c>
      <x:c r="H299" s="85" t="n">
        <x:v>8898493.782303583</x:v>
      </x:c>
      <x:c r="I299" s="85" t="n">
        <x:v>11241286.235730141</x:v>
      </x:c>
      <x:c r="J299" s="85" t="n">
        <x:v>16165760.000000002</x:v>
      </x:c>
      <x:c r="K299" s="85" t="n">
        <x:v>0</x:v>
      </x:c>
      <x:c r="L299" s="28" t="n">
        <x:v>46</x:v>
      </x:c>
      <x:c r="M299" s="28" t="n">
        <x:v>36</x:v>
      </x:c>
      <x:c r="N299" s="28" t="n">
        <x:v>2.3283064365386963e-10</x:v>
      </x:c>
      <x:c r="O299" s="28" t="n">
        <x:v>3.725290298461914e-9</x:v>
      </x:c>
      <x:c r="P299" s="28" t="n">
        <x:v>0</x:v>
      </x:c>
      <x:c r="Q299" s="62" t="b">
        <x:v>1</x:v>
      </x:c>
      <x:c r="R299" s="28" t="n">
        <x:v>0</x:v>
      </x:c>
      <x:c r="S299" s="28" t="str">
        <x:v>3074b062d1196ce8</x:v>
      </x:c>
    </x:row>
    <x:row r="300" ht="21" customHeight="1">
      <x:c r="A300" s="60" t="n">
        <x:v>0.61</x:v>
      </x:c>
      <x:c r="B300" s="28" t="str">
        <x:v>front_low</x:v>
      </x:c>
      <x:c r="C300" s="60" t="n">
        <x:v>0.95</x:v>
      </x:c>
      <x:c r="D300" s="60" t="n">
        <x:v>0.9427119459478259</x:v>
      </x:c>
      <x:c r="E300" s="62" t="b">
        <x:v>0</x:v>
      </x:c>
      <x:c r="F300" s="62" t="b">
        <x:v>0</x:v>
      </x:c>
      <x:c r="G300" s="85" t="n">
        <x:v>1182422.9934824354</x:v>
      </x:c>
      <x:c r="H300" s="85" t="n">
        <x:v>10367397.5502916</x:v>
      </x:c>
      <x:c r="I300" s="85" t="n">
        <x:v>11247999.26868014</x:v>
      </x:c>
      <x:c r="J300" s="85" t="n">
        <x:v>16165760.000000002</x:v>
      </x:c>
      <x:c r="K300" s="85" t="n">
        <x:v>0</x:v>
      </x:c>
      <x:c r="L300" s="28" t="n">
        <x:v>46</x:v>
      </x:c>
      <x:c r="M300" s="28" t="n">
        <x:v>38</x:v>
      </x:c>
      <x:c r="N300" s="28" t="n">
        <x:v>2.3283064365386963e-10</x:v>
      </x:c>
      <x:c r="O300" s="28" t="n">
        <x:v>1.862645149230957e-9</x:v>
      </x:c>
      <x:c r="P300" s="28" t="n">
        <x:v>0</x:v>
      </x:c>
      <x:c r="Q300" s="62" t="b">
        <x:v>1</x:v>
      </x:c>
      <x:c r="R300" s="28" t="n">
        <x:v>406265.28508438915</x:v>
      </x:c>
      <x:c r="S300" s="28" t="str">
        <x:v>49a47b8d47b2d772</x:v>
      </x:c>
    </x:row>
    <x:row r="301" ht="21" customHeight="1">
      <x:c r="A301" s="60" t="n">
        <x:v>0.61</x:v>
      </x:c>
      <x:c r="B301" s="28" t="str">
        <x:v>front_low</x:v>
      </x:c>
      <x:c r="C301" s="60" t="n">
        <x:v>1</x:v>
      </x:c>
      <x:c r="D301" s="60" t="n">
        <x:v>0.9596721012870685</x:v>
      </x:c>
      <x:c r="E301" s="62" t="b">
        <x:v>0</x:v>
      </x:c>
      <x:c r="F301" s="62" t="b">
        <x:v>0</x:v>
      </x:c>
      <x:c r="G301" s="85" t="n">
        <x:v>1322297.3061122664</x:v>
      </x:c>
      <x:c r="H301" s="85" t="n">
        <x:v>11126599.735596675</x:v>
      </x:c>
      <x:c r="I301" s="85" t="n">
        <x:v>11254712.301630141</x:v>
      </x:c>
      <x:c r="J301" s="85" t="n">
        <x:v>16165760.000000002</x:v>
      </x:c>
      <x:c r="K301" s="85" t="n">
        <x:v>0</x:v>
      </x:c>
      <x:c r="L301" s="28" t="n">
        <x:v>46</x:v>
      </x:c>
      <x:c r="M301" s="28" t="n">
        <x:v>40</x:v>
      </x:c>
      <x:c r="N301" s="28" t="n">
        <x:v>2.3283064365386963e-10</x:v>
      </x:c>
      <x:c r="O301" s="28" t="n">
        <x:v>1.862645149230957e-9</x:v>
      </x:c>
      <x:c r="P301" s="28" t="n">
        <x:v>0</x:v>
      </x:c>
      <x:c r="Q301" s="62" t="b">
        <x:v>1</x:v>
      </x:c>
      <x:c r="R301" s="28" t="n">
        <x:v>2248038.3858536556</x:v>
      </x:c>
      <x:c r="S301" s="28" t="str">
        <x:v>d1ea0416d79189a3</x:v>
      </x:c>
    </x:row>
    <x:row r="302" ht="21" customHeight="1">
      <x:c r="A302" s="60" t="n">
        <x:v>0.61</x:v>
      </x:c>
      <x:c r="B302" s="28" t="str">
        <x:v>front_high</x:v>
      </x:c>
      <x:c r="C302" s="60" t="n">
        <x:v>0</x:v>
      </x:c>
      <x:c r="D302" s="60" t="n">
        <x:v>0</x:v>
      </x:c>
      <x:c r="E302" s="62" t="b">
        <x:v>1</x:v>
      </x:c>
      <x:c r="F302" s="62" t="b">
        <x:v>1</x:v>
      </x:c>
      <x:c r="G302" s="85" t="n">
        <x:v>0</x:v>
      </x:c>
      <x:c r="H302" s="85" t="n">
        <x:v>0</x:v>
      </x:c>
      <x:c r="I302" s="85" t="n">
        <x:v>0</x:v>
      </x:c>
      <x:c r="J302" s="85" t="n">
        <x:v>0</x:v>
      </x:c>
      <x:c r="K302" s="85" t="n">
        <x:v>6575206.675287668</x:v>
      </x:c>
      <x:c r="L302" s="28" t="n">
        <x:v>0</x:v>
      </x:c>
      <x:c r="M302" s="28" t="n">
        <x:v>0</x:v>
      </x:c>
      <x:c r="N302" s="28" t="n">
        <x:v>9.313225746154785e-10</x:v>
      </x:c>
      <x:c r="O302" s="28" t="n">
        <x:v>0</x:v>
      </x:c>
      <x:c r="P302" s="28" t="n">
        <x:v>0</x:v>
      </x:c>
      <x:c r="Q302" s="62" t="b">
        <x:v>1</x:v>
      </x:c>
      <x:c r="R302" s="28" t="n">
        <x:v>0</x:v>
      </x:c>
      <x:c r="S302" s="28" t="str">
        <x:v>8e4fc0ff1beeea52</x:v>
      </x:c>
    </x:row>
    <x:row r="303" ht="21" customHeight="1">
      <x:c r="A303" s="60" t="n">
        <x:v>0.61</x:v>
      </x:c>
      <x:c r="B303" s="28" t="str">
        <x:v>front_high</x:v>
      </x:c>
      <x:c r="C303" s="60" t="n">
        <x:v>0.05</x:v>
      </x:c>
      <x:c r="D303" s="60" t="n">
        <x:v>0.05</x:v>
      </x:c>
      <x:c r="E303" s="62" t="b">
        <x:v>1</x:v>
      </x:c>
      <x:c r="F303" s="62" t="b">
        <x:v>1</x:v>
      </x:c>
      <x:c r="G303" s="85" t="n">
        <x:v>0</x:v>
      </x:c>
      <x:c r="H303" s="85" t="n">
        <x:v>0</x:v>
      </x:c>
      <x:c r="I303" s="85" t="n">
        <x:v>0</x:v>
      </x:c>
      <x:c r="J303" s="85" t="n">
        <x:v>0</x:v>
      </x:c>
      <x:c r="K303" s="85" t="n">
        <x:v>3974473.054918465</x:v>
      </x:c>
      <x:c r="L303" s="28" t="n">
        <x:v>0</x:v>
      </x:c>
      <x:c r="M303" s="28" t="n">
        <x:v>0</x:v>
      </x:c>
      <x:c r="N303" s="28" t="n">
        <x:v>9.313225746154785e-10</x:v>
      </x:c>
      <x:c r="O303" s="28" t="n">
        <x:v>7.450580596923828e-9</x:v>
      </x:c>
      <x:c r="P303" s="28" t="n">
        <x:v>0</x:v>
      </x:c>
      <x:c r="Q303" s="62" t="b">
        <x:v>1</x:v>
      </x:c>
      <x:c r="R303" s="28" t="n">
        <x:v>0</x:v>
      </x:c>
      <x:c r="S303" s="28" t="str">
        <x:v>9b0195410cc57c96</x:v>
      </x:c>
    </x:row>
    <x:row r="304" ht="21" customHeight="1">
      <x:c r="A304" s="60" t="n">
        <x:v>0.61</x:v>
      </x:c>
      <x:c r="B304" s="28" t="str">
        <x:v>front_high</x:v>
      </x:c>
      <x:c r="C304" s="60" t="n">
        <x:v>0.1</x:v>
      </x:c>
      <x:c r="D304" s="60" t="n">
        <x:v>0.1</x:v>
      </x:c>
      <x:c r="E304" s="62" t="b">
        <x:v>1</x:v>
      </x:c>
      <x:c r="F304" s="62" t="b">
        <x:v>1</x:v>
      </x:c>
      <x:c r="G304" s="85" t="n">
        <x:v>0</x:v>
      </x:c>
      <x:c r="H304" s="85" t="n">
        <x:v>0</x:v>
      </x:c>
      <x:c r="I304" s="85" t="n">
        <x:v>0</x:v>
      </x:c>
      <x:c r="J304" s="85" t="n">
        <x:v>0</x:v>
      </x:c>
      <x:c r="K304" s="85" t="n">
        <x:v>1373123.9707411602</x:v>
      </x:c>
      <x:c r="L304" s="28" t="n">
        <x:v>0</x:v>
      </x:c>
      <x:c r="M304" s="28" t="n">
        <x:v>0</x:v>
      </x:c>
      <x:c r="N304" s="28" t="n">
        <x:v>4.656612873077393e-10</x:v>
      </x:c>
      <x:c r="O304" s="28" t="n">
        <x:v>7.450580596923828e-9</x:v>
      </x:c>
      <x:c r="P304" s="28" t="n">
        <x:v>0</x:v>
      </x:c>
      <x:c r="Q304" s="62" t="b">
        <x:v>1</x:v>
      </x:c>
      <x:c r="R304" s="28" t="n">
        <x:v>0</x:v>
      </x:c>
      <x:c r="S304" s="28" t="str">
        <x:v>35a535f3a08614fc</x:v>
      </x:c>
    </x:row>
    <x:row r="305" ht="21" customHeight="1">
      <x:c r="A305" s="60" t="n">
        <x:v>0.61</x:v>
      </x:c>
      <x:c r="B305" s="28" t="str">
        <x:v>front_high</x:v>
      </x:c>
      <x:c r="C305" s="60" t="n">
        <x:v>0.15</x:v>
      </x:c>
      <x:c r="D305" s="60" t="n">
        <x:v>0.15</x:v>
      </x:c>
      <x:c r="E305" s="62" t="b">
        <x:v>1</x:v>
      </x:c>
      <x:c r="F305" s="62" t="b">
        <x:v>1</x:v>
      </x:c>
      <x:c r="G305" s="85" t="n">
        <x:v>0</x:v>
      </x:c>
      <x:c r="H305" s="85" t="n">
        <x:v>0</x:v>
      </x:c>
      <x:c r="I305" s="85" t="n">
        <x:v>1150844.6522969375</x:v>
      </x:c>
      <x:c r="J305" s="85" t="n">
        <x:v>0</x:v>
      </x:c>
      <x:c r="K305" s="85" t="n">
        <x:v>105668.00827054781</x:v>
      </x:c>
      <x:c r="L305" s="28" t="n">
        <x:v>0</x:v>
      </x:c>
      <x:c r="M305" s="28" t="n">
        <x:v>0</x:v>
      </x:c>
      <x:c r="N305" s="28" t="n">
        <x:v>9.313225746154785e-10</x:v>
      </x:c>
      <x:c r="O305" s="28" t="n">
        <x:v>7.450580596923828e-9</x:v>
      </x:c>
      <x:c r="P305" s="28" t="n">
        <x:v>0</x:v>
      </x:c>
      <x:c r="Q305" s="62" t="b">
        <x:v>1</x:v>
      </x:c>
      <x:c r="R305" s="28" t="n">
        <x:v>0</x:v>
      </x:c>
      <x:c r="S305" s="28" t="str">
        <x:v>6e32f58d842efe5f</x:v>
      </x:c>
    </x:row>
    <x:row r="306" ht="21" customHeight="1">
      <x:c r="A306" s="60" t="n">
        <x:v>0.61</x:v>
      </x:c>
      <x:c r="B306" s="28" t="str">
        <x:v>front_high</x:v>
      </x:c>
      <x:c r="C306" s="60" t="n">
        <x:v>0.2</x:v>
      </x:c>
      <x:c r="D306" s="60" t="n">
        <x:v>0.2</x:v>
      </x:c>
      <x:c r="E306" s="62" t="b">
        <x:v>1</x:v>
      </x:c>
      <x:c r="F306" s="62" t="b">
        <x:v>1</x:v>
      </x:c>
      <x:c r="G306" s="85" t="n">
        <x:v>0</x:v>
      </x:c>
      <x:c r="H306" s="85" t="n">
        <x:v>0</x:v>
      </x:c>
      <x:c r="I306" s="85" t="n">
        <x:v>3229540.445960089</x:v>
      </x:c>
      <x:c r="J306" s="85" t="n">
        <x:v>1254093.4388721196</x:v>
      </x:c>
      <x:c r="K306" s="85" t="n">
        <x:v>68775.50697260347</x:v>
      </x:c>
      <x:c r="L306" s="28" t="n">
        <x:v>0</x:v>
      </x:c>
      <x:c r="M306" s="28" t="n">
        <x:v>0</x:v>
      </x:c>
      <x:c r="N306" s="28" t="n">
        <x:v>4.656612873077393e-10</x:v>
      </x:c>
      <x:c r="O306" s="28" t="n">
        <x:v>7.450580596923828e-9</x:v>
      </x:c>
      <x:c r="P306" s="28" t="n">
        <x:v>0</x:v>
      </x:c>
      <x:c r="Q306" s="62" t="b">
        <x:v>1</x:v>
      </x:c>
      <x:c r="R306" s="28" t="n">
        <x:v>0</x:v>
      </x:c>
      <x:c r="S306" s="28" t="str">
        <x:v>6d75bb9d672b77ed</x:v>
      </x:c>
    </x:row>
    <x:row r="307" ht="21" customHeight="1">
      <x:c r="A307" s="60" t="n">
        <x:v>0.61</x:v>
      </x:c>
      <x:c r="B307" s="28" t="str">
        <x:v>front_high</x:v>
      </x:c>
      <x:c r="C307" s="60" t="n">
        <x:v>0.25</x:v>
      </x:c>
      <x:c r="D307" s="60" t="n">
        <x:v>0.25</x:v>
      </x:c>
      <x:c r="E307" s="62" t="b">
        <x:v>1</x:v>
      </x:c>
      <x:c r="F307" s="62" t="b">
        <x:v>1</x:v>
      </x:c>
      <x:c r="G307" s="85" t="n">
        <x:v>0</x:v>
      </x:c>
      <x:c r="H307" s="85" t="n">
        <x:v>0</x:v>
      </x:c>
      <x:c r="I307" s="85" t="n">
        <x:v>5063464.012340509</x:v>
      </x:c>
      <x:c r="J307" s="85" t="n">
        <x:v>2961216.798590132</x:v>
      </x:c>
      <x:c r="K307" s="85" t="n">
        <x:v>51151.87163356187</x:v>
      </x:c>
      <x:c r="L307" s="28" t="n">
        <x:v>0</x:v>
      </x:c>
      <x:c r="M307" s="28" t="n">
        <x:v>0</x:v>
      </x:c>
      <x:c r="N307" s="28" t="n">
        <x:v>9.313225746154785e-10</x:v>
      </x:c>
      <x:c r="O307" s="28" t="n">
        <x:v>3.725290298461914e-9</x:v>
      </x:c>
      <x:c r="P307" s="28" t="n">
        <x:v>0</x:v>
      </x:c>
      <x:c r="Q307" s="62" t="b">
        <x:v>1</x:v>
      </x:c>
      <x:c r="R307" s="28" t="n">
        <x:v>0</x:v>
      </x:c>
      <x:c r="S307" s="28" t="str">
        <x:v>cabb3d3f3130ccd7</x:v>
      </x:c>
    </x:row>
    <x:row r="308" ht="21" customHeight="1">
      <x:c r="A308" s="60" t="n">
        <x:v>0.61</x:v>
      </x:c>
      <x:c r="B308" s="28" t="str">
        <x:v>front_high</x:v>
      </x:c>
      <x:c r="C308" s="60" t="n">
        <x:v>0.3</x:v>
      </x:c>
      <x:c r="D308" s="60" t="n">
        <x:v>0.3</x:v>
      </x:c>
      <x:c r="E308" s="62" t="b">
        <x:v>1</x:v>
      </x:c>
      <x:c r="F308" s="62" t="b">
        <x:v>1</x:v>
      </x:c>
      <x:c r="G308" s="85" t="n">
        <x:v>0</x:v>
      </x:c>
      <x:c r="H308" s="85" t="n">
        <x:v>0</x:v>
      </x:c>
      <x:c r="I308" s="85" t="n">
        <x:v>6915983.338337378</x:v>
      </x:c>
      <x:c r="J308" s="85" t="n">
        <x:v>4668340.158308157</x:v>
      </x:c>
      <x:c r="K308" s="85" t="n">
        <x:v>33528.23629452096</x:v>
      </x:c>
      <x:c r="L308" s="28" t="n">
        <x:v>0</x:v>
      </x:c>
      <x:c r="M308" s="28" t="n">
        <x:v>0</x:v>
      </x:c>
      <x:c r="N308" s="28" t="n">
        <x:v>4.656612873077393e-10</x:v>
      </x:c>
      <x:c r="O308" s="28" t="n">
        <x:v>7.450580596923828e-9</x:v>
      </x:c>
      <x:c r="P308" s="28" t="n">
        <x:v>0</x:v>
      </x:c>
      <x:c r="Q308" s="62" t="b">
        <x:v>1</x:v>
      </x:c>
      <x:c r="R308" s="28" t="n">
        <x:v>0</x:v>
      </x:c>
      <x:c r="S308" s="28" t="str">
        <x:v>2821f8e907fcbd15</x:v>
      </x:c>
    </x:row>
    <x:row r="309" ht="21" customHeight="1">
      <x:c r="A309" s="60" t="n">
        <x:v>0.61</x:v>
      </x:c>
      <x:c r="B309" s="28" t="str">
        <x:v>front_high</x:v>
      </x:c>
      <x:c r="C309" s="60" t="n">
        <x:v>0.35</x:v>
      </x:c>
      <x:c r="D309" s="60" t="n">
        <x:v>0.35</x:v>
      </x:c>
      <x:c r="E309" s="62" t="b">
        <x:v>1</x:v>
      </x:c>
      <x:c r="F309" s="62" t="b">
        <x:v>1</x:v>
      </x:c>
      <x:c r="G309" s="85" t="n">
        <x:v>0</x:v>
      </x:c>
      <x:c r="H309" s="85" t="n">
        <x:v>0</x:v>
      </x:c>
      <x:c r="I309" s="85" t="n">
        <x:v>8768502.664334249</x:v>
      </x:c>
      <x:c r="J309" s="85" t="n">
        <x:v>6375463.518026188</x:v>
      </x:c>
      <x:c r="K309" s="85" t="n">
        <x:v>20899.14873287685</x:v>
      </x:c>
      <x:c r="L309" s="28" t="n">
        <x:v>0</x:v>
      </x:c>
      <x:c r="M309" s="28" t="n">
        <x:v>0</x:v>
      </x:c>
      <x:c r="N309" s="28" t="n">
        <x:v>2.3283064365386963e-10</x:v>
      </x:c>
      <x:c r="O309" s="28" t="n">
        <x:v>7.450580596923828e-9</x:v>
      </x:c>
      <x:c r="P309" s="28" t="n">
        <x:v>0</x:v>
      </x:c>
      <x:c r="Q309" s="62" t="b">
        <x:v>1</x:v>
      </x:c>
      <x:c r="R309" s="28" t="n">
        <x:v>0</x:v>
      </x:c>
      <x:c r="S309" s="28" t="str">
        <x:v>1fb82c6c4dad4c91</x:v>
      </x:c>
    </x:row>
    <x:row r="310" ht="21" customHeight="1">
      <x:c r="A310" s="60" t="n">
        <x:v>0.61</x:v>
      </x:c>
      <x:c r="B310" s="28" t="str">
        <x:v>front_high</x:v>
      </x:c>
      <x:c r="C310" s="60" t="n">
        <x:v>0.4</x:v>
      </x:c>
      <x:c r="D310" s="60" t="n">
        <x:v>0.4</x:v>
      </x:c>
      <x:c r="E310" s="62" t="b">
        <x:v>1</x:v>
      </x:c>
      <x:c r="F310" s="62" t="b">
        <x:v>1</x:v>
      </x:c>
      <x:c r="G310" s="85" t="n">
        <x:v>0</x:v>
      </x:c>
      <x:c r="H310" s="85" t="n">
        <x:v>0</x:v>
      </x:c>
      <x:c r="I310" s="85" t="n">
        <x:v>10619983.403022902</x:v>
      </x:c>
      <x:c r="J310" s="85" t="n">
        <x:v>8082586.877744218</x:v>
      </x:c>
      <x:c r="K310" s="85" t="n">
        <x:v>15001.567397260318</x:v>
      </x:c>
      <x:c r="L310" s="28" t="n">
        <x:v>0</x:v>
      </x:c>
      <x:c r="M310" s="28" t="n">
        <x:v>0</x:v>
      </x:c>
      <x:c r="N310" s="28" t="n">
        <x:v>4.656612873077393e-10</x:v>
      </x:c>
      <x:c r="O310" s="28" t="n">
        <x:v>7.450580596923828e-9</x:v>
      </x:c>
      <x:c r="P310" s="28" t="n">
        <x:v>0</x:v>
      </x:c>
      <x:c r="Q310" s="62" t="b">
        <x:v>1</x:v>
      </x:c>
      <x:c r="R310" s="28" t="n">
        <x:v>0</x:v>
      </x:c>
      <x:c r="S310" s="28" t="str">
        <x:v>cc031263b561a795</x:v>
      </x:c>
    </x:row>
    <x:row r="311" ht="21" customHeight="1">
      <x:c r="A311" s="60" t="n">
        <x:v>0.61</x:v>
      </x:c>
      <x:c r="B311" s="28" t="str">
        <x:v>front_high</x:v>
      </x:c>
      <x:c r="C311" s="60" t="n">
        <x:v>0.45</x:v>
      </x:c>
      <x:c r="D311" s="60" t="n">
        <x:v>0.45</x:v>
      </x:c>
      <x:c r="E311" s="62" t="b">
        <x:v>1</x:v>
      </x:c>
      <x:c r="F311" s="62" t="b">
        <x:v>1</x:v>
      </x:c>
      <x:c r="G311" s="85" t="n">
        <x:v>0</x:v>
      </x:c>
      <x:c r="H311" s="85" t="n">
        <x:v>0</x:v>
      </x:c>
      <x:c r="I311" s="85" t="n">
        <x:v>12471332.340738444</x:v>
      </x:c>
      <x:c r="J311" s="85" t="n">
        <x:v>9789710.237462243</x:v>
      </x:c>
      <x:c r="K311" s="85" t="n">
        <x:v>9103.98606164402</x:v>
      </x:c>
      <x:c r="L311" s="28" t="n">
        <x:v>0</x:v>
      </x:c>
      <x:c r="M311" s="28" t="n">
        <x:v>0</x:v>
      </x:c>
      <x:c r="N311" s="28" t="n">
        <x:v>2.3283064365386963e-10</x:v>
      </x:c>
      <x:c r="O311" s="28" t="n">
        <x:v>3.725290298461914e-9</x:v>
      </x:c>
      <x:c r="P311" s="28" t="n">
        <x:v>0</x:v>
      </x:c>
      <x:c r="Q311" s="62" t="b">
        <x:v>1</x:v>
      </x:c>
      <x:c r="R311" s="28" t="n">
        <x:v>0</x:v>
      </x:c>
      <x:c r="S311" s="28" t="str">
        <x:v>0e497c5a56cb61ba</x:v>
      </x:c>
    </x:row>
    <x:row r="312" ht="21" customHeight="1">
      <x:c r="A312" s="60" t="n">
        <x:v>0.61</x:v>
      </x:c>
      <x:c r="B312" s="28" t="str">
        <x:v>front_high</x:v>
      </x:c>
      <x:c r="C312" s="60" t="n">
        <x:v>0.5</x:v>
      </x:c>
      <x:c r="D312" s="60" t="n">
        <x:v>0.5</x:v>
      </x:c>
      <x:c r="E312" s="62" t="b">
        <x:v>1</x:v>
      </x:c>
      <x:c r="F312" s="62" t="b">
        <x:v>1</x:v>
      </x:c>
      <x:c r="G312" s="85" t="n">
        <x:v>0</x:v>
      </x:c>
      <x:c r="H312" s="85" t="n">
        <x:v>0</x:v>
      </x:c>
      <x:c r="I312" s="85" t="n">
        <x:v>14378516.879204085</x:v>
      </x:c>
      <x:c r="J312" s="85" t="n">
        <x:v>11190071.443846427</x:v>
      </x:c>
      <x:c r="K312" s="85" t="n">
        <x:v>3206.4047260270236</x:v>
      </x:c>
      <x:c r="L312" s="28" t="n">
        <x:v>2</x:v>
      </x:c>
      <x:c r="M312" s="28" t="n">
        <x:v>0</x:v>
      </x:c>
      <x:c r="N312" s="28" t="n">
        <x:v>4.656612873077393e-10</x:v>
      </x:c>
      <x:c r="O312" s="28" t="n">
        <x:v>7.450580596923828e-9</x:v>
      </x:c>
      <x:c r="P312" s="28" t="n">
        <x:v>0</x:v>
      </x:c>
      <x:c r="Q312" s="62" t="b">
        <x:v>1</x:v>
      </x:c>
      <x:c r="R312" s="28" t="n">
        <x:v>0</x:v>
      </x:c>
      <x:c r="S312" s="28" t="str">
        <x:v>f51d83937b42be29</x:v>
      </x:c>
    </x:row>
    <x:row r="313" ht="21" customHeight="1">
      <x:c r="A313" s="60" t="n">
        <x:v>0.61</x:v>
      </x:c>
      <x:c r="B313" s="28" t="str">
        <x:v>front_high</x:v>
      </x:c>
      <x:c r="C313" s="60" t="n">
        <x:v>0.55</x:v>
      </x:c>
      <x:c r="D313" s="60" t="n">
        <x:v>0.55</x:v>
      </x:c>
      <x:c r="E313" s="62" t="b">
        <x:v>1</x:v>
      </x:c>
      <x:c r="F313" s="62" t="b">
        <x:v>1</x:v>
      </x:c>
      <x:c r="G313" s="85" t="n">
        <x:v>0</x:v>
      </x:c>
      <x:c r="H313" s="85" t="n">
        <x:v>0</x:v>
      </x:c>
      <x:c r="I313" s="85" t="n">
        <x:v>16350616.65984498</x:v>
      </x:c>
      <x:c r="J313" s="85" t="n">
        <x:v>11758254.538008347</x:v>
      </x:c>
      <x:c r="K313" s="85" t="n">
        <x:v>0</x:v>
      </x:c>
      <x:c r="L313" s="28" t="n">
        <x:v>9</x:v>
      </x:c>
      <x:c r="M313" s="28" t="n">
        <x:v>0</x:v>
      </x:c>
      <x:c r="N313" s="28" t="n">
        <x:v>4.656612873077393e-10</x:v>
      </x:c>
      <x:c r="O313" s="28" t="n">
        <x:v>3.725290298461914e-9</x:v>
      </x:c>
      <x:c r="P313" s="28" t="n">
        <x:v>0</x:v>
      </x:c>
      <x:c r="Q313" s="62" t="b">
        <x:v>1</x:v>
      </x:c>
      <x:c r="R313" s="28" t="n">
        <x:v>0</x:v>
      </x:c>
      <x:c r="S313" s="28" t="str">
        <x:v>6361ebd788d7f45b</x:v>
      </x:c>
    </x:row>
    <x:row r="314" ht="21" customHeight="1">
      <x:c r="A314" s="60" t="n">
        <x:v>0.61</x:v>
      </x:c>
      <x:c r="B314" s="28" t="str">
        <x:v>front_high</x:v>
      </x:c>
      <x:c r="C314" s="60" t="n">
        <x:v>0.6</x:v>
      </x:c>
      <x:c r="D314" s="60" t="n">
        <x:v>0.6</x:v>
      </x:c>
      <x:c r="E314" s="62" t="b">
        <x:v>1</x:v>
      </x:c>
      <x:c r="F314" s="62" t="b">
        <x:v>1</x:v>
      </x:c>
      <x:c r="G314" s="85" t="n">
        <x:v>0</x:v>
      </x:c>
      <x:c r="H314" s="85" t="n">
        <x:v>0</x:v>
      </x:c>
      <x:c r="I314" s="85" t="n">
        <x:v>18233057.502099708</x:v>
      </x:c>
      <x:c r="J314" s="85" t="n">
        <x:v>12536366.366992481</x:v>
      </x:c>
      <x:c r="K314" s="85" t="n">
        <x:v>0</x:v>
      </x:c>
      <x:c r="L314" s="28" t="n">
        <x:v>16</x:v>
      </x:c>
      <x:c r="M314" s="28" t="n">
        <x:v>0</x:v>
      </x:c>
      <x:c r="N314" s="28" t="n">
        <x:v>4.656612873077393e-10</x:v>
      </x:c>
      <x:c r="O314" s="28" t="n">
        <x:v>3.725290298461914e-9</x:v>
      </x:c>
      <x:c r="P314" s="28" t="n">
        <x:v>0</x:v>
      </x:c>
      <x:c r="Q314" s="62" t="b">
        <x:v>1</x:v>
      </x:c>
      <x:c r="R314" s="28" t="n">
        <x:v>0</x:v>
      </x:c>
      <x:c r="S314" s="28" t="str">
        <x:v>2befb872ba47fc92</x:v>
      </x:c>
    </x:row>
    <x:row r="315" ht="21" customHeight="1">
      <x:c r="A315" s="60" t="n">
        <x:v>0.61</x:v>
      </x:c>
      <x:c r="B315" s="28" t="str">
        <x:v>front_high</x:v>
      </x:c>
      <x:c r="C315" s="60" t="n">
        <x:v>0.65</x:v>
      </x:c>
      <x:c r="D315" s="60" t="n">
        <x:v>0.65</x:v>
      </x:c>
      <x:c r="E315" s="62" t="b">
        <x:v>1</x:v>
      </x:c>
      <x:c r="F315" s="62" t="b">
        <x:v>1</x:v>
      </x:c>
      <x:c r="G315" s="85" t="n">
        <x:v>0</x:v>
      </x:c>
      <x:c r="H315" s="85" t="n">
        <x:v>0</x:v>
      </x:c>
      <x:c r="I315" s="85" t="n">
        <x:v>20007794.200319815</x:v>
      </x:c>
      <x:c r="J315" s="85" t="n">
        <x:v>14417626.049335875</x:v>
      </x:c>
      <x:c r="K315" s="85" t="n">
        <x:v>0</x:v>
      </x:c>
      <x:c r="L315" s="28" t="n">
        <x:v>20</x:v>
      </x:c>
      <x:c r="M315" s="28" t="n">
        <x:v>6</x:v>
      </x:c>
      <x:c r="N315" s="28" t="n">
        <x:v>4.656612873077393e-10</x:v>
      </x:c>
      <x:c r="O315" s="28" t="n">
        <x:v>3.725290298461914e-9</x:v>
      </x:c>
      <x:c r="P315" s="28" t="n">
        <x:v>0</x:v>
      </x:c>
      <x:c r="Q315" s="62" t="b">
        <x:v>1</x:v>
      </x:c>
      <x:c r="R315" s="28" t="n">
        <x:v>0</x:v>
      </x:c>
      <x:c r="S315" s="28" t="str">
        <x:v>bbe38cca5d28d28c</x:v>
      </x:c>
    </x:row>
    <x:row r="316" ht="21" customHeight="1">
      <x:c r="A316" s="60" t="n">
        <x:v>0.61</x:v>
      </x:c>
      <x:c r="B316" s="28" t="str">
        <x:v>front_high</x:v>
      </x:c>
      <x:c r="C316" s="60" t="n">
        <x:v>0.7</x:v>
      </x:c>
      <x:c r="D316" s="60" t="n">
        <x:v>0.7</x:v>
      </x:c>
      <x:c r="E316" s="62" t="b">
        <x:v>1</x:v>
      </x:c>
      <x:c r="F316" s="62" t="b">
        <x:v>0</x:v>
      </x:c>
      <x:c r="G316" s="85" t="n">
        <x:v>296361.50713255774</x:v>
      </x:c>
      <x:c r="H316" s="85" t="n">
        <x:v>945643.5654166166</x:v>
      </x:c>
      <x:c r="I316" s="85" t="n">
        <x:v>21163055.262267124</x:v>
      </x:c>
      <x:c r="J316" s="85" t="n">
        <x:v>16165760.000000002</x:v>
      </x:c>
      <x:c r="K316" s="85" t="n">
        <x:v>0</x:v>
      </x:c>
      <x:c r="L316" s="28" t="n">
        <x:v>45</x:v>
      </x:c>
      <x:c r="M316" s="28" t="n">
        <x:v>36</x:v>
      </x:c>
      <x:c r="N316" s="28" t="n">
        <x:v>4.656612873077393e-10</x:v>
      </x:c>
      <x:c r="O316" s="28" t="n">
        <x:v>1.862645149230957e-9</x:v>
      </x:c>
      <x:c r="P316" s="28" t="n">
        <x:v>0</x:v>
      </x:c>
      <x:c r="Q316" s="62" t="b">
        <x:v>1</x:v>
      </x:c>
      <x:c r="R316" s="28" t="n">
        <x:v>0</x:v>
      </x:c>
      <x:c r="S316" s="28" t="str">
        <x:v>2129c47f60767c71</x:v>
      </x:c>
    </x:row>
    <x:row r="317" ht="21" customHeight="1">
      <x:c r="A317" s="60" t="n">
        <x:v>0.61</x:v>
      </x:c>
      <x:c r="B317" s="28" t="str">
        <x:v>front_high</x:v>
      </x:c>
      <x:c r="C317" s="60" t="n">
        <x:v>0.75</x:v>
      </x:c>
      <x:c r="D317" s="60" t="n">
        <x:v>0.75</x:v>
      </x:c>
      <x:c r="E317" s="62" t="b">
        <x:v>1</x:v>
      </x:c>
      <x:c r="F317" s="62" t="b">
        <x:v>0</x:v>
      </x:c>
      <x:c r="G317" s="85" t="n">
        <x:v>1290260.2026324547</x:v>
      </x:c>
      <x:c r="H317" s="85" t="n">
        <x:v>3897146.563293642</x:v>
      </x:c>
      <x:c r="I317" s="85" t="n">
        <x:v>21198153.243523974</x:v>
      </x:c>
      <x:c r="J317" s="85" t="n">
        <x:v>16165760.000000002</x:v>
      </x:c>
      <x:c r="K317" s="85" t="n">
        <x:v>0</x:v>
      </x:c>
      <x:c r="L317" s="28" t="n">
        <x:v>45</x:v>
      </x:c>
      <x:c r="M317" s="28" t="n">
        <x:v>40</x:v>
      </x:c>
      <x:c r="N317" s="28" t="n">
        <x:v>4.656612873077393e-10</x:v>
      </x:c>
      <x:c r="O317" s="28" t="n">
        <x:v>3.725290298461914e-9</x:v>
      </x:c>
      <x:c r="P317" s="28" t="n">
        <x:v>0</x:v>
      </x:c>
      <x:c r="Q317" s="62" t="b">
        <x:v>1</x:v>
      </x:c>
      <x:c r="R317" s="28" t="n">
        <x:v>0</x:v>
      </x:c>
      <x:c r="S317" s="28" t="str">
        <x:v>115181239b63541a</x:v>
      </x:c>
    </x:row>
    <x:row r="318" ht="21" customHeight="1">
      <x:c r="A318" s="60" t="n">
        <x:v>0.61</x:v>
      </x:c>
      <x:c r="B318" s="28" t="str">
        <x:v>front_high</x:v>
      </x:c>
      <x:c r="C318" s="60" t="n">
        <x:v>0.8</x:v>
      </x:c>
      <x:c r="D318" s="60" t="n">
        <x:v>0.8</x:v>
      </x:c>
      <x:c r="E318" s="62" t="b">
        <x:v>1</x:v>
      </x:c>
      <x:c r="F318" s="62" t="b">
        <x:v>0</x:v>
      </x:c>
      <x:c r="G318" s="85" t="n">
        <x:v>2330062.924303604</x:v>
      </x:c>
      <x:c r="H318" s="85" t="n">
        <x:v>6663160.438652348</x:v>
      </x:c>
      <x:c r="I318" s="85" t="n">
        <x:v>21233484.948000003</x:v>
      </x:c>
      <x:c r="J318" s="85" t="n">
        <x:v>16165760.000000002</x:v>
      </x:c>
      <x:c r="K318" s="85" t="n">
        <x:v>0</x:v>
      </x:c>
      <x:c r="L318" s="28" t="n">
        <x:v>45</x:v>
      </x:c>
      <x:c r="M318" s="28" t="n">
        <x:v>42</x:v>
      </x:c>
      <x:c r="N318" s="28" t="n">
        <x:v>4.656612873077393e-10</x:v>
      </x:c>
      <x:c r="O318" s="28" t="n">
        <x:v>3.725290298461914e-9</x:v>
      </x:c>
      <x:c r="P318" s="28" t="n">
        <x:v>0</x:v>
      </x:c>
      <x:c r="Q318" s="62" t="b">
        <x:v>1</x:v>
      </x:c>
      <x:c r="R318" s="28" t="n">
        <x:v>0</x:v>
      </x:c>
      <x:c r="S318" s="28" t="str">
        <x:v>366452e7a68644c9</x:v>
      </x:c>
    </x:row>
    <x:row r="319" ht="21" customHeight="1">
      <x:c r="A319" s="60" t="n">
        <x:v>0.61</x:v>
      </x:c>
      <x:c r="B319" s="28" t="str">
        <x:v>front_high</x:v>
      </x:c>
      <x:c r="C319" s="60" t="n">
        <x:v>0.85</x:v>
      </x:c>
      <x:c r="D319" s="60" t="n">
        <x:v>0.85</x:v>
      </x:c>
      <x:c r="E319" s="62" t="b">
        <x:v>1</x:v>
      </x:c>
      <x:c r="F319" s="62" t="b">
        <x:v>0</x:v>
      </x:c>
      <x:c r="G319" s="85" t="n">
        <x:v>3260400.650998816</x:v>
      </x:c>
      <x:c r="H319" s="85" t="n">
        <x:v>8865389.48007395</x:v>
      </x:c>
      <x:c r="I319" s="85" t="n">
        <x:v>21522732.599876028</x:v>
      </x:c>
      <x:c r="J319" s="85" t="n">
        <x:v>16165760.000000002</x:v>
      </x:c>
      <x:c r="K319" s="85" t="n">
        <x:v>0</x:v>
      </x:c>
      <x:c r="L319" s="28" t="n">
        <x:v>46</x:v>
      </x:c>
      <x:c r="M319" s="28" t="n">
        <x:v>44</x:v>
      </x:c>
      <x:c r="N319" s="28" t="n">
        <x:v>2.3283064365386963e-10</x:v>
      </x:c>
      <x:c r="O319" s="28" t="n">
        <x:v>1.862645149230957e-9</x:v>
      </x:c>
      <x:c r="P319" s="28" t="n">
        <x:v>0</x:v>
      </x:c>
      <x:c r="Q319" s="62" t="b">
        <x:v>1</x:v>
      </x:c>
      <x:c r="R319" s="28" t="n">
        <x:v>0</x:v>
      </x:c>
      <x:c r="S319" s="28" t="str">
        <x:v>21b69a56ff0f8735</x:v>
      </x:c>
    </x:row>
    <x:row r="320" ht="21" customHeight="1">
      <x:c r="A320" s="60" t="n">
        <x:v>0.61</x:v>
      </x:c>
      <x:c r="B320" s="28" t="str">
        <x:v>front_high</x:v>
      </x:c>
      <x:c r="C320" s="60" t="n">
        <x:v>0.9</x:v>
      </x:c>
      <x:c r="D320" s="60" t="n">
        <x:v>0.9</x:v>
      </x:c>
      <x:c r="E320" s="62" t="b">
        <x:v>1</x:v>
      </x:c>
      <x:c r="F320" s="62" t="b">
        <x:v>0</x:v>
      </x:c>
      <x:c r="G320" s="85" t="n">
        <x:v>4589233.921548569</x:v>
      </x:c>
      <x:c r="H320" s="85" t="n">
        <x:v>11373300.553265978</x:v>
      </x:c>
      <x:c r="I320" s="85" t="n">
        <x:v>21540457.86301781</x:v>
      </x:c>
      <x:c r="J320" s="85" t="n">
        <x:v>16165760.000000002</x:v>
      </x:c>
      <x:c r="K320" s="85" t="n">
        <x:v>0</x:v>
      </x:c>
      <x:c r="L320" s="28" t="n">
        <x:v>46</x:v>
      </x:c>
      <x:c r="M320" s="28" t="n">
        <x:v>44</x:v>
      </x:c>
      <x:c r="N320" s="28" t="n">
        <x:v>4.656612873077393e-10</x:v>
      </x:c>
      <x:c r="O320" s="28" t="n">
        <x:v>3.725290298461914e-9</x:v>
      </x:c>
      <x:c r="P320" s="28" t="n">
        <x:v>0</x:v>
      </x:c>
      <x:c r="Q320" s="62" t="b">
        <x:v>1</x:v>
      </x:c>
      <x:c r="R320" s="28" t="n">
        <x:v>0</x:v>
      </x:c>
      <x:c r="S320" s="28" t="str">
        <x:v>3c275831f9c48efe</x:v>
      </x:c>
    </x:row>
    <x:row r="321" ht="21" customHeight="1">
      <x:c r="A321" s="60" t="n">
        <x:v>0.61</x:v>
      </x:c>
      <x:c r="B321" s="28" t="str">
        <x:v>front_high</x:v>
      </x:c>
      <x:c r="C321" s="60" t="n">
        <x:v>0.95</x:v>
      </x:c>
      <x:c r="D321" s="60" t="n">
        <x:v>0.9427119459478259</x:v>
      </x:c>
      <x:c r="E321" s="62" t="b">
        <x:v>0</x:v>
      </x:c>
      <x:c r="F321" s="62" t="b">
        <x:v>0</x:v>
      </x:c>
      <x:c r="G321" s="85" t="n">
        <x:v>5719324.738308764</x:v>
      </x:c>
      <x:c r="H321" s="85" t="n">
        <x:v>12875482.807324177</x:v>
      </x:c>
      <x:c r="I321" s="85" t="n">
        <x:v>21558183.12615959</x:v>
      </x:c>
      <x:c r="J321" s="85" t="n">
        <x:v>16165760.000000002</x:v>
      </x:c>
      <x:c r="K321" s="85" t="n">
        <x:v>0</x:v>
      </x:c>
      <x:c r="L321" s="28" t="n">
        <x:v>46</x:v>
      </x:c>
      <x:c r="M321" s="28" t="n">
        <x:v>45</x:v>
      </x:c>
      <x:c r="N321" s="28" t="n">
        <x:v>2.3283064365386963e-10</x:v>
      </x:c>
      <x:c r="O321" s="28" t="n">
        <x:v>1.862645149230957e-9</x:v>
      </x:c>
      <x:c r="P321" s="28" t="n">
        <x:v>0</x:v>
      </x:c>
      <x:c r="Q321" s="62" t="b">
        <x:v>1</x:v>
      </x:c>
      <x:c r="R321" s="28" t="n">
        <x:v>406265.28508438915</x:v>
      </x:c>
      <x:c r="S321" s="28" t="str">
        <x:v>0307597437c7c56d</x:v>
      </x:c>
    </x:row>
    <x:row r="322" ht="21" customHeight="1">
      <x:c r="A322" s="60" t="n">
        <x:v>0.61</x:v>
      </x:c>
      <x:c r="B322" s="28" t="str">
        <x:v>front_high</x:v>
      </x:c>
      <x:c r="C322" s="60" t="n">
        <x:v>1</x:v>
      </x:c>
      <x:c r="D322" s="60" t="n">
        <x:v>0.9596721012870685</x:v>
      </x:c>
      <x:c r="E322" s="62" t="b">
        <x:v>0</x:v>
      </x:c>
      <x:c r="F322" s="62" t="b">
        <x:v>0</x:v>
      </x:c>
      <x:c r="G322" s="85" t="n">
        <x:v>6446531.879798306</x:v>
      </x:c>
      <x:c r="H322" s="85" t="n">
        <x:v>13831725.514063785</x:v>
      </x:c>
      <x:c r="I322" s="85" t="n">
        <x:v>21575908.38930137</x:v>
      </x:c>
      <x:c r="J322" s="85" t="n">
        <x:v>16165760.000000002</x:v>
      </x:c>
      <x:c r="K322" s="85" t="n">
        <x:v>0</x:v>
      </x:c>
      <x:c r="L322" s="28" t="n">
        <x:v>46</x:v>
      </x:c>
      <x:c r="M322" s="28" t="n">
        <x:v>45</x:v>
      </x:c>
      <x:c r="N322" s="28" t="n">
        <x:v>2.3283064365386963e-10</x:v>
      </x:c>
      <x:c r="O322" s="28" t="n">
        <x:v>1.862645149230957e-9</x:v>
      </x:c>
      <x:c r="P322" s="28" t="n">
        <x:v>0</x:v>
      </x:c>
      <x:c r="Q322" s="62" t="b">
        <x:v>1</x:v>
      </x:c>
      <x:c r="R322" s="28" t="n">
        <x:v>2248038.3858536556</x:v>
      </x:c>
      <x:c r="S322" s="28" t="str">
        <x:v>1fb3b001554b8c48</x:v>
      </x:c>
    </x:row>
    <x:row r="323" ht="21" customHeight="1">
      <x:c r="A323" s="60" t="n">
        <x:v>0.61</x:v>
      </x:c>
      <x:c r="B323" s="28" t="str">
        <x:v>middle_flat</x:v>
      </x:c>
      <x:c r="C323" s="60" t="n">
        <x:v>0</x:v>
      </x:c>
      <x:c r="D323" s="60" t="n">
        <x:v>0</x:v>
      </x:c>
      <x:c r="E323" s="62" t="b">
        <x:v>1</x:v>
      </x:c>
      <x:c r="F323" s="62" t="b">
        <x:v>1</x:v>
      </x:c>
      <x:c r="G323" s="85" t="n">
        <x:v>0</x:v>
      </x:c>
      <x:c r="H323" s="85" t="n">
        <x:v>0</x:v>
      </x:c>
      <x:c r="I323" s="85" t="n">
        <x:v>0</x:v>
      </x:c>
      <x:c r="J323" s="85" t="n">
        <x:v>0</x:v>
      </x:c>
      <x:c r="K323" s="85" t="n">
        <x:v>5653772.143780821</x:v>
      </x:c>
      <x:c r="L323" s="28" t="n">
        <x:v>0</x:v>
      </x:c>
      <x:c r="M323" s="28" t="n">
        <x:v>0</x:v>
      </x:c>
      <x:c r="N323" s="28" t="n">
        <x:v>9.313225746154785e-10</x:v>
      </x:c>
      <x:c r="O323" s="28" t="n">
        <x:v>0</x:v>
      </x:c>
      <x:c r="P323" s="28" t="n">
        <x:v>0</x:v>
      </x:c>
      <x:c r="Q323" s="62" t="b">
        <x:v>1</x:v>
      </x:c>
      <x:c r="R323" s="28" t="n">
        <x:v>0</x:v>
      </x:c>
      <x:c r="S323" s="28" t="str">
        <x:v>225399cc3cab1106</x:v>
      </x:c>
    </x:row>
    <x:row r="324" ht="21" customHeight="1">
      <x:c r="A324" s="60" t="n">
        <x:v>0.61</x:v>
      </x:c>
      <x:c r="B324" s="28" t="str">
        <x:v>middle_flat</x:v>
      </x:c>
      <x:c r="C324" s="60" t="n">
        <x:v>0.05</x:v>
      </x:c>
      <x:c r="D324" s="60" t="n">
        <x:v>0.05</x:v>
      </x:c>
      <x:c r="E324" s="62" t="b">
        <x:v>1</x:v>
      </x:c>
      <x:c r="F324" s="62" t="b">
        <x:v>1</x:v>
      </x:c>
      <x:c r="G324" s="85" t="n">
        <x:v>0</x:v>
      </x:c>
      <x:c r="H324" s="85" t="n">
        <x:v>0</x:v>
      </x:c>
      <x:c r="I324" s="85" t="n">
        <x:v>0</x:v>
      </x:c>
      <x:c r="J324" s="85" t="n">
        <x:v>0</x:v>
      </x:c>
      <x:c r="K324" s="85" t="n">
        <x:v>3415324.905540359</x:v>
      </x:c>
      <x:c r="L324" s="28" t="n">
        <x:v>0</x:v>
      </x:c>
      <x:c r="M324" s="28" t="n">
        <x:v>0</x:v>
      </x:c>
      <x:c r="N324" s="28" t="n">
        <x:v>9.313225746154785e-10</x:v>
      </x:c>
      <x:c r="O324" s="28" t="n">
        <x:v>7.450580596923828e-9</x:v>
      </x:c>
      <x:c r="P324" s="28" t="n">
        <x:v>0</x:v>
      </x:c>
      <x:c r="Q324" s="62" t="b">
        <x:v>1</x:v>
      </x:c>
      <x:c r="R324" s="28" t="n">
        <x:v>0</x:v>
      </x:c>
      <x:c r="S324" s="28" t="str">
        <x:v>cb29c08ded5f578f</x:v>
      </x:c>
    </x:row>
    <x:row r="325" ht="21" customHeight="1">
      <x:c r="A325" s="60" t="n">
        <x:v>0.61</x:v>
      </x:c>
      <x:c r="B325" s="28" t="str">
        <x:v>middle_flat</x:v>
      </x:c>
      <x:c r="C325" s="60" t="n">
        <x:v>0.1</x:v>
      </x:c>
      <x:c r="D325" s="60" t="n">
        <x:v>0.1</x:v>
      </x:c>
      <x:c r="E325" s="62" t="b">
        <x:v>1</x:v>
      </x:c>
      <x:c r="F325" s="62" t="b">
        <x:v>1</x:v>
      </x:c>
      <x:c r="G325" s="85" t="n">
        <x:v>0</x:v>
      </x:c>
      <x:c r="H325" s="85" t="n">
        <x:v>0</x:v>
      </x:c>
      <x:c r="I325" s="85" t="n">
        <x:v>0</x:v>
      </x:c>
      <x:c r="J325" s="85" t="n">
        <x:v>0</x:v>
      </x:c>
      <x:c r="K325" s="85" t="n">
        <x:v>1176571.5907214973</x:v>
      </x:c>
      <x:c r="L325" s="28" t="n">
        <x:v>0</x:v>
      </x:c>
      <x:c r="M325" s="28" t="n">
        <x:v>0</x:v>
      </x:c>
      <x:c r="N325" s="28" t="n">
        <x:v>9.313225746154785e-10</x:v>
      </x:c>
      <x:c r="O325" s="28" t="n">
        <x:v>7.450580596923828e-9</x:v>
      </x:c>
      <x:c r="P325" s="28" t="n">
        <x:v>0</x:v>
      </x:c>
      <x:c r="Q325" s="62" t="b">
        <x:v>1</x:v>
      </x:c>
      <x:c r="R325" s="28" t="n">
        <x:v>0</x:v>
      </x:c>
      <x:c r="S325" s="28" t="str">
        <x:v>06fa84569c10703c</x:v>
      </x:c>
    </x:row>
    <x:row r="326" ht="21" customHeight="1">
      <x:c r="A326" s="60" t="n">
        <x:v>0.61</x:v>
      </x:c>
      <x:c r="B326" s="28" t="str">
        <x:v>middle_flat</x:v>
      </x:c>
      <x:c r="C326" s="60" t="n">
        <x:v>0.15</x:v>
      </x:c>
      <x:c r="D326" s="60" t="n">
        <x:v>0.15</x:v>
      </x:c>
      <x:c r="E326" s="62" t="b">
        <x:v>1</x:v>
      </x:c>
      <x:c r="F326" s="62" t="b">
        <x:v>1</x:v>
      </x:c>
      <x:c r="G326" s="85" t="n">
        <x:v>0</x:v>
      </x:c>
      <x:c r="H326" s="85" t="n">
        <x:v>0</x:v>
      </x:c>
      <x:c r="I326" s="85" t="n">
        <x:v>988159.9906689019</x:v>
      </x:c>
      <x:c r="J326" s="85" t="n">
        <x:v>0</x:v>
      </x:c>
      <x:c r="K326" s="85" t="n">
        <x:v>96475.06658167108</x:v>
      </x:c>
      <x:c r="L326" s="28" t="n">
        <x:v>0</x:v>
      </x:c>
      <x:c r="M326" s="28" t="n">
        <x:v>0</x:v>
      </x:c>
      <x:c r="N326" s="28" t="n">
        <x:v>4.656612873077393e-10</x:v>
      </x:c>
      <x:c r="O326" s="28" t="n">
        <x:v>7.450580596923828e-9</x:v>
      </x:c>
      <x:c r="P326" s="28" t="n">
        <x:v>0</x:v>
      </x:c>
      <x:c r="Q326" s="62" t="b">
        <x:v>1</x:v>
      </x:c>
      <x:c r="R326" s="28" t="n">
        <x:v>0</x:v>
      </x:c>
      <x:c r="S326" s="28" t="str">
        <x:v>9778831da94f8763</x:v>
      </x:c>
    </x:row>
    <x:row r="327" ht="21" customHeight="1">
      <x:c r="A327" s="60" t="n">
        <x:v>0.61</x:v>
      </x:c>
      <x:c r="B327" s="28" t="str">
        <x:v>middle_flat</x:v>
      </x:c>
      <x:c r="C327" s="60" t="n">
        <x:v>0.2</x:v>
      </x:c>
      <x:c r="D327" s="60" t="n">
        <x:v>0.2</x:v>
      </x:c>
      <x:c r="E327" s="62" t="b">
        <x:v>1</x:v>
      </x:c>
      <x:c r="F327" s="62" t="b">
        <x:v>1</x:v>
      </x:c>
      <x:c r="G327" s="85" t="n">
        <x:v>0</x:v>
      </x:c>
      <x:c r="H327" s="85" t="n">
        <x:v>0</x:v>
      </x:c>
      <x:c r="I327" s="85" t="n">
        <x:v>2515477.817150149</x:v>
      </x:c>
      <x:c r="J327" s="85" t="n">
        <x:v>1253157.2790409208</x:v>
      </x:c>
      <x:c r="K327" s="85" t="n">
        <x:v>69886.48427397275</x:v>
      </x:c>
      <x:c r="L327" s="28" t="n">
        <x:v>0</x:v>
      </x:c>
      <x:c r="M327" s="28" t="n">
        <x:v>0</x:v>
      </x:c>
      <x:c r="N327" s="28" t="n">
        <x:v>2.3283064365386963e-10</x:v>
      </x:c>
      <x:c r="O327" s="28" t="n">
        <x:v>7.450580596923828e-9</x:v>
      </x:c>
      <x:c r="P327" s="28" t="n">
        <x:v>0</x:v>
      </x:c>
      <x:c r="Q327" s="62" t="b">
        <x:v>1</x:v>
      </x:c>
      <x:c r="R327" s="28" t="n">
        <x:v>0</x:v>
      </x:c>
      <x:c r="S327" s="28" t="str">
        <x:v>eeedd37c2b336220</x:v>
      </x:c>
    </x:row>
    <x:row r="328" ht="21" customHeight="1">
      <x:c r="A328" s="60" t="n">
        <x:v>0.61</x:v>
      </x:c>
      <x:c r="B328" s="28" t="str">
        <x:v>middle_flat</x:v>
      </x:c>
      <x:c r="C328" s="60" t="n">
        <x:v>0.25</x:v>
      </x:c>
      <x:c r="D328" s="60" t="n">
        <x:v>0.25</x:v>
      </x:c>
      <x:c r="E328" s="62" t="b">
        <x:v>1</x:v>
      </x:c>
      <x:c r="F328" s="62" t="b">
        <x:v>1</x:v>
      </x:c>
      <x:c r="G328" s="85" t="n">
        <x:v>0</x:v>
      </x:c>
      <x:c r="H328" s="85" t="n">
        <x:v>0</x:v>
      </x:c>
      <x:c r="I328" s="85" t="n">
        <x:v>3729660.194840397</x:v>
      </x:c>
      <x:c r="J328" s="85" t="n">
        <x:v>2960046.598801156</x:v>
      </x:c>
      <x:c r="K328" s="85" t="n">
        <x:v>54228.99534246559</x:v>
      </x:c>
      <x:c r="L328" s="28" t="n">
        <x:v>0</x:v>
      </x:c>
      <x:c r="M328" s="28" t="n">
        <x:v>0</x:v>
      </x:c>
      <x:c r="N328" s="28" t="n">
        <x:v>2.3283064365386963e-10</x:v>
      </x:c>
      <x:c r="O328" s="28" t="n">
        <x:v>7.450580596923828e-9</x:v>
      </x:c>
      <x:c r="P328" s="28" t="n">
        <x:v>0</x:v>
      </x:c>
      <x:c r="Q328" s="62" t="b">
        <x:v>1</x:v>
      </x:c>
      <x:c r="R328" s="28" t="n">
        <x:v>0</x:v>
      </x:c>
      <x:c r="S328" s="28" t="str">
        <x:v>c46497d6fd3474fe</x:v>
      </x:c>
    </x:row>
    <x:row r="329" ht="21" customHeight="1">
      <x:c r="A329" s="60" t="n">
        <x:v>0.61</x:v>
      </x:c>
      <x:c r="B329" s="28" t="str">
        <x:v>middle_flat</x:v>
      </x:c>
      <x:c r="C329" s="60" t="n">
        <x:v>0.3</x:v>
      </x:c>
      <x:c r="D329" s="60" t="n">
        <x:v>0.3</x:v>
      </x:c>
      <x:c r="E329" s="62" t="b">
        <x:v>1</x:v>
      </x:c>
      <x:c r="F329" s="62" t="b">
        <x:v>1</x:v>
      </x:c>
      <x:c r="G329" s="85" t="n">
        <x:v>0</x:v>
      </x:c>
      <x:c r="H329" s="85" t="n">
        <x:v>0</x:v>
      </x:c>
      <x:c r="I329" s="85" t="n">
        <x:v>4952900.237061566</x:v>
      </x:c>
      <x:c r="J329" s="85" t="n">
        <x:v>4666935.918561379</x:v>
      </x:c>
      <x:c r="K329" s="85" t="n">
        <x:v>38571.50641095949</x:v>
      </x:c>
      <x:c r="L329" s="28" t="n">
        <x:v>0</x:v>
      </x:c>
      <x:c r="M329" s="28" t="n">
        <x:v>0</x:v>
      </x:c>
      <x:c r="N329" s="28" t="n">
        <x:v>4.656612873077393e-10</x:v>
      </x:c>
      <x:c r="O329" s="28" t="n">
        <x:v>7.450580596923828e-9</x:v>
      </x:c>
      <x:c r="P329" s="28" t="n">
        <x:v>0</x:v>
      </x:c>
      <x:c r="Q329" s="62" t="b">
        <x:v>1</x:v>
      </x:c>
      <x:c r="R329" s="28" t="n">
        <x:v>0</x:v>
      </x:c>
      <x:c r="S329" s="28" t="str">
        <x:v>8ba10ad457398024</x:v>
      </x:c>
    </x:row>
    <x:row r="330" ht="21" customHeight="1">
      <x:c r="A330" s="60" t="n">
        <x:v>0.61</x:v>
      </x:c>
      <x:c r="B330" s="28" t="str">
        <x:v>middle_flat</x:v>
      </x:c>
      <x:c r="C330" s="60" t="n">
        <x:v>0.35</x:v>
      </x:c>
      <x:c r="D330" s="60" t="n">
        <x:v>0.35</x:v>
      </x:c>
      <x:c r="E330" s="62" t="b">
        <x:v>1</x:v>
      </x:c>
      <x:c r="F330" s="62" t="b">
        <x:v>1</x:v>
      </x:c>
      <x:c r="G330" s="85" t="n">
        <x:v>0</x:v>
      </x:c>
      <x:c r="H330" s="85" t="n">
        <x:v>0</x:v>
      </x:c>
      <x:c r="I330" s="85" t="n">
        <x:v>6190033.688663159</x:v>
      </x:c>
      <x:c r="J330" s="85" t="n">
        <x:v>6373825.238321616</x:v>
      </x:c>
      <x:c r="K330" s="85" t="n">
        <x:v>32352.09331506834</x:v>
      </x:c>
      <x:c r="L330" s="28" t="n">
        <x:v>0</x:v>
      </x:c>
      <x:c r="M330" s="28" t="n">
        <x:v>0</x:v>
      </x:c>
      <x:c r="N330" s="28" t="n">
        <x:v>9.313225746154785e-10</x:v>
      </x:c>
      <x:c r="O330" s="28" t="n">
        <x:v>7.450580596923828e-9</x:v>
      </x:c>
      <x:c r="P330" s="28" t="n">
        <x:v>0</x:v>
      </x:c>
      <x:c r="Q330" s="62" t="b">
        <x:v>1</x:v>
      </x:c>
      <x:c r="R330" s="28" t="n">
        <x:v>0</x:v>
      </x:c>
      <x:c r="S330" s="28" t="str">
        <x:v>f8f0f9eb045d5fab</x:v>
      </x:c>
    </x:row>
    <x:row r="331" ht="21" customHeight="1">
      <x:c r="A331" s="60" t="n">
        <x:v>0.61</x:v>
      </x:c>
      <x:c r="B331" s="28" t="str">
        <x:v>middle_flat</x:v>
      </x:c>
      <x:c r="C331" s="60" t="n">
        <x:v>0.4</x:v>
      </x:c>
      <x:c r="D331" s="60" t="n">
        <x:v>0.4</x:v>
      </x:c>
      <x:c r="E331" s="62" t="b">
        <x:v>1</x:v>
      </x:c>
      <x:c r="F331" s="62" t="b">
        <x:v>1</x:v>
      </x:c>
      <x:c r="G331" s="85" t="n">
        <x:v>0</x:v>
      </x:c>
      <x:c r="H331" s="85" t="n">
        <x:v>0</x:v>
      </x:c>
      <x:c r="I331" s="85" t="n">
        <x:v>7427167.140264743</x:v>
      </x:c>
      <x:c r="J331" s="85" t="n">
        <x:v>8080714.55808184</x:v>
      </x:c>
      <x:c r="K331" s="85" t="n">
        <x:v>27586.15923287685</x:v>
      </x:c>
      <x:c r="L331" s="28" t="n">
        <x:v>0</x:v>
      </x:c>
      <x:c r="M331" s="28" t="n">
        <x:v>0</x:v>
      </x:c>
      <x:c r="N331" s="28" t="n">
        <x:v>4.656612873077393e-10</x:v>
      </x:c>
      <x:c r="O331" s="28" t="n">
        <x:v>3.725290298461914e-9</x:v>
      </x:c>
      <x:c r="P331" s="28" t="n">
        <x:v>0</x:v>
      </x:c>
      <x:c r="Q331" s="62" t="b">
        <x:v>1</x:v>
      </x:c>
      <x:c r="R331" s="28" t="n">
        <x:v>0</x:v>
      </x:c>
      <x:c r="S331" s="28" t="str">
        <x:v>a7f936ec3ca99fb1</x:v>
      </x:c>
    </x:row>
    <x:row r="332" ht="21" customHeight="1">
      <x:c r="A332" s="60" t="n">
        <x:v>0.61</x:v>
      </x:c>
      <x:c r="B332" s="28" t="str">
        <x:v>middle_flat</x:v>
      </x:c>
      <x:c r="C332" s="60" t="n">
        <x:v>0.45</x:v>
      </x:c>
      <x:c r="D332" s="60" t="n">
        <x:v>0.45</x:v>
      </x:c>
      <x:c r="E332" s="62" t="b">
        <x:v>1</x:v>
      </x:c>
      <x:c r="F332" s="62" t="b">
        <x:v>1</x:v>
      </x:c>
      <x:c r="G332" s="85" t="n">
        <x:v>0</x:v>
      </x:c>
      <x:c r="H332" s="85" t="n">
        <x:v>0</x:v>
      </x:c>
      <x:c r="I332" s="85" t="n">
        <x:v>8655380.503783867</x:v>
      </x:c>
      <x:c r="J332" s="85" t="n">
        <x:v>9787603.877842072</x:v>
      </x:c>
      <x:c r="K332" s="85" t="n">
        <x:v>22820.22515068512</x:v>
      </x:c>
      <x:c r="L332" s="28" t="n">
        <x:v>0</x:v>
      </x:c>
      <x:c r="M332" s="28" t="n">
        <x:v>0</x:v>
      </x:c>
      <x:c r="N332" s="28" t="n">
        <x:v>9.313225746154785e-10</x:v>
      </x:c>
      <x:c r="O332" s="28" t="n">
        <x:v>1.862645149230957e-9</x:v>
      </x:c>
      <x:c r="P332" s="28" t="n">
        <x:v>0</x:v>
      </x:c>
      <x:c r="Q332" s="62" t="b">
        <x:v>1</x:v>
      </x:c>
      <x:c r="R332" s="28" t="n">
        <x:v>0</x:v>
      </x:c>
      <x:c r="S332" s="28" t="str">
        <x:v>fa4d173699f3a2d9</x:v>
      </x:c>
    </x:row>
    <x:row r="333" ht="21" customHeight="1">
      <x:c r="A333" s="60" t="n">
        <x:v>0.61</x:v>
      </x:c>
      <x:c r="B333" s="28" t="str">
        <x:v>middle_flat</x:v>
      </x:c>
      <x:c r="C333" s="60" t="n">
        <x:v>0.5</x:v>
      </x:c>
      <x:c r="D333" s="60" t="n">
        <x:v>0.5</x:v>
      </x:c>
      <x:c r="E333" s="62" t="b">
        <x:v>1</x:v>
      </x:c>
      <x:c r="F333" s="62" t="b">
        <x:v>1</x:v>
      </x:c>
      <x:c r="G333" s="85" t="n">
        <x:v>0</x:v>
      </x:c>
      <x:c r="H333" s="85" t="n">
        <x:v>0</x:v>
      </x:c>
      <x:c r="I333" s="85" t="n">
        <x:v>10122861.352355804</x:v>
      </x:c>
      <x:c r="J333" s="85" t="n">
        <x:v>10927148.977037791</x:v>
      </x:c>
      <x:c r="K333" s="85" t="n">
        <x:v>18054.29106849363</x:v>
      </x:c>
      <x:c r="L333" s="28" t="n">
        <x:v>5</x:v>
      </x:c>
      <x:c r="M333" s="28" t="n">
        <x:v>0</x:v>
      </x:c>
      <x:c r="N333" s="28" t="n">
        <x:v>4.656612873077393e-10</x:v>
      </x:c>
      <x:c r="O333" s="28" t="n">
        <x:v>7.450580596923828e-9</x:v>
      </x:c>
      <x:c r="P333" s="28" t="n">
        <x:v>0</x:v>
      </x:c>
      <x:c r="Q333" s="62" t="b">
        <x:v>1</x:v>
      </x:c>
      <x:c r="R333" s="28" t="n">
        <x:v>0</x:v>
      </x:c>
      <x:c r="S333" s="28" t="str">
        <x:v>bf2fbdba2b664323</x:v>
      </x:c>
    </x:row>
    <x:row r="334" ht="21" customHeight="1">
      <x:c r="A334" s="60" t="n">
        <x:v>0.61</x:v>
      </x:c>
      <x:c r="B334" s="28" t="str">
        <x:v>middle_flat</x:v>
      </x:c>
      <x:c r="C334" s="60" t="n">
        <x:v>0.55</x:v>
      </x:c>
      <x:c r="D334" s="60" t="n">
        <x:v>0.55</x:v>
      </x:c>
      <x:c r="E334" s="62" t="b">
        <x:v>1</x:v>
      </x:c>
      <x:c r="F334" s="62" t="b">
        <x:v>1</x:v>
      </x:c>
      <x:c r="G334" s="85" t="n">
        <x:v>0</x:v>
      </x:c>
      <x:c r="H334" s="85" t="n">
        <x:v>0</x:v>
      </x:c>
      <x:c r="I334" s="85" t="n">
        <x:v>11465792.775047915</x:v>
      </x:c>
      <x:c r="J334" s="85" t="n">
        <x:v>12357865.086212207</x:v>
      </x:c>
      <x:c r="K334" s="85" t="n">
        <x:v>13288.35698630143</x:v>
      </x:c>
      <x:c r="L334" s="28" t="n">
        <x:v>9</x:v>
      </x:c>
      <x:c r="M334" s="28" t="n">
        <x:v>0</x:v>
      </x:c>
      <x:c r="N334" s="28" t="n">
        <x:v>4.656612873077393e-10</x:v>
      </x:c>
      <x:c r="O334" s="28" t="n">
        <x:v>7.450580596923828e-9</x:v>
      </x:c>
      <x:c r="P334" s="28" t="n">
        <x:v>0</x:v>
      </x:c>
      <x:c r="Q334" s="62" t="b">
        <x:v>1</x:v>
      </x:c>
      <x:c r="R334" s="28" t="n">
        <x:v>0</x:v>
      </x:c>
      <x:c r="S334" s="28" t="str">
        <x:v>c70141bbdfd31b2f</x:v>
      </x:c>
    </x:row>
    <x:row r="335" ht="21" customHeight="1">
      <x:c r="A335" s="60" t="n">
        <x:v>0.61</x:v>
      </x:c>
      <x:c r="B335" s="28" t="str">
        <x:v>middle_flat</x:v>
      </x:c>
      <x:c r="C335" s="60" t="n">
        <x:v>0.6</x:v>
      </x:c>
      <x:c r="D335" s="60" t="n">
        <x:v>0.6</x:v>
      </x:c>
      <x:c r="E335" s="62" t="b">
        <x:v>1</x:v>
      </x:c>
      <x:c r="F335" s="62" t="b">
        <x:v>1</x:v>
      </x:c>
      <x:c r="G335" s="85" t="n">
        <x:v>0</x:v>
      </x:c>
      <x:c r="H335" s="85" t="n">
        <x:v>0</x:v>
      </x:c>
      <x:c r="I335" s="85" t="n">
        <x:v>12694698.09632788</x:v>
      </x:c>
      <x:c r="J335" s="85" t="n">
        <x:v>14027503.174943523</x:v>
      </x:c>
      <x:c r="K335" s="85" t="n">
        <x:v>8522.42290410959</x:v>
      </x:c>
      <x:c r="L335" s="28" t="n">
        <x:v>13</x:v>
      </x:c>
      <x:c r="M335" s="28" t="n">
        <x:v>2</x:v>
      </x:c>
      <x:c r="N335" s="28" t="n">
        <x:v>4.656612873077393e-10</x:v>
      </x:c>
      <x:c r="O335" s="28" t="n">
        <x:v>3.725290298461914e-9</x:v>
      </x:c>
      <x:c r="P335" s="28" t="n">
        <x:v>0</x:v>
      </x:c>
      <x:c r="Q335" s="62" t="b">
        <x:v>1</x:v>
      </x:c>
      <x:c r="R335" s="28" t="n">
        <x:v>0</x:v>
      </x:c>
      <x:c r="S335" s="28" t="str">
        <x:v>0a54305c4b60608f</x:v>
      </x:c>
    </x:row>
    <x:row r="336" ht="21" customHeight="1">
      <x:c r="A336" s="60" t="n">
        <x:v>0.61</x:v>
      </x:c>
      <x:c r="B336" s="28" t="str">
        <x:v>middle_flat</x:v>
      </x:c>
      <x:c r="C336" s="60" t="n">
        <x:v>0.65</x:v>
      </x:c>
      <x:c r="D336" s="60" t="n">
        <x:v>0.65</x:v>
      </x:c>
      <x:c r="E336" s="62" t="b">
        <x:v>1</x:v>
      </x:c>
      <x:c r="F336" s="62" t="b">
        <x:v>1</x:v>
      </x:c>
      <x:c r="G336" s="85" t="n">
        <x:v>0</x:v>
      </x:c>
      <x:c r="H336" s="85" t="n">
        <x:v>0</x:v>
      </x:c>
      <x:c r="I336" s="85" t="n">
        <x:v>13847684.400069026</x:v>
      </x:c>
      <x:c r="J336" s="85" t="n">
        <x:v>15829898.367101524</x:v>
      </x:c>
      <x:c r="K336" s="85" t="n">
        <x:v>4753.444931507263</x:v>
      </x:c>
      <x:c r="L336" s="28" t="n">
        <x:v>19</x:v>
      </x:c>
      <x:c r="M336" s="28" t="n">
        <x:v>11</x:v>
      </x:c>
      <x:c r="N336" s="28" t="n">
        <x:v>4.656612873077393e-10</x:v>
      </x:c>
      <x:c r="O336" s="28" t="n">
        <x:v>1.862645149230957e-9</x:v>
      </x:c>
      <x:c r="P336" s="28" t="n">
        <x:v>0</x:v>
      </x:c>
      <x:c r="Q336" s="62" t="b">
        <x:v>1</x:v>
      </x:c>
      <x:c r="R336" s="28" t="n">
        <x:v>0</x:v>
      </x:c>
      <x:c r="S336" s="28" t="str">
        <x:v>40d64ff77f1693e1</x:v>
      </x:c>
    </x:row>
    <x:row r="337" ht="21" customHeight="1">
      <x:c r="A337" s="60" t="n">
        <x:v>0.61</x:v>
      </x:c>
      <x:c r="B337" s="28" t="str">
        <x:v>middle_flat</x:v>
      </x:c>
      <x:c r="C337" s="60" t="n">
        <x:v>0.7</x:v>
      </x:c>
      <x:c r="D337" s="60" t="n">
        <x:v>0.7</x:v>
      </x:c>
      <x:c r="E337" s="62" t="b">
        <x:v>1</x:v>
      </x:c>
      <x:c r="F337" s="62" t="b">
        <x:v>0</x:v>
      </x:c>
      <x:c r="G337" s="85" t="n">
        <x:v>329066.41465056635</x:v>
      </x:c>
      <x:c r="H337" s="85" t="n">
        <x:v>1769682.928893333</x:v>
      </x:c>
      <x:c r="I337" s="85" t="n">
        <x:v>14205221.70399567</x:v>
      </x:c>
      <x:c r="J337" s="85" t="n">
        <x:v>16165760.000000002</x:v>
      </x:c>
      <x:c r="K337" s="85" t="n">
        <x:v>3149.3095890412005</x:v>
      </x:c>
      <x:c r="L337" s="28" t="n">
        <x:v>40</x:v>
      </x:c>
      <x:c r="M337" s="28" t="n">
        <x:v>34</x:v>
      </x:c>
      <x:c r="N337" s="28" t="n">
        <x:v>4.656612873077393e-10</x:v>
      </x:c>
      <x:c r="O337" s="28" t="n">
        <x:v>3.725290298461914e-9</x:v>
      </x:c>
      <x:c r="P337" s="28" t="n">
        <x:v>0</x:v>
      </x:c>
      <x:c r="Q337" s="62" t="b">
        <x:v>1</x:v>
      </x:c>
      <x:c r="R337" s="28" t="n">
        <x:v>0</x:v>
      </x:c>
      <x:c r="S337" s="28" t="str">
        <x:v>27a2c8857366e991</x:v>
      </x:c>
    </x:row>
    <x:row r="338" ht="21" customHeight="1">
      <x:c r="A338" s="60" t="n">
        <x:v>0.61</x:v>
      </x:c>
      <x:c r="B338" s="28" t="str">
        <x:v>middle_flat</x:v>
      </x:c>
      <x:c r="C338" s="60" t="n">
        <x:v>0.75</x:v>
      </x:c>
      <x:c r="D338" s="60" t="n">
        <x:v>0.75</x:v>
      </x:c>
      <x:c r="E338" s="62" t="b">
        <x:v>1</x:v>
      </x:c>
      <x:c r="F338" s="62" t="b">
        <x:v>0</x:v>
      </x:c>
      <x:c r="G338" s="85" t="n">
        <x:v>803216.3495831016</x:v>
      </x:c>
      <x:c r="H338" s="85" t="n">
        <x:v>4076942.5256891707</x:v>
      </x:c>
      <x:c r="I338" s="85" t="n">
        <x:v>14261112.808645068</x:v>
      </x:c>
      <x:c r="J338" s="85" t="n">
        <x:v>16165760.000000002</x:v>
      </x:c>
      <x:c r="K338" s="85" t="n">
        <x:v>1545.1742465753705</x:v>
      </x:c>
      <x:c r="L338" s="28" t="n">
        <x:v>40</x:v>
      </x:c>
      <x:c r="M338" s="28" t="n">
        <x:v>36</x:v>
      </x:c>
      <x:c r="N338" s="28" t="n">
        <x:v>4.656612873077393e-10</x:v>
      </x:c>
      <x:c r="O338" s="28" t="n">
        <x:v>3.725290298461914e-9</x:v>
      </x:c>
      <x:c r="P338" s="28" t="n">
        <x:v>0</x:v>
      </x:c>
      <x:c r="Q338" s="62" t="b">
        <x:v>1</x:v>
      </x:c>
      <x:c r="R338" s="28" t="n">
        <x:v>0</x:v>
      </x:c>
      <x:c r="S338" s="28" t="str">
        <x:v>690f882f577a1122</x:v>
      </x:c>
    </x:row>
    <x:row r="339" ht="21" customHeight="1">
      <x:c r="A339" s="60" t="n">
        <x:v>0.61</x:v>
      </x:c>
      <x:c r="B339" s="28" t="str">
        <x:v>middle_flat</x:v>
      </x:c>
      <x:c r="C339" s="60" t="n">
        <x:v>0.8</x:v>
      </x:c>
      <x:c r="D339" s="60" t="n">
        <x:v>0.8</x:v>
      </x:c>
      <x:c r="E339" s="62" t="b">
        <x:v>1</x:v>
      </x:c>
      <x:c r="F339" s="62" t="b">
        <x:v>0</x:v>
      </x:c>
      <x:c r="G339" s="85" t="n">
        <x:v>1199179.3079344612</x:v>
      </x:c>
      <x:c r="H339" s="85" t="n">
        <x:v>6071531.699951991</x:v>
      </x:c>
      <x:c r="I339" s="85" t="n">
        <x:v>14500792.986421917</x:v>
      </x:c>
      <x:c r="J339" s="85" t="n">
        <x:v>16165760.000000002</x:v>
      </x:c>
      <x:c r="K339" s="85" t="n">
        <x:v>0</x:v>
      </x:c>
      <x:c r="L339" s="28" t="n">
        <x:v>41</x:v>
      </x:c>
      <x:c r="M339" s="28" t="n">
        <x:v>36</x:v>
      </x:c>
      <x:c r="N339" s="28" t="n">
        <x:v>2.3283064365386963e-10</x:v>
      </x:c>
      <x:c r="O339" s="28" t="n">
        <x:v>1.862645149230957e-9</x:v>
      </x:c>
      <x:c r="P339" s="28" t="n">
        <x:v>0</x:v>
      </x:c>
      <x:c r="Q339" s="62" t="b">
        <x:v>1</x:v>
      </x:c>
      <x:c r="R339" s="28" t="n">
        <x:v>0</x:v>
      </x:c>
      <x:c r="S339" s="28" t="str">
        <x:v>fad670d1c4aa4b80</x:v>
      </x:c>
    </x:row>
    <x:row r="340" ht="21" customHeight="1">
      <x:c r="A340" s="60" t="n">
        <x:v>0.61</x:v>
      </x:c>
      <x:c r="B340" s="28" t="str">
        <x:v>middle_flat</x:v>
      </x:c>
      <x:c r="C340" s="60" t="n">
        <x:v>0.85</x:v>
      </x:c>
      <x:c r="D340" s="60" t="n">
        <x:v>0.85</x:v>
      </x:c>
      <x:c r="E340" s="62" t="b">
        <x:v>1</x:v>
      </x:c>
      <x:c r="F340" s="62" t="b">
        <x:v>0</x:v>
      </x:c>
      <x:c r="G340" s="85" t="n">
        <x:v>1755428.1178208152</x:v>
      </x:c>
      <x:c r="H340" s="85" t="n">
        <x:v>8184151.912881626</x:v>
      </x:c>
      <x:c r="I340" s="85" t="n">
        <x:v>14542667.89312808</x:v>
      </x:c>
      <x:c r="J340" s="85" t="n">
        <x:v>16165760.000000002</x:v>
      </x:c>
      <x:c r="K340" s="85" t="n">
        <x:v>0</x:v>
      </x:c>
      <x:c r="L340" s="28" t="n">
        <x:v>41</x:v>
      </x:c>
      <x:c r="M340" s="28" t="n">
        <x:v>38</x:v>
      </x:c>
      <x:c r="N340" s="28" t="n">
        <x:v>4.656612873077393e-10</x:v>
      </x:c>
      <x:c r="O340" s="28" t="n">
        <x:v>3.725290298461914e-9</x:v>
      </x:c>
      <x:c r="P340" s="28" t="n">
        <x:v>0</x:v>
      </x:c>
      <x:c r="Q340" s="62" t="b">
        <x:v>1</x:v>
      </x:c>
      <x:c r="R340" s="28" t="n">
        <x:v>0</x:v>
      </x:c>
      <x:c r="S340" s="28" t="str">
        <x:v>2fc85a5dc3f26d24</x:v>
      </x:c>
    </x:row>
    <x:row r="341" ht="21" customHeight="1">
      <x:c r="A341" s="60" t="n">
        <x:v>0.61</x:v>
      </x:c>
      <x:c r="B341" s="28" t="str">
        <x:v>middle_flat</x:v>
      </x:c>
      <x:c r="C341" s="60" t="n">
        <x:v>0.9</x:v>
      </x:c>
      <x:c r="D341" s="60" t="n">
        <x:v>0.9</x:v>
      </x:c>
      <x:c r="E341" s="62" t="b">
        <x:v>1</x:v>
      </x:c>
      <x:c r="F341" s="62" t="b">
        <x:v>0</x:v>
      </x:c>
      <x:c r="G341" s="85" t="n">
        <x:v>2490188.155704795</x:v>
      </x:c>
      <x:c r="H341" s="85" t="n">
        <x:v>9888176.237306582</x:v>
      </x:c>
      <x:c r="I341" s="85" t="n">
        <x:v>14762190.311348328</x:v>
      </x:c>
      <x:c r="J341" s="85" t="n">
        <x:v>16165760.000000002</x:v>
      </x:c>
      <x:c r="K341" s="85" t="n">
        <x:v>0</x:v>
      </x:c>
      <x:c r="L341" s="28" t="n">
        <x:v>42</x:v>
      </x:c>
      <x:c r="M341" s="28" t="n">
        <x:v>38</x:v>
      </x:c>
      <x:c r="N341" s="28" t="n">
        <x:v>2.3283064365386963e-10</x:v>
      </x:c>
      <x:c r="O341" s="28" t="n">
        <x:v>3.725290298461914e-9</x:v>
      </x:c>
      <x:c r="P341" s="28" t="n">
        <x:v>0</x:v>
      </x:c>
      <x:c r="Q341" s="62" t="b">
        <x:v>1</x:v>
      </x:c>
      <x:c r="R341" s="28" t="n">
        <x:v>0</x:v>
      </x:c>
      <x:c r="S341" s="28" t="str">
        <x:v>e3d35523768bc65e</x:v>
      </x:c>
    </x:row>
    <x:row r="342" ht="21" customHeight="1">
      <x:c r="A342" s="60" t="n">
        <x:v>0.61</x:v>
      </x:c>
      <x:c r="B342" s="28" t="str">
        <x:v>middle_flat</x:v>
      </x:c>
      <x:c r="C342" s="60" t="n">
        <x:v>0.95</x:v>
      </x:c>
      <x:c r="D342" s="60" t="n">
        <x:v>0.9270639118581285</x:v>
      </x:c>
      <x:c r="E342" s="62" t="b">
        <x:v>0</x:v>
      </x:c>
      <x:c r="F342" s="62" t="b">
        <x:v>0</x:v>
      </x:c>
      <x:c r="G342" s="85" t="n">
        <x:v>2865782.212944514</x:v>
      </x:c>
      <x:c r="H342" s="85" t="n">
        <x:v>10850281.1887966</x:v>
      </x:c>
      <x:c r="I342" s="85" t="n">
        <x:v>14792067.972091425</x:v>
      </x:c>
      <x:c r="J342" s="85" t="n">
        <x:v>16165760.000000002</x:v>
      </x:c>
      <x:c r="K342" s="85" t="n">
        <x:v>0</x:v>
      </x:c>
      <x:c r="L342" s="28" t="n">
        <x:v>42</x:v>
      </x:c>
      <x:c r="M342" s="28" t="n">
        <x:v>38</x:v>
      </x:c>
      <x:c r="N342" s="28" t="n">
        <x:v>2.3283064365386963e-10</x:v>
      </x:c>
      <x:c r="O342" s="28" t="n">
        <x:v>3.725290298461914e-9</x:v>
      </x:c>
      <x:c r="P342" s="28" t="n">
        <x:v>0</x:v>
      </x:c>
      <x:c r="Q342" s="62" t="b">
        <x:v>1</x:v>
      </x:c>
      <x:c r="R342" s="28" t="n">
        <x:v>1278549.2973804846</x:v>
      </x:c>
      <x:c r="S342" s="28" t="str">
        <x:v>9c211ace8355a5ca</x:v>
      </x:c>
    </x:row>
    <x:row r="343" ht="21" customHeight="1">
      <x:c r="A343" s="60" t="n">
        <x:v>0.61</x:v>
      </x:c>
      <x:c r="B343" s="28" t="str">
        <x:v>middle_flat</x:v>
      </x:c>
      <x:c r="C343" s="60" t="n">
        <x:v>1</x:v>
      </x:c>
      <x:c r="D343" s="60" t="n">
        <x:v>0.9427455891708479</x:v>
      </x:c>
      <x:c r="E343" s="62" t="b">
        <x:v>0</x:v>
      </x:c>
      <x:c r="F343" s="62" t="b">
        <x:v>0</x:v>
      </x:c>
      <x:c r="G343" s="85" t="n">
        <x:v>3115831.8770579468</x:v>
      </x:c>
      <x:c r="H343" s="85" t="n">
        <x:v>11321612.66202913</x:v>
      </x:c>
      <x:c r="I343" s="85" t="n">
        <x:v>15021773.56858904</x:v>
      </x:c>
      <x:c r="J343" s="85" t="n">
        <x:v>16165760.000000002</x:v>
      </x:c>
      <x:c r="K343" s="85" t="n">
        <x:v>0</x:v>
      </x:c>
      <x:c r="L343" s="28" t="n">
        <x:v>43</x:v>
      </x:c>
      <x:c r="M343" s="28" t="n">
        <x:v>39</x:v>
      </x:c>
      <x:c r="N343" s="28" t="n">
        <x:v>2.3283064365386963e-10</x:v>
      </x:c>
      <x:c r="O343" s="28" t="n">
        <x:v>9.313225746154785e-10</x:v>
      </x:c>
      <x:c r="P343" s="28" t="n">
        <x:v>0</x:v>
      </x:c>
      <x:c r="Q343" s="62" t="b">
        <x:v>1</x:v>
      </x:c>
      <x:c r="R343" s="28" t="n">
        <x:v>3191589.877260253</x:v>
      </x:c>
      <x:c r="S343" s="28" t="str">
        <x:v>3d8262767db49b70</x:v>
      </x:c>
    </x:row>
    <x:row r="344" ht="21" customHeight="1">
      <x:c r="A344" s="60" t="n">
        <x:v>0.61</x:v>
      </x:c>
      <x:c r="B344" s="28" t="str">
        <x:v>middle_low</x:v>
      </x:c>
      <x:c r="C344" s="60" t="n">
        <x:v>0</x:v>
      </x:c>
      <x:c r="D344" s="60" t="n">
        <x:v>0</x:v>
      </x:c>
      <x:c r="E344" s="62" t="b">
        <x:v>1</x:v>
      </x:c>
      <x:c r="F344" s="62" t="b">
        <x:v>1</x:v>
      </x:c>
      <x:c r="G344" s="85" t="n">
        <x:v>0</x:v>
      </x:c>
      <x:c r="H344" s="85" t="n">
        <x:v>0</x:v>
      </x:c>
      <x:c r="I344" s="85" t="n">
        <x:v>0</x:v>
      </x:c>
      <x:c r="J344" s="85" t="n">
        <x:v>0</x:v>
      </x:c>
      <x:c r="K344" s="85" t="n">
        <x:v>4885910.034191779</x:v>
      </x:c>
      <x:c r="L344" s="28" t="n">
        <x:v>0</x:v>
      </x:c>
      <x:c r="M344" s="28" t="n">
        <x:v>0</x:v>
      </x:c>
      <x:c r="N344" s="28" t="n">
        <x:v>4.656612873077393e-10</x:v>
      </x:c>
      <x:c r="O344" s="28" t="n">
        <x:v>0</x:v>
      </x:c>
      <x:c r="P344" s="28" t="n">
        <x:v>0</x:v>
      </x:c>
      <x:c r="Q344" s="62" t="b">
        <x:v>1</x:v>
      </x:c>
      <x:c r="R344" s="28" t="n">
        <x:v>0</x:v>
      </x:c>
      <x:c r="S344" s="28" t="str">
        <x:v>c18f21f1eb3b3ce6</x:v>
      </x:c>
    </x:row>
    <x:row r="345" ht="21" customHeight="1">
      <x:c r="A345" s="60" t="n">
        <x:v>0.61</x:v>
      </x:c>
      <x:c r="B345" s="28" t="str">
        <x:v>middle_low</x:v>
      </x:c>
      <x:c r="C345" s="60" t="n">
        <x:v>0.05</x:v>
      </x:c>
      <x:c r="D345" s="60" t="n">
        <x:v>0.05</x:v>
      </x:c>
      <x:c r="E345" s="62" t="b">
        <x:v>1</x:v>
      </x:c>
      <x:c r="F345" s="62" t="b">
        <x:v>1</x:v>
      </x:c>
      <x:c r="G345" s="85" t="n">
        <x:v>0</x:v>
      </x:c>
      <x:c r="H345" s="85" t="n">
        <x:v>0</x:v>
      </x:c>
      <x:c r="I345" s="85" t="n">
        <x:v>0</x:v>
      </x:c>
      <x:c r="J345" s="85" t="n">
        <x:v>0</x:v>
      </x:c>
      <x:c r="K345" s="85" t="n">
        <x:v>2873417.3477341942</x:v>
      </x:c>
      <x:c r="L345" s="28" t="n">
        <x:v>0</x:v>
      </x:c>
      <x:c r="M345" s="28" t="n">
        <x:v>0</x:v>
      </x:c>
      <x:c r="N345" s="28" t="n">
        <x:v>2.3283064365386963e-10</x:v>
      </x:c>
      <x:c r="O345" s="28" t="n">
        <x:v>7.450580596923828e-9</x:v>
      </x:c>
      <x:c r="P345" s="28" t="n">
        <x:v>0</x:v>
      </x:c>
      <x:c r="Q345" s="62" t="b">
        <x:v>1</x:v>
      </x:c>
      <x:c r="R345" s="28" t="n">
        <x:v>0</x:v>
      </x:c>
      <x:c r="S345" s="28" t="str">
        <x:v>5087687d72b4c049</x:v>
      </x:c>
    </x:row>
    <x:row r="346" ht="21" customHeight="1">
      <x:c r="A346" s="60" t="n">
        <x:v>0.61</x:v>
      </x:c>
      <x:c r="B346" s="28" t="str">
        <x:v>middle_low</x:v>
      </x:c>
      <x:c r="C346" s="60" t="n">
        <x:v>0.1</x:v>
      </x:c>
      <x:c r="D346" s="60" t="n">
        <x:v>0.1</x:v>
      </x:c>
      <x:c r="E346" s="62" t="b">
        <x:v>1</x:v>
      </x:c>
      <x:c r="F346" s="62" t="b">
        <x:v>1</x:v>
      </x:c>
      <x:c r="G346" s="85" t="n">
        <x:v>0</x:v>
      </x:c>
      <x:c r="H346" s="85" t="n">
        <x:v>0</x:v>
      </x:c>
      <x:c r="I346" s="85" t="n">
        <x:v>0</x:v>
      </x:c>
      <x:c r="J346" s="85" t="n">
        <x:v>0</x:v>
      </x:c>
      <x:c r="K346" s="85" t="n">
        <x:v>860708.6072212551</x:v>
      </x:c>
      <x:c r="L346" s="28" t="n">
        <x:v>0</x:v>
      </x:c>
      <x:c r="M346" s="28" t="n">
        <x:v>0</x:v>
      </x:c>
      <x:c r="N346" s="28" t="n">
        <x:v>9.313225746154785e-10</x:v>
      </x:c>
      <x:c r="O346" s="28" t="n">
        <x:v>7.450580596923828e-9</x:v>
      </x:c>
      <x:c r="P346" s="28" t="n">
        <x:v>0</x:v>
      </x:c>
      <x:c r="Q346" s="62" t="b">
        <x:v>1</x:v>
      </x:c>
      <x:c r="R346" s="28" t="n">
        <x:v>0</x:v>
      </x:c>
      <x:c r="S346" s="28" t="str">
        <x:v>7652311abe13339e</x:v>
      </x:c>
    </x:row>
    <x:row r="347" ht="21" customHeight="1">
      <x:c r="A347" s="60" t="n">
        <x:v>0.61</x:v>
      </x:c>
      <x:c r="B347" s="28" t="str">
        <x:v>middle_low</x:v>
      </x:c>
      <x:c r="C347" s="60" t="n">
        <x:v>0.15</x:v>
      </x:c>
      <x:c r="D347" s="60" t="n">
        <x:v>0.15</x:v>
      </x:c>
      <x:c r="E347" s="62" t="b">
        <x:v>1</x:v>
      </x:c>
      <x:c r="F347" s="62" t="b">
        <x:v>1</x:v>
      </x:c>
      <x:c r="G347" s="85" t="n">
        <x:v>0</x:v>
      </x:c>
      <x:c r="H347" s="85" t="n">
        <x:v>0</x:v>
      </x:c>
      <x:c r="I347" s="85" t="n">
        <x:v>884557.3654888191</x:v>
      </x:c>
      <x:c r="J347" s="85" t="n">
        <x:v>0</x:v>
      </x:c>
      <x:c r="K347" s="85" t="n">
        <x:v>0</x:v>
      </x:c>
      <x:c r="L347" s="28" t="n">
        <x:v>0</x:v>
      </x:c>
      <x:c r="M347" s="28" t="n">
        <x:v>0</x:v>
      </x:c>
      <x:c r="N347" s="28" t="n">
        <x:v>4.656612873077393e-10</x:v>
      </x:c>
      <x:c r="O347" s="28" t="n">
        <x:v>7.450580596923828e-9</x:v>
      </x:c>
      <x:c r="P347" s="28" t="n">
        <x:v>0</x:v>
      </x:c>
      <x:c r="Q347" s="62" t="b">
        <x:v>1</x:v>
      </x:c>
      <x:c r="R347" s="28" t="n">
        <x:v>0</x:v>
      </x:c>
      <x:c r="S347" s="28" t="str">
        <x:v>4f181e2496a329cd</x:v>
      </x:c>
    </x:row>
    <x:row r="348" ht="21" customHeight="1">
      <x:c r="A348" s="60" t="n">
        <x:v>0.61</x:v>
      </x:c>
      <x:c r="B348" s="28" t="str">
        <x:v>middle_low</x:v>
      </x:c>
      <x:c r="C348" s="60" t="n">
        <x:v>0.2</x:v>
      </x:c>
      <x:c r="D348" s="60" t="n">
        <x:v>0.2</x:v>
      </x:c>
      <x:c r="E348" s="62" t="b">
        <x:v>1</x:v>
      </x:c>
      <x:c r="F348" s="62" t="b">
        <x:v>1</x:v>
      </x:c>
      <x:c r="G348" s="85" t="n">
        <x:v>0</x:v>
      </x:c>
      <x:c r="H348" s="85" t="n">
        <x:v>0</x:v>
      </x:c>
      <x:c r="I348" s="85" t="n">
        <x:v>2051245.2745420567</x:v>
      </x:c>
      <x:c r="J348" s="85" t="n">
        <x:v>1253157.2790409208</x:v>
      </x:c>
      <x:c r="K348" s="85" t="n">
        <x:v>0</x:v>
      </x:c>
      <x:c r="L348" s="28" t="n">
        <x:v>0</x:v>
      </x:c>
      <x:c r="M348" s="28" t="n">
        <x:v>0</x:v>
      </x:c>
      <x:c r="N348" s="28" t="n">
        <x:v>4.656612873077393e-10</x:v>
      </x:c>
      <x:c r="O348" s="28" t="n">
        <x:v>7.450580596923828e-9</x:v>
      </x:c>
      <x:c r="P348" s="28" t="n">
        <x:v>0</x:v>
      </x:c>
      <x:c r="Q348" s="62" t="b">
        <x:v>1</x:v>
      </x:c>
      <x:c r="R348" s="28" t="n">
        <x:v>0</x:v>
      </x:c>
      <x:c r="S348" s="28" t="str">
        <x:v>d901988a80771668</x:v>
      </x:c>
    </x:row>
    <x:row r="349" ht="21" customHeight="1">
      <x:c r="A349" s="60" t="n">
        <x:v>0.61</x:v>
      </x:c>
      <x:c r="B349" s="28" t="str">
        <x:v>middle_low</x:v>
      </x:c>
      <x:c r="C349" s="60" t="n">
        <x:v>0.25</x:v>
      </x:c>
      <x:c r="D349" s="60" t="n">
        <x:v>0.25</x:v>
      </x:c>
      <x:c r="E349" s="62" t="b">
        <x:v>1</x:v>
      </x:c>
      <x:c r="F349" s="62" t="b">
        <x:v>1</x:v>
      </x:c>
      <x:c r="G349" s="85" t="n">
        <x:v>0</x:v>
      </x:c>
      <x:c r="H349" s="85" t="n">
        <x:v>0</x:v>
      </x:c>
      <x:c r="I349" s="85" t="n">
        <x:v>2855716.1364457556</x:v>
      </x:c>
      <x:c r="J349" s="85" t="n">
        <x:v>2960046.598801156</x:v>
      </x:c>
      <x:c r="K349" s="85" t="n">
        <x:v>0</x:v>
      </x:c>
      <x:c r="L349" s="28" t="n">
        <x:v>0</x:v>
      </x:c>
      <x:c r="M349" s="28" t="n">
        <x:v>0</x:v>
      </x:c>
      <x:c r="N349" s="28" t="n">
        <x:v>4.656612873077393e-10</x:v>
      </x:c>
      <x:c r="O349" s="28" t="n">
        <x:v>7.450580596923828e-9</x:v>
      </x:c>
      <x:c r="P349" s="28" t="n">
        <x:v>0</x:v>
      </x:c>
      <x:c r="Q349" s="62" t="b">
        <x:v>1</x:v>
      </x:c>
      <x:c r="R349" s="28" t="n">
        <x:v>0</x:v>
      </x:c>
      <x:c r="S349" s="28" t="str">
        <x:v>bd546104db9dc03c</x:v>
      </x:c>
    </x:row>
    <x:row r="350" ht="21" customHeight="1">
      <x:c r="A350" s="60" t="n">
        <x:v>0.61</x:v>
      </x:c>
      <x:c r="B350" s="28" t="str">
        <x:v>middle_low</x:v>
      </x:c>
      <x:c r="C350" s="60" t="n">
        <x:v>0.3</x:v>
      </x:c>
      <x:c r="D350" s="60" t="n">
        <x:v>0.3</x:v>
      </x:c>
      <x:c r="E350" s="62" t="b">
        <x:v>1</x:v>
      </x:c>
      <x:c r="F350" s="62" t="b">
        <x:v>1</x:v>
      </x:c>
      <x:c r="G350" s="85" t="n">
        <x:v>0</x:v>
      </x:c>
      <x:c r="H350" s="85" t="n">
        <x:v>0</x:v>
      </x:c>
      <x:c r="I350" s="85" t="n">
        <x:v>3663255.770573259</x:v>
      </x:c>
      <x:c r="J350" s="85" t="n">
        <x:v>4666935.918561379</x:v>
      </x:c>
      <x:c r="K350" s="85" t="n">
        <x:v>0</x:v>
      </x:c>
      <x:c r="L350" s="28" t="n">
        <x:v>0</x:v>
      </x:c>
      <x:c r="M350" s="28" t="n">
        <x:v>0</x:v>
      </x:c>
      <x:c r="N350" s="28" t="n">
        <x:v>2.3283064365386963e-10</x:v>
      </x:c>
      <x:c r="O350" s="28" t="n">
        <x:v>7.450580596923828e-9</x:v>
      </x:c>
      <x:c r="P350" s="28" t="n">
        <x:v>0</x:v>
      </x:c>
      <x:c r="Q350" s="62" t="b">
        <x:v>1</x:v>
      </x:c>
      <x:c r="R350" s="28" t="n">
        <x:v>0</x:v>
      </x:c>
      <x:c r="S350" s="28" t="str">
        <x:v>d023fed565778a7f</x:v>
      </x:c>
    </x:row>
    <x:row r="351" ht="21" customHeight="1">
      <x:c r="A351" s="60" t="n">
        <x:v>0.61</x:v>
      </x:c>
      <x:c r="B351" s="28" t="str">
        <x:v>middle_low</x:v>
      </x:c>
      <x:c r="C351" s="60" t="n">
        <x:v>0.35</x:v>
      </x:c>
      <x:c r="D351" s="60" t="n">
        <x:v>0.35</x:v>
      </x:c>
      <x:c r="E351" s="62" t="b">
        <x:v>1</x:v>
      </x:c>
      <x:c r="F351" s="62" t="b">
        <x:v>1</x:v>
      </x:c>
      <x:c r="G351" s="85" t="n">
        <x:v>0</x:v>
      </x:c>
      <x:c r="H351" s="85" t="n">
        <x:v>0</x:v>
      </x:c>
      <x:c r="I351" s="85" t="n">
        <x:v>4470795.404700766</x:v>
      </x:c>
      <x:c r="J351" s="85" t="n">
        <x:v>6373825.238321616</x:v>
      </x:c>
      <x:c r="K351" s="85" t="n">
        <x:v>0</x:v>
      </x:c>
      <x:c r="L351" s="28" t="n">
        <x:v>0</x:v>
      </x:c>
      <x:c r="M351" s="28" t="n">
        <x:v>0</x:v>
      </x:c>
      <x:c r="N351" s="28" t="n">
        <x:v>4.656612873077393e-10</x:v>
      </x:c>
      <x:c r="O351" s="28" t="n">
        <x:v>7.450580596923828e-9</x:v>
      </x:c>
      <x:c r="P351" s="28" t="n">
        <x:v>0</x:v>
      </x:c>
      <x:c r="Q351" s="62" t="b">
        <x:v>1</x:v>
      </x:c>
      <x:c r="R351" s="28" t="n">
        <x:v>0</x:v>
      </x:c>
      <x:c r="S351" s="28" t="str">
        <x:v>f954fb076a913bf6</x:v>
      </x:c>
    </x:row>
    <x:row r="352" ht="21" customHeight="1">
      <x:c r="A352" s="60" t="n">
        <x:v>0.61</x:v>
      </x:c>
      <x:c r="B352" s="28" t="str">
        <x:v>middle_low</x:v>
      </x:c>
      <x:c r="C352" s="60" t="n">
        <x:v>0.4</x:v>
      </x:c>
      <x:c r="D352" s="60" t="n">
        <x:v>0.4</x:v>
      </x:c>
      <x:c r="E352" s="62" t="b">
        <x:v>1</x:v>
      </x:c>
      <x:c r="F352" s="62" t="b">
        <x:v>1</x:v>
      </x:c>
      <x:c r="G352" s="85" t="n">
        <x:v>0</x:v>
      </x:c>
      <x:c r="H352" s="85" t="n">
        <x:v>0</x:v>
      </x:c>
      <x:c r="I352" s="85" t="n">
        <x:v>5281615.199266627</x:v>
      </x:c>
      <x:c r="J352" s="85" t="n">
        <x:v>8080714.55808184</x:v>
      </x:c>
      <x:c r="K352" s="85" t="n">
        <x:v>0</x:v>
      </x:c>
      <x:c r="L352" s="28" t="n">
        <x:v>0</x:v>
      </x:c>
      <x:c r="M352" s="28" t="n">
        <x:v>0</x:v>
      </x:c>
      <x:c r="N352" s="28" t="n">
        <x:v>2.3283064365386963e-10</x:v>
      </x:c>
      <x:c r="O352" s="28" t="n">
        <x:v>3.725290298461914e-9</x:v>
      </x:c>
      <x:c r="P352" s="28" t="n">
        <x:v>0</x:v>
      </x:c>
      <x:c r="Q352" s="62" t="b">
        <x:v>1</x:v>
      </x:c>
      <x:c r="R352" s="28" t="n">
        <x:v>0</x:v>
      </x:c>
      <x:c r="S352" s="28" t="str">
        <x:v>e671bd5aa619da52</x:v>
      </x:c>
    </x:row>
    <x:row r="353" ht="21" customHeight="1">
      <x:c r="A353" s="60" t="n">
        <x:v>0.61</x:v>
      </x:c>
      <x:c r="B353" s="28" t="str">
        <x:v>middle_low</x:v>
      </x:c>
      <x:c r="C353" s="60" t="n">
        <x:v>0.45</x:v>
      </x:c>
      <x:c r="D353" s="60" t="n">
        <x:v>0.45</x:v>
      </x:c>
      <x:c r="E353" s="62" t="b">
        <x:v>1</x:v>
      </x:c>
      <x:c r="F353" s="62" t="b">
        <x:v>1</x:v>
      </x:c>
      <x:c r="G353" s="85" t="n">
        <x:v>0</x:v>
      </x:c>
      <x:c r="H353" s="85" t="n">
        <x:v>0</x:v>
      </x:c>
      <x:c r="I353" s="85" t="n">
        <x:v>6086474.946517155</x:v>
      </x:c>
      <x:c r="J353" s="85" t="n">
        <x:v>9787603.877842072</x:v>
      </x:c>
      <x:c r="K353" s="85" t="n">
        <x:v>0</x:v>
      </x:c>
      <x:c r="L353" s="28" t="n">
        <x:v>0</x:v>
      </x:c>
      <x:c r="M353" s="28" t="n">
        <x:v>0</x:v>
      </x:c>
      <x:c r="N353" s="28" t="n">
        <x:v>2.3283064365386963e-10</x:v>
      </x:c>
      <x:c r="O353" s="28" t="n">
        <x:v>1.862645149230957e-9</x:v>
      </x:c>
      <x:c r="P353" s="28" t="n">
        <x:v>0</x:v>
      </x:c>
      <x:c r="Q353" s="62" t="b">
        <x:v>1</x:v>
      </x:c>
      <x:c r="R353" s="28" t="n">
        <x:v>0</x:v>
      </x:c>
      <x:c r="S353" s="28" t="str">
        <x:v>3b8cc079451e1d5f</x:v>
      </x:c>
    </x:row>
    <x:row r="354" ht="21" customHeight="1">
      <x:c r="A354" s="60" t="n">
        <x:v>0.61</x:v>
      </x:c>
      <x:c r="B354" s="28" t="str">
        <x:v>middle_low</x:v>
      </x:c>
      <x:c r="C354" s="60" t="n">
        <x:v>0.5</x:v>
      </x:c>
      <x:c r="D354" s="60" t="n">
        <x:v>0.5</x:v>
      </x:c>
      <x:c r="E354" s="62" t="b">
        <x:v>1</x:v>
      </x:c>
      <x:c r="F354" s="62" t="b">
        <x:v>1</x:v>
      </x:c>
      <x:c r="G354" s="85" t="n">
        <x:v>0</x:v>
      </x:c>
      <x:c r="H354" s="85" t="n">
        <x:v>0</x:v>
      </x:c>
      <x:c r="I354" s="85" t="n">
        <x:v>7173350.603482294</x:v>
      </x:c>
      <x:c r="J354" s="85" t="n">
        <x:v>11039403.873220507</x:v>
      </x:c>
      <x:c r="K354" s="85" t="n">
        <x:v>0</x:v>
      </x:c>
      <x:c r="L354" s="28" t="n">
        <x:v>5</x:v>
      </x:c>
      <x:c r="M354" s="28" t="n">
        <x:v>0</x:v>
      </x:c>
      <x:c r="N354" s="28" t="n">
        <x:v>4.656612873077393e-10</x:v>
      </x:c>
      <x:c r="O354" s="28" t="n">
        <x:v>7.450580596923828e-9</x:v>
      </x:c>
      <x:c r="P354" s="28" t="n">
        <x:v>0</x:v>
      </x:c>
      <x:c r="Q354" s="62" t="b">
        <x:v>1</x:v>
      </x:c>
      <x:c r="R354" s="28" t="n">
        <x:v>0</x:v>
      </x:c>
      <x:c r="S354" s="28" t="str">
        <x:v>8854d678a76bef44</x:v>
      </x:c>
    </x:row>
    <x:row r="355" ht="21" customHeight="1">
      <x:c r="A355" s="60" t="n">
        <x:v>0.61</x:v>
      </x:c>
      <x:c r="B355" s="28" t="str">
        <x:v>middle_low</x:v>
      </x:c>
      <x:c r="C355" s="60" t="n">
        <x:v>0.55</x:v>
      </x:c>
      <x:c r="D355" s="60" t="n">
        <x:v>0.55</x:v>
      </x:c>
      <x:c r="E355" s="62" t="b">
        <x:v>1</x:v>
      </x:c>
      <x:c r="F355" s="62" t="b">
        <x:v>1</x:v>
      </x:c>
      <x:c r="G355" s="85" t="n">
        <x:v>0</x:v>
      </x:c>
      <x:c r="H355" s="85" t="n">
        <x:v>0</x:v>
      </x:c>
      <x:c r="I355" s="85" t="n">
        <x:v>8151287.18071865</x:v>
      </x:c>
      <x:c r="J355" s="85" t="n">
        <x:v>12453870.260111824</x:v>
      </x:c>
      <x:c r="K355" s="85" t="n">
        <x:v>0</x:v>
      </x:c>
      <x:c r="L355" s="28" t="n">
        <x:v>10</x:v>
      </x:c>
      <x:c r="M355" s="28" t="n">
        <x:v>0</x:v>
      </x:c>
      <x:c r="N355" s="28" t="n">
        <x:v>4.656612873077393e-10</x:v>
      </x:c>
      <x:c r="O355" s="28" t="n">
        <x:v>7.450580596923828e-9</x:v>
      </x:c>
      <x:c r="P355" s="28" t="n">
        <x:v>0</x:v>
      </x:c>
      <x:c r="Q355" s="62" t="b">
        <x:v>1</x:v>
      </x:c>
      <x:c r="R355" s="28" t="n">
        <x:v>0</x:v>
      </x:c>
      <x:c r="S355" s="28" t="str">
        <x:v>926f27765be63952</x:v>
      </x:c>
    </x:row>
    <x:row r="356" ht="21" customHeight="1">
      <x:c r="A356" s="60" t="n">
        <x:v>0.61</x:v>
      </x:c>
      <x:c r="B356" s="28" t="str">
        <x:v>middle_low</x:v>
      </x:c>
      <x:c r="C356" s="60" t="n">
        <x:v>0.6</x:v>
      </x:c>
      <x:c r="D356" s="60" t="n">
        <x:v>0.6</x:v>
      </x:c>
      <x:c r="E356" s="62" t="b">
        <x:v>1</x:v>
      </x:c>
      <x:c r="F356" s="62" t="b">
        <x:v>1</x:v>
      </x:c>
      <x:c r="G356" s="85" t="n">
        <x:v>0</x:v>
      </x:c>
      <x:c r="H356" s="85" t="n">
        <x:v>0</x:v>
      </x:c>
      <x:c r="I356" s="85" t="n">
        <x:v>8961016.864571018</x:v>
      </x:c>
      <x:c r="J356" s="85" t="n">
        <x:v>14112916.663906265</x:v>
      </x:c>
      <x:c r="K356" s="85" t="n">
        <x:v>0</x:v>
      </x:c>
      <x:c r="L356" s="28" t="n">
        <x:v>13</x:v>
      </x:c>
      <x:c r="M356" s="28" t="n">
        <x:v>0</x:v>
      </x:c>
      <x:c r="N356" s="28" t="n">
        <x:v>4.656612873077393e-10</x:v>
      </x:c>
      <x:c r="O356" s="28" t="n">
        <x:v>3.725290298461914e-9</x:v>
      </x:c>
      <x:c r="P356" s="28" t="n">
        <x:v>0</x:v>
      </x:c>
      <x:c r="Q356" s="62" t="b">
        <x:v>1</x:v>
      </x:c>
      <x:c r="R356" s="28" t="n">
        <x:v>0</x:v>
      </x:c>
      <x:c r="S356" s="28" t="str">
        <x:v>69040c420654e97f</x:v>
      </x:c>
    </x:row>
    <x:row r="357" ht="21" customHeight="1">
      <x:c r="A357" s="60" t="n">
        <x:v>0.61</x:v>
      </x:c>
      <x:c r="B357" s="28" t="str">
        <x:v>middle_low</x:v>
      </x:c>
      <x:c r="C357" s="60" t="n">
        <x:v>0.65</x:v>
      </x:c>
      <x:c r="D357" s="60" t="n">
        <x:v>0.65</x:v>
      </x:c>
      <x:c r="E357" s="62" t="b">
        <x:v>1</x:v>
      </x:c>
      <x:c r="F357" s="62" t="b">
        <x:v>1</x:v>
      </x:c>
      <x:c r="G357" s="85" t="n">
        <x:v>0</x:v>
      </x:c>
      <x:c r="H357" s="85" t="n">
        <x:v>0</x:v>
      </x:c>
      <x:c r="I357" s="85" t="n">
        <x:v>9745241.801591014</x:v>
      </x:c>
      <x:c r="J357" s="85" t="n">
        <x:v>15799699.378335878</x:v>
      </x:c>
      <x:c r="K357" s="85" t="n">
        <x:v>0</x:v>
      </x:c>
      <x:c r="L357" s="28" t="n">
        <x:v>19</x:v>
      </x:c>
      <x:c r="M357" s="28" t="n">
        <x:v>0</x:v>
      </x:c>
      <x:c r="N357" s="28" t="n">
        <x:v>2.3283064365386963e-10</x:v>
      </x:c>
      <x:c r="O357" s="28" t="n">
        <x:v>1.862645149230957e-9</x:v>
      </x:c>
      <x:c r="P357" s="28" t="n">
        <x:v>0</x:v>
      </x:c>
      <x:c r="Q357" s="62" t="b">
        <x:v>1</x:v>
      </x:c>
      <x:c r="R357" s="28" t="n">
        <x:v>0</x:v>
      </x:c>
      <x:c r="S357" s="28" t="str">
        <x:v>33e4aeb09c6f888f</x:v>
      </x:c>
    </x:row>
    <x:row r="358" ht="21" customHeight="1">
      <x:c r="A358" s="60" t="n">
        <x:v>0.61</x:v>
      </x:c>
      <x:c r="B358" s="28" t="str">
        <x:v>middle_low</x:v>
      </x:c>
      <x:c r="C358" s="60" t="n">
        <x:v>0.7</x:v>
      </x:c>
      <x:c r="D358" s="60" t="n">
        <x:v>0.7</x:v>
      </x:c>
      <x:c r="E358" s="62" t="b">
        <x:v>1</x:v>
      </x:c>
      <x:c r="F358" s="62" t="b">
        <x:v>0</x:v>
      </x:c>
      <x:c r="G358" s="85" t="n">
        <x:v>119439.21540658349</x:v>
      </x:c>
      <x:c r="H358" s="85" t="n">
        <x:v>1488685.353751747</x:v>
      </x:c>
      <x:c r="I358" s="85" t="n">
        <x:v>10008489.879942248</x:v>
      </x:c>
      <x:c r="J358" s="85" t="n">
        <x:v>16165760.000000002</x:v>
      </x:c>
      <x:c r="K358" s="85" t="n">
        <x:v>0</x:v>
      </x:c>
      <x:c r="L358" s="28" t="n">
        <x:v>40</x:v>
      </x:c>
      <x:c r="M358" s="28" t="n">
        <x:v>31</x:v>
      </x:c>
      <x:c r="N358" s="28" t="n">
        <x:v>4.656612873077393e-10</x:v>
      </x:c>
      <x:c r="O358" s="28" t="n">
        <x:v>3.725290298461914e-9</x:v>
      </x:c>
      <x:c r="P358" s="28" t="n">
        <x:v>0</x:v>
      </x:c>
      <x:c r="Q358" s="62" t="b">
        <x:v>1</x:v>
      </x:c>
      <x:c r="R358" s="28" t="n">
        <x:v>0</x:v>
      </x:c>
      <x:c r="S358" s="28" t="str">
        <x:v>9d65ca6179793221</x:v>
      </x:c>
    </x:row>
    <x:row r="359" ht="21" customHeight="1">
      <x:c r="A359" s="60" t="n">
        <x:v>0.61</x:v>
      </x:c>
      <x:c r="B359" s="28" t="str">
        <x:v>middle_low</x:v>
      </x:c>
      <x:c r="C359" s="60" t="n">
        <x:v>0.75</x:v>
      </x:c>
      <x:c r="D359" s="60" t="n">
        <x:v>0.75</x:v>
      </x:c>
      <x:c r="E359" s="62" t="b">
        <x:v>1</x:v>
      </x:c>
      <x:c r="F359" s="62" t="b">
        <x:v>0</x:v>
      </x:c>
      <x:c r="G359" s="85" t="n">
        <x:v>282303.5617001868</x:v>
      </x:c>
      <x:c r="H359" s="85" t="n">
        <x:v>3513875.8199525704</x:v>
      </x:c>
      <x:c r="I359" s="85" t="n">
        <x:v>10040142.486004658</x:v>
      </x:c>
      <x:c r="J359" s="85" t="n">
        <x:v>16165760.000000002</x:v>
      </x:c>
      <x:c r="K359" s="85" t="n">
        <x:v>0</x:v>
      </x:c>
      <x:c r="L359" s="28" t="n">
        <x:v>40</x:v>
      </x:c>
      <x:c r="M359" s="28" t="n">
        <x:v>32</x:v>
      </x:c>
      <x:c r="N359" s="28" t="n">
        <x:v>2.3283064365386963e-10</x:v>
      </x:c>
      <x:c r="O359" s="28" t="n">
        <x:v>3.725290298461914e-9</x:v>
      </x:c>
      <x:c r="P359" s="28" t="n">
        <x:v>0</x:v>
      </x:c>
      <x:c r="Q359" s="62" t="b">
        <x:v>1</x:v>
      </x:c>
      <x:c r="R359" s="28" t="n">
        <x:v>0</x:v>
      </x:c>
      <x:c r="S359" s="28" t="str">
        <x:v>9f8474e82b611c80</x:v>
      </x:c>
    </x:row>
    <x:row r="360" ht="21" customHeight="1">
      <x:c r="A360" s="60" t="n">
        <x:v>0.61</x:v>
      </x:c>
      <x:c r="B360" s="28" t="str">
        <x:v>middle_low</x:v>
      </x:c>
      <x:c r="C360" s="60" t="n">
        <x:v>0.8</x:v>
      </x:c>
      <x:c r="D360" s="60" t="n">
        <x:v>0.8</x:v>
      </x:c>
      <x:c r="E360" s="62" t="b">
        <x:v>1</x:v>
      </x:c>
      <x:c r="F360" s="62" t="b">
        <x:v>0</x:v>
      </x:c>
      <x:c r="G360" s="85" t="n">
        <x:v>449935.90950430307</x:v>
      </x:c>
      <x:c r="H360" s="85" t="n">
        <x:v>5353779.254742334</x:v>
      </x:c>
      <x:c r="I360" s="85" t="n">
        <x:v>10217863.243682193</x:v>
      </x:c>
      <x:c r="J360" s="85" t="n">
        <x:v>16165760.000000002</x:v>
      </x:c>
      <x:c r="K360" s="85" t="n">
        <x:v>0</x:v>
      </x:c>
      <x:c r="L360" s="28" t="n">
        <x:v>41</x:v>
      </x:c>
      <x:c r="M360" s="28" t="n">
        <x:v>34</x:v>
      </x:c>
      <x:c r="N360" s="28" t="n">
        <x:v>4.656612873077393e-10</x:v>
      </x:c>
      <x:c r="O360" s="28" t="n">
        <x:v>1.862645149230957e-9</x:v>
      </x:c>
      <x:c r="P360" s="28" t="n">
        <x:v>0</x:v>
      </x:c>
      <x:c r="Q360" s="62" t="b">
        <x:v>1</x:v>
      </x:c>
      <x:c r="R360" s="28" t="n">
        <x:v>0</x:v>
      </x:c>
      <x:c r="S360" s="28" t="str">
        <x:v>1023b087593dd9eb</x:v>
      </x:c>
    </x:row>
    <x:row r="361" ht="21" customHeight="1">
      <x:c r="A361" s="60" t="n">
        <x:v>0.61</x:v>
      </x:c>
      <x:c r="B361" s="28" t="str">
        <x:v>middle_low</x:v>
      </x:c>
      <x:c r="C361" s="60" t="n">
        <x:v>0.85</x:v>
      </x:c>
      <x:c r="D361" s="60" t="n">
        <x:v>0.85</x:v>
      </x:c>
      <x:c r="E361" s="62" t="b">
        <x:v>1</x:v>
      </x:c>
      <x:c r="F361" s="62" t="b">
        <x:v>0</x:v>
      </x:c>
      <x:c r="G361" s="85" t="n">
        <x:v>624750.3589477796</x:v>
      </x:c>
      <x:c r="H361" s="85" t="n">
        <x:v>7315146.607225045</x:v>
      </x:c>
      <x:c r="I361" s="85" t="n">
        <x:v>10242420.79761507</x:v>
      </x:c>
      <x:c r="J361" s="85" t="n">
        <x:v>16165760.000000002</x:v>
      </x:c>
      <x:c r="K361" s="85" t="n">
        <x:v>0</x:v>
      </x:c>
      <x:c r="L361" s="28" t="n">
        <x:v>41</x:v>
      </x:c>
      <x:c r="M361" s="28" t="n">
        <x:v>34</x:v>
      </x:c>
      <x:c r="N361" s="28" t="n">
        <x:v>4.656612873077393e-10</x:v>
      </x:c>
      <x:c r="O361" s="28" t="n">
        <x:v>3.725290298461914e-9</x:v>
      </x:c>
      <x:c r="P361" s="28" t="n">
        <x:v>0</x:v>
      </x:c>
      <x:c r="Q361" s="62" t="b">
        <x:v>1</x:v>
      </x:c>
      <x:c r="R361" s="28" t="n">
        <x:v>0</x:v>
      </x:c>
      <x:c r="S361" s="28" t="str">
        <x:v>ae7c06883d8c6a6b</x:v>
      </x:c>
    </x:row>
    <x:row r="362" ht="21" customHeight="1">
      <x:c r="A362" s="60" t="n">
        <x:v>0.61</x:v>
      </x:c>
      <x:c r="B362" s="28" t="str">
        <x:v>middle_low</x:v>
      </x:c>
      <x:c r="C362" s="60" t="n">
        <x:v>0.9</x:v>
      </x:c>
      <x:c r="D362" s="60" t="n">
        <x:v>0.9</x:v>
      </x:c>
      <x:c r="E362" s="62" t="b">
        <x:v>1</x:v>
      </x:c>
      <x:c r="F362" s="62" t="b">
        <x:v>0</x:v>
      </x:c>
      <x:c r="G362" s="85" t="n">
        <x:v>869150.1219440104</x:v>
      </x:c>
      <x:c r="H362" s="85" t="n">
        <x:v>9023432.901865248</x:v>
      </x:c>
      <x:c r="I362" s="85" t="n">
        <x:v>10407502.988799015</x:v>
      </x:c>
      <x:c r="J362" s="85" t="n">
        <x:v>16165760.000000002</x:v>
      </x:c>
      <x:c r="K362" s="85" t="n">
        <x:v>0</x:v>
      </x:c>
      <x:c r="L362" s="28" t="n">
        <x:v>42</x:v>
      </x:c>
      <x:c r="M362" s="28" t="n">
        <x:v>36</x:v>
      </x:c>
      <x:c r="N362" s="28" t="n">
        <x:v>2.3283064365386963e-10</x:v>
      </x:c>
      <x:c r="O362" s="28" t="n">
        <x:v>3.725290298461914e-9</x:v>
      </x:c>
      <x:c r="P362" s="28" t="n">
        <x:v>0</x:v>
      </x:c>
      <x:c r="Q362" s="62" t="b">
        <x:v>1</x:v>
      </x:c>
      <x:c r="R362" s="28" t="n">
        <x:v>0</x:v>
      </x:c>
      <x:c r="S362" s="28" t="str">
        <x:v>16ee26bb2c6df4d1</x:v>
      </x:c>
    </x:row>
    <x:row r="363" ht="21" customHeight="1">
      <x:c r="A363" s="60" t="n">
        <x:v>0.61</x:v>
      </x:c>
      <x:c r="B363" s="28" t="str">
        <x:v>middle_low</x:v>
      </x:c>
      <x:c r="C363" s="60" t="n">
        <x:v>0.95</x:v>
      </x:c>
      <x:c r="D363" s="60" t="n">
        <x:v>0.9270639118581285</x:v>
      </x:c>
      <x:c r="E363" s="62" t="b">
        <x:v>0</x:v>
      </x:c>
      <x:c r="F363" s="62" t="b">
        <x:v>0</x:v>
      </x:c>
      <x:c r="G363" s="85" t="n">
        <x:v>1133714.770875627</x:v>
      </x:c>
      <x:c r="H363" s="85" t="n">
        <x:v>9940327.448884284</x:v>
      </x:c>
      <x:c r="I363" s="85" t="n">
        <x:v>10427082.447549645</x:v>
      </x:c>
      <x:c r="J363" s="85" t="n">
        <x:v>16165760.000000002</x:v>
      </x:c>
      <x:c r="K363" s="85" t="n">
        <x:v>0</x:v>
      </x:c>
      <x:c r="L363" s="28" t="n">
        <x:v>42</x:v>
      </x:c>
      <x:c r="M363" s="28" t="n">
        <x:v>36</x:v>
      </x:c>
      <x:c r="N363" s="28" t="n">
        <x:v>2.3283064365386963e-10</x:v>
      </x:c>
      <x:c r="O363" s="28" t="n">
        <x:v>3.725290298461914e-9</x:v>
      </x:c>
      <x:c r="P363" s="28" t="n">
        <x:v>0</x:v>
      </x:c>
      <x:c r="Q363" s="62" t="b">
        <x:v>1</x:v>
      </x:c>
      <x:c r="R363" s="28" t="n">
        <x:v>1278549.2973804846</x:v>
      </x:c>
      <x:c r="S363" s="28" t="str">
        <x:v>4f761762159cb077</x:v>
      </x:c>
    </x:row>
    <x:row r="364" ht="21" customHeight="1">
      <x:c r="A364" s="60" t="n">
        <x:v>0.61</x:v>
      </x:c>
      <x:c r="B364" s="28" t="str">
        <x:v>middle_low</x:v>
      </x:c>
      <x:c r="C364" s="60" t="n">
        <x:v>1</x:v>
      </x:c>
      <x:c r="D364" s="60" t="n">
        <x:v>0.9427455891708479</x:v>
      </x:c>
      <x:c r="E364" s="62" t="b">
        <x:v>0</x:v>
      </x:c>
      <x:c r="F364" s="62" t="b">
        <x:v>0</x:v>
      </x:c>
      <x:c r="G364" s="85" t="n">
        <x:v>1239248.9018086737</x:v>
      </x:c>
      <x:c r="H364" s="85" t="n">
        <x:v>10427780.832242103</x:v>
      </x:c>
      <x:c r="I364" s="85" t="n">
        <x:v>10600883.89810959</x:v>
      </x:c>
      <x:c r="J364" s="85" t="n">
        <x:v>16165760.000000002</x:v>
      </x:c>
      <x:c r="K364" s="85" t="n">
        <x:v>0</x:v>
      </x:c>
      <x:c r="L364" s="28" t="n">
        <x:v>43</x:v>
      </x:c>
      <x:c r="M364" s="28" t="n">
        <x:v>37</x:v>
      </x:c>
      <x:c r="N364" s="28" t="n">
        <x:v>2.3283064365386963e-10</x:v>
      </x:c>
      <x:c r="O364" s="28" t="n">
        <x:v>9.313225746154785e-10</x:v>
      </x:c>
      <x:c r="P364" s="28" t="n">
        <x:v>0</x:v>
      </x:c>
      <x:c r="Q364" s="62" t="b">
        <x:v>1</x:v>
      </x:c>
      <x:c r="R364" s="28" t="n">
        <x:v>3191589.877260253</x:v>
      </x:c>
      <x:c r="S364" s="28" t="str">
        <x:v>b7d40f148d365030</x:v>
      </x:c>
    </x:row>
    <x:row r="365" ht="21" customHeight="1">
      <x:c r="A365" s="60" t="n">
        <x:v>0.61</x:v>
      </x:c>
      <x:c r="B365" s="28" t="str">
        <x:v>middle_high</x:v>
      </x:c>
      <x:c r="C365" s="60" t="n">
        <x:v>0</x:v>
      </x:c>
      <x:c r="D365" s="60" t="n">
        <x:v>0</x:v>
      </x:c>
      <x:c r="E365" s="62" t="b">
        <x:v>1</x:v>
      </x:c>
      <x:c r="F365" s="62" t="b">
        <x:v>1</x:v>
      </x:c>
      <x:c r="G365" s="85" t="n">
        <x:v>0</x:v>
      </x:c>
      <x:c r="H365" s="85" t="n">
        <x:v>0</x:v>
      </x:c>
      <x:c r="I365" s="85" t="n">
        <x:v>0</x:v>
      </x:c>
      <x:c r="J365" s="85" t="n">
        <x:v>0</x:v>
      </x:c>
      <x:c r="K365" s="85" t="n">
        <x:v>6575206.675287668</x:v>
      </x:c>
      <x:c r="L365" s="28" t="n">
        <x:v>0</x:v>
      </x:c>
      <x:c r="M365" s="28" t="n">
        <x:v>0</x:v>
      </x:c>
      <x:c r="N365" s="28" t="n">
        <x:v>9.313225746154785e-10</x:v>
      </x:c>
      <x:c r="O365" s="28" t="n">
        <x:v>0</x:v>
      </x:c>
      <x:c r="P365" s="28" t="n">
        <x:v>0</x:v>
      </x:c>
      <x:c r="Q365" s="62" t="b">
        <x:v>1</x:v>
      </x:c>
      <x:c r="R365" s="28" t="n">
        <x:v>0</x:v>
      </x:c>
      <x:c r="S365" s="28" t="str">
        <x:v>b8095e103ccdc4ca</x:v>
      </x:c>
    </x:row>
    <x:row r="366" ht="21" customHeight="1">
      <x:c r="A366" s="60" t="n">
        <x:v>0.61</x:v>
      </x:c>
      <x:c r="B366" s="28" t="str">
        <x:v>middle_high</x:v>
      </x:c>
      <x:c r="C366" s="60" t="n">
        <x:v>0.05</x:v>
      </x:c>
      <x:c r="D366" s="60" t="n">
        <x:v>0.05</x:v>
      </x:c>
      <x:c r="E366" s="62" t="b">
        <x:v>1</x:v>
      </x:c>
      <x:c r="F366" s="62" t="b">
        <x:v>1</x:v>
      </x:c>
      <x:c r="G366" s="85" t="n">
        <x:v>0</x:v>
      </x:c>
      <x:c r="H366" s="85" t="n">
        <x:v>0</x:v>
      </x:c>
      <x:c r="I366" s="85" t="n">
        <x:v>0</x:v>
      </x:c>
      <x:c r="J366" s="85" t="n">
        <x:v>0</x:v>
      </x:c>
      <x:c r="K366" s="85" t="n">
        <x:v>4065613.974907757</x:v>
      </x:c>
      <x:c r="L366" s="28" t="n">
        <x:v>0</x:v>
      </x:c>
      <x:c r="M366" s="28" t="n">
        <x:v>0</x:v>
      </x:c>
      <x:c r="N366" s="28" t="n">
        <x:v>9.313225746154785e-10</x:v>
      </x:c>
      <x:c r="O366" s="28" t="n">
        <x:v>7.450580596923828e-9</x:v>
      </x:c>
      <x:c r="P366" s="28" t="n">
        <x:v>0</x:v>
      </x:c>
      <x:c r="Q366" s="62" t="b">
        <x:v>1</x:v>
      </x:c>
      <x:c r="R366" s="28" t="n">
        <x:v>0</x:v>
      </x:c>
      <x:c r="S366" s="28" t="str">
        <x:v>69337dfd3e0bdcc4</x:v>
      </x:c>
    </x:row>
    <x:row r="367" ht="21" customHeight="1">
      <x:c r="A367" s="60" t="n">
        <x:v>0.61</x:v>
      </x:c>
      <x:c r="B367" s="28" t="str">
        <x:v>middle_high</x:v>
      </x:c>
      <x:c r="C367" s="60" t="n">
        <x:v>0.1</x:v>
      </x:c>
      <x:c r="D367" s="60" t="n">
        <x:v>0.1</x:v>
      </x:c>
      <x:c r="E367" s="62" t="b">
        <x:v>1</x:v>
      </x:c>
      <x:c r="F367" s="62" t="b">
        <x:v>1</x:v>
      </x:c>
      <x:c r="G367" s="85" t="n">
        <x:v>0</x:v>
      </x:c>
      <x:c r="H367" s="85" t="n">
        <x:v>0</x:v>
      </x:c>
      <x:c r="I367" s="85" t="n">
        <x:v>0</x:v>
      </x:c>
      <x:c r="J367" s="85" t="n">
        <x:v>0</x:v>
      </x:c>
      <x:c r="K367" s="85" t="n">
        <x:v>1555607.1709217872</x:v>
      </x:c>
      <x:c r="L367" s="28" t="n">
        <x:v>0</x:v>
      </x:c>
      <x:c r="M367" s="28" t="n">
        <x:v>0</x:v>
      </x:c>
      <x:c r="N367" s="28" t="n">
        <x:v>4.656612873077393e-10</x:v>
      </x:c>
      <x:c r="O367" s="28" t="n">
        <x:v>7.450580596923828e-9</x:v>
      </x:c>
      <x:c r="P367" s="28" t="n">
        <x:v>0</x:v>
      </x:c>
      <x:c r="Q367" s="62" t="b">
        <x:v>1</x:v>
      </x:c>
      <x:c r="R367" s="28" t="n">
        <x:v>0</x:v>
      </x:c>
      <x:c r="S367" s="28" t="str">
        <x:v>f0bc84f02371e76b</x:v>
      </x:c>
    </x:row>
    <x:row r="368" ht="21" customHeight="1">
      <x:c r="A368" s="60" t="n">
        <x:v>0.61</x:v>
      </x:c>
      <x:c r="B368" s="28" t="str">
        <x:v>middle_high</x:v>
      </x:c>
      <x:c r="C368" s="60" t="n">
        <x:v>0.15</x:v>
      </x:c>
      <x:c r="D368" s="60" t="n">
        <x:v>0.15</x:v>
      </x:c>
      <x:c r="E368" s="62" t="b">
        <x:v>1</x:v>
      </x:c>
      <x:c r="F368" s="62" t="b">
        <x:v>1</x:v>
      </x:c>
      <x:c r="G368" s="85" t="n">
        <x:v>0</x:v>
      </x:c>
      <x:c r="H368" s="85" t="n">
        <x:v>0</x:v>
      </x:c>
      <x:c r="I368" s="85" t="n">
        <x:v>1119138.1354385093</x:v>
      </x:c>
      <x:c r="J368" s="85" t="n">
        <x:v>0</x:v>
      </x:c>
      <x:c r="K368" s="85" t="n">
        <x:v>289577.04476057464</x:v>
      </x:c>
      <x:c r="L368" s="28" t="n">
        <x:v>0</x:v>
      </x:c>
      <x:c r="M368" s="28" t="n">
        <x:v>0</x:v>
      </x:c>
      <x:c r="N368" s="28" t="n">
        <x:v>9.313225746154785e-10</x:v>
      </x:c>
      <x:c r="O368" s="28" t="n">
        <x:v>7.450580596923828e-9</x:v>
      </x:c>
      <x:c r="P368" s="28" t="n">
        <x:v>0</x:v>
      </x:c>
      <x:c r="Q368" s="62" t="b">
        <x:v>1</x:v>
      </x:c>
      <x:c r="R368" s="28" t="n">
        <x:v>0</x:v>
      </x:c>
      <x:c r="S368" s="28" t="str">
        <x:v>d4ed464d5b2d8ed4</x:v>
      </x:c>
    </x:row>
    <x:row r="369" ht="21" customHeight="1">
      <x:c r="A369" s="60" t="n">
        <x:v>0.61</x:v>
      </x:c>
      <x:c r="B369" s="28" t="str">
        <x:v>middle_high</x:v>
      </x:c>
      <x:c r="C369" s="60" t="n">
        <x:v>0.2</x:v>
      </x:c>
      <x:c r="D369" s="60" t="n">
        <x:v>0.2</x:v>
      </x:c>
      <x:c r="E369" s="62" t="b">
        <x:v>1</x:v>
      </x:c>
      <x:c r="F369" s="62" t="b">
        <x:v>1</x:v>
      </x:c>
      <x:c r="G369" s="85" t="n">
        <x:v>0</x:v>
      </x:c>
      <x:c r="H369" s="85" t="n">
        <x:v>0</x:v>
      </x:c>
      <x:c r="I369" s="85" t="n">
        <x:v>3087757.747369837</x:v>
      </x:c>
      <x:c r="J369" s="85" t="n">
        <x:v>1253157.2790409208</x:v>
      </x:c>
      <x:c r="K369" s="85" t="n">
        <x:v>212222.5356237802</x:v>
      </x:c>
      <x:c r="L369" s="28" t="n">
        <x:v>0</x:v>
      </x:c>
      <x:c r="M369" s="28" t="n">
        <x:v>0</x:v>
      </x:c>
      <x:c r="N369" s="28" t="n">
        <x:v>4.656612873077393e-10</x:v>
      </x:c>
      <x:c r="O369" s="28" t="n">
        <x:v>7.450580596923828e-9</x:v>
      </x:c>
      <x:c r="P369" s="28" t="n">
        <x:v>0</x:v>
      </x:c>
      <x:c r="Q369" s="62" t="b">
        <x:v>1</x:v>
      </x:c>
      <x:c r="R369" s="28" t="n">
        <x:v>0</x:v>
      </x:c>
      <x:c r="S369" s="28" t="str">
        <x:v>859ff286299ce64f</x:v>
      </x:c>
    </x:row>
    <x:row r="370" ht="21" customHeight="1">
      <x:c r="A370" s="60" t="n">
        <x:v>0.61</x:v>
      </x:c>
      <x:c r="B370" s="28" t="str">
        <x:v>middle_high</x:v>
      </x:c>
      <x:c r="C370" s="60" t="n">
        <x:v>0.25</x:v>
      </x:c>
      <x:c r="D370" s="60" t="n">
        <x:v>0.25</x:v>
      </x:c>
      <x:c r="E370" s="62" t="b">
        <x:v>1</x:v>
      </x:c>
      <x:c r="F370" s="62" t="b">
        <x:v>1</x:v>
      </x:c>
      <x:c r="G370" s="85" t="n">
        <x:v>0</x:v>
      </x:c>
      <x:c r="H370" s="85" t="n">
        <x:v>0</x:v>
      </x:c>
      <x:c r="I370" s="85" t="n">
        <x:v>4786542.849067063</x:v>
      </x:c>
      <x:c r="J370" s="85" t="n">
        <x:v>2960046.598801156</x:v>
      </x:c>
      <x:c r="K370" s="85" t="n">
        <x:v>161066.94821917743</x:v>
      </x:c>
      <x:c r="L370" s="28" t="n">
        <x:v>0</x:v>
      </x:c>
      <x:c r="M370" s="28" t="n">
        <x:v>0</x:v>
      </x:c>
      <x:c r="N370" s="28" t="n">
        <x:v>4.656612873077393e-10</x:v>
      </x:c>
      <x:c r="O370" s="28" t="n">
        <x:v>7.450580596923828e-9</x:v>
      </x:c>
      <x:c r="P370" s="28" t="n">
        <x:v>0</x:v>
      </x:c>
      <x:c r="Q370" s="62" t="b">
        <x:v>1</x:v>
      </x:c>
      <x:c r="R370" s="28" t="n">
        <x:v>0</x:v>
      </x:c>
      <x:c r="S370" s="28" t="str">
        <x:v>b52dbf03e360f9e6</x:v>
      </x:c>
    </x:row>
    <x:row r="371" ht="21" customHeight="1">
      <x:c r="A371" s="60" t="n">
        <x:v>0.61</x:v>
      </x:c>
      <x:c r="B371" s="28" t="str">
        <x:v>middle_high</x:v>
      </x:c>
      <x:c r="C371" s="60" t="n">
        <x:v>0.3</x:v>
      </x:c>
      <x:c r="D371" s="60" t="n">
        <x:v>0.3</x:v>
      </x:c>
      <x:c r="E371" s="62" t="b">
        <x:v>1</x:v>
      </x:c>
      <x:c r="F371" s="62" t="b">
        <x:v>1</x:v>
      </x:c>
      <x:c r="G371" s="85" t="n">
        <x:v>0</x:v>
      </x:c>
      <x:c r="H371" s="85" t="n">
        <x:v>0</x:v>
      </x:c>
      <x:c r="I371" s="85" t="n">
        <x:v>6510585.347866769</x:v>
      </x:c>
      <x:c r="J371" s="85" t="n">
        <x:v>4666935.918561379</x:v>
      </x:c>
      <x:c r="K371" s="85" t="n">
        <x:v>137110.64986301362</x:v>
      </x:c>
      <x:c r="L371" s="28" t="n">
        <x:v>0</x:v>
      </x:c>
      <x:c r="M371" s="28" t="n">
        <x:v>0</x:v>
      </x:c>
      <x:c r="N371" s="28" t="n">
        <x:v>9.313225746154785e-10</x:v>
      </x:c>
      <x:c r="O371" s="28" t="n">
        <x:v>7.450580596923828e-9</x:v>
      </x:c>
      <x:c r="P371" s="28" t="n">
        <x:v>0</x:v>
      </x:c>
      <x:c r="Q371" s="62" t="b">
        <x:v>1</x:v>
      </x:c>
      <x:c r="R371" s="28" t="n">
        <x:v>0</x:v>
      </x:c>
      <x:c r="S371" s="28" t="str">
        <x:v>9237a35073279c7a</x:v>
      </x:c>
    </x:row>
    <x:row r="372" ht="21" customHeight="1">
      <x:c r="A372" s="60" t="n">
        <x:v>0.61</x:v>
      </x:c>
      <x:c r="B372" s="28" t="str">
        <x:v>middle_high</x:v>
      </x:c>
      <x:c r="C372" s="60" t="n">
        <x:v>0.35</x:v>
      </x:c>
      <x:c r="D372" s="60" t="n">
        <x:v>0.35</x:v>
      </x:c>
      <x:c r="E372" s="62" t="b">
        <x:v>1</x:v>
      </x:c>
      <x:c r="F372" s="62" t="b">
        <x:v>1</x:v>
      </x:c>
      <x:c r="G372" s="85" t="n">
        <x:v>0</x:v>
      </x:c>
      <x:c r="H372" s="85" t="n">
        <x:v>0</x:v>
      </x:c>
      <x:c r="I372" s="85" t="n">
        <x:v>8253119.629418024</x:v>
      </x:c>
      <x:c r="J372" s="85" t="n">
        <x:v>6373825.238321616</x:v>
      </x:c>
      <x:c r="K372" s="85" t="n">
        <x:v>113154.35150685001</x:v>
      </x:c>
      <x:c r="L372" s="28" t="n">
        <x:v>0</x:v>
      </x:c>
      <x:c r="M372" s="28" t="n">
        <x:v>0</x:v>
      </x:c>
      <x:c r="N372" s="28" t="n">
        <x:v>9.313225746154785e-10</x:v>
      </x:c>
      <x:c r="O372" s="28" t="n">
        <x:v>7.450580596923828e-9</x:v>
      </x:c>
      <x:c r="P372" s="28" t="n">
        <x:v>0</x:v>
      </x:c>
      <x:c r="Q372" s="62" t="b">
        <x:v>1</x:v>
      </x:c>
      <x:c r="R372" s="28" t="n">
        <x:v>0</x:v>
      </x:c>
      <x:c r="S372" s="28" t="str">
        <x:v>367a22929db3715a</x:v>
      </x:c>
    </x:row>
    <x:row r="373" ht="21" customHeight="1">
      <x:c r="A373" s="60" t="n">
        <x:v>0.61</x:v>
      </x:c>
      <x:c r="B373" s="28" t="str">
        <x:v>middle_high</x:v>
      </x:c>
      <x:c r="C373" s="60" t="n">
        <x:v>0.4</x:v>
      </x:c>
      <x:c r="D373" s="60" t="n">
        <x:v>0.4</x:v>
      </x:c>
      <x:c r="E373" s="62" t="b">
        <x:v>1</x:v>
      </x:c>
      <x:c r="F373" s="62" t="b">
        <x:v>1</x:v>
      </x:c>
      <x:c r="G373" s="85" t="n">
        <x:v>0</x:v>
      </x:c>
      <x:c r="H373" s="85" t="n">
        <x:v>0</x:v>
      </x:c>
      <x:c r="I373" s="85" t="n">
        <x:v>10005765.661988499</x:v>
      </x:c>
      <x:c r="J373" s="85" t="n">
        <x:v>8080714.55808184</x:v>
      </x:c>
      <x:c r="K373" s="85" t="n">
        <x:v>89198.05315068386</x:v>
      </x:c>
      <x:c r="L373" s="28" t="n">
        <x:v>0</x:v>
      </x:c>
      <x:c r="M373" s="28" t="n">
        <x:v>0</x:v>
      </x:c>
      <x:c r="N373" s="28" t="n">
        <x:v>4.656612873077393e-10</x:v>
      </x:c>
      <x:c r="O373" s="28" t="n">
        <x:v>3.725290298461914e-9</x:v>
      </x:c>
      <x:c r="P373" s="28" t="n">
        <x:v>0</x:v>
      </x:c>
      <x:c r="Q373" s="62" t="b">
        <x:v>1</x:v>
      </x:c>
      <x:c r="R373" s="28" t="n">
        <x:v>0</x:v>
      </x:c>
      <x:c r="S373" s="28" t="str">
        <x:v>c1f10b557c388a09</x:v>
      </x:c>
    </x:row>
    <x:row r="374" ht="21" customHeight="1">
      <x:c r="A374" s="60" t="n">
        <x:v>0.61</x:v>
      </x:c>
      <x:c r="B374" s="28" t="str">
        <x:v>middle_high</x:v>
      </x:c>
      <x:c r="C374" s="60" t="n">
        <x:v>0.45</x:v>
      </x:c>
      <x:c r="D374" s="60" t="n">
        <x:v>0.45</x:v>
      </x:c>
      <x:c r="E374" s="62" t="b">
        <x:v>1</x:v>
      </x:c>
      <x:c r="F374" s="62" t="b">
        <x:v>1</x:v>
      </x:c>
      <x:c r="G374" s="85" t="n">
        <x:v>0</x:v>
      </x:c>
      <x:c r="H374" s="85" t="n">
        <x:v>0</x:v>
      </x:c>
      <x:c r="I374" s="85" t="n">
        <x:v>11749491.60647651</x:v>
      </x:c>
      <x:c r="J374" s="85" t="n">
        <x:v>9787603.877842072</x:v>
      </x:c>
      <x:c r="K374" s="85" t="n">
        <x:v>74198.16400000075</x:v>
      </x:c>
      <x:c r="L374" s="28" t="n">
        <x:v>0</x:v>
      </x:c>
      <x:c r="M374" s="28" t="n">
        <x:v>0</x:v>
      </x:c>
      <x:c r="N374" s="28" t="n">
        <x:v>9.313225746154785e-10</x:v>
      </x:c>
      <x:c r="O374" s="28" t="n">
        <x:v>1.862645149230957e-9</x:v>
      </x:c>
      <x:c r="P374" s="28" t="n">
        <x:v>0</x:v>
      </x:c>
      <x:c r="Q374" s="62" t="b">
        <x:v>1</x:v>
      </x:c>
      <x:c r="R374" s="28" t="n">
        <x:v>0</x:v>
      </x:c>
      <x:c r="S374" s="28" t="str">
        <x:v>74952ed4ea24f525</x:v>
      </x:c>
    </x:row>
    <x:row r="375" ht="21" customHeight="1">
      <x:c r="A375" s="60" t="n">
        <x:v>0.61</x:v>
      </x:c>
      <x:c r="B375" s="28" t="str">
        <x:v>middle_high</x:v>
      </x:c>
      <x:c r="C375" s="60" t="n">
        <x:v>0.5</x:v>
      </x:c>
      <x:c r="D375" s="60" t="n">
        <x:v>0.5</x:v>
      </x:c>
      <x:c r="E375" s="62" t="b">
        <x:v>1</x:v>
      </x:c>
      <x:c r="F375" s="62" t="b">
        <x:v>1</x:v>
      </x:c>
      <x:c r="G375" s="85" t="n">
        <x:v>0</x:v>
      </x:c>
      <x:c r="H375" s="85" t="n">
        <x:v>0</x:v>
      </x:c>
      <x:c r="I375" s="85" t="n">
        <x:v>13595220.443441281</x:v>
      </x:c>
      <x:c r="J375" s="85" t="n">
        <x:v>10890035.727509335</x:v>
      </x:c>
      <x:c r="K375" s="85" t="n">
        <x:v>66967.9546301366</x:v>
      </x:c>
      <x:c r="L375" s="28" t="n">
        <x:v>4</x:v>
      </x:c>
      <x:c r="M375" s="28" t="n">
        <x:v>0</x:v>
      </x:c>
      <x:c r="N375" s="28" t="n">
        <x:v>9.313225746154785e-10</x:v>
      </x:c>
      <x:c r="O375" s="28" t="n">
        <x:v>7.450580596923828e-9</x:v>
      </x:c>
      <x:c r="P375" s="28" t="n">
        <x:v>0</x:v>
      </x:c>
      <x:c r="Q375" s="62" t="b">
        <x:v>1</x:v>
      </x:c>
      <x:c r="R375" s="28" t="n">
        <x:v>0</x:v>
      </x:c>
      <x:c r="S375" s="28" t="str">
        <x:v>672d92466ef0e359</x:v>
      </x:c>
    </x:row>
    <x:row r="376" ht="21" customHeight="1">
      <x:c r="A376" s="60" t="n">
        <x:v>0.61</x:v>
      </x:c>
      <x:c r="B376" s="28" t="str">
        <x:v>middle_high</x:v>
      </x:c>
      <x:c r="C376" s="60" t="n">
        <x:v>0.55</x:v>
      </x:c>
      <x:c r="D376" s="60" t="n">
        <x:v>0.55</x:v>
      </x:c>
      <x:c r="E376" s="62" t="b">
        <x:v>1</x:v>
      </x:c>
      <x:c r="F376" s="62" t="b">
        <x:v>1</x:v>
      </x:c>
      <x:c r="G376" s="85" t="n">
        <x:v>0</x:v>
      </x:c>
      <x:c r="H376" s="85" t="n">
        <x:v>0</x:v>
      </x:c>
      <x:c r="I376" s="85" t="n">
        <x:v>15406753.015042119</x:v>
      </x:c>
      <x:c r="J376" s="85" t="n">
        <x:v>12179769.141829541</x:v>
      </x:c>
      <x:c r="K376" s="85" t="n">
        <x:v>59737.74526027456</x:v>
      </x:c>
      <x:c r="L376" s="28" t="n">
        <x:v>9</x:v>
      </x:c>
      <x:c r="M376" s="28" t="n">
        <x:v>0</x:v>
      </x:c>
      <x:c r="N376" s="28" t="n">
        <x:v>4.656612873077393e-10</x:v>
      </x:c>
      <x:c r="O376" s="28" t="n">
        <x:v>7.450580596923828e-9</x:v>
      </x:c>
      <x:c r="P376" s="28" t="n">
        <x:v>0</x:v>
      </x:c>
      <x:c r="Q376" s="62" t="b">
        <x:v>1</x:v>
      </x:c>
      <x:c r="R376" s="28" t="n">
        <x:v>0</x:v>
      </x:c>
      <x:c r="S376" s="28" t="str">
        <x:v>0226d9f482eb15be</x:v>
      </x:c>
    </x:row>
    <x:row r="377" ht="21" customHeight="1">
      <x:c r="A377" s="60" t="n">
        <x:v>0.61</x:v>
      </x:c>
      <x:c r="B377" s="28" t="str">
        <x:v>middle_high</x:v>
      </x:c>
      <x:c r="C377" s="60" t="n">
        <x:v>0.6</x:v>
      </x:c>
      <x:c r="D377" s="60" t="n">
        <x:v>0.6</x:v>
      </x:c>
      <x:c r="E377" s="62" t="b">
        <x:v>1</x:v>
      </x:c>
      <x:c r="F377" s="62" t="b">
        <x:v>1</x:v>
      </x:c>
      <x:c r="G377" s="85" t="n">
        <x:v>0</x:v>
      </x:c>
      <x:c r="H377" s="85" t="n">
        <x:v>0</x:v>
      </x:c>
      <x:c r="I377" s="85" t="n">
        <x:v>17128628.394449614</x:v>
      </x:c>
      <x:c r="J377" s="85" t="n">
        <x:v>13908199.143469635</x:v>
      </x:c>
      <x:c r="K377" s="85" t="n">
        <x:v>52507.53589041113</x:v>
      </x:c>
      <x:c r="L377" s="28" t="n">
        <x:v>13</x:v>
      </x:c>
      <x:c r="M377" s="28" t="n">
        <x:v>7</x:v>
      </x:c>
      <x:c r="N377" s="28" t="n">
        <x:v>4.656612873077393e-10</x:v>
      </x:c>
      <x:c r="O377" s="28" t="n">
        <x:v>3.725290298461914e-9</x:v>
      </x:c>
      <x:c r="P377" s="28" t="n">
        <x:v>0</x:v>
      </x:c>
      <x:c r="Q377" s="62" t="b">
        <x:v>1</x:v>
      </x:c>
      <x:c r="R377" s="28" t="n">
        <x:v>0</x:v>
      </x:c>
      <x:c r="S377" s="28" t="str">
        <x:v>bb7de712a827939f</x:v>
      </x:c>
    </x:row>
    <x:row r="378" ht="21" customHeight="1">
      <x:c r="A378" s="60" t="n">
        <x:v>0.61</x:v>
      </x:c>
      <x:c r="B378" s="28" t="str">
        <x:v>middle_high</x:v>
      </x:c>
      <x:c r="C378" s="60" t="n">
        <x:v>0.65</x:v>
      </x:c>
      <x:c r="D378" s="60" t="n">
        <x:v>0.65</x:v>
      </x:c>
      <x:c r="E378" s="62" t="b">
        <x:v>1</x:v>
      </x:c>
      <x:c r="F378" s="62" t="b">
        <x:v>1</x:v>
      </x:c>
      <x:c r="G378" s="85" t="n">
        <x:v>0</x:v>
      </x:c>
      <x:c r="H378" s="85" t="n">
        <x:v>0</x:v>
      </x:c>
      <x:c r="I378" s="85" t="n">
        <x:v>18774177.853592534</x:v>
      </x:c>
      <x:c r="J378" s="85" t="n">
        <x:v>15854370.331548685</x:v>
      </x:c>
      <x:c r="K378" s="85" t="n">
        <x:v>45277.326520547686</x:v>
      </x:c>
      <x:c r="L378" s="28" t="n">
        <x:v>19</x:v>
      </x:c>
      <x:c r="M378" s="28" t="n">
        <x:v>13</x:v>
      </x:c>
      <x:c r="N378" s="28" t="n">
        <x:v>4.656612873077393e-10</x:v>
      </x:c>
      <x:c r="O378" s="28" t="n">
        <x:v>1.862645149230957e-9</x:v>
      </x:c>
      <x:c r="P378" s="28" t="n">
        <x:v>0</x:v>
      </x:c>
      <x:c r="Q378" s="62" t="b">
        <x:v>1</x:v>
      </x:c>
      <x:c r="R378" s="28" t="n">
        <x:v>0</x:v>
      </x:c>
      <x:c r="S378" s="28" t="str">
        <x:v>13bbf67fe16c149d</x:v>
      </x:c>
    </x:row>
    <x:row r="379" ht="21" customHeight="1">
      <x:c r="A379" s="60" t="n">
        <x:v>0.61</x:v>
      </x:c>
      <x:c r="B379" s="28" t="str">
        <x:v>middle_high</x:v>
      </x:c>
      <x:c r="C379" s="60" t="n">
        <x:v>0.7</x:v>
      </x:c>
      <x:c r="D379" s="60" t="n">
        <x:v>0.7</x:v>
      </x:c>
      <x:c r="E379" s="62" t="b">
        <x:v>1</x:v>
      </x:c>
      <x:c r="F379" s="62" t="b">
        <x:v>0</x:v>
      </x:c>
      <x:c r="G379" s="85" t="n">
        <x:v>665126.9883651314</x:v>
      </x:c>
      <x:c r="H379" s="85" t="n">
        <x:v>2140258.672226225</x:v>
      </x:c>
      <x:c r="I379" s="85" t="n">
        <x:v>19241299.892859783</x:v>
      </x:c>
      <x:c r="J379" s="85" t="n">
        <x:v>16165760.000000002</x:v>
      </x:c>
      <x:c r="K379" s="85" t="n">
        <x:v>38047.117150684484</x:v>
      </x:c>
      <x:c r="L379" s="28" t="n">
        <x:v>40</x:v>
      </x:c>
      <x:c r="M379" s="28" t="n">
        <x:v>36</x:v>
      </x:c>
      <x:c r="N379" s="28" t="n">
        <x:v>4.656612873077393e-10</x:v>
      </x:c>
      <x:c r="O379" s="28" t="n">
        <x:v>3.725290298461914e-9</x:v>
      </x:c>
      <x:c r="P379" s="28" t="n">
        <x:v>0</x:v>
      </x:c>
      <x:c r="Q379" s="62" t="b">
        <x:v>1</x:v>
      </x:c>
      <x:c r="R379" s="28" t="n">
        <x:v>0</x:v>
      </x:c>
      <x:c r="S379" s="28" t="str">
        <x:v>431663d2091b7698</x:v>
      </x:c>
    </x:row>
    <x:row r="380" ht="21" customHeight="1">
      <x:c r="A380" s="60" t="n">
        <x:v>0.61</x:v>
      </x:c>
      <x:c r="B380" s="28" t="str">
        <x:v>middle_high</x:v>
      </x:c>
      <x:c r="C380" s="60" t="n">
        <x:v>0.75</x:v>
      </x:c>
      <x:c r="D380" s="60" t="n">
        <x:v>0.75</x:v>
      </x:c>
      <x:c r="E380" s="62" t="b">
        <x:v>1</x:v>
      </x:c>
      <x:c r="F380" s="62" t="b">
        <x:v>0</x:v>
      </x:c>
      <x:c r="G380" s="85" t="n">
        <x:v>1577841.2152931176</x:v>
      </x:c>
      <x:c r="H380" s="85" t="n">
        <x:v>4759818.161962255</x:v>
      </x:c>
      <x:c r="I380" s="85" t="n">
        <x:v>19326277.195813563</x:v>
      </x:c>
      <x:c r="J380" s="85" t="n">
        <x:v>16165760.000000002</x:v>
      </x:c>
      <x:c r="K380" s="85" t="n">
        <x:v>30816.9077808222</x:v>
      </x:c>
      <x:c r="L380" s="28" t="n">
        <x:v>40</x:v>
      </x:c>
      <x:c r="M380" s="28" t="n">
        <x:v>37</x:v>
      </x:c>
      <x:c r="N380" s="28" t="n">
        <x:v>2.3283064365386963e-10</x:v>
      </x:c>
      <x:c r="O380" s="28" t="n">
        <x:v>3.725290298461914e-9</x:v>
      </x:c>
      <x:c r="P380" s="28" t="n">
        <x:v>0</x:v>
      </x:c>
      <x:c r="Q380" s="62" t="b">
        <x:v>1</x:v>
      </x:c>
      <x:c r="R380" s="28" t="n">
        <x:v>0</x:v>
      </x:c>
      <x:c r="S380" s="28" t="str">
        <x:v>6b7044efb51c262c</x:v>
      </x:c>
    </x:row>
    <x:row r="381" ht="21" customHeight="1">
      <x:c r="A381" s="60" t="n">
        <x:v>0.61</x:v>
      </x:c>
      <x:c r="B381" s="28" t="str">
        <x:v>middle_high</x:v>
      </x:c>
      <x:c r="C381" s="60" t="n">
        <x:v>0.8</x:v>
      </x:c>
      <x:c r="D381" s="60" t="n">
        <x:v>0.8</x:v>
      </x:c>
      <x:c r="E381" s="62" t="b">
        <x:v>1</x:v>
      </x:c>
      <x:c r="F381" s="62" t="b">
        <x:v>0</x:v>
      </x:c>
      <x:c r="G381" s="85" t="n">
        <x:v>2464202.7226823173</x:v>
      </x:c>
      <x:c r="H381" s="85" t="n">
        <x:v>6884883.013090925</x:v>
      </x:c>
      <x:c r="I381" s="85" t="n">
        <x:v>19640308.677709598</x:v>
      </x:c>
      <x:c r="J381" s="85" t="n">
        <x:v>16165760.000000002</x:v>
      </x:c>
      <x:c r="K381" s="85" t="n">
        <x:v>23586.69841095876</x:v>
      </x:c>
      <x:c r="L381" s="28" t="n">
        <x:v>41</x:v>
      </x:c>
      <x:c r="M381" s="28" t="n">
        <x:v>38</x:v>
      </x:c>
      <x:c r="N381" s="28" t="n">
        <x:v>4.656612873077393e-10</x:v>
      </x:c>
      <x:c r="O381" s="28" t="n">
        <x:v>1.862645149230957e-9</x:v>
      </x:c>
      <x:c r="P381" s="28" t="n">
        <x:v>0</x:v>
      </x:c>
      <x:c r="Q381" s="62" t="b">
        <x:v>1</x:v>
      </x:c>
      <x:c r="R381" s="28" t="n">
        <x:v>0</x:v>
      </x:c>
      <x:c r="S381" s="28" t="str">
        <x:v>1a49379152f8d2d1</x:v>
      </x:c>
    </x:row>
    <x:row r="382" ht="21" customHeight="1">
      <x:c r="A382" s="60" t="n">
        <x:v>0.61</x:v>
      </x:c>
      <x:c r="B382" s="28" t="str">
        <x:v>middle_high</x:v>
      </x:c>
      <x:c r="C382" s="60" t="n">
        <x:v>0.85</x:v>
      </x:c>
      <x:c r="D382" s="60" t="n">
        <x:v>0.85</x:v>
      </x:c>
      <x:c r="E382" s="62" t="b">
        <x:v>1</x:v>
      </x:c>
      <x:c r="F382" s="62" t="b">
        <x:v>0</x:v>
      </x:c>
      <x:c r="G382" s="85" t="n">
        <x:v>3469984.0120443003</x:v>
      </x:c>
      <x:c r="H382" s="85" t="n">
        <x:v>9291389.069374517</x:v>
      </x:c>
      <x:c r="I382" s="85" t="n">
        <x:v>19704122.13238151</x:v>
      </x:c>
      <x:c r="J382" s="85" t="n">
        <x:v>16165760.000000002</x:v>
      </x:c>
      <x:c r="K382" s="85" t="n">
        <x:v>21050.368767123182</x:v>
      </x:c>
      <x:c r="L382" s="28" t="n">
        <x:v>41</x:v>
      </x:c>
      <x:c r="M382" s="28" t="n">
        <x:v>38</x:v>
      </x:c>
      <x:c r="N382" s="28" t="n">
        <x:v>9.313225746154785e-10</x:v>
      </x:c>
      <x:c r="O382" s="28" t="n">
        <x:v>3.725290298461914e-9</x:v>
      </x:c>
      <x:c r="P382" s="28" t="n">
        <x:v>0</x:v>
      </x:c>
      <x:c r="Q382" s="62" t="b">
        <x:v>1</x:v>
      </x:c>
      <x:c r="R382" s="28" t="n">
        <x:v>0</x:v>
      </x:c>
      <x:c r="S382" s="28" t="str">
        <x:v>6e44e49ab2d95592</x:v>
      </x:c>
    </x:row>
    <x:row r="383" ht="21" customHeight="1">
      <x:c r="A383" s="60" t="n">
        <x:v>0.61</x:v>
      </x:c>
      <x:c r="B383" s="28" t="str">
        <x:v>middle_high</x:v>
      </x:c>
      <x:c r="C383" s="60" t="n">
        <x:v>0.9</x:v>
      </x:c>
      <x:c r="D383" s="60" t="n">
        <x:v>0.9</x:v>
      </x:c>
      <x:c r="E383" s="62" t="b">
        <x:v>1</x:v>
      </x:c>
      <x:c r="F383" s="62" t="b">
        <x:v>0</x:v>
      </x:c>
      <x:c r="G383" s="85" t="n">
        <x:v>4733560.103748281</x:v>
      </x:c>
      <x:c r="H383" s="85" t="n">
        <x:v>10847576.329854079</x:v>
      </x:c>
      <x:c r="I383" s="85" t="n">
        <x:v>19992245.70913409</x:v>
      </x:c>
      <x:c r="J383" s="85" t="n">
        <x:v>16165760.000000002</x:v>
      </x:c>
      <x:c r="K383" s="85" t="n">
        <x:v>18630.848219177897</x:v>
      </x:c>
      <x:c r="L383" s="28" t="n">
        <x:v>42</x:v>
      </x:c>
      <x:c r="M383" s="28" t="n">
        <x:v>39</x:v>
      </x:c>
      <x:c r="N383" s="28" t="n">
        <x:v>4.656612873077393e-10</x:v>
      </x:c>
      <x:c r="O383" s="28" t="n">
        <x:v>3.725290298461914e-9</x:v>
      </x:c>
      <x:c r="P383" s="28" t="n">
        <x:v>0</x:v>
      </x:c>
      <x:c r="Q383" s="62" t="b">
        <x:v>1</x:v>
      </x:c>
      <x:c r="R383" s="28" t="n">
        <x:v>0</x:v>
      </x:c>
      <x:c r="S383" s="28" t="str">
        <x:v>ec6f1b24962ee11a</x:v>
      </x:c>
    </x:row>
    <x:row r="384" ht="21" customHeight="1">
      <x:c r="A384" s="60" t="n">
        <x:v>0.61</x:v>
      </x:c>
      <x:c r="B384" s="28" t="str">
        <x:v>middle_high</x:v>
      </x:c>
      <x:c r="C384" s="60" t="n">
        <x:v>0.95</x:v>
      </x:c>
      <x:c r="D384" s="60" t="n">
        <x:v>0.9270639118581285</x:v>
      </x:c>
      <x:c r="E384" s="62" t="b">
        <x:v>0</x:v>
      </x:c>
      <x:c r="F384" s="62" t="b">
        <x:v>0</x:v>
      </x:c>
      <x:c r="G384" s="85" t="n">
        <x:v>5364646.02657396</x:v>
      </x:c>
      <x:c r="H384" s="85" t="n">
        <x:v>11977248.771909323</x:v>
      </x:c>
      <x:c r="I384" s="85" t="n">
        <x:v>20037786.09002814</x:v>
      </x:c>
      <x:c r="J384" s="85" t="n">
        <x:v>16165760.000000002</x:v>
      </x:c>
      <x:c r="K384" s="85" t="n">
        <x:v>16211.327671233077</x:v>
      </x:c>
      <x:c r="L384" s="28" t="n">
        <x:v>42</x:v>
      </x:c>
      <x:c r="M384" s="28" t="n">
        <x:v>40</x:v>
      </x:c>
      <x:c r="N384" s="28" t="n">
        <x:v>4.656612873077393e-10</x:v>
      </x:c>
      <x:c r="O384" s="28" t="n">
        <x:v>3.725290298461914e-9</x:v>
      </x:c>
      <x:c r="P384" s="28" t="n">
        <x:v>0</x:v>
      </x:c>
      <x:c r="Q384" s="62" t="b">
        <x:v>1</x:v>
      </x:c>
      <x:c r="R384" s="28" t="n">
        <x:v>1278549.2973804846</x:v>
      </x:c>
      <x:c r="S384" s="28" t="str">
        <x:v>2f2ac6ece91307e0</x:v>
      </x:c>
    </x:row>
    <x:row r="385" ht="21" customHeight="1">
      <x:c r="A385" s="60" t="n">
        <x:v>0.61</x:v>
      </x:c>
      <x:c r="B385" s="28" t="str">
        <x:v>middle_high</x:v>
      </x:c>
      <x:c r="C385" s="60" t="n">
        <x:v>1</x:v>
      </x:c>
      <x:c r="D385" s="60" t="n">
        <x:v>0.9427455891708479</x:v>
      </x:c>
      <x:c r="E385" s="62" t="b">
        <x:v>0</x:v>
      </x:c>
      <x:c r="F385" s="62" t="b">
        <x:v>0</x:v>
      </x:c>
      <x:c r="G385" s="85" t="n">
        <x:v>5800092.5372452745</x:v>
      </x:c>
      <x:c r="H385" s="85" t="n">
        <x:v>12400858.044976821</x:v>
      </x:c>
      <x:c r="I385" s="85" t="n">
        <x:v>20331024.826534253</x:v>
      </x:c>
      <x:c r="J385" s="85" t="n">
        <x:v>16165760.000000002</x:v>
      </x:c>
      <x:c r="K385" s="85" t="n">
        <x:v>13791.807123287792</x:v>
      </x:c>
      <x:c r="L385" s="28" t="n">
        <x:v>43</x:v>
      </x:c>
      <x:c r="M385" s="28" t="n">
        <x:v>40</x:v>
      </x:c>
      <x:c r="N385" s="28" t="n">
        <x:v>2.3283064365386963e-10</x:v>
      </x:c>
      <x:c r="O385" s="28" t="n">
        <x:v>9.313225746154785e-10</x:v>
      </x:c>
      <x:c r="P385" s="28" t="n">
        <x:v>0</x:v>
      </x:c>
      <x:c r="Q385" s="62" t="b">
        <x:v>1</x:v>
      </x:c>
      <x:c r="R385" s="28" t="n">
        <x:v>3191589.877260253</x:v>
      </x:c>
      <x:c r="S385" s="28" t="str">
        <x:v>cc3e658949a1017a</x:v>
      </x:c>
    </x:row>
    <x:row r="386" ht="21" customHeight="1">
      <x:c r="A386" s="60" t="n">
        <x:v>0.61</x:v>
      </x:c>
      <x:c r="B386" s="28" t="str">
        <x:v>back_flat</x:v>
      </x:c>
      <x:c r="C386" s="60" t="n">
        <x:v>0</x:v>
      </x:c>
      <x:c r="D386" s="60" t="n">
        <x:v>0</x:v>
      </x:c>
      <x:c r="E386" s="62" t="b">
        <x:v>1</x:v>
      </x:c>
      <x:c r="F386" s="62" t="b">
        <x:v>1</x:v>
      </x:c>
      <x:c r="G386" s="85" t="n">
        <x:v>0</x:v>
      </x:c>
      <x:c r="H386" s="85" t="n">
        <x:v>0</x:v>
      </x:c>
      <x:c r="I386" s="85" t="n">
        <x:v>0</x:v>
      </x:c>
      <x:c r="J386" s="85" t="n">
        <x:v>0</x:v>
      </x:c>
      <x:c r="K386" s="85" t="n">
        <x:v>5653772.143780821</x:v>
      </x:c>
      <x:c r="L386" s="28" t="n">
        <x:v>0</x:v>
      </x:c>
      <x:c r="M386" s="28" t="n">
        <x:v>0</x:v>
      </x:c>
      <x:c r="N386" s="28" t="n">
        <x:v>9.313225746154785e-10</x:v>
      </x:c>
      <x:c r="O386" s="28" t="n">
        <x:v>0</x:v>
      </x:c>
      <x:c r="P386" s="28" t="n">
        <x:v>0</x:v>
      </x:c>
      <x:c r="Q386" s="62" t="b">
        <x:v>1</x:v>
      </x:c>
      <x:c r="R386" s="28" t="n">
        <x:v>0</x:v>
      </x:c>
      <x:c r="S386" s="28" t="str">
        <x:v>678f1944664a5c3d</x:v>
      </x:c>
    </x:row>
    <x:row r="387" ht="21" customHeight="1">
      <x:c r="A387" s="60" t="n">
        <x:v>0.61</x:v>
      </x:c>
      <x:c r="B387" s="28" t="str">
        <x:v>back_flat</x:v>
      </x:c>
      <x:c r="C387" s="60" t="n">
        <x:v>0.05</x:v>
      </x:c>
      <x:c r="D387" s="60" t="n">
        <x:v>0.05</x:v>
      </x:c>
      <x:c r="E387" s="62" t="b">
        <x:v>1</x:v>
      </x:c>
      <x:c r="F387" s="62" t="b">
        <x:v>1</x:v>
      </x:c>
      <x:c r="G387" s="85" t="n">
        <x:v>0</x:v>
      </x:c>
      <x:c r="H387" s="85" t="n">
        <x:v>0</x:v>
      </x:c>
      <x:c r="I387" s="85" t="n">
        <x:v>0</x:v>
      </x:c>
      <x:c r="J387" s="85" t="n">
        <x:v>0</x:v>
      </x:c>
      <x:c r="K387" s="85" t="n">
        <x:v>3455230.4518217887</x:v>
      </x:c>
      <x:c r="L387" s="28" t="n">
        <x:v>0</x:v>
      </x:c>
      <x:c r="M387" s="28" t="n">
        <x:v>0</x:v>
      </x:c>
      <x:c r="N387" s="28" t="n">
        <x:v>4.656612873077393e-10</x:v>
      </x:c>
      <x:c r="O387" s="28" t="n">
        <x:v>7.450580596923828e-9</x:v>
      </x:c>
      <x:c r="P387" s="28" t="n">
        <x:v>0</x:v>
      </x:c>
      <x:c r="Q387" s="62" t="b">
        <x:v>1</x:v>
      </x:c>
      <x:c r="R387" s="28" t="n">
        <x:v>0</x:v>
      </x:c>
      <x:c r="S387" s="28" t="str">
        <x:v>038738e3cc13a39b</x:v>
      </x:c>
    </x:row>
    <x:row r="388" ht="21" customHeight="1">
      <x:c r="A388" s="60" t="n">
        <x:v>0.61</x:v>
      </x:c>
      <x:c r="B388" s="28" t="str">
        <x:v>back_flat</x:v>
      </x:c>
      <x:c r="C388" s="60" t="n">
        <x:v>0.1</x:v>
      </x:c>
      <x:c r="D388" s="60" t="n">
        <x:v>0.1</x:v>
      </x:c>
      <x:c r="E388" s="62" t="b">
        <x:v>1</x:v>
      </x:c>
      <x:c r="F388" s="62" t="b">
        <x:v>1</x:v>
      </x:c>
      <x:c r="G388" s="85" t="n">
        <x:v>0</x:v>
      </x:c>
      <x:c r="H388" s="85" t="n">
        <x:v>0</x:v>
      </x:c>
      <x:c r="I388" s="85" t="n">
        <x:v>0</x:v>
      </x:c>
      <x:c r="J388" s="85" t="n">
        <x:v>0</x:v>
      </x:c>
      <x:c r="K388" s="85" t="n">
        <x:v>1256688.7598628069</x:v>
      </x:c>
      <x:c r="L388" s="28" t="n">
        <x:v>0</x:v>
      </x:c>
      <x:c r="M388" s="28" t="n">
        <x:v>0</x:v>
      </x:c>
      <x:c r="N388" s="28" t="n">
        <x:v>4.656612873077393e-10</x:v>
      </x:c>
      <x:c r="O388" s="28" t="n">
        <x:v>7.450580596923828e-9</x:v>
      </x:c>
      <x:c r="P388" s="28" t="n">
        <x:v>0</x:v>
      </x:c>
      <x:c r="Q388" s="62" t="b">
        <x:v>1</x:v>
      </x:c>
      <x:c r="R388" s="28" t="n">
        <x:v>0</x:v>
      </x:c>
      <x:c r="S388" s="28" t="str">
        <x:v>16314331ef694c6c</x:v>
      </x:c>
    </x:row>
    <x:row r="389" ht="21" customHeight="1">
      <x:c r="A389" s="60" t="n">
        <x:v>0.61</x:v>
      </x:c>
      <x:c r="B389" s="28" t="str">
        <x:v>back_flat</x:v>
      </x:c>
      <x:c r="C389" s="60" t="n">
        <x:v>0.15</x:v>
      </x:c>
      <x:c r="D389" s="60" t="n">
        <x:v>0.15</x:v>
      </x:c>
      <x:c r="E389" s="62" t="b">
        <x:v>1</x:v>
      </x:c>
      <x:c r="F389" s="62" t="b">
        <x:v>1</x:v>
      </x:c>
      <x:c r="G389" s="85" t="n">
        <x:v>0</x:v>
      </x:c>
      <x:c r="H389" s="85" t="n">
        <x:v>0</x:v>
      </x:c>
      <x:c r="I389" s="85" t="n">
        <x:v>917331.915533893</x:v>
      </x:c>
      <x:c r="J389" s="85" t="n">
        <x:v>0</x:v>
      </x:c>
      <x:c r="K389" s="85" t="n">
        <x:v>129513.15703868507</x:v>
      </x:c>
      <x:c r="L389" s="28" t="n">
        <x:v>0</x:v>
      </x:c>
      <x:c r="M389" s="28" t="n">
        <x:v>0</x:v>
      </x:c>
      <x:c r="N389" s="28" t="n">
        <x:v>9.313225746154785e-10</x:v>
      </x:c>
      <x:c r="O389" s="28" t="n">
        <x:v>7.450580596923828e-9</x:v>
      </x:c>
      <x:c r="P389" s="28" t="n">
        <x:v>0</x:v>
      </x:c>
      <x:c r="Q389" s="62" t="b">
        <x:v>1</x:v>
      </x:c>
      <x:c r="R389" s="28" t="n">
        <x:v>0</x:v>
      </x:c>
      <x:c r="S389" s="28" t="str">
        <x:v>b5e73203c06fbe87</x:v>
      </x:c>
    </x:row>
    <x:row r="390" ht="21" customHeight="1">
      <x:c r="A390" s="60" t="n">
        <x:v>0.61</x:v>
      </x:c>
      <x:c r="B390" s="28" t="str">
        <x:v>back_flat</x:v>
      </x:c>
      <x:c r="C390" s="60" t="n">
        <x:v>0.2</x:v>
      </x:c>
      <x:c r="D390" s="60" t="n">
        <x:v>0.2</x:v>
      </x:c>
      <x:c r="E390" s="62" t="b">
        <x:v>1</x:v>
      </x:c>
      <x:c r="F390" s="62" t="b">
        <x:v>1</x:v>
      </x:c>
      <x:c r="G390" s="85" t="n">
        <x:v>0</x:v>
      </x:c>
      <x:c r="H390" s="85" t="n">
        <x:v>0</x:v>
      </x:c>
      <x:c r="I390" s="85" t="n">
        <x:v>2410968.4745283574</x:v>
      </x:c>
      <x:c r="J390" s="85" t="n">
        <x:v>1245718.9057329397</x:v>
      </x:c>
      <x:c r="K390" s="85" t="n">
        <x:v>95578.05309194537</x:v>
      </x:c>
      <x:c r="L390" s="28" t="n">
        <x:v>0</x:v>
      </x:c>
      <x:c r="M390" s="28" t="n">
        <x:v>0</x:v>
      </x:c>
      <x:c r="N390" s="28" t="n">
        <x:v>2.3283064365386963e-10</x:v>
      </x:c>
      <x:c r="O390" s="28" t="n">
        <x:v>7.450580596923828e-9</x:v>
      </x:c>
      <x:c r="P390" s="28" t="n">
        <x:v>0</x:v>
      </x:c>
      <x:c r="Q390" s="62" t="b">
        <x:v>1</x:v>
      </x:c>
      <x:c r="R390" s="28" t="n">
        <x:v>0</x:v>
      </x:c>
      <x:c r="S390" s="28" t="str">
        <x:v>7486f803f01bd14b</x:v>
      </x:c>
    </x:row>
    <x:row r="391" ht="21" customHeight="1">
      <x:c r="A391" s="60" t="n">
        <x:v>0.61</x:v>
      </x:c>
      <x:c r="B391" s="28" t="str">
        <x:v>back_flat</x:v>
      </x:c>
      <x:c r="C391" s="60" t="n">
        <x:v>0.25</x:v>
      </x:c>
      <x:c r="D391" s="60" t="n">
        <x:v>0.25</x:v>
      </x:c>
      <x:c r="E391" s="62" t="b">
        <x:v>1</x:v>
      </x:c>
      <x:c r="F391" s="62" t="b">
        <x:v>1</x:v>
      </x:c>
      <x:c r="G391" s="85" t="n">
        <x:v>0</x:v>
      </x:c>
      <x:c r="H391" s="85" t="n">
        <x:v>0</x:v>
      </x:c>
      <x:c r="I391" s="85" t="n">
        <x:v>3580636.0835026037</x:v>
      </x:c>
      <x:c r="J391" s="85" t="n">
        <x:v>2950748.632166203</x:v>
      </x:c>
      <x:c r="K391" s="85" t="n">
        <x:v>73800.85650684929</x:v>
      </x:c>
      <x:c r="L391" s="28" t="n">
        <x:v>0</x:v>
      </x:c>
      <x:c r="M391" s="28" t="n">
        <x:v>0</x:v>
      </x:c>
      <x:c r="N391" s="28" t="n">
        <x:v>9.313225746154785e-10</x:v>
      </x:c>
      <x:c r="O391" s="28" t="n">
        <x:v>7.450580596923828e-9</x:v>
      </x:c>
      <x:c r="P391" s="28" t="n">
        <x:v>0</x:v>
      </x:c>
      <x:c r="Q391" s="62" t="b">
        <x:v>1</x:v>
      </x:c>
      <x:c r="R391" s="28" t="n">
        <x:v>0</x:v>
      </x:c>
      <x:c r="S391" s="28" t="str">
        <x:v>b4558552bfa5f681</x:v>
      </x:c>
    </x:row>
    <x:row r="392" ht="21" customHeight="1">
      <x:c r="A392" s="60" t="n">
        <x:v>0.61</x:v>
      </x:c>
      <x:c r="B392" s="28" t="str">
        <x:v>back_flat</x:v>
      </x:c>
      <x:c r="C392" s="60" t="n">
        <x:v>0.3</x:v>
      </x:c>
      <x:c r="D392" s="60" t="n">
        <x:v>0.3</x:v>
      </x:c>
      <x:c r="E392" s="62" t="b">
        <x:v>1</x:v>
      </x:c>
      <x:c r="F392" s="62" t="b">
        <x:v>1</x:v>
      </x:c>
      <x:c r="G392" s="85" t="n">
        <x:v>0</x:v>
      </x:c>
      <x:c r="H392" s="85" t="n">
        <x:v>0</x:v>
      </x:c>
      <x:c r="I392" s="85" t="n">
        <x:v>4758627.065577356</x:v>
      </x:c>
      <x:c r="J392" s="85" t="n">
        <x:v>4655778.3585994225</x:v>
      </x:c>
      <x:c r="K392" s="85" t="n">
        <x:v>62057.739808219165</x:v>
      </x:c>
      <x:c r="L392" s="28" t="n">
        <x:v>0</x:v>
      </x:c>
      <x:c r="M392" s="28" t="n">
        <x:v>0</x:v>
      </x:c>
      <x:c r="N392" s="28" t="n">
        <x:v>4.656612873077393e-10</x:v>
      </x:c>
      <x:c r="O392" s="28" t="n">
        <x:v>7.450580596923828e-9</x:v>
      </x:c>
      <x:c r="P392" s="28" t="n">
        <x:v>0</x:v>
      </x:c>
      <x:c r="Q392" s="62" t="b">
        <x:v>1</x:v>
      </x:c>
      <x:c r="R392" s="28" t="n">
        <x:v>0</x:v>
      </x:c>
      <x:c r="S392" s="28" t="str">
        <x:v>f6ce4928520a5129</x:v>
      </x:c>
    </x:row>
    <x:row r="393" ht="21" customHeight="1">
      <x:c r="A393" s="60" t="n">
        <x:v>0.61</x:v>
      </x:c>
      <x:c r="B393" s="28" t="str">
        <x:v>back_flat</x:v>
      </x:c>
      <x:c r="C393" s="60" t="n">
        <x:v>0.35</x:v>
      </x:c>
      <x:c r="D393" s="60" t="n">
        <x:v>0.35</x:v>
      </x:c>
      <x:c r="E393" s="62" t="b">
        <x:v>1</x:v>
      </x:c>
      <x:c r="F393" s="62" t="b">
        <x:v>1</x:v>
      </x:c>
      <x:c r="G393" s="85" t="n">
        <x:v>0</x:v>
      </x:c>
      <x:c r="H393" s="85" t="n">
        <x:v>0</x:v>
      </x:c>
      <x:c r="I393" s="85" t="n">
        <x:v>5945419.963904177</x:v>
      </x:c>
      <x:c r="J393" s="85" t="n">
        <x:v>6360808.08503266</x:v>
      </x:c>
      <x:c r="K393" s="85" t="n">
        <x:v>50314.62310958903</x:v>
      </x:c>
      <x:c r="L393" s="28" t="n">
        <x:v>0</x:v>
      </x:c>
      <x:c r="M393" s="28" t="n">
        <x:v>0</x:v>
      </x:c>
      <x:c r="N393" s="28" t="n">
        <x:v>2.3283064365386963e-10</x:v>
      </x:c>
      <x:c r="O393" s="28" t="n">
        <x:v>3.725290298461914e-9</x:v>
      </x:c>
      <x:c r="P393" s="28" t="n">
        <x:v>0</x:v>
      </x:c>
      <x:c r="Q393" s="62" t="b">
        <x:v>1</x:v>
      </x:c>
      <x:c r="R393" s="28" t="n">
        <x:v>0</x:v>
      </x:c>
      <x:c r="S393" s="28" t="str">
        <x:v>1cd33419ec950b03</x:v>
      </x:c>
    </x:row>
    <x:row r="394" ht="21" customHeight="1">
      <x:c r="A394" s="60" t="n">
        <x:v>0.61</x:v>
      </x:c>
      <x:c r="B394" s="28" t="str">
        <x:v>back_flat</x:v>
      </x:c>
      <x:c r="C394" s="60" t="n">
        <x:v>0.4</x:v>
      </x:c>
      <x:c r="D394" s="60" t="n">
        <x:v>0.4</x:v>
      </x:c>
      <x:c r="E394" s="62" t="b">
        <x:v>1</x:v>
      </x:c>
      <x:c r="F394" s="62" t="b">
        <x:v>1</x:v>
      </x:c>
      <x:c r="G394" s="85" t="n">
        <x:v>0</x:v>
      </x:c>
      <x:c r="H394" s="85" t="n">
        <x:v>0</x:v>
      </x:c>
      <x:c r="I394" s="85" t="n">
        <x:v>7138904.462633411</x:v>
      </x:c>
      <x:c r="J394" s="85" t="n">
        <x:v>8065837.811465903</x:v>
      </x:c>
      <x:c r="K394" s="85" t="n">
        <x:v>38571.50641095949</x:v>
      </x:c>
      <x:c r="L394" s="28" t="n">
        <x:v>0</x:v>
      </x:c>
      <x:c r="M394" s="28" t="n">
        <x:v>0</x:v>
      </x:c>
      <x:c r="N394" s="28" t="n">
        <x:v>9.313225746154785e-10</x:v>
      </x:c>
      <x:c r="O394" s="28" t="n">
        <x:v>7.450580596923828e-9</x:v>
      </x:c>
      <x:c r="P394" s="28" t="n">
        <x:v>0</x:v>
      </x:c>
      <x:c r="Q394" s="62" t="b">
        <x:v>1</x:v>
      </x:c>
      <x:c r="R394" s="28" t="n">
        <x:v>0</x:v>
      </x:c>
      <x:c r="S394" s="28" t="str">
        <x:v>480b6e0bc8451b0c</x:v>
      </x:c>
    </x:row>
    <x:row r="395" ht="21" customHeight="1">
      <x:c r="A395" s="60" t="n">
        <x:v>0.61</x:v>
      </x:c>
      <x:c r="B395" s="28" t="str">
        <x:v>back_flat</x:v>
      </x:c>
      <x:c r="C395" s="60" t="n">
        <x:v>0.45</x:v>
      </x:c>
      <x:c r="D395" s="60" t="n">
        <x:v>0.45</x:v>
      </x:c>
      <x:c r="E395" s="62" t="b">
        <x:v>1</x:v>
      </x:c>
      <x:c r="F395" s="62" t="b">
        <x:v>1</x:v>
      </x:c>
      <x:c r="G395" s="85" t="n">
        <x:v>0</x:v>
      </x:c>
      <x:c r="H395" s="85" t="n">
        <x:v>0</x:v>
      </x:c>
      <x:c r="I395" s="85" t="n">
        <x:v>8334852.782564872</x:v>
      </x:c>
      <x:c r="J395" s="85" t="n">
        <x:v>9770867.537899144</x:v>
      </x:c>
      <x:c r="K395" s="85" t="n">
        <x:v>33543.57683561604</x:v>
      </x:c>
      <x:c r="L395" s="28" t="n">
        <x:v>0</x:v>
      </x:c>
      <x:c r="M395" s="28" t="n">
        <x:v>0</x:v>
      </x:c>
      <x:c r="N395" s="28" t="n">
        <x:v>4.656612873077393e-10</x:v>
      </x:c>
      <x:c r="O395" s="28" t="n">
        <x:v>7.450580596923828e-9</x:v>
      </x:c>
      <x:c r="P395" s="28" t="n">
        <x:v>0</x:v>
      </x:c>
      <x:c r="Q395" s="62" t="b">
        <x:v>1</x:v>
      </x:c>
      <x:c r="R395" s="28" t="n">
        <x:v>0</x:v>
      </x:c>
      <x:c r="S395" s="28" t="str">
        <x:v>64664459c90570fa</x:v>
      </x:c>
    </x:row>
    <x:row r="396" ht="21" customHeight="1">
      <x:c r="A396" s="60" t="n">
        <x:v>0.61</x:v>
      </x:c>
      <x:c r="B396" s="28" t="str">
        <x:v>back_flat</x:v>
      </x:c>
      <x:c r="C396" s="60" t="n">
        <x:v>0.5</x:v>
      </x:c>
      <x:c r="D396" s="60" t="n">
        <x:v>0.5</x:v>
      </x:c>
      <x:c r="E396" s="62" t="b">
        <x:v>1</x:v>
      </x:c>
      <x:c r="F396" s="62" t="b">
        <x:v>1</x:v>
      </x:c>
      <x:c r="G396" s="85" t="n">
        <x:v>0</x:v>
      </x:c>
      <x:c r="H396" s="85" t="n">
        <x:v>0</x:v>
      </x:c>
      <x:c r="I396" s="85" t="n">
        <x:v>9614661.224745587</x:v>
      </x:c>
      <x:c r="J396" s="85" t="n">
        <x:v>11282096.006044062</x:v>
      </x:c>
      <x:c r="K396" s="85" t="n">
        <x:v>29969.126273972364</x:v>
      </x:c>
      <x:c r="L396" s="28" t="n">
        <x:v>3</x:v>
      </x:c>
      <x:c r="M396" s="28" t="n">
        <x:v>0</x:v>
      </x:c>
      <x:c r="N396" s="28" t="n">
        <x:v>9.313225746154785e-10</x:v>
      </x:c>
      <x:c r="O396" s="28" t="n">
        <x:v>1.862645149230957e-9</x:v>
      </x:c>
      <x:c r="P396" s="28" t="n">
        <x:v>0</x:v>
      </x:c>
      <x:c r="Q396" s="62" t="b">
        <x:v>1</x:v>
      </x:c>
      <x:c r="R396" s="28" t="n">
        <x:v>0</x:v>
      </x:c>
      <x:c r="S396" s="28" t="str">
        <x:v>1fc910588b8fe5e3</x:v>
      </x:c>
    </x:row>
    <x:row r="397" ht="21" customHeight="1">
      <x:c r="A397" s="60" t="n">
        <x:v>0.61</x:v>
      </x:c>
      <x:c r="B397" s="28" t="str">
        <x:v>back_flat</x:v>
      </x:c>
      <x:c r="C397" s="60" t="n">
        <x:v>0.55</x:v>
      </x:c>
      <x:c r="D397" s="60" t="n">
        <x:v>0.55</x:v>
      </x:c>
      <x:c r="E397" s="62" t="b">
        <x:v>1</x:v>
      </x:c>
      <x:c r="F397" s="62" t="b">
        <x:v>1</x:v>
      </x:c>
      <x:c r="G397" s="85" t="n">
        <x:v>0</x:v>
      </x:c>
      <x:c r="H397" s="85" t="n">
        <x:v>0</x:v>
      </x:c>
      <x:c r="I397" s="85" t="n">
        <x:v>10950134.575518902</x:v>
      </x:c>
      <x:c r="J397" s="85" t="n">
        <x:v>12640126.588752104</x:v>
      </x:c>
      <x:c r="K397" s="85" t="n">
        <x:v>26394.67571232915</x:v>
      </x:c>
      <x:c r="L397" s="28" t="n">
        <x:v>8</x:v>
      </x:c>
      <x:c r="M397" s="28" t="n">
        <x:v>1</x:v>
      </x:c>
      <x:c r="N397" s="28" t="n">
        <x:v>4.656612873077393e-10</x:v>
      </x:c>
      <x:c r="O397" s="28" t="n">
        <x:v>7.450580596923828e-9</x:v>
      </x:c>
      <x:c r="P397" s="28" t="n">
        <x:v>0</x:v>
      </x:c>
      <x:c r="Q397" s="62" t="b">
        <x:v>1</x:v>
      </x:c>
      <x:c r="R397" s="28" t="n">
        <x:v>0</x:v>
      </x:c>
      <x:c r="S397" s="28" t="str">
        <x:v>cba68e52a9e1fd00</x:v>
      </x:c>
    </x:row>
    <x:row r="398" ht="21" customHeight="1">
      <x:c r="A398" s="60" t="n">
        <x:v>0.61</x:v>
      </x:c>
      <x:c r="B398" s="28" t="str">
        <x:v>back_flat</x:v>
      </x:c>
      <x:c r="C398" s="60" t="n">
        <x:v>0.6</x:v>
      </x:c>
      <x:c r="D398" s="60" t="n">
        <x:v>0.6</x:v>
      </x:c>
      <x:c r="E398" s="62" t="b">
        <x:v>1</x:v>
      </x:c>
      <x:c r="F398" s="62" t="b">
        <x:v>1</x:v>
      </x:c>
      <x:c r="G398" s="85" t="n">
        <x:v>0</x:v>
      </x:c>
      <x:c r="H398" s="85" t="n">
        <x:v>0</x:v>
      </x:c>
      <x:c r="I398" s="85" t="n">
        <x:v>12099884.014766496</x:v>
      </x:c>
      <x:c r="J398" s="85" t="n">
        <x:v>14372426.865210565</x:v>
      </x:c>
      <x:c r="K398" s="85" t="n">
        <x:v>22820.22515068512</x:v>
      </x:c>
      <x:c r="L398" s="28" t="n">
        <x:v>10</x:v>
      </x:c>
      <x:c r="M398" s="28" t="n">
        <x:v>4</x:v>
      </x:c>
      <x:c r="N398" s="28" t="n">
        <x:v>4.656612873077393e-10</x:v>
      </x:c>
      <x:c r="O398" s="28" t="n">
        <x:v>7.450580596923828e-9</x:v>
      </x:c>
      <x:c r="P398" s="28" t="n">
        <x:v>0</x:v>
      </x:c>
      <x:c r="Q398" s="62" t="b">
        <x:v>1</x:v>
      </x:c>
      <x:c r="R398" s="28" t="n">
        <x:v>0</x:v>
      </x:c>
      <x:c r="S398" s="28" t="str">
        <x:v>69226ab5bdc9b82f</x:v>
      </x:c>
    </x:row>
    <x:row r="399" ht="21" customHeight="1">
      <x:c r="A399" s="60" t="n">
        <x:v>0.61</x:v>
      </x:c>
      <x:c r="B399" s="28" t="str">
        <x:v>back_flat</x:v>
      </x:c>
      <x:c r="C399" s="60" t="n">
        <x:v>0.65</x:v>
      </x:c>
      <x:c r="D399" s="60" t="n">
        <x:v>0.65</x:v>
      </x:c>
      <x:c r="E399" s="62" t="b">
        <x:v>1</x:v>
      </x:c>
      <x:c r="F399" s="62" t="b">
        <x:v>1</x:v>
      </x:c>
      <x:c r="G399" s="85" t="n">
        <x:v>0</x:v>
      </x:c>
      <x:c r="H399" s="85" t="n">
        <x:v>0</x:v>
      </x:c>
      <x:c r="I399" s="85" t="n">
        <x:v>13289899.092912579</x:v>
      </x:c>
      <x:c r="J399" s="85" t="n">
        <x:v>15971581.956336448</x:v>
      </x:c>
      <x:c r="K399" s="85" t="n">
        <x:v>19245.774589041328</x:v>
      </x:c>
      <x:c r="L399" s="28" t="n">
        <x:v>17</x:v>
      </x:c>
      <x:c r="M399" s="28" t="n">
        <x:v>10</x:v>
      </x:c>
      <x:c r="N399" s="28" t="n">
        <x:v>2.3283064365386963e-10</x:v>
      </x:c>
      <x:c r="O399" s="28" t="n">
        <x:v>7.450580596923828e-9</x:v>
      </x:c>
      <x:c r="P399" s="28" t="n">
        <x:v>0</x:v>
      </x:c>
      <x:c r="Q399" s="62" t="b">
        <x:v>1</x:v>
      </x:c>
      <x:c r="R399" s="28" t="n">
        <x:v>0</x:v>
      </x:c>
      <x:c r="S399" s="28" t="str">
        <x:v>df53d55978e5f0fa</x:v>
      </x:c>
    </x:row>
    <x:row r="400" ht="21" customHeight="1">
      <x:c r="A400" s="60" t="n">
        <x:v>0.61</x:v>
      </x:c>
      <x:c r="B400" s="28" t="str">
        <x:v>back_flat</x:v>
      </x:c>
      <x:c r="C400" s="60" t="n">
        <x:v>0.7</x:v>
      </x:c>
      <x:c r="D400" s="60" t="n">
        <x:v>0.7</x:v>
      </x:c>
      <x:c r="E400" s="62" t="b">
        <x:v>1</x:v>
      </x:c>
      <x:c r="F400" s="62" t="b">
        <x:v>0</x:v>
      </x:c>
      <x:c r="G400" s="85" t="n">
        <x:v>343681.2246275878</x:v>
      </x:c>
      <x:c r="H400" s="85" t="n">
        <x:v>1850130.2525096964</x:v>
      </x:c>
      <x:c r="I400" s="85" t="n">
        <x:v>13611891.392328894</x:v>
      </x:c>
      <x:c r="J400" s="85" t="n">
        <x:v>16165760.000000002</x:v>
      </x:c>
      <x:c r="K400" s="85" t="n">
        <x:v>15671.324027397415</x:v>
      </x:c>
      <x:c r="L400" s="28" t="n">
        <x:v>38</x:v>
      </x:c>
      <x:c r="M400" s="28" t="n">
        <x:v>32</x:v>
      </x:c>
      <x:c r="N400" s="28" t="n">
        <x:v>4.656612873077393e-10</x:v>
      </x:c>
      <x:c r="O400" s="28" t="n">
        <x:v>3.725290298461914e-9</x:v>
      </x:c>
      <x:c r="P400" s="28" t="n">
        <x:v>0</x:v>
      </x:c>
      <x:c r="Q400" s="62" t="b">
        <x:v>1</x:v>
      </x:c>
      <x:c r="R400" s="28" t="n">
        <x:v>0</x:v>
      </x:c>
      <x:c r="S400" s="28" t="str">
        <x:v>80a28511951e5ceb</x:v>
      </x:c>
    </x:row>
    <x:row r="401" ht="21" customHeight="1">
      <x:c r="A401" s="60" t="n">
        <x:v>0.61</x:v>
      </x:c>
      <x:c r="B401" s="28" t="str">
        <x:v>back_flat</x:v>
      </x:c>
      <x:c r="C401" s="60" t="n">
        <x:v>0.75</x:v>
      </x:c>
      <x:c r="D401" s="60" t="n">
        <x:v>0.75</x:v>
      </x:c>
      <x:c r="E401" s="62" t="b">
        <x:v>1</x:v>
      </x:c>
      <x:c r="F401" s="62" t="b">
        <x:v>0</x:v>
      </x:c>
      <x:c r="G401" s="85" t="n">
        <x:v>801417.1587795232</x:v>
      </x:c>
      <x:c r="H401" s="85" t="n">
        <x:v>4063495.222350071</x:v>
      </x:c>
      <x:c r="I401" s="85" t="n">
        <x:v>13680449.34129955</x:v>
      </x:c>
      <x:c r="J401" s="85" t="n">
        <x:v>16165760.000000002</x:v>
      </x:c>
      <x:c r="K401" s="85" t="n">
        <x:v>12096.87346575327</x:v>
      </x:c>
      <x:c r="L401" s="28" t="n">
        <x:v>38</x:v>
      </x:c>
      <x:c r="M401" s="28" t="n">
        <x:v>33</x:v>
      </x:c>
      <x:c r="N401" s="28" t="n">
        <x:v>4.656612873077393e-10</x:v>
      </x:c>
      <x:c r="O401" s="28" t="n">
        <x:v>7.450580596923828e-9</x:v>
      </x:c>
      <x:c r="P401" s="28" t="n">
        <x:v>0</x:v>
      </x:c>
      <x:c r="Q401" s="62" t="b">
        <x:v>1</x:v>
      </x:c>
      <x:c r="R401" s="28" t="n">
        <x:v>0</x:v>
      </x:c>
      <x:c r="S401" s="28" t="str">
        <x:v>53b9eb9af2ee26b7</x:v>
      </x:c>
    </x:row>
    <x:row r="402" ht="21" customHeight="1">
      <x:c r="A402" s="60" t="n">
        <x:v>0.61</x:v>
      </x:c>
      <x:c r="B402" s="28" t="str">
        <x:v>back_flat</x:v>
      </x:c>
      <x:c r="C402" s="60" t="n">
        <x:v>0.8</x:v>
      </x:c>
      <x:c r="D402" s="60" t="n">
        <x:v>0.8</x:v>
      </x:c>
      <x:c r="E402" s="62" t="b">
        <x:v>1</x:v>
      </x:c>
      <x:c r="F402" s="62" t="b">
        <x:v>0</x:v>
      </x:c>
      <x:c r="G402" s="85" t="n">
        <x:v>1235067.055911021</x:v>
      </x:c>
      <x:c r="H402" s="85" t="n">
        <x:v>5965254.673316752</x:v>
      </x:c>
      <x:c r="I402" s="85" t="n">
        <x:v>13924507.369975232</x:v>
      </x:c>
      <x:c r="J402" s="85" t="n">
        <x:v>16165760.000000002</x:v>
      </x:c>
      <x:c r="K402" s="85" t="n">
        <x:v>8522.42290410959</x:v>
      </x:c>
      <x:c r="L402" s="28" t="n">
        <x:v>39</x:v>
      </x:c>
      <x:c r="M402" s="28" t="n">
        <x:v>34</x:v>
      </x:c>
      <x:c r="N402" s="28" t="n">
        <x:v>4.656612873077393e-10</x:v>
      </x:c>
      <x:c r="O402" s="28" t="n">
        <x:v>3.725290298461914e-9</x:v>
      </x:c>
      <x:c r="P402" s="28" t="n">
        <x:v>0</x:v>
      </x:c>
      <x:c r="Q402" s="62" t="b">
        <x:v>1</x:v>
      </x:c>
      <x:c r="R402" s="28" t="n">
        <x:v>0</x:v>
      </x:c>
      <x:c r="S402" s="28" t="str">
        <x:v>2898864063128c20</x:v>
      </x:c>
    </x:row>
    <x:row r="403" ht="21" customHeight="1">
      <x:c r="A403" s="60" t="n">
        <x:v>0.61</x:v>
      </x:c>
      <x:c r="B403" s="28" t="str">
        <x:v>back_flat</x:v>
      </x:c>
      <x:c r="C403" s="60" t="n">
        <x:v>0.85</x:v>
      </x:c>
      <x:c r="D403" s="60" t="n">
        <x:v>0.85</x:v>
      </x:c>
      <x:c r="E403" s="62" t="b">
        <x:v>1</x:v>
      </x:c>
      <x:c r="F403" s="62" t="b">
        <x:v>0</x:v>
      </x:c>
      <x:c r="G403" s="85" t="n">
        <x:v>1746451.7514574088</x:v>
      </x:c>
      <x:c r="H403" s="85" t="n">
        <x:v>7764292.782242002</x:v>
      </x:c>
      <x:c r="I403" s="85" t="n">
        <x:v>14148050.510650191</x:v>
      </x:c>
      <x:c r="J403" s="85" t="n">
        <x:v>16165760.000000002</x:v>
      </x:c>
      <x:c r="K403" s="85" t="n">
        <x:v>5154.478767123226</x:v>
      </x:c>
      <x:c r="L403" s="28" t="n">
        <x:v>40</x:v>
      </x:c>
      <x:c r="M403" s="28" t="n">
        <x:v>35</x:v>
      </x:c>
      <x:c r="N403" s="28" t="n">
        <x:v>4.656612873077393e-10</x:v>
      </x:c>
      <x:c r="O403" s="28" t="n">
        <x:v>9.313225746154785e-10</x:v>
      </x:c>
      <x:c r="P403" s="28" t="n">
        <x:v>0</x:v>
      </x:c>
      <x:c r="Q403" s="62" t="b">
        <x:v>1</x:v>
      </x:c>
      <x:c r="R403" s="28" t="n">
        <x:v>0</x:v>
      </x:c>
      <x:c r="S403" s="28" t="str">
        <x:v>46544e9f3fdd7c18</x:v>
      </x:c>
    </x:row>
    <x:row r="404" ht="21" customHeight="1">
      <x:c r="A404" s="60" t="n">
        <x:v>0.61</x:v>
      </x:c>
      <x:c r="B404" s="28" t="str">
        <x:v>back_flat</x:v>
      </x:c>
      <x:c r="C404" s="60" t="n">
        <x:v>0.9</x:v>
      </x:c>
      <x:c r="D404" s="60" t="n">
        <x:v>0.880265491166173</x:v>
      </x:c>
      <x:c r="E404" s="62" t="b">
        <x:v>0</x:v>
      </x:c>
      <x:c r="F404" s="62" t="b">
        <x:v>0</x:v>
      </x:c>
      <x:c r="G404" s="85" t="n">
        <x:v>2301650.9398021987</x:v>
      </x:c>
      <x:c r="H404" s="85" t="n">
        <x:v>8714395.595906837</x:v>
      </x:c>
      <x:c r="I404" s="85" t="n">
        <x:v>14190715.467811726</x:v>
      </x:c>
      <x:c r="J404" s="85" t="n">
        <x:v>16165760.000000002</x:v>
      </x:c>
      <x:c r="K404" s="85" t="n">
        <x:v>3951.377260273941</x:v>
      </x:c>
      <x:c r="L404" s="28" t="n">
        <x:v>40</x:v>
      </x:c>
      <x:c r="M404" s="28" t="n">
        <x:v>36</x:v>
      </x:c>
      <x:c r="N404" s="28" t="n">
        <x:v>2.3283064365386963e-10</x:v>
      </x:c>
      <x:c r="O404" s="28" t="n">
        <x:v>3.725290298461914e-9</x:v>
      </x:c>
      <x:c r="P404" s="28" t="n">
        <x:v>0</x:v>
      </x:c>
      <x:c r="Q404" s="62" t="b">
        <x:v>1</x:v>
      </x:c>
      <x:c r="R404" s="28" t="n">
        <x:v>1100080.4604328498</x:v>
      </x:c>
      <x:c r="S404" s="28" t="str">
        <x:v>8acfbba815d54e91</x:v>
      </x:c>
    </x:row>
    <x:row r="405" ht="21" customHeight="1">
      <x:c r="A405" s="60" t="n">
        <x:v>0.61</x:v>
      </x:c>
      <x:c r="B405" s="28" t="str">
        <x:v>back_flat</x:v>
      </x:c>
      <x:c r="C405" s="60" t="n">
        <x:v>0.95</x:v>
      </x:c>
      <x:c r="D405" s="60" t="n">
        <x:v>0.8954794051096439</x:v>
      </x:c>
      <x:c r="E405" s="62" t="b">
        <x:v>0</x:v>
      </x:c>
      <x:c r="F405" s="62" t="b">
        <x:v>0</x:v>
      </x:c>
      <x:c r="G405" s="85" t="n">
        <x:v>2508539.7775713066</x:v>
      </x:c>
      <x:c r="H405" s="85" t="n">
        <x:v>9497707.759154467</x:v>
      </x:c>
      <x:c r="I405" s="85" t="n">
        <x:v>14233380.424973259</x:v>
      </x:c>
      <x:c r="J405" s="85" t="n">
        <x:v>16165760.000000002</x:v>
      </x:c>
      <x:c r="K405" s="85" t="n">
        <x:v>2748.2757534246557</x:v>
      </x:c>
      <x:c r="L405" s="28" t="n">
        <x:v>40</x:v>
      </x:c>
      <x:c r="M405" s="28" t="n">
        <x:v>36</x:v>
      </x:c>
      <x:c r="N405" s="28" t="n">
        <x:v>4.656612873077393e-10</x:v>
      </x:c>
      <x:c r="O405" s="28" t="n">
        <x:v>3.725290298461914e-9</x:v>
      </x:c>
      <x:c r="P405" s="28" t="n">
        <x:v>0</x:v>
      </x:c>
      <x:c r="Q405" s="62" t="b">
        <x:v>1</x:v>
      </x:c>
      <x:c r="R405" s="28" t="n">
        <x:v>3039196.041568011</x:v>
      </x:c>
      <x:c r="S405" s="28" t="str">
        <x:v>70c4905e822b3151</x:v>
      </x:c>
    </x:row>
    <x:row r="406" ht="21" customHeight="1">
      <x:c r="A406" s="60" t="n">
        <x:v>0.61</x:v>
      </x:c>
      <x:c r="B406" s="28" t="str">
        <x:v>back_flat</x:v>
      </x:c>
      <x:c r="C406" s="60" t="n">
        <x:v>1</x:v>
      </x:c>
      <x:c r="D406" s="60" t="n">
        <x:v>0.9093341115290656</x:v>
      </x:c>
      <x:c r="E406" s="62" t="b">
        <x:v>0</x:v>
      </x:c>
      <x:c r="F406" s="62" t="b">
        <x:v>0</x:v>
      </x:c>
      <x:c r="G406" s="85" t="n">
        <x:v>2714973.824001348</x:v>
      </x:c>
      <x:c r="H406" s="85" t="n">
        <x:v>9865064.366667582</x:v>
      </x:c>
      <x:c r="I406" s="85" t="n">
        <x:v>14467869.710520547</x:v>
      </x:c>
      <x:c r="J406" s="85" t="n">
        <x:v>16165760.000000002</x:v>
      </x:c>
      <x:c r="K406" s="85" t="n">
        <x:v>1545.1742465753705</x:v>
      </x:c>
      <x:c r="L406" s="28" t="n">
        <x:v>41</x:v>
      </x:c>
      <x:c r="M406" s="28" t="n">
        <x:v>37</x:v>
      </x:c>
      <x:c r="N406" s="28" t="n">
        <x:v>2.3283064365386963e-10</x:v>
      </x:c>
      <x:c r="O406" s="28" t="n">
        <x:v>3.725290298461914e-9</x:v>
      </x:c>
      <x:c r="P406" s="28" t="n">
        <x:v>0</x:v>
      </x:c>
      <x:c r="Q406" s="62" t="b">
        <x:v>1</x:v>
      </x:c>
      <x:c r="R406" s="28" t="n">
        <x:v>5054079.286923766</x:v>
      </x:c>
      <x:c r="S406" s="28" t="str">
        <x:v>3f9fc9baaf90a773</x:v>
      </x:c>
    </x:row>
    <x:row r="407" ht="21" customHeight="1">
      <x:c r="A407" s="60" t="n">
        <x:v>0.61</x:v>
      </x:c>
      <x:c r="B407" s="28" t="str">
        <x:v>back_low</x:v>
      </x:c>
      <x:c r="C407" s="60" t="n">
        <x:v>0</x:v>
      </x:c>
      <x:c r="D407" s="60" t="n">
        <x:v>0</x:v>
      </x:c>
      <x:c r="E407" s="62" t="b">
        <x:v>1</x:v>
      </x:c>
      <x:c r="F407" s="62" t="b">
        <x:v>1</x:v>
      </x:c>
      <x:c r="G407" s="85" t="n">
        <x:v>0</x:v>
      </x:c>
      <x:c r="H407" s="85" t="n">
        <x:v>0</x:v>
      </x:c>
      <x:c r="I407" s="85" t="n">
        <x:v>0</x:v>
      </x:c>
      <x:c r="J407" s="85" t="n">
        <x:v>0</x:v>
      </x:c>
      <x:c r="K407" s="85" t="n">
        <x:v>4885910.034191779</x:v>
      </x:c>
      <x:c r="L407" s="28" t="n">
        <x:v>0</x:v>
      </x:c>
      <x:c r="M407" s="28" t="n">
        <x:v>0</x:v>
      </x:c>
      <x:c r="N407" s="28" t="n">
        <x:v>4.656612873077393e-10</x:v>
      </x:c>
      <x:c r="O407" s="28" t="n">
        <x:v>0</x:v>
      </x:c>
      <x:c r="P407" s="28" t="n">
        <x:v>0</x:v>
      </x:c>
      <x:c r="Q407" s="62" t="b">
        <x:v>1</x:v>
      </x:c>
      <x:c r="R407" s="28" t="n">
        <x:v>0</x:v>
      </x:c>
      <x:c r="S407" s="28" t="str">
        <x:v>05d0da7e84c021c4</x:v>
      </x:c>
    </x:row>
    <x:row r="408" ht="21" customHeight="1">
      <x:c r="A408" s="60" t="n">
        <x:v>0.61</x:v>
      </x:c>
      <x:c r="B408" s="28" t="str">
        <x:v>back_low</x:v>
      </x:c>
      <x:c r="C408" s="60" t="n">
        <x:v>0.05</x:v>
      </x:c>
      <x:c r="D408" s="60" t="n">
        <x:v>0.05</x:v>
      </x:c>
      <x:c r="E408" s="62" t="b">
        <x:v>1</x:v>
      </x:c>
      <x:c r="F408" s="62" t="b">
        <x:v>1</x:v>
      </x:c>
      <x:c r="G408" s="85" t="n">
        <x:v>0</x:v>
      </x:c>
      <x:c r="H408" s="85" t="n">
        <x:v>0</x:v>
      </x:c>
      <x:c r="I408" s="85" t="n">
        <x:v>0</x:v>
      </x:c>
      <x:c r="J408" s="85" t="n">
        <x:v>0</x:v>
      </x:c>
      <x:c r="K408" s="85" t="n">
        <x:v>2897341.4622982456</x:v>
      </x:c>
      <x:c r="L408" s="28" t="n">
        <x:v>0</x:v>
      </x:c>
      <x:c r="M408" s="28" t="n">
        <x:v>0</x:v>
      </x:c>
      <x:c r="N408" s="28" t="n">
        <x:v>4.656612873077393e-10</x:v>
      </x:c>
      <x:c r="O408" s="28" t="n">
        <x:v>7.450580596923828e-9</x:v>
      </x:c>
      <x:c r="P408" s="28" t="n">
        <x:v>0</x:v>
      </x:c>
      <x:c r="Q408" s="62" t="b">
        <x:v>1</x:v>
      </x:c>
      <x:c r="R408" s="28" t="n">
        <x:v>0</x:v>
      </x:c>
      <x:c r="S408" s="28" t="str">
        <x:v>0ba3f33e058e86e4</x:v>
      </x:c>
    </x:row>
    <x:row r="409" ht="21" customHeight="1">
      <x:c r="A409" s="60" t="n">
        <x:v>0.61</x:v>
      </x:c>
      <x:c r="B409" s="28" t="str">
        <x:v>back_low</x:v>
      </x:c>
      <x:c r="C409" s="60" t="n">
        <x:v>0.1</x:v>
      </x:c>
      <x:c r="D409" s="60" t="n">
        <x:v>0.1</x:v>
      </x:c>
      <x:c r="E409" s="62" t="b">
        <x:v>1</x:v>
      </x:c>
      <x:c r="F409" s="62" t="b">
        <x:v>1</x:v>
      </x:c>
      <x:c r="G409" s="85" t="n">
        <x:v>0</x:v>
      </x:c>
      <x:c r="H409" s="85" t="n">
        <x:v>0</x:v>
      </x:c>
      <x:c r="I409" s="85" t="n">
        <x:v>0</x:v>
      </x:c>
      <x:c r="J409" s="85" t="n">
        <x:v>0</x:v>
      </x:c>
      <x:c r="K409" s="85" t="n">
        <x:v>908772.8904047543</x:v>
      </x:c>
      <x:c r="L409" s="28" t="n">
        <x:v>0</x:v>
      </x:c>
      <x:c r="M409" s="28" t="n">
        <x:v>0</x:v>
      </x:c>
      <x:c r="N409" s="28" t="n">
        <x:v>4.656612873077393e-10</x:v>
      </x:c>
      <x:c r="O409" s="28" t="n">
        <x:v>7.450580596923828e-9</x:v>
      </x:c>
      <x:c r="P409" s="28" t="n">
        <x:v>0</x:v>
      </x:c>
      <x:c r="Q409" s="62" t="b">
        <x:v>1</x:v>
      </x:c>
      <x:c r="R409" s="28" t="n">
        <x:v>0</x:v>
      </x:c>
      <x:c r="S409" s="28" t="str">
        <x:v>6155d9f19f48b5f5</x:v>
      </x:c>
    </x:row>
    <x:row r="410" ht="21" customHeight="1">
      <x:c r="A410" s="60" t="n">
        <x:v>0.61</x:v>
      </x:c>
      <x:c r="B410" s="28" t="str">
        <x:v>back_low</x:v>
      </x:c>
      <x:c r="C410" s="60" t="n">
        <x:v>0.15</x:v>
      </x:c>
      <x:c r="D410" s="60" t="n">
        <x:v>0.15</x:v>
      </x:c>
      <x:c r="E410" s="62" t="b">
        <x:v>1</x:v>
      </x:c>
      <x:c r="F410" s="62" t="b">
        <x:v>1</x:v>
      </x:c>
      <x:c r="G410" s="85" t="n">
        <x:v>0</x:v>
      </x:c>
      <x:c r="H410" s="85" t="n">
        <x:v>0</x:v>
      </x:c>
      <x:c r="I410" s="85" t="n">
        <x:v>832022.7025228725</x:v>
      </x:c>
      <x:c r="J410" s="85" t="n">
        <x:v>0</x:v>
      </x:c>
      <x:c r="K410" s="85" t="n">
        <x:v>0</x:v>
      </x:c>
      <x:c r="L410" s="28" t="n">
        <x:v>0</x:v>
      </x:c>
      <x:c r="M410" s="28" t="n">
        <x:v>0</x:v>
      </x:c>
      <x:c r="N410" s="28" t="n">
        <x:v>9.313225746154785e-10</x:v>
      </x:c>
      <x:c r="O410" s="28" t="n">
        <x:v>7.450580596923828e-9</x:v>
      </x:c>
      <x:c r="P410" s="28" t="n">
        <x:v>0</x:v>
      </x:c>
      <x:c r="Q410" s="62" t="b">
        <x:v>1</x:v>
      </x:c>
      <x:c r="R410" s="28" t="n">
        <x:v>0</x:v>
      </x:c>
      <x:c r="S410" s="28" t="str">
        <x:v>0b2e42f39ce9f6d6</x:v>
      </x:c>
    </x:row>
    <x:row r="411" ht="21" customHeight="1">
      <x:c r="A411" s="60" t="n">
        <x:v>0.61</x:v>
      </x:c>
      <x:c r="B411" s="28" t="str">
        <x:v>back_low</x:v>
      </x:c>
      <x:c r="C411" s="60" t="n">
        <x:v>0.2</x:v>
      </x:c>
      <x:c r="D411" s="60" t="n">
        <x:v>0.2</x:v>
      </x:c>
      <x:c r="E411" s="62" t="b">
        <x:v>1</x:v>
      </x:c>
      <x:c r="F411" s="62" t="b">
        <x:v>1</x:v>
      </x:c>
      <x:c r="G411" s="85" t="n">
        <x:v>0</x:v>
      </x:c>
      <x:c r="H411" s="85" t="n">
        <x:v>0</x:v>
      </x:c>
      <x:c r="I411" s="85" t="n">
        <x:v>1974517.4087193732</x:v>
      </x:c>
      <x:c r="J411" s="85" t="n">
        <x:v>1245718.9057329397</x:v>
      </x:c>
      <x:c r="K411" s="85" t="n">
        <x:v>0</x:v>
      </x:c>
      <x:c r="L411" s="28" t="n">
        <x:v>0</x:v>
      </x:c>
      <x:c r="M411" s="28" t="n">
        <x:v>0</x:v>
      </x:c>
      <x:c r="N411" s="28" t="n">
        <x:v>2.3283064365386963e-10</x:v>
      </x:c>
      <x:c r="O411" s="28" t="n">
        <x:v>7.450580596923828e-9</x:v>
      </x:c>
      <x:c r="P411" s="28" t="n">
        <x:v>0</x:v>
      </x:c>
      <x:c r="Q411" s="62" t="b">
        <x:v>1</x:v>
      </x:c>
      <x:c r="R411" s="28" t="n">
        <x:v>0</x:v>
      </x:c>
      <x:c r="S411" s="28" t="str">
        <x:v>db730a6568ab428a</x:v>
      </x:c>
    </x:row>
    <x:row r="412" ht="21" customHeight="1">
      <x:c r="A412" s="60" t="n">
        <x:v>0.61</x:v>
      </x:c>
      <x:c r="B412" s="28" t="str">
        <x:v>back_low</x:v>
      </x:c>
      <x:c r="C412" s="60" t="n">
        <x:v>0.25</x:v>
      </x:c>
      <x:c r="D412" s="60" t="n">
        <x:v>0.25</x:v>
      </x:c>
      <x:c r="E412" s="62" t="b">
        <x:v>1</x:v>
      </x:c>
      <x:c r="F412" s="62" t="b">
        <x:v>1</x:v>
      </x:c>
      <x:c r="G412" s="85" t="n">
        <x:v>0</x:v>
      </x:c>
      <x:c r="H412" s="85" t="n">
        <x:v>0</x:v>
      </x:c>
      <x:c r="I412" s="85" t="n">
        <x:v>2754502.9494071174</x:v>
      </x:c>
      <x:c r="J412" s="85" t="n">
        <x:v>2950748.632166203</x:v>
      </x:c>
      <x:c r="K412" s="85" t="n">
        <x:v>0</x:v>
      </x:c>
      <x:c r="L412" s="28" t="n">
        <x:v>0</x:v>
      </x:c>
      <x:c r="M412" s="28" t="n">
        <x:v>0</x:v>
      </x:c>
      <x:c r="N412" s="28" t="n">
        <x:v>4.656612873077393e-10</x:v>
      </x:c>
      <x:c r="O412" s="28" t="n">
        <x:v>7.450580596923828e-9</x:v>
      </x:c>
      <x:c r="P412" s="28" t="n">
        <x:v>0</x:v>
      </x:c>
      <x:c r="Q412" s="62" t="b">
        <x:v>1</x:v>
      </x:c>
      <x:c r="R412" s="28" t="n">
        <x:v>0</x:v>
      </x:c>
      <x:c r="S412" s="28" t="str">
        <x:v>f9ba1210cc7b2441</x:v>
      </x:c>
    </x:row>
    <x:row r="413" ht="21" customHeight="1">
      <x:c r="A413" s="60" t="n">
        <x:v>0.61</x:v>
      </x:c>
      <x:c r="B413" s="28" t="str">
        <x:v>back_low</x:v>
      </x:c>
      <x:c r="C413" s="60" t="n">
        <x:v>0.3</x:v>
      </x:c>
      <x:c r="D413" s="60" t="n">
        <x:v>0.3</x:v>
      </x:c>
      <x:c r="E413" s="62" t="b">
        <x:v>1</x:v>
      </x:c>
      <x:c r="F413" s="62" t="b">
        <x:v>1</x:v>
      </x:c>
      <x:c r="G413" s="85" t="n">
        <x:v>0</x:v>
      </x:c>
      <x:c r="H413" s="85" t="n">
        <x:v>0</x:v>
      </x:c>
      <x:c r="I413" s="85" t="n">
        <x:v>3534849.499762255</x:v>
      </x:c>
      <x:c r="J413" s="85" t="n">
        <x:v>4655778.3585994225</x:v>
      </x:c>
      <x:c r="K413" s="85" t="n">
        <x:v>0</x:v>
      </x:c>
      <x:c r="L413" s="28" t="n">
        <x:v>0</x:v>
      </x:c>
      <x:c r="M413" s="28" t="n">
        <x:v>0</x:v>
      </x:c>
      <x:c r="N413" s="28" t="n">
        <x:v>4.656612873077393e-10</x:v>
      </x:c>
      <x:c r="O413" s="28" t="n">
        <x:v>7.450580596923828e-9</x:v>
      </x:c>
      <x:c r="P413" s="28" t="n">
        <x:v>0</x:v>
      </x:c>
      <x:c r="Q413" s="62" t="b">
        <x:v>1</x:v>
      </x:c>
      <x:c r="R413" s="28" t="n">
        <x:v>0</x:v>
      </x:c>
      <x:c r="S413" s="28" t="str">
        <x:v>46afc0f086d98905</x:v>
      </x:c>
    </x:row>
    <x:row r="414" ht="21" customHeight="1">
      <x:c r="A414" s="60" t="n">
        <x:v>0.61</x:v>
      </x:c>
      <x:c r="B414" s="28" t="str">
        <x:v>back_low</x:v>
      </x:c>
      <x:c r="C414" s="60" t="n">
        <x:v>0.35</x:v>
      </x:c>
      <x:c r="D414" s="60" t="n">
        <x:v>0.35</x:v>
      </x:c>
      <x:c r="E414" s="62" t="b">
        <x:v>1</x:v>
      </x:c>
      <x:c r="F414" s="62" t="b">
        <x:v>1</x:v>
      </x:c>
      <x:c r="G414" s="85" t="n">
        <x:v>0</x:v>
      </x:c>
      <x:c r="H414" s="85" t="n">
        <x:v>0</x:v>
      </x:c>
      <x:c r="I414" s="85" t="n">
        <x:v>4320988.088754596</x:v>
      </x:c>
      <x:c r="J414" s="85" t="n">
        <x:v>6360808.08503266</x:v>
      </x:c>
      <x:c r="K414" s="85" t="n">
        <x:v>0</x:v>
      </x:c>
      <x:c r="L414" s="28" t="n">
        <x:v>0</x:v>
      </x:c>
      <x:c r="M414" s="28" t="n">
        <x:v>0</x:v>
      </x:c>
      <x:c r="N414" s="28" t="n">
        <x:v>9.313225746154785e-10</x:v>
      </x:c>
      <x:c r="O414" s="28" t="n">
        <x:v>3.725290298461914e-9</x:v>
      </x:c>
      <x:c r="P414" s="28" t="n">
        <x:v>0</x:v>
      </x:c>
      <x:c r="Q414" s="62" t="b">
        <x:v>1</x:v>
      </x:c>
      <x:c r="R414" s="28" t="n">
        <x:v>0</x:v>
      </x:c>
      <x:c r="S414" s="28" t="str">
        <x:v>88e3df479f110a66</x:v>
      </x:c>
    </x:row>
    <x:row r="415" ht="21" customHeight="1">
      <x:c r="A415" s="60" t="n">
        <x:v>0.61</x:v>
      </x:c>
      <x:c r="B415" s="28" t="str">
        <x:v>back_low</x:v>
      </x:c>
      <x:c r="C415" s="60" t="n">
        <x:v>0.4</x:v>
      </x:c>
      <x:c r="D415" s="60" t="n">
        <x:v>0.4</x:v>
      </x:c>
      <x:c r="E415" s="62" t="b">
        <x:v>1</x:v>
      </x:c>
      <x:c r="F415" s="62" t="b">
        <x:v>1</x:v>
      </x:c>
      <x:c r="G415" s="85" t="n">
        <x:v>0</x:v>
      </x:c>
      <x:c r="H415" s="85" t="n">
        <x:v>0</x:v>
      </x:c>
      <x:c r="I415" s="85" t="n">
        <x:v>5107126.6777469395</x:v>
      </x:c>
      <x:c r="J415" s="85" t="n">
        <x:v>8065837.811465903</x:v>
      </x:c>
      <x:c r="K415" s="85" t="n">
        <x:v>0</x:v>
      </x:c>
      <x:c r="L415" s="28" t="n">
        <x:v>0</x:v>
      </x:c>
      <x:c r="M415" s="28" t="n">
        <x:v>0</x:v>
      </x:c>
      <x:c r="N415" s="28" t="n">
        <x:v>9.313225746154785e-10</x:v>
      </x:c>
      <x:c r="O415" s="28" t="n">
        <x:v>7.450580596923828e-9</x:v>
      </x:c>
      <x:c r="P415" s="28" t="n">
        <x:v>0</x:v>
      </x:c>
      <x:c r="Q415" s="62" t="b">
        <x:v>1</x:v>
      </x:c>
      <x:c r="R415" s="28" t="n">
        <x:v>0</x:v>
      </x:c>
      <x:c r="S415" s="28" t="str">
        <x:v>f4c4bfb782a7ab0b</x:v>
      </x:c>
    </x:row>
    <x:row r="416" ht="21" customHeight="1">
      <x:c r="A416" s="60" t="n">
        <x:v>0.61</x:v>
      </x:c>
      <x:c r="B416" s="28" t="str">
        <x:v>back_low</x:v>
      </x:c>
      <x:c r="C416" s="60" t="n">
        <x:v>0.45</x:v>
      </x:c>
      <x:c r="D416" s="60" t="n">
        <x:v>0.45</x:v>
      </x:c>
      <x:c r="E416" s="62" t="b">
        <x:v>1</x:v>
      </x:c>
      <x:c r="F416" s="62" t="b">
        <x:v>1</x:v>
      </x:c>
      <x:c r="G416" s="85" t="n">
        <x:v>0</x:v>
      </x:c>
      <x:c r="H416" s="85" t="n">
        <x:v>0</x:v>
      </x:c>
      <x:c r="I416" s="85" t="n">
        <x:v>5888112.969773069</x:v>
      </x:c>
      <x:c r="J416" s="85" t="n">
        <x:v>9770867.537899144</x:v>
      </x:c>
      <x:c r="K416" s="85" t="n">
        <x:v>0</x:v>
      </x:c>
      <x:c r="L416" s="28" t="n">
        <x:v>0</x:v>
      </x:c>
      <x:c r="M416" s="28" t="n">
        <x:v>0</x:v>
      </x:c>
      <x:c r="N416" s="28" t="n">
        <x:v>9.313225746154785e-10</x:v>
      </x:c>
      <x:c r="O416" s="28" t="n">
        <x:v>7.450580596923828e-9</x:v>
      </x:c>
      <x:c r="P416" s="28" t="n">
        <x:v>0</x:v>
      </x:c>
      <x:c r="Q416" s="62" t="b">
        <x:v>1</x:v>
      </x:c>
      <x:c r="R416" s="28" t="n">
        <x:v>0</x:v>
      </x:c>
      <x:c r="S416" s="28" t="str">
        <x:v>36e68f2faa3eafa5</x:v>
      </x:c>
    </x:row>
    <x:row r="417" ht="21" customHeight="1">
      <x:c r="A417" s="60" t="n">
        <x:v>0.61</x:v>
      </x:c>
      <x:c r="B417" s="28" t="str">
        <x:v>back_low</x:v>
      </x:c>
      <x:c r="C417" s="60" t="n">
        <x:v>0.5</x:v>
      </x:c>
      <x:c r="D417" s="60" t="n">
        <x:v>0.5</x:v>
      </x:c>
      <x:c r="E417" s="62" t="b">
        <x:v>1</x:v>
      </x:c>
      <x:c r="F417" s="62" t="b">
        <x:v>1</x:v>
      </x:c>
      <x:c r="G417" s="85" t="n">
        <x:v>0</x:v>
      </x:c>
      <x:c r="H417" s="85" t="n">
        <x:v>0</x:v>
      </x:c>
      <x:c r="I417" s="85" t="n">
        <x:v>6771907.043677242</x:v>
      </x:c>
      <x:c r="J417" s="85" t="n">
        <x:v>11308235.737280691</x:v>
      </x:c>
      <x:c r="K417" s="85" t="n">
        <x:v>0</x:v>
      </x:c>
      <x:c r="L417" s="28" t="n">
        <x:v>3</x:v>
      </x:c>
      <x:c r="M417" s="28" t="n">
        <x:v>0</x:v>
      </x:c>
      <x:c r="N417" s="28" t="n">
        <x:v>9.313225746154785e-10</x:v>
      </x:c>
      <x:c r="O417" s="28" t="n">
        <x:v>1.862645149230957e-9</x:v>
      </x:c>
      <x:c r="P417" s="28" t="n">
        <x:v>0</x:v>
      </x:c>
      <x:c r="Q417" s="62" t="b">
        <x:v>1</x:v>
      </x:c>
      <x:c r="R417" s="28" t="n">
        <x:v>0</x:v>
      </x:c>
      <x:c r="S417" s="28" t="str">
        <x:v>cec5f82bd476394b</x:v>
      </x:c>
    </x:row>
    <x:row r="418" ht="21" customHeight="1">
      <x:c r="A418" s="60" t="n">
        <x:v>0.61</x:v>
      </x:c>
      <x:c r="B418" s="28" t="str">
        <x:v>back_low</x:v>
      </x:c>
      <x:c r="C418" s="60" t="n">
        <x:v>0.55</x:v>
      </x:c>
      <x:c r="D418" s="60" t="n">
        <x:v>0.55</x:v>
      </x:c>
      <x:c r="E418" s="62" t="b">
        <x:v>1</x:v>
      </x:c>
      <x:c r="F418" s="62" t="b">
        <x:v>1</x:v>
      </x:c>
      <x:c r="G418" s="85" t="n">
        <x:v>0</x:v>
      </x:c>
      <x:c r="H418" s="85" t="n">
        <x:v>0</x:v>
      </x:c>
      <x:c r="I418" s="85" t="n">
        <x:v>7736439.188176667</x:v>
      </x:c>
      <x:c r="J418" s="85" t="n">
        <x:v>12711655.09154553</x:v>
      </x:c>
      <x:c r="K418" s="85" t="n">
        <x:v>0</x:v>
      </x:c>
      <x:c r="L418" s="28" t="n">
        <x:v>8</x:v>
      </x:c>
      <x:c r="M418" s="28" t="n">
        <x:v>0</x:v>
      </x:c>
      <x:c r="N418" s="28" t="n">
        <x:v>4.656612873077393e-10</x:v>
      </x:c>
      <x:c r="O418" s="28" t="n">
        <x:v>7.450580596923828e-9</x:v>
      </x:c>
      <x:c r="P418" s="28" t="n">
        <x:v>0</x:v>
      </x:c>
      <x:c r="Q418" s="62" t="b">
        <x:v>1</x:v>
      </x:c>
      <x:c r="R418" s="28" t="n">
        <x:v>0</x:v>
      </x:c>
      <x:c r="S418" s="28" t="str">
        <x:v>c1059da2efeada72</x:v>
      </x:c>
    </x:row>
    <x:row r="419" ht="21" customHeight="1">
      <x:c r="A419" s="60" t="n">
        <x:v>0.61</x:v>
      </x:c>
      <x:c r="B419" s="28" t="str">
        <x:v>back_low</x:v>
      </x:c>
      <x:c r="C419" s="60" t="n">
        <x:v>0.6</x:v>
      </x:c>
      <x:c r="D419" s="60" t="n">
        <x:v>0.6</x:v>
      </x:c>
      <x:c r="E419" s="62" t="b">
        <x:v>1</x:v>
      </x:c>
      <x:c r="F419" s="62" t="b">
        <x:v>1</x:v>
      </x:c>
      <x:c r="G419" s="85" t="n">
        <x:v>0</x:v>
      </x:c>
      <x:c r="H419" s="85" t="n">
        <x:v>0</x:v>
      </x:c>
      <x:c r="I419" s="85" t="n">
        <x:v>8511490.910782991</x:v>
      </x:c>
      <x:c r="J419" s="85" t="n">
        <x:v>14388382.074833456</x:v>
      </x:c>
      <x:c r="K419" s="85" t="n">
        <x:v>0</x:v>
      </x:c>
      <x:c r="L419" s="28" t="n">
        <x:v>10</x:v>
      </x:c>
      <x:c r="M419" s="28" t="n">
        <x:v>0</x:v>
      </x:c>
      <x:c r="N419" s="28" t="n">
        <x:v>4.656612873077393e-10</x:v>
      </x:c>
      <x:c r="O419" s="28" t="n">
        <x:v>7.450580596923828e-9</x:v>
      </x:c>
      <x:c r="P419" s="28" t="n">
        <x:v>0</x:v>
      </x:c>
      <x:c r="Q419" s="62" t="b">
        <x:v>1</x:v>
      </x:c>
      <x:c r="R419" s="28" t="n">
        <x:v>0</x:v>
      </x:c>
      <x:c r="S419" s="28" t="str">
        <x:v>9683b5d3b13bfd35</x:v>
      </x:c>
    </x:row>
    <x:row r="420" ht="21" customHeight="1">
      <x:c r="A420" s="60" t="n">
        <x:v>0.61</x:v>
      </x:c>
      <x:c r="B420" s="28" t="str">
        <x:v>back_low</x:v>
      </x:c>
      <x:c r="C420" s="60" t="n">
        <x:v>0.65</x:v>
      </x:c>
      <x:c r="D420" s="60" t="n">
        <x:v>0.65</x:v>
      </x:c>
      <x:c r="E420" s="62" t="b">
        <x:v>1</x:v>
      </x:c>
      <x:c r="F420" s="62" t="b">
        <x:v>1</x:v>
      </x:c>
      <x:c r="G420" s="85" t="n">
        <x:v>0</x:v>
      </x:c>
      <x:c r="H420" s="85" t="n">
        <x:v>0</x:v>
      </x:c>
      <x:c r="I420" s="85" t="n">
        <x:v>9358021.04159739</x:v>
      </x:c>
      <x:c r="J420" s="85" t="n">
        <x:v>15937098.463871477</x:v>
      </x:c>
      <x:c r="K420" s="85" t="n">
        <x:v>0</x:v>
      </x:c>
      <x:c r="L420" s="28" t="n">
        <x:v>17</x:v>
      </x:c>
      <x:c r="M420" s="28" t="n">
        <x:v>4</x:v>
      </x:c>
      <x:c r="N420" s="28" t="n">
        <x:v>4.656612873077393e-10</x:v>
      </x:c>
      <x:c r="O420" s="28" t="n">
        <x:v>7.450580596923828e-9</x:v>
      </x:c>
      <x:c r="P420" s="28" t="n">
        <x:v>0</x:v>
      </x:c>
      <x:c r="Q420" s="62" t="b">
        <x:v>1</x:v>
      </x:c>
      <x:c r="R420" s="28" t="n">
        <x:v>0</x:v>
      </x:c>
      <x:c r="S420" s="28" t="str">
        <x:v>6c911ae97950501d</x:v>
      </x:c>
    </x:row>
    <x:row r="421" ht="21" customHeight="1">
      <x:c r="A421" s="60" t="n">
        <x:v>0.61</x:v>
      </x:c>
      <x:c r="B421" s="28" t="str">
        <x:v>back_low</x:v>
      </x:c>
      <x:c r="C421" s="60" t="n">
        <x:v>0.7</x:v>
      </x:c>
      <x:c r="D421" s="60" t="n">
        <x:v>0.7</x:v>
      </x:c>
      <x:c r="E421" s="62" t="b">
        <x:v>1</x:v>
      </x:c>
      <x:c r="F421" s="62" t="b">
        <x:v>0</x:v>
      </x:c>
      <x:c r="G421" s="85" t="n">
        <x:v>127935.98714505875</x:v>
      </x:c>
      <x:c r="H421" s="85" t="n">
        <x:v>1593892.3699163627</x:v>
      </x:c>
      <x:c r="I421" s="85" t="n">
        <x:v>9596230.317004463</x:v>
      </x:c>
      <x:c r="J421" s="85" t="n">
        <x:v>16165760.000000002</x:v>
      </x:c>
      <x:c r="K421" s="85" t="n">
        <x:v>0</x:v>
      </x:c>
      <x:c r="L421" s="28" t="n">
        <x:v>38</x:v>
      </x:c>
      <x:c r="M421" s="28" t="n">
        <x:v>30</x:v>
      </x:c>
      <x:c r="N421" s="28" t="n">
        <x:v>4.656612873077393e-10</x:v>
      </x:c>
      <x:c r="O421" s="28" t="n">
        <x:v>3.725290298461914e-9</x:v>
      </x:c>
      <x:c r="P421" s="28" t="n">
        <x:v>0</x:v>
      </x:c>
      <x:c r="Q421" s="62" t="b">
        <x:v>1</x:v>
      </x:c>
      <x:c r="R421" s="28" t="n">
        <x:v>0</x:v>
      </x:c>
      <x:c r="S421" s="28" t="str">
        <x:v>ea7f7fbb32afe953</x:v>
      </x:c>
    </x:row>
    <x:row r="422" ht="21" customHeight="1">
      <x:c r="A422" s="60" t="n">
        <x:v>0.61</x:v>
      </x:c>
      <x:c r="B422" s="28" t="str">
        <x:v>back_low</x:v>
      </x:c>
      <x:c r="C422" s="60" t="n">
        <x:v>0.75</x:v>
      </x:c>
      <x:c r="D422" s="60" t="n">
        <x:v>0.75</x:v>
      </x:c>
      <x:c r="E422" s="62" t="b">
        <x:v>1</x:v>
      </x:c>
      <x:c r="F422" s="62" t="b">
        <x:v>0</x:v>
      </x:c>
      <x:c r="G422" s="85" t="n">
        <x:v>288069.9824071849</x:v>
      </x:c>
      <x:c r="H422" s="85" t="n">
        <x:v>3585085.1791060218</x:v>
      </x:c>
      <x:c r="I422" s="85" t="n">
        <x:v>9635229.44435214</x:v>
      </x:c>
      <x:c r="J422" s="85" t="n">
        <x:v>16165760.000000002</x:v>
      </x:c>
      <x:c r="K422" s="85" t="n">
        <x:v>0</x:v>
      </x:c>
      <x:c r="L422" s="28" t="n">
        <x:v>38</x:v>
      </x:c>
      <x:c r="M422" s="28" t="n">
        <x:v>31</x:v>
      </x:c>
      <x:c r="N422" s="28" t="n">
        <x:v>4.656612873077393e-10</x:v>
      </x:c>
      <x:c r="O422" s="28" t="n">
        <x:v>7.450580596923828e-9</x:v>
      </x:c>
      <x:c r="P422" s="28" t="n">
        <x:v>0</x:v>
      </x:c>
      <x:c r="Q422" s="62" t="b">
        <x:v>1</x:v>
      </x:c>
      <x:c r="R422" s="28" t="n">
        <x:v>0</x:v>
      </x:c>
      <x:c r="S422" s="28" t="str">
        <x:v>7aae8c0688ba8971</x:v>
      </x:c>
    </x:row>
    <x:row r="423" ht="21" customHeight="1">
      <x:c r="A423" s="60" t="n">
        <x:v>0.61</x:v>
      </x:c>
      <x:c r="B423" s="28" t="str">
        <x:v>back_low</x:v>
      </x:c>
      <x:c r="C423" s="60" t="n">
        <x:v>0.8</x:v>
      </x:c>
      <x:c r="D423" s="60" t="n">
        <x:v>0.8</x:v>
      </x:c>
      <x:c r="E423" s="62" t="b">
        <x:v>1</x:v>
      </x:c>
      <x:c r="F423" s="62" t="b">
        <x:v>0</x:v>
      </x:c>
      <x:c r="G423" s="85" t="n">
        <x:v>458376.08882785775</x:v>
      </x:c>
      <x:c r="H423" s="85" t="n">
        <x:v>5371662.192281065</x:v>
      </x:c>
      <x:c r="I423" s="85" t="n">
        <x:v>9813068.393958796</x:v>
      </x:c>
      <x:c r="J423" s="85" t="n">
        <x:v>16165760.000000002</x:v>
      </x:c>
      <x:c r="K423" s="85" t="n">
        <x:v>0</x:v>
      </x:c>
      <x:c r="L423" s="28" t="n">
        <x:v>39</x:v>
      </x:c>
      <x:c r="M423" s="28" t="n">
        <x:v>32</x:v>
      </x:c>
      <x:c r="N423" s="28" t="n">
        <x:v>4.656612873077393e-10</x:v>
      </x:c>
      <x:c r="O423" s="28" t="n">
        <x:v>3.725290298461914e-9</x:v>
      </x:c>
      <x:c r="P423" s="28" t="n">
        <x:v>0</x:v>
      </x:c>
      <x:c r="Q423" s="62" t="b">
        <x:v>1</x:v>
      </x:c>
      <x:c r="R423" s="28" t="n">
        <x:v>0</x:v>
      </x:c>
      <x:c r="S423" s="28" t="str">
        <x:v>e4739363f260b751</x:v>
      </x:c>
    </x:row>
    <x:row r="424" ht="21" customHeight="1">
      <x:c r="A424" s="60" t="n">
        <x:v>0.61</x:v>
      </x:c>
      <x:c r="B424" s="28" t="str">
        <x:v>back_low</x:v>
      </x:c>
      <x:c r="C424" s="60" t="n">
        <x:v>0.85</x:v>
      </x:c>
      <x:c r="D424" s="60" t="n">
        <x:v>0.85</x:v>
      </x:c>
      <x:c r="E424" s="62" t="b">
        <x:v>1</x:v>
      </x:c>
      <x:c r="F424" s="62" t="b">
        <x:v>0</x:v>
      </x:c>
      <x:c r="G424" s="85" t="n">
        <x:v>661837.8091715081</x:v>
      </x:c>
      <x:c r="H424" s="85" t="n">
        <x:v>7096043.387364927</x:v>
      </x:c>
      <x:c r="I424" s="85" t="n">
        <x:v>9976099.86539985</x:v>
      </x:c>
      <x:c r="J424" s="85" t="n">
        <x:v>16165760.000000002</x:v>
      </x:c>
      <x:c r="K424" s="85" t="n">
        <x:v>0</x:v>
      </x:c>
      <x:c r="L424" s="28" t="n">
        <x:v>40</x:v>
      </x:c>
      <x:c r="M424" s="28" t="n">
        <x:v>32</x:v>
      </x:c>
      <x:c r="N424" s="28" t="n">
        <x:v>4.656612873077393e-10</x:v>
      </x:c>
      <x:c r="O424" s="28" t="n">
        <x:v>9.313225746154785e-10</x:v>
      </x:c>
      <x:c r="P424" s="28" t="n">
        <x:v>0</x:v>
      </x:c>
      <x:c r="Q424" s="62" t="b">
        <x:v>1</x:v>
      </x:c>
      <x:c r="R424" s="28" t="n">
        <x:v>0</x:v>
      </x:c>
      <x:c r="S424" s="28" t="str">
        <x:v>556702c6e820400b</x:v>
      </x:c>
    </x:row>
    <x:row r="425" ht="21" customHeight="1">
      <x:c r="A425" s="60" t="n">
        <x:v>0.61</x:v>
      </x:c>
      <x:c r="B425" s="28" t="str">
        <x:v>back_low</x:v>
      </x:c>
      <x:c r="C425" s="60" t="n">
        <x:v>0.9</x:v>
      </x:c>
      <x:c r="D425" s="60" t="n">
        <x:v>0.880265491166173</x:v>
      </x:c>
      <x:c r="E425" s="62" t="b">
        <x:v>0</x:v>
      </x:c>
      <x:c r="F425" s="62" t="b">
        <x:v>0</x:v>
      </x:c>
      <x:c r="G425" s="85" t="n">
        <x:v>925030.3390410988</x:v>
      </x:c>
      <x:c r="H425" s="85" t="n">
        <x:v>8110597.75036636</x:v>
      </x:c>
      <x:c r="I425" s="85" t="n">
        <x:v>10000261.422478165</x:v>
      </x:c>
      <x:c r="J425" s="85" t="n">
        <x:v>16165760.000000002</x:v>
      </x:c>
      <x:c r="K425" s="85" t="n">
        <x:v>0</x:v>
      </x:c>
      <x:c r="L425" s="28" t="n">
        <x:v>40</x:v>
      </x:c>
      <x:c r="M425" s="28" t="n">
        <x:v>33</x:v>
      </x:c>
      <x:c r="N425" s="28" t="n">
        <x:v>4.656612873077393e-10</x:v>
      </x:c>
      <x:c r="O425" s="28" t="n">
        <x:v>3.725290298461914e-9</x:v>
      </x:c>
      <x:c r="P425" s="28" t="n">
        <x:v>0</x:v>
      </x:c>
      <x:c r="Q425" s="62" t="b">
        <x:v>1</x:v>
      </x:c>
      <x:c r="R425" s="28" t="n">
        <x:v>1100080.4604328498</x:v>
      </x:c>
      <x:c r="S425" s="28" t="str">
        <x:v>de5725ce4eb3def0</x:v>
      </x:c>
    </x:row>
    <x:row r="426" ht="21" customHeight="1">
      <x:c r="A426" s="60" t="n">
        <x:v>0.61</x:v>
      </x:c>
      <x:c r="B426" s="28" t="str">
        <x:v>back_low</x:v>
      </x:c>
      <x:c r="C426" s="60" t="n">
        <x:v>0.95</x:v>
      </x:c>
      <x:c r="D426" s="60" t="n">
        <x:v>0.8954794051096439</x:v>
      </x:c>
      <x:c r="E426" s="62" t="b">
        <x:v>0</x:v>
      </x:c>
      <x:c r="F426" s="62" t="b">
        <x:v>0</x:v>
      </x:c>
      <x:c r="G426" s="85" t="n">
        <x:v>1001999.1957082278</x:v>
      </x:c>
      <x:c r="H426" s="85" t="n">
        <x:v>8785455.005729256</x:v>
      </x:c>
      <x:c r="I426" s="85" t="n">
        <x:v>10024422.97955648</x:v>
      </x:c>
      <x:c r="J426" s="85" t="n">
        <x:v>16165760.000000002</x:v>
      </x:c>
      <x:c r="K426" s="85" t="n">
        <x:v>0</x:v>
      </x:c>
      <x:c r="L426" s="28" t="n">
        <x:v>40</x:v>
      </x:c>
      <x:c r="M426" s="28" t="n">
        <x:v>34</x:v>
      </x:c>
      <x:c r="N426" s="28" t="n">
        <x:v>4.656612873077393e-10</x:v>
      </x:c>
      <x:c r="O426" s="28" t="n">
        <x:v>3.725290298461914e-9</x:v>
      </x:c>
      <x:c r="P426" s="28" t="n">
        <x:v>0</x:v>
      </x:c>
      <x:c r="Q426" s="62" t="b">
        <x:v>1</x:v>
      </x:c>
      <x:c r="R426" s="28" t="n">
        <x:v>3039196.041568011</x:v>
      </x:c>
      <x:c r="S426" s="28" t="str">
        <x:v>9758032b861c70d2</x:v>
      </x:c>
    </x:row>
    <x:row r="427" ht="21" customHeight="1">
      <x:c r="A427" s="60" t="n">
        <x:v>0.61</x:v>
      </x:c>
      <x:c r="B427" s="28" t="str">
        <x:v>back_low</x:v>
      </x:c>
      <x:c r="C427" s="60" t="n">
        <x:v>1</x:v>
      </x:c>
      <x:c r="D427" s="60" t="n">
        <x:v>0.9093341115290656</x:v>
      </x:c>
      <x:c r="E427" s="62" t="b">
        <x:v>0</x:v>
      </x:c>
      <x:c r="F427" s="62" t="b">
        <x:v>0</x:v>
      </x:c>
      <x:c r="G427" s="85" t="n">
        <x:v>1091503.8382382456</x:v>
      </x:c>
      <x:c r="H427" s="85" t="n">
        <x:v>9184565.575234795</x:v>
      </x:c>
      <x:c r="I427" s="85" t="n">
        <x:v>10199336.270965755</x:v>
      </x:c>
      <x:c r="J427" s="85" t="n">
        <x:v>16165760.000000002</x:v>
      </x:c>
      <x:c r="K427" s="85" t="n">
        <x:v>0</x:v>
      </x:c>
      <x:c r="L427" s="28" t="n">
        <x:v>41</x:v>
      </x:c>
      <x:c r="M427" s="28" t="n">
        <x:v>34</x:v>
      </x:c>
      <x:c r="N427" s="28" t="n">
        <x:v>2.3283064365386963e-10</x:v>
      </x:c>
      <x:c r="O427" s="28" t="n">
        <x:v>3.725290298461914e-9</x:v>
      </x:c>
      <x:c r="P427" s="28" t="n">
        <x:v>0</x:v>
      </x:c>
      <x:c r="Q427" s="62" t="b">
        <x:v>1</x:v>
      </x:c>
      <x:c r="R427" s="28" t="n">
        <x:v>5054079.286923766</x:v>
      </x:c>
      <x:c r="S427" s="28" t="str">
        <x:v>981b6d26e2a00f54</x:v>
      </x:c>
    </x:row>
    <x:row r="428" ht="21" customHeight="1">
      <x:c r="A428" s="60" t="n">
        <x:v>0.61</x:v>
      </x:c>
      <x:c r="B428" s="28" t="str">
        <x:v>back_high</x:v>
      </x:c>
      <x:c r="C428" s="60" t="n">
        <x:v>0</x:v>
      </x:c>
      <x:c r="D428" s="60" t="n">
        <x:v>0</x:v>
      </x:c>
      <x:c r="E428" s="62" t="b">
        <x:v>1</x:v>
      </x:c>
      <x:c r="F428" s="62" t="b">
        <x:v>1</x:v>
      </x:c>
      <x:c r="G428" s="85" t="n">
        <x:v>0</x:v>
      </x:c>
      <x:c r="H428" s="85" t="n">
        <x:v>0</x:v>
      </x:c>
      <x:c r="I428" s="85" t="n">
        <x:v>0</x:v>
      </x:c>
      <x:c r="J428" s="85" t="n">
        <x:v>0</x:v>
      </x:c>
      <x:c r="K428" s="85" t="n">
        <x:v>6575206.675287668</x:v>
      </x:c>
      <x:c r="L428" s="28" t="n">
        <x:v>0</x:v>
      </x:c>
      <x:c r="M428" s="28" t="n">
        <x:v>0</x:v>
      </x:c>
      <x:c r="N428" s="28" t="n">
        <x:v>9.313225746154785e-10</x:v>
      </x:c>
      <x:c r="O428" s="28" t="n">
        <x:v>0</x:v>
      </x:c>
      <x:c r="P428" s="28" t="n">
        <x:v>0</x:v>
      </x:c>
      <x:c r="Q428" s="62" t="b">
        <x:v>1</x:v>
      </x:c>
      <x:c r="R428" s="28" t="n">
        <x:v>0</x:v>
      </x:c>
      <x:c r="S428" s="28" t="str">
        <x:v>c2097498eaf6cd99</x:v>
      </x:c>
    </x:row>
    <x:row r="429" ht="21" customHeight="1">
      <x:c r="A429" s="60" t="n">
        <x:v>0.61</x:v>
      </x:c>
      <x:c r="B429" s="28" t="str">
        <x:v>back_high</x:v>
      </x:c>
      <x:c r="C429" s="60" t="n">
        <x:v>0.05</x:v>
      </x:c>
      <x:c r="D429" s="60" t="n">
        <x:v>0.05</x:v>
      </x:c>
      <x:c r="E429" s="62" t="b">
        <x:v>1</x:v>
      </x:c>
      <x:c r="F429" s="62" t="b">
        <x:v>1</x:v>
      </x:c>
      <x:c r="G429" s="85" t="n">
        <x:v>0</x:v>
      </x:c>
      <x:c r="H429" s="85" t="n">
        <x:v>0</x:v>
      </x:c>
      <x:c r="I429" s="85" t="n">
        <x:v>0</x:v>
      </x:c>
      <x:c r="J429" s="85" t="n">
        <x:v>0</x:v>
      </x:c>
      <x:c r="K429" s="85" t="n">
        <x:v>4124697.2392500443</x:v>
      </x:c>
      <x:c r="L429" s="28" t="n">
        <x:v>0</x:v>
      </x:c>
      <x:c r="M429" s="28" t="n">
        <x:v>0</x:v>
      </x:c>
      <x:c r="N429" s="28" t="n">
        <x:v>9.313225746154785e-10</x:v>
      </x:c>
      <x:c r="O429" s="28" t="n">
        <x:v>7.450580596923828e-9</x:v>
      </x:c>
      <x:c r="P429" s="28" t="n">
        <x:v>0</x:v>
      </x:c>
      <x:c r="Q429" s="62" t="b">
        <x:v>1</x:v>
      </x:c>
      <x:c r="R429" s="28" t="n">
        <x:v>0</x:v>
      </x:c>
      <x:c r="S429" s="28" t="str">
        <x:v>6b1a1dfa538b9f5c</x:v>
      </x:c>
    </x:row>
    <x:row r="430" ht="21" customHeight="1">
      <x:c r="A430" s="60" t="n">
        <x:v>0.61</x:v>
      </x:c>
      <x:c r="B430" s="28" t="str">
        <x:v>back_high</x:v>
      </x:c>
      <x:c r="C430" s="60" t="n">
        <x:v>0.1</x:v>
      </x:c>
      <x:c r="D430" s="60" t="n">
        <x:v>0.1</x:v>
      </x:c>
      <x:c r="E430" s="62" t="b">
        <x:v>1</x:v>
      </x:c>
      <x:c r="F430" s="62" t="b">
        <x:v>1</x:v>
      </x:c>
      <x:c r="G430" s="85" t="n">
        <x:v>0</x:v>
      </x:c>
      <x:c r="H430" s="85" t="n">
        <x:v>0</x:v>
      </x:c>
      <x:c r="I430" s="85" t="n">
        <x:v>0</x:v>
      </x:c>
      <x:c r="J430" s="85" t="n">
        <x:v>0</x:v>
      </x:c>
      <x:c r="K430" s="85" t="n">
        <x:v>1674187.8032124701</x:v>
      </x:c>
      <x:c r="L430" s="28" t="n">
        <x:v>0</x:v>
      </x:c>
      <x:c r="M430" s="28" t="n">
        <x:v>0</x:v>
      </x:c>
      <x:c r="N430" s="28" t="n">
        <x:v>9.313225746154785e-10</x:v>
      </x:c>
      <x:c r="O430" s="28" t="n">
        <x:v>7.450580596923828e-9</x:v>
      </x:c>
      <x:c r="P430" s="28" t="n">
        <x:v>0</x:v>
      </x:c>
      <x:c r="Q430" s="62" t="b">
        <x:v>1</x:v>
      </x:c>
      <x:c r="R430" s="28" t="n">
        <x:v>0</x:v>
      </x:c>
      <x:c r="S430" s="28" t="str">
        <x:v>820afd03acdd36f0</x:v>
      </x:c>
    </x:row>
    <x:row r="431" ht="21" customHeight="1">
      <x:c r="A431" s="60" t="n">
        <x:v>0.61</x:v>
      </x:c>
      <x:c r="B431" s="28" t="str">
        <x:v>back_high</x:v>
      </x:c>
      <x:c r="C431" s="60" t="n">
        <x:v>0.15</x:v>
      </x:c>
      <x:c r="D431" s="60" t="n">
        <x:v>0.15</x:v>
      </x:c>
      <x:c r="E431" s="62" t="b">
        <x:v>1</x:v>
      </x:c>
      <x:c r="F431" s="62" t="b">
        <x:v>1</x:v>
      </x:c>
      <x:c r="G431" s="85" t="n">
        <x:v>0</x:v>
      </x:c>
      <x:c r="H431" s="85" t="n">
        <x:v>0</x:v>
      </x:c>
      <x:c r="I431" s="85" t="n">
        <x:v>1032169.2576291503</x:v>
      </x:c>
      <x:c r="J431" s="85" t="n">
        <x:v>0</x:v>
      </x:c>
      <x:c r="K431" s="85" t="n">
        <x:v>354426.6863829299</x:v>
      </x:c>
      <x:c r="L431" s="28" t="n">
        <x:v>0</x:v>
      </x:c>
      <x:c r="M431" s="28" t="n">
        <x:v>0</x:v>
      </x:c>
      <x:c r="N431" s="28" t="n">
        <x:v>9.313225746154785e-10</x:v>
      </x:c>
      <x:c r="O431" s="28" t="n">
        <x:v>7.450580596923828e-9</x:v>
      </x:c>
      <x:c r="P431" s="28" t="n">
        <x:v>0</x:v>
      </x:c>
      <x:c r="Q431" s="62" t="b">
        <x:v>1</x:v>
      </x:c>
      <x:c r="R431" s="28" t="n">
        <x:v>0</x:v>
      </x:c>
      <x:c r="S431" s="28" t="str">
        <x:v>390f7b53010c05e6</x:v>
      </x:c>
    </x:row>
    <x:row r="432" ht="21" customHeight="1">
      <x:c r="A432" s="60" t="n">
        <x:v>0.61</x:v>
      </x:c>
      <x:c r="B432" s="28" t="str">
        <x:v>back_high</x:v>
      </x:c>
      <x:c r="C432" s="60" t="n">
        <x:v>0.2</x:v>
      </x:c>
      <x:c r="D432" s="60" t="n">
        <x:v>0.2</x:v>
      </x:c>
      <x:c r="E432" s="62" t="b">
        <x:v>1</x:v>
      </x:c>
      <x:c r="F432" s="62" t="b">
        <x:v>1</x:v>
      </x:c>
      <x:c r="G432" s="85" t="n">
        <x:v>0</x:v>
      </x:c>
      <x:c r="H432" s="85" t="n">
        <x:v>0</x:v>
      </x:c>
      <x:c r="I432" s="85" t="n">
        <x:v>2934709.753499142</x:v>
      </x:c>
      <x:c r="J432" s="85" t="n">
        <x:v>1245718.9057329397</x:v>
      </x:c>
      <x:c r="K432" s="85" t="n">
        <x:v>285080.13925030275</x:v>
      </x:c>
      <x:c r="L432" s="28" t="n">
        <x:v>0</x:v>
      </x:c>
      <x:c r="M432" s="28" t="n">
        <x:v>0</x:v>
      </x:c>
      <x:c r="N432" s="28" t="n">
        <x:v>9.313225746154785e-10</x:v>
      </x:c>
      <x:c r="O432" s="28" t="n">
        <x:v>7.450580596923828e-9</x:v>
      </x:c>
      <x:c r="P432" s="28" t="n">
        <x:v>0</x:v>
      </x:c>
      <x:c r="Q432" s="62" t="b">
        <x:v>1</x:v>
      </x:c>
      <x:c r="R432" s="28" t="n">
        <x:v>0</x:v>
      </x:c>
      <x:c r="S432" s="28" t="str">
        <x:v>10cdf7a4ab2e44e5</x:v>
      </x:c>
    </x:row>
    <x:row r="433" ht="21" customHeight="1">
      <x:c r="A433" s="60" t="n">
        <x:v>0.61</x:v>
      </x:c>
      <x:c r="B433" s="28" t="str">
        <x:v>back_high</x:v>
      </x:c>
      <x:c r="C433" s="60" t="n">
        <x:v>0.25</x:v>
      </x:c>
      <x:c r="D433" s="60" t="n">
        <x:v>0.25</x:v>
      </x:c>
      <x:c r="E433" s="62" t="b">
        <x:v>1</x:v>
      </x:c>
      <x:c r="F433" s="62" t="b">
        <x:v>1</x:v>
      </x:c>
      <x:c r="G433" s="85" t="n">
        <x:v>0</x:v>
      </x:c>
      <x:c r="H433" s="85" t="n">
        <x:v>0</x:v>
      </x:c>
      <x:c r="I433" s="85" t="n">
        <x:v>4584503.616462663</x:v>
      </x:c>
      <x:c r="J433" s="85" t="n">
        <x:v>2950748.632166203</x:v>
      </x:c>
      <x:c r="K433" s="85" t="n">
        <x:v>223563.16837246442</x:v>
      </x:c>
      <x:c r="L433" s="28" t="n">
        <x:v>0</x:v>
      </x:c>
      <x:c r="M433" s="28" t="n">
        <x:v>0</x:v>
      </x:c>
      <x:c r="N433" s="28" t="n">
        <x:v>9.313225746154785e-10</x:v>
      </x:c>
      <x:c r="O433" s="28" t="n">
        <x:v>7.450580596923828e-9</x:v>
      </x:c>
      <x:c r="P433" s="28" t="n">
        <x:v>0</x:v>
      </x:c>
      <x:c r="Q433" s="62" t="b">
        <x:v>1</x:v>
      </x:c>
      <x:c r="R433" s="28" t="n">
        <x:v>0</x:v>
      </x:c>
      <x:c r="S433" s="28" t="str">
        <x:v>90e955d16cd87a4a</x:v>
      </x:c>
    </x:row>
    <x:row r="434" ht="21" customHeight="1">
      <x:c r="A434" s="60" t="n">
        <x:v>0.61</x:v>
      </x:c>
      <x:c r="B434" s="28" t="str">
        <x:v>back_high</x:v>
      </x:c>
      <x:c r="C434" s="60" t="n">
        <x:v>0.3</x:v>
      </x:c>
      <x:c r="D434" s="60" t="n">
        <x:v>0.3</x:v>
      </x:c>
      <x:c r="E434" s="62" t="b">
        <x:v>1</x:v>
      </x:c>
      <x:c r="F434" s="62" t="b">
        <x:v>1</x:v>
      </x:c>
      <x:c r="G434" s="85" t="n">
        <x:v>0</x:v>
      </x:c>
      <x:c r="H434" s="85" t="n">
        <x:v>0</x:v>
      </x:c>
      <x:c r="I434" s="85" t="n">
        <x:v>6231392.264927784</x:v>
      </x:c>
      <x:c r="J434" s="85" t="n">
        <x:v>4655778.3585994225</x:v>
      </x:c>
      <x:c r="K434" s="85" t="n">
        <x:v>184098.2148250421</x:v>
      </x:c>
      <x:c r="L434" s="28" t="n">
        <x:v>0</x:v>
      </x:c>
      <x:c r="M434" s="28" t="n">
        <x:v>0</x:v>
      </x:c>
      <x:c r="N434" s="28" t="n">
        <x:v>4.656612873077393e-10</x:v>
      </x:c>
      <x:c r="O434" s="28" t="n">
        <x:v>7.450580596923828e-9</x:v>
      </x:c>
      <x:c r="P434" s="28" t="n">
        <x:v>0</x:v>
      </x:c>
      <x:c r="Q434" s="62" t="b">
        <x:v>1</x:v>
      </x:c>
      <x:c r="R434" s="28" t="n">
        <x:v>0</x:v>
      </x:c>
      <x:c r="S434" s="28" t="str">
        <x:v>1301b93f78e1521c</x:v>
      </x:c>
    </x:row>
    <x:row r="435" ht="21" customHeight="1">
      <x:c r="A435" s="60" t="n">
        <x:v>0.61</x:v>
      </x:c>
      <x:c r="B435" s="28" t="str">
        <x:v>back_high</x:v>
      </x:c>
      <x:c r="C435" s="60" t="n">
        <x:v>0.35</x:v>
      </x:c>
      <x:c r="D435" s="60" t="n">
        <x:v>0.35</x:v>
      </x:c>
      <x:c r="E435" s="62" t="b">
        <x:v>1</x:v>
      </x:c>
      <x:c r="F435" s="62" t="b">
        <x:v>1</x:v>
      </x:c>
      <x:c r="G435" s="85" t="n">
        <x:v>0</x:v>
      </x:c>
      <x:c r="H435" s="85" t="n">
        <x:v>0</x:v>
      </x:c>
      <x:c r="I435" s="85" t="n">
        <x:v>7907152.138100312</x:v>
      </x:c>
      <x:c r="J435" s="85" t="n">
        <x:v>6360808.08503266</x:v>
      </x:c>
      <x:c r="K435" s="85" t="n">
        <x:v>155077.8736301376</x:v>
      </x:c>
      <x:c r="L435" s="28" t="n">
        <x:v>0</x:v>
      </x:c>
      <x:c r="M435" s="28" t="n">
        <x:v>0</x:v>
      </x:c>
      <x:c r="N435" s="28" t="n">
        <x:v>4.656612873077393e-10</x:v>
      </x:c>
      <x:c r="O435" s="28" t="n">
        <x:v>3.725290298461914e-9</x:v>
      </x:c>
      <x:c r="P435" s="28" t="n">
        <x:v>0</x:v>
      </x:c>
      <x:c r="Q435" s="62" t="b">
        <x:v>1</x:v>
      </x:c>
      <x:c r="R435" s="28" t="n">
        <x:v>0</x:v>
      </x:c>
      <x:c r="S435" s="28" t="str">
        <x:v>5c9258e3fa2aa733</x:v>
      </x:c>
    </x:row>
    <x:row r="436" ht="21" customHeight="1">
      <x:c r="A436" s="60" t="n">
        <x:v>0.61</x:v>
      </x:c>
      <x:c r="B436" s="28" t="str">
        <x:v>back_high</x:v>
      </x:c>
      <x:c r="C436" s="60" t="n">
        <x:v>0.4</x:v>
      </x:c>
      <x:c r="D436" s="60" t="n">
        <x:v>0.4</x:v>
      </x:c>
      <x:c r="E436" s="62" t="b">
        <x:v>1</x:v>
      </x:c>
      <x:c r="F436" s="62" t="b">
        <x:v>1</x:v>
      </x:c>
      <x:c r="G436" s="85" t="n">
        <x:v>0</x:v>
      </x:c>
      <x:c r="H436" s="85" t="n">
        <x:v>0</x:v>
      </x:c>
      <x:c r="I436" s="85" t="n">
        <x:v>9584412.392819142</x:v>
      </x:c>
      <x:c r="J436" s="85" t="n">
        <x:v>8065837.811465903</x:v>
      </x:c>
      <x:c r="K436" s="85" t="n">
        <x:v>137110.64986301362</x:v>
      </x:c>
      <x:c r="L436" s="28" t="n">
        <x:v>0</x:v>
      </x:c>
      <x:c r="M436" s="28" t="n">
        <x:v>0</x:v>
      </x:c>
      <x:c r="N436" s="28" t="n">
        <x:v>2.3283064365386963e-10</x:v>
      </x:c>
      <x:c r="O436" s="28" t="n">
        <x:v>7.450580596923828e-9</x:v>
      </x:c>
      <x:c r="P436" s="28" t="n">
        <x:v>0</x:v>
      </x:c>
      <x:c r="Q436" s="62" t="b">
        <x:v>1</x:v>
      </x:c>
      <x:c r="R436" s="28" t="n">
        <x:v>0</x:v>
      </x:c>
      <x:c r="S436" s="28" t="str">
        <x:v>7f8712eb6d687647</x:v>
      </x:c>
    </x:row>
    <x:row r="437" ht="21" customHeight="1">
      <x:c r="A437" s="60" t="n">
        <x:v>0.61</x:v>
      </x:c>
      <x:c r="B437" s="28" t="str">
        <x:v>back_high</x:v>
      </x:c>
      <x:c r="C437" s="60" t="n">
        <x:v>0.45</x:v>
      </x:c>
      <x:c r="D437" s="60" t="n">
        <x:v>0.45</x:v>
      </x:c>
      <x:c r="E437" s="62" t="b">
        <x:v>1</x:v>
      </x:c>
      <x:c r="F437" s="62" t="b">
        <x:v>1</x:v>
      </x:c>
      <x:c r="G437" s="85" t="n">
        <x:v>0</x:v>
      </x:c>
      <x:c r="H437" s="85" t="n">
        <x:v>0</x:v>
      </x:c>
      <x:c r="I437" s="85" t="n">
        <x:v>11270940.557915036</x:v>
      </x:c>
      <x:c r="J437" s="85" t="n">
        <x:v>9770867.537899144</x:v>
      </x:c>
      <x:c r="K437" s="85" t="n">
        <x:v>119143.42609589035</x:v>
      </x:c>
      <x:c r="L437" s="28" t="n">
        <x:v>0</x:v>
      </x:c>
      <x:c r="M437" s="28" t="n">
        <x:v>0</x:v>
      </x:c>
      <x:c r="N437" s="28" t="n">
        <x:v>2.3283064365386963e-10</x:v>
      </x:c>
      <x:c r="O437" s="28" t="n">
        <x:v>7.450580596923828e-9</x:v>
      </x:c>
      <x:c r="P437" s="28" t="n">
        <x:v>0</x:v>
      </x:c>
      <x:c r="Q437" s="62" t="b">
        <x:v>1</x:v>
      </x:c>
      <x:c r="R437" s="28" t="n">
        <x:v>0</x:v>
      </x:c>
      <x:c r="S437" s="28" t="str">
        <x:v>72bb8f3c8696eb50</x:v>
      </x:c>
    </x:row>
    <x:row r="438" ht="21" customHeight="1">
      <x:c r="A438" s="60" t="n">
        <x:v>0.61</x:v>
      </x:c>
      <x:c r="B438" s="28" t="str">
        <x:v>back_high</x:v>
      </x:c>
      <x:c r="C438" s="60" t="n">
        <x:v>0.5</x:v>
      </x:c>
      <x:c r="D438" s="60" t="n">
        <x:v>0.5</x:v>
      </x:c>
      <x:c r="E438" s="62" t="b">
        <x:v>1</x:v>
      </x:c>
      <x:c r="F438" s="62" t="b">
        <x:v>1</x:v>
      </x:c>
      <x:c r="G438" s="85" t="n">
        <x:v>0</x:v>
      </x:c>
      <x:c r="H438" s="85" t="n">
        <x:v>0</x:v>
      </x:c>
      <x:c r="I438" s="85" t="n">
        <x:v>13013643.098177617</x:v>
      </x:c>
      <x:c r="J438" s="85" t="n">
        <x:v>11250151.58245776</x:v>
      </x:c>
      <x:c r="K438" s="85" t="n">
        <x:v>101176.20232876751</x:v>
      </x:c>
      <x:c r="L438" s="28" t="n">
        <x:v>3</x:v>
      </x:c>
      <x:c r="M438" s="28" t="n">
        <x:v>0</x:v>
      </x:c>
      <x:c r="N438" s="28" t="n">
        <x:v>4.656612873077393e-10</x:v>
      </x:c>
      <x:c r="O438" s="28" t="n">
        <x:v>1.862645149230957e-9</x:v>
      </x:c>
      <x:c r="P438" s="28" t="n">
        <x:v>0</x:v>
      </x:c>
      <x:c r="Q438" s="62" t="b">
        <x:v>1</x:v>
      </x:c>
      <x:c r="R438" s="28" t="n">
        <x:v>0</x:v>
      </x:c>
      <x:c r="S438" s="28" t="str">
        <x:v>ba8b939d6d8344ca</x:v>
      </x:c>
    </x:row>
    <x:row r="439" ht="21" customHeight="1">
      <x:c r="A439" s="60" t="n">
        <x:v>0.61</x:v>
      </x:c>
      <x:c r="B439" s="28" t="str">
        <x:v>back_high</x:v>
      </x:c>
      <x:c r="C439" s="60" t="n">
        <x:v>0.55</x:v>
      </x:c>
      <x:c r="D439" s="60" t="n">
        <x:v>0.55</x:v>
      </x:c>
      <x:c r="E439" s="62" t="b">
        <x:v>1</x:v>
      </x:c>
      <x:c r="F439" s="62" t="b">
        <x:v>1</x:v>
      </x:c>
      <x:c r="G439" s="85" t="n">
        <x:v>0</x:v>
      </x:c>
      <x:c r="H439" s="85" t="n">
        <x:v>0</x:v>
      </x:c>
      <x:c r="I439" s="85" t="n">
        <x:v>14775642.410007894</x:v>
      </x:c>
      <x:c r="J439" s="85" t="n">
        <x:v>12546797.340656416</x:v>
      </x:c>
      <x:c r="K439" s="85" t="n">
        <x:v>84289.33582191734</x:v>
      </x:c>
      <x:c r="L439" s="28" t="n">
        <x:v>8</x:v>
      </x:c>
      <x:c r="M439" s="28" t="n">
        <x:v>3</x:v>
      </x:c>
      <x:c r="N439" s="28" t="n">
        <x:v>4.656612873077393e-10</x:v>
      </x:c>
      <x:c r="O439" s="28" t="n">
        <x:v>7.450580596923828e-9</x:v>
      </x:c>
      <x:c r="P439" s="28" t="n">
        <x:v>0</x:v>
      </x:c>
      <x:c r="Q439" s="62" t="b">
        <x:v>1</x:v>
      </x:c>
      <x:c r="R439" s="28" t="n">
        <x:v>0</x:v>
      </x:c>
      <x:c r="S439" s="28" t="str">
        <x:v>c29fad84736967e4</x:v>
      </x:c>
    </x:row>
    <x:row r="440" ht="21" customHeight="1">
      <x:c r="A440" s="60" t="n">
        <x:v>0.61</x:v>
      </x:c>
      <x:c r="B440" s="28" t="str">
        <x:v>back_high</x:v>
      </x:c>
      <x:c r="C440" s="60" t="n">
        <x:v>0.6</x:v>
      </x:c>
      <x:c r="D440" s="60" t="n">
        <x:v>0.6</x:v>
      </x:c>
      <x:c r="E440" s="62" t="b">
        <x:v>1</x:v>
      </x:c>
      <x:c r="F440" s="62" t="b">
        <x:v>1</x:v>
      </x:c>
      <x:c r="G440" s="85" t="n">
        <x:v>0</x:v>
      </x:c>
      <x:c r="H440" s="85" t="n">
        <x:v>0</x:v>
      </x:c>
      <x:c r="I440" s="85" t="n">
        <x:v>16413051.981644893</x:v>
      </x:c>
      <x:c r="J440" s="85" t="n">
        <x:v>14325599.718340056</x:v>
      </x:c>
      <x:c r="K440" s="85" t="n">
        <x:v>74198.16400000075</x:v>
      </x:c>
      <x:c r="L440" s="28" t="n">
        <x:v>10</x:v>
      </x:c>
      <x:c r="M440" s="28" t="n">
        <x:v>7</x:v>
      </x:c>
      <x:c r="N440" s="28" t="n">
        <x:v>4.656612873077393e-10</x:v>
      </x:c>
      <x:c r="O440" s="28" t="n">
        <x:v>7.450580596923828e-9</x:v>
      </x:c>
      <x:c r="P440" s="28" t="n">
        <x:v>0</x:v>
      </x:c>
      <x:c r="Q440" s="62" t="b">
        <x:v>1</x:v>
      </x:c>
      <x:c r="R440" s="28" t="n">
        <x:v>0</x:v>
      </x:c>
      <x:c r="S440" s="28" t="str">
        <x:v>94ed9f25477e4e73</x:v>
      </x:c>
    </x:row>
    <x:row r="441" ht="21" customHeight="1">
      <x:c r="A441" s="60" t="n">
        <x:v>0.61</x:v>
      </x:c>
      <x:c r="B441" s="28" t="str">
        <x:v>back_high</x:v>
      </x:c>
      <x:c r="C441" s="60" t="n">
        <x:v>0.65</x:v>
      </x:c>
      <x:c r="D441" s="60" t="n">
        <x:v>0.65</x:v>
      </x:c>
      <x:c r="E441" s="62" t="b">
        <x:v>1</x:v>
      </x:c>
      <x:c r="F441" s="62" t="b">
        <x:v>1</x:v>
      </x:c>
      <x:c r="G441" s="85" t="n">
        <x:v>0</x:v>
      </x:c>
      <x:c r="H441" s="85" t="n">
        <x:v>0</x:v>
      </x:c>
      <x:c r="I441" s="85" t="n">
        <x:v>18028400.54485009</x:v>
      </x:c>
      <x:c r="J441" s="85" t="n">
        <x:v>16001717.754481046</x:v>
      </x:c>
      <x:c r="K441" s="85" t="n">
        <x:v>68775.50697260347</x:v>
      </x:c>
      <x:c r="L441" s="28" t="n">
        <x:v>17</x:v>
      </x:c>
      <x:c r="M441" s="28" t="n">
        <x:v>13</x:v>
      </x:c>
      <x:c r="N441" s="28" t="n">
        <x:v>4.656612873077393e-10</x:v>
      </x:c>
      <x:c r="O441" s="28" t="n">
        <x:v>7.450580596923828e-9</x:v>
      </x:c>
      <x:c r="P441" s="28" t="n">
        <x:v>0</x:v>
      </x:c>
      <x:c r="Q441" s="62" t="b">
        <x:v>1</x:v>
      </x:c>
      <x:c r="R441" s="28" t="n">
        <x:v>0</x:v>
      </x:c>
      <x:c r="S441" s="28" t="str">
        <x:v>48e36f56d0242fc2</x:v>
      </x:c>
    </x:row>
    <x:row r="442" ht="21" customHeight="1">
      <x:c r="A442" s="60" t="n">
        <x:v>0.61</x:v>
      </x:c>
      <x:c r="B442" s="28" t="str">
        <x:v>back_high</x:v>
      </x:c>
      <x:c r="C442" s="60" t="n">
        <x:v>0.7</x:v>
      </x:c>
      <x:c r="D442" s="60" t="n">
        <x:v>0.7</x:v>
      </x:c>
      <x:c r="E442" s="62" t="b">
        <x:v>1</x:v>
      </x:c>
      <x:c r="F442" s="62" t="b">
        <x:v>0</x:v>
      </x:c>
      <x:c r="G442" s="85" t="n">
        <x:v>694719.2717251446</x:v>
      </x:c>
      <x:c r="H442" s="85" t="n">
        <x:v>2155340.0625537154</x:v>
      </x:c>
      <x:c r="I442" s="85" t="n">
        <x:v>18439481.409666166</x:v>
      </x:c>
      <x:c r="J442" s="85" t="n">
        <x:v>16165760.000000002</x:v>
      </x:c>
      <x:c r="K442" s="85" t="n">
        <x:v>63352.849945205475</x:v>
      </x:c>
      <x:c r="L442" s="28" t="n">
        <x:v>38</x:v>
      </x:c>
      <x:c r="M442" s="28" t="n">
        <x:v>34</x:v>
      </x:c>
      <x:c r="N442" s="28" t="n">
        <x:v>4.656612873077393e-10</x:v>
      </x:c>
      <x:c r="O442" s="28" t="n">
        <x:v>3.725290298461914e-9</x:v>
      </x:c>
      <x:c r="P442" s="28" t="n">
        <x:v>0</x:v>
      </x:c>
      <x:c r="Q442" s="62" t="b">
        <x:v>1</x:v>
      </x:c>
      <x:c r="R442" s="28" t="n">
        <x:v>0</x:v>
      </x:c>
      <x:c r="S442" s="28" t="str">
        <x:v>4c88efbdebbcb571</x:v>
      </x:c>
    </x:row>
    <x:row r="443" ht="21" customHeight="1">
      <x:c r="A443" s="60" t="n">
        <x:v>0.61</x:v>
      </x:c>
      <x:c r="B443" s="28" t="str">
        <x:v>back_high</x:v>
      </x:c>
      <x:c r="C443" s="60" t="n">
        <x:v>0.75</x:v>
      </x:c>
      <x:c r="D443" s="60" t="n">
        <x:v>0.75</x:v>
      </x:c>
      <x:c r="E443" s="62" t="b">
        <x:v>1</x:v>
      </x:c>
      <x:c r="F443" s="62" t="b">
        <x:v>0</x:v>
      </x:c>
      <x:c r="G443" s="85" t="n">
        <x:v>1545654.1995793793</x:v>
      </x:c>
      <x:c r="H443" s="85" t="n">
        <x:v>4658094.687511373</x:v>
      </x:c>
      <x:c r="I443" s="85" t="n">
        <x:v>18538092.57802001</x:v>
      </x:c>
      <x:c r="J443" s="85" t="n">
        <x:v>16165760.000000002</x:v>
      </x:c>
      <x:c r="K443" s="85" t="n">
        <x:v>57930.19291780795</x:v>
      </x:c>
      <x:c r="L443" s="28" t="n">
        <x:v>38</x:v>
      </x:c>
      <x:c r="M443" s="28" t="n">
        <x:v>34</x:v>
      </x:c>
      <x:c r="N443" s="28" t="n">
        <x:v>4.656612873077393e-10</x:v>
      </x:c>
      <x:c r="O443" s="28" t="n">
        <x:v>7.450580596923828e-9</x:v>
      </x:c>
      <x:c r="P443" s="28" t="n">
        <x:v>0</x:v>
      </x:c>
      <x:c r="Q443" s="62" t="b">
        <x:v>1</x:v>
      </x:c>
      <x:c r="R443" s="28" t="n">
        <x:v>0</x:v>
      </x:c>
      <x:c r="S443" s="28" t="str">
        <x:v>3ec78bee0887a7ee</x:v>
      </x:c>
    </x:row>
    <x:row r="444" ht="21" customHeight="1">
      <x:c r="A444" s="60" t="n">
        <x:v>0.61</x:v>
      </x:c>
      <x:c r="B444" s="28" t="str">
        <x:v>back_high</x:v>
      </x:c>
      <x:c r="C444" s="60" t="n">
        <x:v>0.8</x:v>
      </x:c>
      <x:c r="D444" s="60" t="n">
        <x:v>0.8</x:v>
      </x:c>
      <x:c r="E444" s="62" t="b">
        <x:v>1</x:v>
      </x:c>
      <x:c r="F444" s="62" t="b">
        <x:v>0</x:v>
      </x:c>
      <x:c r="G444" s="85" t="n">
        <x:v>2414713.8683733623</x:v>
      </x:c>
      <x:c r="H444" s="85" t="n">
        <x:v>6626006.042702467</x:v>
      </x:c>
      <x:c r="I444" s="85" t="n">
        <x:v>18858234.141194966</x:v>
      </x:c>
      <x:c r="J444" s="85" t="n">
        <x:v>16165760.000000002</x:v>
      </x:c>
      <x:c r="K444" s="85" t="n">
        <x:v>52507.53589041113</x:v>
      </x:c>
      <x:c r="L444" s="28" t="n">
        <x:v>39</x:v>
      </x:c>
      <x:c r="M444" s="28" t="n">
        <x:v>36</x:v>
      </x:c>
      <x:c r="N444" s="28" t="n">
        <x:v>4.656612873077393e-10</x:v>
      </x:c>
      <x:c r="O444" s="28" t="n">
        <x:v>3.725290298461914e-9</x:v>
      </x:c>
      <x:c r="P444" s="28" t="n">
        <x:v>0</x:v>
      </x:c>
      <x:c r="Q444" s="62" t="b">
        <x:v>1</x:v>
      </x:c>
      <x:c r="R444" s="28" t="n">
        <x:v>0</x:v>
      </x:c>
      <x:c r="S444" s="28" t="str">
        <x:v>3dfcdeafa39f8f22</x:v>
      </x:c>
    </x:row>
    <x:row r="445" ht="21" customHeight="1">
      <x:c r="A445" s="60" t="n">
        <x:v>0.61</x:v>
      </x:c>
      <x:c r="B445" s="28" t="str">
        <x:v>back_high</x:v>
      </x:c>
      <x:c r="C445" s="60" t="n">
        <x:v>0.85</x:v>
      </x:c>
      <x:c r="D445" s="60" t="n">
        <x:v>0.85</x:v>
      </x:c>
      <x:c r="E445" s="62" t="b">
        <x:v>1</x:v>
      </x:c>
      <x:c r="F445" s="62" t="b">
        <x:v>0</x:v>
      </x:c>
      <x:c r="G445" s="85" t="n">
        <x:v>3549391.144624645</x:v>
      </x:c>
      <x:c r="H445" s="85" t="n">
        <x:v>8423640.131701969</x:v>
      </x:c>
      <x:c r="I445" s="85" t="n">
        <x:v>19154391.284950603</x:v>
      </x:c>
      <x:c r="J445" s="85" t="n">
        <x:v>16165760.000000002</x:v>
      </x:c>
      <x:c r="K445" s="85" t="n">
        <x:v>47084.87886301384</x:v>
      </x:c>
      <x:c r="L445" s="28" t="n">
        <x:v>40</x:v>
      </x:c>
      <x:c r="M445" s="28" t="n">
        <x:v>36</x:v>
      </x:c>
      <x:c r="N445" s="28" t="n">
        <x:v>4.656612873077393e-10</x:v>
      </x:c>
      <x:c r="O445" s="28" t="n">
        <x:v>9.313225746154785e-10</x:v>
      </x:c>
      <x:c r="P445" s="28" t="n">
        <x:v>0</x:v>
      </x:c>
      <x:c r="Q445" s="62" t="b">
        <x:v>1</x:v>
      </x:c>
      <x:c r="R445" s="28" t="n">
        <x:v>0</x:v>
      </x:c>
      <x:c r="S445" s="28" t="str">
        <x:v>9ee675d77d9e938c</x:v>
      </x:c>
    </x:row>
    <x:row r="446" ht="21" customHeight="1">
      <x:c r="A446" s="60" t="n">
        <x:v>0.61</x:v>
      </x:c>
      <x:c r="B446" s="28" t="str">
        <x:v>back_high</x:v>
      </x:c>
      <x:c r="C446" s="60" t="n">
        <x:v>0.9</x:v>
      </x:c>
      <x:c r="D446" s="60" t="n">
        <x:v>0.880265491166173</x:v>
      </x:c>
      <x:c r="E446" s="62" t="b">
        <x:v>0</x:v>
      </x:c>
      <x:c r="F446" s="62" t="b">
        <x:v>0</x:v>
      </x:c>
      <x:c r="G446" s="85" t="n">
        <x:v>4206580.64237341</x:v>
      </x:c>
      <x:c r="H446" s="85" t="n">
        <x:v>9469956.544995463</x:v>
      </x:c>
      <x:c r="I446" s="85" t="n">
        <x:v>19219260.322212007</x:v>
      </x:c>
      <x:c r="J446" s="85" t="n">
        <x:v>16165760.000000002</x:v>
      </x:c>
      <x:c r="K446" s="85" t="n">
        <x:v>41662.22183561608</x:v>
      </x:c>
      <x:c r="L446" s="28" t="n">
        <x:v>40</x:v>
      </x:c>
      <x:c r="M446" s="28" t="n">
        <x:v>37</x:v>
      </x:c>
      <x:c r="N446" s="28" t="n">
        <x:v>4.656612873077393e-10</x:v>
      </x:c>
      <x:c r="O446" s="28" t="n">
        <x:v>3.725290298461914e-9</x:v>
      </x:c>
      <x:c r="P446" s="28" t="n">
        <x:v>0</x:v>
      </x:c>
      <x:c r="Q446" s="62" t="b">
        <x:v>1</x:v>
      </x:c>
      <x:c r="R446" s="28" t="n">
        <x:v>1100080.4604328498</x:v>
      </x:c>
      <x:c r="S446" s="28" t="str">
        <x:v>fcbae1d2802ca587</x:v>
      </x:c>
    </x:row>
    <x:row r="447" ht="21" customHeight="1">
      <x:c r="A447" s="60" t="n">
        <x:v>0.61</x:v>
      </x:c>
      <x:c r="B447" s="28" t="str">
        <x:v>back_high</x:v>
      </x:c>
      <x:c r="C447" s="60" t="n">
        <x:v>0.95</x:v>
      </x:c>
      <x:c r="D447" s="60" t="n">
        <x:v>0.8954794051096439</x:v>
      </x:c>
      <x:c r="E447" s="62" t="b">
        <x:v>0</x:v>
      </x:c>
      <x:c r="F447" s="62" t="b">
        <x:v>0</x:v>
      </x:c>
      <x:c r="G447" s="85" t="n">
        <x:v>4665897.050258933</x:v>
      </x:c>
      <x:c r="H447" s="85" t="n">
        <x:v>10317273.865385255</x:v>
      </x:c>
      <x:c r="I447" s="85" t="n">
        <x:v>19284129.359473404</x:v>
      </x:c>
      <x:c r="J447" s="85" t="n">
        <x:v>16165760.000000002</x:v>
      </x:c>
      <x:c r="K447" s="85" t="n">
        <x:v>36239.56480821926</x:v>
      </x:c>
      <x:c r="L447" s="28" t="n">
        <x:v>40</x:v>
      </x:c>
      <x:c r="M447" s="28" t="n">
        <x:v>38</x:v>
      </x:c>
      <x:c r="N447" s="28" t="n">
        <x:v>4.656612873077393e-10</x:v>
      </x:c>
      <x:c r="O447" s="28" t="n">
        <x:v>3.725290298461914e-9</x:v>
      </x:c>
      <x:c r="P447" s="28" t="n">
        <x:v>0</x:v>
      </x:c>
      <x:c r="Q447" s="62" t="b">
        <x:v>1</x:v>
      </x:c>
      <x:c r="R447" s="28" t="n">
        <x:v>3039196.041568011</x:v>
      </x:c>
      <x:c r="S447" s="28" t="str">
        <x:v>212d5a616ca91c6e</x:v>
      </x:c>
    </x:row>
    <x:row r="448" ht="21" customHeight="1">
      <x:c r="A448" s="60" t="n">
        <x:v>0.61</x:v>
      </x:c>
      <x:c r="B448" s="28" t="str">
        <x:v>back_high</x:v>
      </x:c>
      <x:c r="C448" s="60" t="n">
        <x:v>1</x:v>
      </x:c>
      <x:c r="D448" s="60" t="n">
        <x:v>0.9093341115290656</x:v>
      </x:c>
      <x:c r="E448" s="62" t="b">
        <x:v>0</x:v>
      </x:c>
      <x:c r="F448" s="62" t="b">
        <x:v>0</x:v>
      </x:c>
      <x:c r="G448" s="85" t="n">
        <x:v>4960704.875668674</x:v>
      </x:c>
      <x:c r="H448" s="85" t="n">
        <x:v>10717626.638840942</x:v>
      </x:c>
      <x:c r="I448" s="85" t="n">
        <x:v>19590109.83798631</x:v>
      </x:c>
      <x:c r="J448" s="85" t="n">
        <x:v>16165760.000000002</x:v>
      </x:c>
      <x:c r="K448" s="85" t="n">
        <x:v>30816.9077808222</x:v>
      </x:c>
      <x:c r="L448" s="28" t="n">
        <x:v>41</x:v>
      </x:c>
      <x:c r="M448" s="28" t="n">
        <x:v>38</x:v>
      </x:c>
      <x:c r="N448" s="28" t="n">
        <x:v>4.656612873077393e-10</x:v>
      </x:c>
      <x:c r="O448" s="28" t="n">
        <x:v>3.725290298461914e-9</x:v>
      </x:c>
      <x:c r="P448" s="28" t="n">
        <x:v>0</x:v>
      </x:c>
      <x:c r="Q448" s="62" t="b">
        <x:v>1</x:v>
      </x:c>
      <x:c r="R448" s="28" t="n">
        <x:v>5054079.286923766</x:v>
      </x:c>
      <x:c r="S448" s="28" t="str">
        <x:v>933adfba24488f1b</x:v>
      </x:c>
    </x:row>
    <x:row r="449" ht="21" customHeight="1">
      <x:c r="A449" s="60" t="n">
        <x:v>0.61</x:v>
      </x:c>
      <x:c r="B449" s="28" t="str">
        <x:v>level_flat</x:v>
      </x:c>
      <x:c r="C449" s="60" t="n">
        <x:v>0</x:v>
      </x:c>
      <x:c r="D449" s="60" t="n">
        <x:v>0</x:v>
      </x:c>
      <x:c r="E449" s="62" t="b">
        <x:v>1</x:v>
      </x:c>
      <x:c r="F449" s="62" t="b">
        <x:v>1</x:v>
      </x:c>
      <x:c r="G449" s="85" t="n">
        <x:v>0</x:v>
      </x:c>
      <x:c r="H449" s="85" t="n">
        <x:v>0</x:v>
      </x:c>
      <x:c r="I449" s="85" t="n">
        <x:v>0</x:v>
      </x:c>
      <x:c r="J449" s="85" t="n">
        <x:v>0</x:v>
      </x:c>
      <x:c r="K449" s="85" t="n">
        <x:v>5653772.143780821</x:v>
      </x:c>
      <x:c r="L449" s="28" t="n">
        <x:v>0</x:v>
      </x:c>
      <x:c r="M449" s="28" t="n">
        <x:v>0</x:v>
      </x:c>
      <x:c r="N449" s="28" t="n">
        <x:v>9.313225746154785e-10</x:v>
      </x:c>
      <x:c r="O449" s="28" t="n">
        <x:v>0</x:v>
      </x:c>
      <x:c r="P449" s="28" t="n">
        <x:v>0</x:v>
      </x:c>
      <x:c r="Q449" s="62" t="b">
        <x:v>1</x:v>
      </x:c>
      <x:c r="R449" s="28" t="n">
        <x:v>0</x:v>
      </x:c>
      <x:c r="S449" s="28" t="str">
        <x:v>fe979662cef5c337</x:v>
      </x:c>
    </x:row>
    <x:row r="450" ht="21" customHeight="1">
      <x:c r="A450" s="60" t="n">
        <x:v>0.61</x:v>
      </x:c>
      <x:c r="B450" s="28" t="str">
        <x:v>level_flat</x:v>
      </x:c>
      <x:c r="C450" s="60" t="n">
        <x:v>0.05</x:v>
      </x:c>
      <x:c r="D450" s="60" t="n">
        <x:v>0.05</x:v>
      </x:c>
      <x:c r="E450" s="62" t="b">
        <x:v>1</x:v>
      </x:c>
      <x:c r="F450" s="62" t="b">
        <x:v>1</x:v>
      </x:c>
      <x:c r="G450" s="85" t="n">
        <x:v>0</x:v>
      </x:c>
      <x:c r="H450" s="85" t="n">
        <x:v>0</x:v>
      </x:c>
      <x:c r="I450" s="85" t="n">
        <x:v>0</x:v>
      </x:c>
      <x:c r="J450" s="85" t="n">
        <x:v>0</x:v>
      </x:c>
      <x:c r="K450" s="85" t="n">
        <x:v>3423307.1640214627</x:v>
      </x:c>
      <x:c r="L450" s="28" t="n">
        <x:v>0</x:v>
      </x:c>
      <x:c r="M450" s="28" t="n">
        <x:v>0</x:v>
      </x:c>
      <x:c r="N450" s="28" t="n">
        <x:v>2.3283064365386963e-10</x:v>
      </x:c>
      <x:c r="O450" s="28" t="n">
        <x:v>7.450580596923828e-9</x:v>
      </x:c>
      <x:c r="P450" s="28" t="n">
        <x:v>0</x:v>
      </x:c>
      <x:c r="Q450" s="62" t="b">
        <x:v>1</x:v>
      </x:c>
      <x:c r="R450" s="28" t="n">
        <x:v>0</x:v>
      </x:c>
      <x:c r="S450" s="28" t="str">
        <x:v>d9674a7a737f0610</x:v>
      </x:c>
    </x:row>
    <x:row r="451" ht="21" customHeight="1">
      <x:c r="A451" s="60" t="n">
        <x:v>0.61</x:v>
      </x:c>
      <x:c r="B451" s="28" t="str">
        <x:v>level_flat</x:v>
      </x:c>
      <x:c r="C451" s="60" t="n">
        <x:v>0.1</x:v>
      </x:c>
      <x:c r="D451" s="60" t="n">
        <x:v>0.1</x:v>
      </x:c>
      <x:c r="E451" s="62" t="b">
        <x:v>1</x:v>
      </x:c>
      <x:c r="F451" s="62" t="b">
        <x:v>1</x:v>
      </x:c>
      <x:c r="G451" s="85" t="n">
        <x:v>0</x:v>
      </x:c>
      <x:c r="H451" s="85" t="n">
        <x:v>0</x:v>
      </x:c>
      <x:c r="I451" s="85" t="n">
        <x:v>0</x:v>
      </x:c>
      <x:c r="J451" s="85" t="n">
        <x:v>0</x:v>
      </x:c>
      <x:c r="K451" s="85" t="n">
        <x:v>1192727.6951795523</x:v>
      </x:c>
      <x:c r="L451" s="28" t="n">
        <x:v>0</x:v>
      </x:c>
      <x:c r="M451" s="28" t="n">
        <x:v>0</x:v>
      </x:c>
      <x:c r="N451" s="28" t="n">
        <x:v>2.3283064365386963e-10</x:v>
      </x:c>
      <x:c r="O451" s="28" t="n">
        <x:v>7.450580596923828e-9</x:v>
      </x:c>
      <x:c r="P451" s="28" t="n">
        <x:v>0</x:v>
      </x:c>
      <x:c r="Q451" s="62" t="b">
        <x:v>1</x:v>
      </x:c>
      <x:c r="R451" s="28" t="n">
        <x:v>0</x:v>
      </x:c>
      <x:c r="S451" s="28" t="str">
        <x:v>2d684d1669059f9b</x:v>
      </x:c>
    </x:row>
    <x:row r="452" ht="21" customHeight="1">
      <x:c r="A452" s="60" t="n">
        <x:v>0.61</x:v>
      </x:c>
      <x:c r="B452" s="28" t="str">
        <x:v>level_flat</x:v>
      </x:c>
      <x:c r="C452" s="60" t="n">
        <x:v>0.15</x:v>
      </x:c>
      <x:c r="D452" s="60" t="n">
        <x:v>0.15</x:v>
      </x:c>
      <x:c r="E452" s="62" t="b">
        <x:v>1</x:v>
      </x:c>
      <x:c r="F452" s="62" t="b">
        <x:v>1</x:v>
      </x:c>
      <x:c r="G452" s="85" t="n">
        <x:v>0</x:v>
      </x:c>
      <x:c r="H452" s="85" t="n">
        <x:v>0</x:v>
      </x:c>
      <x:c r="I452" s="85" t="n">
        <x:v>943182.0148734096</x:v>
      </x:c>
      <x:c r="J452" s="85" t="n">
        <x:v>0</x:v>
      </x:c>
      <x:c r="K452" s="85" t="n">
        <x:v>78794.41860465737</x:v>
      </x:c>
      <x:c r="L452" s="28" t="n">
        <x:v>0</x:v>
      </x:c>
      <x:c r="M452" s="28" t="n">
        <x:v>0</x:v>
      </x:c>
      <x:c r="N452" s="28" t="n">
        <x:v>9.313225746154785e-10</x:v>
      </x:c>
      <x:c r="O452" s="28" t="n">
        <x:v>7.450580596923828e-9</x:v>
      </x:c>
      <x:c r="P452" s="28" t="n">
        <x:v>0</x:v>
      </x:c>
      <x:c r="Q452" s="62" t="b">
        <x:v>1</x:v>
      </x:c>
      <x:c r="R452" s="28" t="n">
        <x:v>0</x:v>
      </x:c>
      <x:c r="S452" s="28" t="str">
        <x:v>42ae74b5f1d9cf21</x:v>
      </x:c>
    </x:row>
    <x:row r="453" ht="21" customHeight="1">
      <x:c r="A453" s="60" t="n">
        <x:v>0.61</x:v>
      </x:c>
      <x:c r="B453" s="28" t="str">
        <x:v>level_flat</x:v>
      </x:c>
      <x:c r="C453" s="60" t="n">
        <x:v>0.2</x:v>
      </x:c>
      <x:c r="D453" s="60" t="n">
        <x:v>0.2</x:v>
      </x:c>
      <x:c r="E453" s="62" t="b">
        <x:v>1</x:v>
      </x:c>
      <x:c r="F453" s="62" t="b">
        <x:v>1</x:v>
      </x:c>
      <x:c r="G453" s="85" t="n">
        <x:v>0</x:v>
      </x:c>
      <x:c r="H453" s="85" t="n">
        <x:v>0</x:v>
      </x:c>
      <x:c r="I453" s="85" t="n">
        <x:v>2458868.986937096</x:v>
      </x:c>
      <x:c r="J453" s="85" t="n">
        <x:v>1248509.6821693014</x:v>
      </x:c>
      <x:c r="K453" s="85" t="n">
        <x:v>54228.99534246559</x:v>
      </x:c>
      <x:c r="L453" s="28" t="n">
        <x:v>0</x:v>
      </x:c>
      <x:c r="M453" s="28" t="n">
        <x:v>0</x:v>
      </x:c>
      <x:c r="N453" s="28" t="n">
        <x:v>9.313225746154785e-10</x:v>
      </x:c>
      <x:c r="O453" s="28" t="n">
        <x:v>7.450580596923828e-9</x:v>
      </x:c>
      <x:c r="P453" s="28" t="n">
        <x:v>0</x:v>
      </x:c>
      <x:c r="Q453" s="62" t="b">
        <x:v>1</x:v>
      </x:c>
      <x:c r="R453" s="28" t="n">
        <x:v>0</x:v>
      </x:c>
      <x:c r="S453" s="28" t="str">
        <x:v>74b5999f34606a65</x:v>
      </x:c>
    </x:row>
    <x:row r="454" ht="21" customHeight="1">
      <x:c r="A454" s="60" t="n">
        <x:v>0.61</x:v>
      </x:c>
      <x:c r="B454" s="28" t="str">
        <x:v>level_flat</x:v>
      </x:c>
      <x:c r="C454" s="60" t="n">
        <x:v>0.25</x:v>
      </x:c>
      <x:c r="D454" s="60" t="n">
        <x:v>0.25</x:v>
      </x:c>
      <x:c r="E454" s="62" t="b">
        <x:v>1</x:v>
      </x:c>
      <x:c r="F454" s="62" t="b">
        <x:v>1</x:v>
      </x:c>
      <x:c r="G454" s="85" t="n">
        <x:v>0</x:v>
      </x:c>
      <x:c r="H454" s="85" t="n">
        <x:v>0</x:v>
      </x:c>
      <x:c r="I454" s="85" t="n">
        <x:v>3662456.6852410934</x:v>
      </x:c>
      <x:c r="J454" s="85" t="n">
        <x:v>2954237.1027116347</x:v>
      </x:c>
      <x:c r="K454" s="85" t="n">
        <x:v>35926.54387671237</x:v>
      </x:c>
      <x:c r="L454" s="28" t="n">
        <x:v>0</x:v>
      </x:c>
      <x:c r="M454" s="28" t="n">
        <x:v>0</x:v>
      </x:c>
      <x:c r="N454" s="28" t="n">
        <x:v>4.656612873077393e-10</x:v>
      </x:c>
      <x:c r="O454" s="28" t="n">
        <x:v>7.450580596923828e-9</x:v>
      </x:c>
      <x:c r="P454" s="28" t="n">
        <x:v>0</x:v>
      </x:c>
      <x:c r="Q454" s="62" t="b">
        <x:v>1</x:v>
      </x:c>
      <x:c r="R454" s="28" t="n">
        <x:v>0</x:v>
      </x:c>
      <x:c r="S454" s="28" t="str">
        <x:v>f4c200a37e8f565c</x:v>
      </x:c>
    </x:row>
    <x:row r="455" ht="21" customHeight="1">
      <x:c r="A455" s="60" t="n">
        <x:v>0.61</x:v>
      </x:c>
      <x:c r="B455" s="28" t="str">
        <x:v>level_flat</x:v>
      </x:c>
      <x:c r="C455" s="60" t="n">
        <x:v>0.3</x:v>
      </x:c>
      <x:c r="D455" s="60" t="n">
        <x:v>0.3</x:v>
      </x:c>
      <x:c r="E455" s="62" t="b">
        <x:v>1</x:v>
      </x:c>
      <x:c r="F455" s="62" t="b">
        <x:v>1</x:v>
      </x:c>
      <x:c r="G455" s="85" t="n">
        <x:v>0</x:v>
      </x:c>
      <x:c r="H455" s="85" t="n">
        <x:v>0</x:v>
      </x:c>
      <x:c r="I455" s="85" t="n">
        <x:v>4884584.504449853</x:v>
      </x:c>
      <x:c r="J455" s="85" t="n">
        <x:v>4659964.523253947</x:v>
      </x:c>
      <x:c r="K455" s="85" t="n">
        <x:v>29969.126273972364</x:v>
      </x:c>
      <x:c r="L455" s="28" t="n">
        <x:v>0</x:v>
      </x:c>
      <x:c r="M455" s="28" t="n">
        <x:v>0</x:v>
      </x:c>
      <x:c r="N455" s="28" t="n">
        <x:v>4.656612873077393e-10</x:v>
      </x:c>
      <x:c r="O455" s="28" t="n">
        <x:v>7.450580596923828e-9</x:v>
      </x:c>
      <x:c r="P455" s="28" t="n">
        <x:v>0</x:v>
      </x:c>
      <x:c r="Q455" s="62" t="b">
        <x:v>1</x:v>
      </x:c>
      <x:c r="R455" s="28" t="n">
        <x:v>0</x:v>
      </x:c>
      <x:c r="S455" s="28" t="str">
        <x:v>c576db9551f8be02</x:v>
      </x:c>
    </x:row>
    <x:row r="456" ht="21" customHeight="1">
      <x:c r="A456" s="60" t="n">
        <x:v>0.61</x:v>
      </x:c>
      <x:c r="B456" s="28" t="str">
        <x:v>level_flat</x:v>
      </x:c>
      <x:c r="C456" s="60" t="n">
        <x:v>0.35</x:v>
      </x:c>
      <x:c r="D456" s="60" t="n">
        <x:v>0.35</x:v>
      </x:c>
      <x:c r="E456" s="62" t="b">
        <x:v>1</x:v>
      </x:c>
      <x:c r="F456" s="62" t="b">
        <x:v>1</x:v>
      </x:c>
      <x:c r="G456" s="85" t="n">
        <x:v>0</x:v>
      </x:c>
      <x:c r="H456" s="85" t="n">
        <x:v>0</x:v>
      </x:c>
      <x:c r="I456" s="85" t="n">
        <x:v>6110332.000616156</x:v>
      </x:c>
      <x:c r="J456" s="85" t="n">
        <x:v>6365691.9437962705</x:v>
      </x:c>
      <x:c r="K456" s="85" t="n">
        <x:v>24011.708671233053</x:v>
      </x:c>
      <x:c r="L456" s="28" t="n">
        <x:v>0</x:v>
      </x:c>
      <x:c r="M456" s="28" t="n">
        <x:v>0</x:v>
      </x:c>
      <x:c r="N456" s="28" t="n">
        <x:v>2.3283064365386963e-10</x:v>
      </x:c>
      <x:c r="O456" s="28" t="n">
        <x:v>7.450580596923828e-9</x:v>
      </x:c>
      <x:c r="P456" s="28" t="n">
        <x:v>0</x:v>
      </x:c>
      <x:c r="Q456" s="62" t="b">
        <x:v>1</x:v>
      </x:c>
      <x:c r="R456" s="28" t="n">
        <x:v>0</x:v>
      </x:c>
      <x:c r="S456" s="28" t="str">
        <x:v>bebb1a31cd22ddff</x:v>
      </x:c>
    </x:row>
    <x:row r="457" ht="21" customHeight="1">
      <x:c r="A457" s="60" t="n">
        <x:v>0.61</x:v>
      </x:c>
      <x:c r="B457" s="28" t="str">
        <x:v>level_flat</x:v>
      </x:c>
      <x:c r="C457" s="60" t="n">
        <x:v>0.4</x:v>
      </x:c>
      <x:c r="D457" s="60" t="n">
        <x:v>0.4</x:v>
      </x:c>
      <x:c r="E457" s="62" t="b">
        <x:v>1</x:v>
      </x:c>
      <x:c r="F457" s="62" t="b">
        <x:v>1</x:v>
      </x:c>
      <x:c r="G457" s="85" t="n">
        <x:v>0</x:v>
      </x:c>
      <x:c r="H457" s="85" t="n">
        <x:v>0</x:v>
      </x:c>
      <x:c r="I457" s="85" t="n">
        <x:v>7338173.850316701</x:v>
      </x:c>
      <x:c r="J457" s="85" t="n">
        <x:v>8071419.364338596</x:v>
      </x:c>
      <x:c r="K457" s="85" t="n">
        <x:v>18054.29106849363</x:v>
      </x:c>
      <x:c r="L457" s="28" t="n">
        <x:v>0</x:v>
      </x:c>
      <x:c r="M457" s="28" t="n">
        <x:v>0</x:v>
      </x:c>
      <x:c r="N457" s="28" t="n">
        <x:v>9.313225746154785e-10</x:v>
      </x:c>
      <x:c r="O457" s="28" t="n">
        <x:v>7.450580596923828e-9</x:v>
      </x:c>
      <x:c r="P457" s="28" t="n">
        <x:v>0</x:v>
      </x:c>
      <x:c r="Q457" s="62" t="b">
        <x:v>1</x:v>
      </x:c>
      <x:c r="R457" s="28" t="n">
        <x:v>0</x:v>
      </x:c>
      <x:c r="S457" s="28" t="str">
        <x:v>39ee16097a7a8886</x:v>
      </x:c>
    </x:row>
    <x:row r="458" ht="21" customHeight="1">
      <x:c r="A458" s="60" t="n">
        <x:v>0.61</x:v>
      </x:c>
      <x:c r="B458" s="28" t="str">
        <x:v>level_flat</x:v>
      </x:c>
      <x:c r="C458" s="60" t="n">
        <x:v>0.45</x:v>
      </x:c>
      <x:c r="D458" s="60" t="n">
        <x:v>0.45</x:v>
      </x:c>
      <x:c r="E458" s="62" t="b">
        <x:v>1</x:v>
      </x:c>
      <x:c r="F458" s="62" t="b">
        <x:v>1</x:v>
      </x:c>
      <x:c r="G458" s="85" t="n">
        <x:v>0</x:v>
      </x:c>
      <x:c r="H458" s="85" t="n">
        <x:v>0</x:v>
      </x:c>
      <x:c r="I458" s="85" t="n">
        <x:v>8570791.820547929</x:v>
      </x:c>
      <x:c r="J458" s="85" t="n">
        <x:v>9777146.78488093</x:v>
      </x:c>
      <x:c r="K458" s="85" t="n">
        <x:v>12096.87346575327</x:v>
      </x:c>
      <x:c r="L458" s="28" t="n">
        <x:v>0</x:v>
      </x:c>
      <x:c r="M458" s="28" t="n">
        <x:v>0</x:v>
      </x:c>
      <x:c r="N458" s="28" t="n">
        <x:v>4.656612873077393e-10</x:v>
      </x:c>
      <x:c r="O458" s="28" t="n">
        <x:v>3.725290298461914e-9</x:v>
      </x:c>
      <x:c r="P458" s="28" t="n">
        <x:v>0</x:v>
      </x:c>
      <x:c r="Q458" s="62" t="b">
        <x:v>1</x:v>
      </x:c>
      <x:c r="R458" s="28" t="n">
        <x:v>0</x:v>
      </x:c>
      <x:c r="S458" s="28" t="str">
        <x:v>08829a85d7e128ef</x:v>
      </x:c>
    </x:row>
    <x:row r="459" ht="21" customHeight="1">
      <x:c r="A459" s="60" t="n">
        <x:v>0.61</x:v>
      </x:c>
      <x:c r="B459" s="28" t="str">
        <x:v>level_flat</x:v>
      </x:c>
      <x:c r="C459" s="60" t="n">
        <x:v>0.5</x:v>
      </x:c>
      <x:c r="D459" s="60" t="n">
        <x:v>0.5</x:v>
      </x:c>
      <x:c r="E459" s="62" t="b">
        <x:v>1</x:v>
      </x:c>
      <x:c r="F459" s="62" t="b">
        <x:v>1</x:v>
      </x:c>
      <x:c r="G459" s="85" t="n">
        <x:v>0</x:v>
      </x:c>
      <x:c r="H459" s="85" t="n">
        <x:v>0</x:v>
      </x:c>
      <x:c r="I459" s="85" t="n">
        <x:v>9895117.735679263</x:v>
      </x:c>
      <x:c r="J459" s="85" t="n">
        <x:v>11275637.983262004</x:v>
      </x:c>
      <x:c r="K459" s="85" t="n">
        <x:v>6139.455863013725</x:v>
      </x:c>
      <x:c r="L459" s="28" t="n">
        <x:v>3</x:v>
      </x:c>
      <x:c r="M459" s="28" t="n">
        <x:v>0</x:v>
      </x:c>
      <x:c r="N459" s="28" t="n">
        <x:v>2.3283064365386963e-10</x:v>
      </x:c>
      <x:c r="O459" s="28" t="n">
        <x:v>3.725290298461914e-9</x:v>
      </x:c>
      <x:c r="P459" s="28" t="n">
        <x:v>0</x:v>
      </x:c>
      <x:c r="Q459" s="62" t="b">
        <x:v>1</x:v>
      </x:c>
      <x:c r="R459" s="28" t="n">
        <x:v>0</x:v>
      </x:c>
      <x:c r="S459" s="28" t="str">
        <x:v>15eb860a25ad7735</x:v>
      </x:c>
    </x:row>
    <x:row r="460" ht="21" customHeight="1">
      <x:c r="A460" s="60" t="n">
        <x:v>0.61</x:v>
      </x:c>
      <x:c r="B460" s="28" t="str">
        <x:v>level_flat</x:v>
      </x:c>
      <x:c r="C460" s="60" t="n">
        <x:v>0.55</x:v>
      </x:c>
      <x:c r="D460" s="60" t="n">
        <x:v>0.55</x:v>
      </x:c>
      <x:c r="E460" s="62" t="b">
        <x:v>1</x:v>
      </x:c>
      <x:c r="F460" s="62" t="b">
        <x:v>1</x:v>
      </x:c>
      <x:c r="G460" s="85" t="n">
        <x:v>0</x:v>
      </x:c>
      <x:c r="H460" s="85" t="n">
        <x:v>0</x:v>
      </x:c>
      <x:c r="I460" s="85" t="n">
        <x:v>11262382.570963945</x:v>
      </x:c>
      <x:c r="J460" s="85" t="n">
        <x:v>12644604.953678347</x:v>
      </x:c>
      <x:c r="K460" s="85" t="n">
        <x:v>3550.3434246575125</x:v>
      </x:c>
      <x:c r="L460" s="28" t="n">
        <x:v>8</x:v>
      </x:c>
      <x:c r="M460" s="28" t="n">
        <x:v>0</x:v>
      </x:c>
      <x:c r="N460" s="28" t="n">
        <x:v>4.656612873077393e-10</x:v>
      </x:c>
      <x:c r="O460" s="28" t="n">
        <x:v>3.725290298461914e-9</x:v>
      </x:c>
      <x:c r="P460" s="28" t="n">
        <x:v>0</x:v>
      </x:c>
      <x:c r="Q460" s="62" t="b">
        <x:v>1</x:v>
      </x:c>
      <x:c r="R460" s="28" t="n">
        <x:v>0</x:v>
      </x:c>
      <x:c r="S460" s="28" t="str">
        <x:v>3f316880fb2d4ad3</x:v>
      </x:c>
    </x:row>
    <x:row r="461" ht="21" customHeight="1">
      <x:c r="A461" s="60" t="n">
        <x:v>0.61</x:v>
      </x:c>
      <x:c r="B461" s="28" t="str">
        <x:v>level_flat</x:v>
      </x:c>
      <x:c r="C461" s="60" t="n">
        <x:v>0.6</x:v>
      </x:c>
      <x:c r="D461" s="60" t="n">
        <x:v>0.6</x:v>
      </x:c>
      <x:c r="E461" s="62" t="b">
        <x:v>1</x:v>
      </x:c>
      <x:c r="F461" s="62" t="b">
        <x:v>1</x:v>
      </x:c>
      <x:c r="G461" s="85" t="n">
        <x:v>0</x:v>
      </x:c>
      <x:c r="H461" s="85" t="n">
        <x:v>0</x:v>
      </x:c>
      <x:c r="I461" s="85" t="n">
        <x:v>12581093.226152645</x:v>
      </x:c>
      <x:c r="J461" s="85" t="n">
        <x:v>14059396.866746979</x:v>
      </x:c>
      <x:c r="K461" s="85" t="n">
        <x:v>1545.1742465753705</x:v>
      </x:c>
      <x:c r="L461" s="28" t="n">
        <x:v>12</x:v>
      </x:c>
      <x:c r="M461" s="28" t="n">
        <x:v>3</x:v>
      </x:c>
      <x:c r="N461" s="28" t="n">
        <x:v>4.656612873077393e-10</x:v>
      </x:c>
      <x:c r="O461" s="28" t="n">
        <x:v>7.450580596923828e-9</x:v>
      </x:c>
      <x:c r="P461" s="28" t="n">
        <x:v>0</x:v>
      </x:c>
      <x:c r="Q461" s="62" t="b">
        <x:v>1</x:v>
      </x:c>
      <x:c r="R461" s="28" t="n">
        <x:v>0</x:v>
      </x:c>
      <x:c r="S461" s="28" t="str">
        <x:v>3ec375cb4945b909</x:v>
      </x:c>
    </x:row>
    <x:row r="462" ht="21" customHeight="1">
      <x:c r="A462" s="60" t="n">
        <x:v>0.61</x:v>
      </x:c>
      <x:c r="B462" s="28" t="str">
        <x:v>level_flat</x:v>
      </x:c>
      <x:c r="C462" s="60" t="n">
        <x:v>0.65</x:v>
      </x:c>
      <x:c r="D462" s="60" t="n">
        <x:v>0.65</x:v>
      </x:c>
      <x:c r="E462" s="62" t="b">
        <x:v>1</x:v>
      </x:c>
      <x:c r="F462" s="62" t="b">
        <x:v>1</x:v>
      </x:c>
      <x:c r="G462" s="85" t="n">
        <x:v>0</x:v>
      </x:c>
      <x:c r="H462" s="85" t="n">
        <x:v>0</x:v>
      </x:c>
      <x:c r="I462" s="85" t="n">
        <x:v>13730480.668557474</x:v>
      </x:c>
      <x:c r="J462" s="85" t="n">
        <x:v>15853471.917538455</x:v>
      </x:c>
      <x:c r="K462" s="85" t="n">
        <x:v>0</x:v>
      </x:c>
      <x:c r="L462" s="28" t="n">
        <x:v>18</x:v>
      </x:c>
      <x:c r="M462" s="28" t="n">
        <x:v>9</x:v>
      </x:c>
      <x:c r="N462" s="28" t="n">
        <x:v>4.656612873077393e-10</x:v>
      </x:c>
      <x:c r="O462" s="28" t="n">
        <x:v>3.725290298461914e-9</x:v>
      </x:c>
      <x:c r="P462" s="28" t="n">
        <x:v>0</x:v>
      </x:c>
      <x:c r="Q462" s="62" t="b">
        <x:v>1</x:v>
      </x:c>
      <x:c r="R462" s="28" t="n">
        <x:v>0</x:v>
      </x:c>
      <x:c r="S462" s="28" t="str">
        <x:v>c65b6909dd679e05</x:v>
      </x:c>
    </x:row>
    <x:row r="463" ht="21" customHeight="1">
      <x:c r="A463" s="60" t="n">
        <x:v>0.61</x:v>
      </x:c>
      <x:c r="B463" s="28" t="str">
        <x:v>level_flat</x:v>
      </x:c>
      <x:c r="C463" s="60" t="n">
        <x:v>0.7</x:v>
      </x:c>
      <x:c r="D463" s="60" t="n">
        <x:v>0.7</x:v>
      </x:c>
      <x:c r="E463" s="62" t="b">
        <x:v>1</x:v>
      </x:c>
      <x:c r="F463" s="62" t="b">
        <x:v>0</x:v>
      </x:c>
      <x:c r="G463" s="85" t="n">
        <x:v>324514.08448843635</x:v>
      </x:c>
      <x:c r="H463" s="85" t="n">
        <x:v>1745818.2431926543</x:v>
      </x:c>
      <x:c r="I463" s="85" t="n">
        <x:v>14110201.660223013</x:v>
      </x:c>
      <x:c r="J463" s="85" t="n">
        <x:v>16165760.000000002</x:v>
      </x:c>
      <x:c r="K463" s="85" t="n">
        <x:v>0</x:v>
      </x:c>
      <x:c r="L463" s="28" t="n">
        <x:v>39</x:v>
      </x:c>
      <x:c r="M463" s="28" t="n">
        <x:v>32</x:v>
      </x:c>
      <x:c r="N463" s="28" t="n">
        <x:v>2.3283064365386963e-10</x:v>
      </x:c>
      <x:c r="O463" s="28" t="n">
        <x:v>3.725290298461914e-9</x:v>
      </x:c>
      <x:c r="P463" s="28" t="n">
        <x:v>0</x:v>
      </x:c>
      <x:c r="Q463" s="62" t="b">
        <x:v>1</x:v>
      </x:c>
      <x:c r="R463" s="28" t="n">
        <x:v>0</x:v>
      </x:c>
      <x:c r="S463" s="28" t="str">
        <x:v>48e3662ea0df1b2a</x:v>
      </x:c>
    </x:row>
    <x:row r="464" ht="21" customHeight="1">
      <x:c r="A464" s="60" t="n">
        <x:v>0.61</x:v>
      </x:c>
      <x:c r="B464" s="28" t="str">
        <x:v>level_flat</x:v>
      </x:c>
      <x:c r="C464" s="60" t="n">
        <x:v>0.75</x:v>
      </x:c>
      <x:c r="D464" s="60" t="n">
        <x:v>0.75</x:v>
      </x:c>
      <x:c r="E464" s="62" t="b">
        <x:v>1</x:v>
      </x:c>
      <x:c r="F464" s="62" t="b">
        <x:v>0</x:v>
      </x:c>
      <x:c r="G464" s="85" t="n">
        <x:v>750635.5003288944</x:v>
      </x:c>
      <x:c r="H464" s="85" t="n">
        <x:v>3809088.575703971</x:v>
      </x:c>
      <x:c r="I464" s="85" t="n">
        <x:v>14340044.433045205</x:v>
      </x:c>
      <x:c r="J464" s="85" t="n">
        <x:v>16165760.000000002</x:v>
      </x:c>
      <x:c r="K464" s="85" t="n">
        <x:v>0</x:v>
      </x:c>
      <x:c r="L464" s="28" t="n">
        <x:v>40</x:v>
      </x:c>
      <x:c r="M464" s="28" t="n">
        <x:v>34</x:v>
      </x:c>
      <x:c r="N464" s="28" t="n">
        <x:v>4.656612873077393e-10</x:v>
      </x:c>
      <x:c r="O464" s="28" t="n">
        <x:v>3.725290298461914e-9</x:v>
      </x:c>
      <x:c r="P464" s="28" t="n">
        <x:v>0</x:v>
      </x:c>
      <x:c r="Q464" s="62" t="b">
        <x:v>1</x:v>
      </x:c>
      <x:c r="R464" s="28" t="n">
        <x:v>0</x:v>
      </x:c>
      <x:c r="S464" s="28" t="str">
        <x:v>32c55a986edf2096</x:v>
      </x:c>
    </x:row>
    <x:row r="465" ht="21" customHeight="1">
      <x:c r="A465" s="60" t="n">
        <x:v>0.61</x:v>
      </x:c>
      <x:c r="B465" s="28" t="str">
        <x:v>level_flat</x:v>
      </x:c>
      <x:c r="C465" s="60" t="n">
        <x:v>0.8</x:v>
      </x:c>
      <x:c r="D465" s="60" t="n">
        <x:v>0.8</x:v>
      </x:c>
      <x:c r="E465" s="62" t="b">
        <x:v>1</x:v>
      </x:c>
      <x:c r="F465" s="62" t="b">
        <x:v>0</x:v>
      </x:c>
      <x:c r="G465" s="85" t="n">
        <x:v>1145299.960935743</x:v>
      </x:c>
      <x:c r="H465" s="85" t="n">
        <x:v>5784770.1707379045</x:v>
      </x:c>
      <x:c r="I465" s="85" t="n">
        <x:v>14587860.746739725</x:v>
      </x:c>
      <x:c r="J465" s="85" t="n">
        <x:v>16165760.000000002</x:v>
      </x:c>
      <x:c r="K465" s="85" t="n">
        <x:v>0</x:v>
      </x:c>
      <x:c r="L465" s="28" t="n">
        <x:v>41</x:v>
      </x:c>
      <x:c r="M465" s="28" t="n">
        <x:v>35</x:v>
      </x:c>
      <x:c r="N465" s="28" t="n">
        <x:v>4.656612873077393e-10</x:v>
      </x:c>
      <x:c r="O465" s="28" t="n">
        <x:v>3.725290298461914e-9</x:v>
      </x:c>
      <x:c r="P465" s="28" t="n">
        <x:v>0</x:v>
      </x:c>
      <x:c r="Q465" s="62" t="b">
        <x:v>1</x:v>
      </x:c>
      <x:c r="R465" s="28" t="n">
        <x:v>0</x:v>
      </x:c>
      <x:c r="S465" s="28" t="str">
        <x:v>f66b2e9bf1e38397</x:v>
      </x:c>
    </x:row>
    <x:row r="466" ht="21" customHeight="1">
      <x:c r="A466" s="60" t="n">
        <x:v>0.61</x:v>
      </x:c>
      <x:c r="B466" s="28" t="str">
        <x:v>level_flat</x:v>
      </x:c>
      <x:c r="C466" s="60" t="n">
        <x:v>0.85</x:v>
      </x:c>
      <x:c r="D466" s="60" t="n">
        <x:v>0.85</x:v>
      </x:c>
      <x:c r="E466" s="62" t="b">
        <x:v>1</x:v>
      </x:c>
      <x:c r="F466" s="62" t="b">
        <x:v>0</x:v>
      </x:c>
      <x:c r="G466" s="85" t="n">
        <x:v>1669294.1396977608</x:v>
      </x:c>
      <x:c r="H466" s="85" t="n">
        <x:v>7617227.5956431795</x:v>
      </x:c>
      <x:c r="I466" s="85" t="n">
        <x:v>14821549.223952603</x:v>
      </x:c>
      <x:c r="J466" s="85" t="n">
        <x:v>16165760.000000002</x:v>
      </x:c>
      <x:c r="K466" s="85" t="n">
        <x:v>0</x:v>
      </x:c>
      <x:c r="L466" s="28" t="n">
        <x:v>42</x:v>
      </x:c>
      <x:c r="M466" s="28" t="n">
        <x:v>36</x:v>
      </x:c>
      <x:c r="N466" s="28" t="n">
        <x:v>2.3283064365386963e-10</x:v>
      </x:c>
      <x:c r="O466" s="28" t="n">
        <x:v>3.725290298461914e-9</x:v>
      </x:c>
      <x:c r="P466" s="28" t="n">
        <x:v>0</x:v>
      </x:c>
      <x:c r="Q466" s="62" t="b">
        <x:v>1</x:v>
      </x:c>
      <x:c r="R466" s="28" t="n">
        <x:v>0</x:v>
      </x:c>
      <x:c r="S466" s="28" t="str">
        <x:v>ff3b601af5d11c25</x:v>
      </x:c>
    </x:row>
    <x:row r="467" ht="21" customHeight="1">
      <x:c r="A467" s="60" t="n">
        <x:v>0.61</x:v>
      </x:c>
      <x:c r="B467" s="28" t="str">
        <x:v>level_flat</x:v>
      </x:c>
      <x:c r="C467" s="60" t="n">
        <x:v>0.9</x:v>
      </x:c>
      <x:c r="D467" s="60" t="n">
        <x:v>0.8949513562027351</x:v>
      </x:c>
      <x:c r="E467" s="62" t="b">
        <x:v>0</x:v>
      </x:c>
      <x:c r="F467" s="62" t="b">
        <x:v>0</x:v>
      </x:c>
      <x:c r="G467" s="85" t="n">
        <x:v>2405621.1829248653</x:v>
      </x:c>
      <x:c r="H467" s="85" t="n">
        <x:v>9108042.52694469</x:v>
      </x:c>
      <x:c r="I467" s="85" t="n">
        <x:v>14860261.574673424</x:v>
      </x:c>
      <x:c r="J467" s="85" t="n">
        <x:v>16165760.000000002</x:v>
      </x:c>
      <x:c r="K467" s="85" t="n">
        <x:v>0</x:v>
      </x:c>
      <x:c r="L467" s="28" t="n">
        <x:v>42</x:v>
      </x:c>
      <x:c r="M467" s="28" t="n">
        <x:v>36</x:v>
      </x:c>
      <x:c r="N467" s="28" t="n">
        <x:v>4.656612873077393e-10</x:v>
      </x:c>
      <x:c r="O467" s="28" t="n">
        <x:v>3.725290298461914e-9</x:v>
      </x:c>
      <x:c r="P467" s="28" t="n">
        <x:v>0</x:v>
      </x:c>
      <x:c r="Q467" s="62" t="b">
        <x:v>1</x:v>
      </x:c>
      <x:c r="R467" s="28" t="n">
        <x:v>281431.5998347327</x:v>
      </x:c>
      <x:c r="S467" s="28" t="str">
        <x:v>bdbe7f1a6230250b</x:v>
      </x:c>
    </x:row>
    <x:row r="468" ht="21" customHeight="1">
      <x:c r="A468" s="60" t="n">
        <x:v>0.61</x:v>
      </x:c>
      <x:c r="B468" s="28" t="str">
        <x:v>level_flat</x:v>
      </x:c>
      <x:c r="C468" s="60" t="n">
        <x:v>0.95</x:v>
      </x:c>
      <x:c r="D468" s="60" t="n">
        <x:v>0.9109811515371262</x:v>
      </x:c>
      <x:c r="E468" s="62" t="b">
        <x:v>0</x:v>
      </x:c>
      <x:c r="F468" s="62" t="b">
        <x:v>0</x:v>
      </x:c>
      <x:c r="G468" s="85" t="n">
        <x:v>2570865.7237107186</x:v>
      </x:c>
      <x:c r="H468" s="85" t="n">
        <x:v>9733683.137156263</x:v>
      </x:c>
      <x:c r="I468" s="85" t="n">
        <x:v>15090180.65769863</x:v>
      </x:c>
      <x:c r="J468" s="85" t="n">
        <x:v>16165760.000000002</x:v>
      </x:c>
      <x:c r="K468" s="85" t="n">
        <x:v>0</x:v>
      </x:c>
      <x:c r="L468" s="28" t="n">
        <x:v>43</x:v>
      </x:c>
      <x:c r="M468" s="28" t="n">
        <x:v>38</x:v>
      </x:c>
      <x:c r="N468" s="28" t="n">
        <x:v>2.3283064365386963e-10</x:v>
      </x:c>
      <x:c r="O468" s="28" t="n">
        <x:v>3.725290298461914e-9</x:v>
      </x:c>
      <x:c r="P468" s="28" t="n">
        <x:v>0</x:v>
      </x:c>
      <x:c r="Q468" s="62" t="b">
        <x:v>1</x:v>
      </x:c>
      <x:c r="R468" s="28" t="n">
        <x:v>2175066.688714437</x:v>
      </x:c>
      <x:c r="S468" s="28" t="str">
        <x:v>a4d96c3d5c82898f</x:v>
      </x:c>
    </x:row>
    <x:row r="469" ht="21" customHeight="1">
      <x:c r="A469" s="60" t="n">
        <x:v>0.61</x:v>
      </x:c>
      <x:c r="B469" s="28" t="str">
        <x:v>level_flat</x:v>
      </x:c>
      <x:c r="C469" s="60" t="n">
        <x:v>1</x:v>
      </x:c>
      <x:c r="D469" s="60" t="n">
        <x:v>0.9258453085724337</x:v>
      </x:c>
      <x:c r="E469" s="62" t="b">
        <x:v>0</x:v>
      </x:c>
      <x:c r="F469" s="62" t="b">
        <x:v>0</x:v>
      </x:c>
      <x:c r="G469" s="85" t="n">
        <x:v>2868617.1676938077</x:v>
      </x:c>
      <x:c r="H469" s="85" t="n">
        <x:v>10423339.169038342</x:v>
      </x:c>
      <x:c r="I469" s="85" t="n">
        <x:v>15117713.734684931</x:v>
      </x:c>
      <x:c r="J469" s="85" t="n">
        <x:v>16165760.000000002</x:v>
      </x:c>
      <x:c r="K469" s="85" t="n">
        <x:v>0</x:v>
      </x:c>
      <x:c r="L469" s="28" t="n">
        <x:v>43</x:v>
      </x:c>
      <x:c r="M469" s="28" t="n">
        <x:v>38</x:v>
      </x:c>
      <x:c r="N469" s="28" t="n">
        <x:v>4.656612873077393e-10</x:v>
      </x:c>
      <x:c r="O469" s="28" t="n">
        <x:v>1.862645149230957e-9</x:v>
      </x:c>
      <x:c r="P469" s="28" t="n">
        <x:v>0</x:v>
      </x:c>
      <x:c r="Q469" s="62" t="b">
        <x:v>1</x:v>
      </x:c>
      <x:c r="R469" s="28" t="n">
        <x:v>4133679.1189382523</x:v>
      </x:c>
      <x:c r="S469" s="28" t="str">
        <x:v>293b07c0dc6fb4d0</x:v>
      </x:c>
    </x:row>
    <x:row r="470" ht="21" customHeight="1">
      <x:c r="A470" s="60" t="n">
        <x:v>0.61</x:v>
      </x:c>
      <x:c r="B470" s="28" t="str">
        <x:v>level_low</x:v>
      </x:c>
      <x:c r="C470" s="60" t="n">
        <x:v>0</x:v>
      </x:c>
      <x:c r="D470" s="60" t="n">
        <x:v>0</x:v>
      </x:c>
      <x:c r="E470" s="62" t="b">
        <x:v>1</x:v>
      </x:c>
      <x:c r="F470" s="62" t="b">
        <x:v>1</x:v>
      </x:c>
      <x:c r="G470" s="85" t="n">
        <x:v>0</x:v>
      </x:c>
      <x:c r="H470" s="85" t="n">
        <x:v>0</x:v>
      </x:c>
      <x:c r="I470" s="85" t="n">
        <x:v>0</x:v>
      </x:c>
      <x:c r="J470" s="85" t="n">
        <x:v>0</x:v>
      </x:c>
      <x:c r="K470" s="85" t="n">
        <x:v>4885910.034191779</x:v>
      </x:c>
      <x:c r="L470" s="28" t="n">
        <x:v>0</x:v>
      </x:c>
      <x:c r="M470" s="28" t="n">
        <x:v>0</x:v>
      </x:c>
      <x:c r="N470" s="28" t="n">
        <x:v>4.656612873077393e-10</x:v>
      </x:c>
      <x:c r="O470" s="28" t="n">
        <x:v>0</x:v>
      </x:c>
      <x:c r="P470" s="28" t="n">
        <x:v>0</x:v>
      </x:c>
      <x:c r="Q470" s="62" t="b">
        <x:v>1</x:v>
      </x:c>
      <x:c r="R470" s="28" t="n">
        <x:v>0</x:v>
      </x:c>
      <x:c r="S470" s="28" t="str">
        <x:v>7c1590e56dad7040</x:v>
      </x:c>
    </x:row>
    <x:row r="471" ht="21" customHeight="1">
      <x:c r="A471" s="60" t="n">
        <x:v>0.61</x:v>
      </x:c>
      <x:c r="B471" s="28" t="str">
        <x:v>level_low</x:v>
      </x:c>
      <x:c r="C471" s="60" t="n">
        <x:v>0.05</x:v>
      </x:c>
      <x:c r="D471" s="60" t="n">
        <x:v>0.05</x:v>
      </x:c>
      <x:c r="E471" s="62" t="b">
        <x:v>1</x:v>
      </x:c>
      <x:c r="F471" s="62" t="b">
        <x:v>1</x:v>
      </x:c>
      <x:c r="G471" s="85" t="n">
        <x:v>0</x:v>
      </x:c>
      <x:c r="H471" s="85" t="n">
        <x:v>0</x:v>
      </x:c>
      <x:c r="I471" s="85" t="n">
        <x:v>0</x:v>
      </x:c>
      <x:c r="J471" s="85" t="n">
        <x:v>0</x:v>
      </x:c>
      <x:c r="K471" s="85" t="n">
        <x:v>2878432.033242825</x:v>
      </x:c>
      <x:c r="L471" s="28" t="n">
        <x:v>0</x:v>
      </x:c>
      <x:c r="M471" s="28" t="n">
        <x:v>0</x:v>
      </x:c>
      <x:c r="N471" s="28" t="n">
        <x:v>9.313225746154785e-10</x:v>
      </x:c>
      <x:c r="O471" s="28" t="n">
        <x:v>7.450580596923828e-9</x:v>
      </x:c>
      <x:c r="P471" s="28" t="n">
        <x:v>0</x:v>
      </x:c>
      <x:c r="Q471" s="62" t="b">
        <x:v>1</x:v>
      </x:c>
      <x:c r="R471" s="28" t="n">
        <x:v>0</x:v>
      </x:c>
      <x:c r="S471" s="28" t="str">
        <x:v>e09079f3ee1207f1</x:v>
      </x:c>
    </x:row>
    <x:row r="472" ht="21" customHeight="1">
      <x:c r="A472" s="60" t="n">
        <x:v>0.61</x:v>
      </x:c>
      <x:c r="B472" s="28" t="str">
        <x:v>level_low</x:v>
      </x:c>
      <x:c r="C472" s="60" t="n">
        <x:v>0.1</x:v>
      </x:c>
      <x:c r="D472" s="60" t="n">
        <x:v>0.1</x:v>
      </x:c>
      <x:c r="E472" s="62" t="b">
        <x:v>1</x:v>
      </x:c>
      <x:c r="F472" s="62" t="b">
        <x:v>1</x:v>
      </x:c>
      <x:c r="G472" s="85" t="n">
        <x:v>0</x:v>
      </x:c>
      <x:c r="H472" s="85" t="n">
        <x:v>0</x:v>
      </x:c>
      <x:c r="I472" s="85" t="n">
        <x:v>0</x:v>
      </x:c>
      <x:c r="J472" s="85" t="n">
        <x:v>0</x:v>
      </x:c>
      <x:c r="K472" s="85" t="n">
        <x:v>870873.2164708974</x:v>
      </x:c>
      <x:c r="L472" s="28" t="n">
        <x:v>0</x:v>
      </x:c>
      <x:c r="M472" s="28" t="n">
        <x:v>0</x:v>
      </x:c>
      <x:c r="N472" s="28" t="n">
        <x:v>4.656612873077393e-10</x:v>
      </x:c>
      <x:c r="O472" s="28" t="n">
        <x:v>7.450580596923828e-9</x:v>
      </x:c>
      <x:c r="P472" s="28" t="n">
        <x:v>0</x:v>
      </x:c>
      <x:c r="Q472" s="62" t="b">
        <x:v>1</x:v>
      </x:c>
      <x:c r="R472" s="28" t="n">
        <x:v>0</x:v>
      </x:c>
      <x:c r="S472" s="28" t="str">
        <x:v>d0051f18b754349e</x:v>
      </x:c>
    </x:row>
    <x:row r="473" ht="21" customHeight="1">
      <x:c r="A473" s="60" t="n">
        <x:v>0.61</x:v>
      </x:c>
      <x:c r="B473" s="28" t="str">
        <x:v>level_low</x:v>
      </x:c>
      <x:c r="C473" s="60" t="n">
        <x:v>0.15</x:v>
      </x:c>
      <x:c r="D473" s="60" t="n">
        <x:v>0.15</x:v>
      </x:c>
      <x:c r="E473" s="62" t="b">
        <x:v>1</x:v>
      </x:c>
      <x:c r="F473" s="62" t="b">
        <x:v>1</x:v>
      </x:c>
      <x:c r="G473" s="85" t="n">
        <x:v>0</x:v>
      </x:c>
      <x:c r="H473" s="85" t="n">
        <x:v>0</x:v>
      </x:c>
      <x:c r="I473" s="85" t="n">
        <x:v>857219.1576693212</x:v>
      </x:c>
      <x:c r="J473" s="85" t="n">
        <x:v>0</x:v>
      </x:c>
      <x:c r="K473" s="85" t="n">
        <x:v>0</x:v>
      </x:c>
      <x:c r="L473" s="28" t="n">
        <x:v>0</x:v>
      </x:c>
      <x:c r="M473" s="28" t="n">
        <x:v>0</x:v>
      </x:c>
      <x:c r="N473" s="28" t="n">
        <x:v>2.3283064365386963e-10</x:v>
      </x:c>
      <x:c r="O473" s="28" t="n">
        <x:v>7.450580596923828e-9</x:v>
      </x:c>
      <x:c r="P473" s="28" t="n">
        <x:v>0</x:v>
      </x:c>
      <x:c r="Q473" s="62" t="b">
        <x:v>1</x:v>
      </x:c>
      <x:c r="R473" s="28" t="n">
        <x:v>0</x:v>
      </x:c>
      <x:c r="S473" s="28" t="str">
        <x:v>edc3d2a1cdcae8c9</x:v>
      </x:c>
    </x:row>
    <x:row r="474" ht="21" customHeight="1">
      <x:c r="A474" s="60" t="n">
        <x:v>0.61</x:v>
      </x:c>
      <x:c r="B474" s="28" t="str">
        <x:v>level_low</x:v>
      </x:c>
      <x:c r="C474" s="60" t="n">
        <x:v>0.2</x:v>
      </x:c>
      <x:c r="D474" s="60" t="n">
        <x:v>0.2</x:v>
      </x:c>
      <x:c r="E474" s="62" t="b">
        <x:v>1</x:v>
      </x:c>
      <x:c r="F474" s="62" t="b">
        <x:v>1</x:v>
      </x:c>
      <x:c r="G474" s="85" t="n">
        <x:v>0</x:v>
      </x:c>
      <x:c r="H474" s="85" t="n">
        <x:v>0</x:v>
      </x:c>
      <x:c r="I474" s="85" t="n">
        <x:v>2020454.8900534904</x:v>
      </x:c>
      <x:c r="J474" s="85" t="n">
        <x:v>1248509.6821693014</x:v>
      </x:c>
      <x:c r="K474" s="85" t="n">
        <x:v>0</x:v>
      </x:c>
      <x:c r="L474" s="28" t="n">
        <x:v>0</x:v>
      </x:c>
      <x:c r="M474" s="28" t="n">
        <x:v>0</x:v>
      </x:c>
      <x:c r="N474" s="28" t="n">
        <x:v>4.656612873077393e-10</x:v>
      </x:c>
      <x:c r="O474" s="28" t="n">
        <x:v>7.450580596923828e-9</x:v>
      </x:c>
      <x:c r="P474" s="28" t="n">
        <x:v>0</x:v>
      </x:c>
      <x:c r="Q474" s="62" t="b">
        <x:v>1</x:v>
      </x:c>
      <x:c r="R474" s="28" t="n">
        <x:v>0</x:v>
      </x:c>
      <x:c r="S474" s="28" t="str">
        <x:v>eea8501fb43454ee</x:v>
      </x:c>
    </x:row>
    <x:row r="475" ht="21" customHeight="1">
      <x:c r="A475" s="60" t="n">
        <x:v>0.61</x:v>
      </x:c>
      <x:c r="B475" s="28" t="str">
        <x:v>level_low</x:v>
      </x:c>
      <x:c r="C475" s="60" t="n">
        <x:v>0.25</x:v>
      </x:c>
      <x:c r="D475" s="60" t="n">
        <x:v>0.25</x:v>
      </x:c>
      <x:c r="E475" s="62" t="b">
        <x:v>1</x:v>
      </x:c>
      <x:c r="F475" s="62" t="b">
        <x:v>1</x:v>
      </x:c>
      <x:c r="G475" s="85" t="n">
        <x:v>0</x:v>
      </x:c>
      <x:c r="H475" s="85" t="n">
        <x:v>0</x:v>
      </x:c>
      <x:c r="I475" s="85" t="n">
        <x:v>2823368.8986297385</x:v>
      </x:c>
      <x:c r="J475" s="85" t="n">
        <x:v>2954237.1027116347</x:v>
      </x:c>
      <x:c r="K475" s="85" t="n">
        <x:v>0</x:v>
      </x:c>
      <x:c r="L475" s="28" t="n">
        <x:v>0</x:v>
      </x:c>
      <x:c r="M475" s="28" t="n">
        <x:v>0</x:v>
      </x:c>
      <x:c r="N475" s="28" t="n">
        <x:v>4.656612873077393e-10</x:v>
      </x:c>
      <x:c r="O475" s="28" t="n">
        <x:v>7.450580596923828e-9</x:v>
      </x:c>
      <x:c r="P475" s="28" t="n">
        <x:v>0</x:v>
      </x:c>
      <x:c r="Q475" s="62" t="b">
        <x:v>1</x:v>
      </x:c>
      <x:c r="R475" s="28" t="n">
        <x:v>0</x:v>
      </x:c>
      <x:c r="S475" s="28" t="str">
        <x:v>1b51dbd7fa489e0c</x:v>
      </x:c>
    </x:row>
    <x:row r="476" ht="21" customHeight="1">
      <x:c r="A476" s="60" t="n">
        <x:v>0.61</x:v>
      </x:c>
      <x:c r="B476" s="28" t="str">
        <x:v>level_low</x:v>
      </x:c>
      <x:c r="C476" s="60" t="n">
        <x:v>0.3</x:v>
      </x:c>
      <x:c r="D476" s="60" t="n">
        <x:v>0.3</x:v>
      </x:c>
      <x:c r="E476" s="62" t="b">
        <x:v>1</x:v>
      </x:c>
      <x:c r="F476" s="62" t="b">
        <x:v>1</x:v>
      </x:c>
      <x:c r="G476" s="85" t="n">
        <x:v>0</x:v>
      </x:c>
      <x:c r="H476" s="85" t="n">
        <x:v>0</x:v>
      </x:c>
      <x:c r="I476" s="85" t="n">
        <x:v>3624599.14502965</x:v>
      </x:c>
      <x:c r="J476" s="85" t="n">
        <x:v>4659964.523253947</x:v>
      </x:c>
      <x:c r="K476" s="85" t="n">
        <x:v>0</x:v>
      </x:c>
      <x:c r="L476" s="28" t="n">
        <x:v>0</x:v>
      </x:c>
      <x:c r="M476" s="28" t="n">
        <x:v>0</x:v>
      </x:c>
      <x:c r="N476" s="28" t="n">
        <x:v>4.656612873077393e-10</x:v>
      </x:c>
      <x:c r="O476" s="28" t="n">
        <x:v>7.450580596923828e-9</x:v>
      </x:c>
      <x:c r="P476" s="28" t="n">
        <x:v>0</x:v>
      </x:c>
      <x:c r="Q476" s="62" t="b">
        <x:v>1</x:v>
      </x:c>
      <x:c r="R476" s="28" t="n">
        <x:v>0</x:v>
      </x:c>
      <x:c r="S476" s="28" t="str">
        <x:v>1169756d26d2fa5f</x:v>
      </x:c>
    </x:row>
    <x:row r="477" ht="21" customHeight="1">
      <x:c r="A477" s="60" t="n">
        <x:v>0.61</x:v>
      </x:c>
      <x:c r="B477" s="28" t="str">
        <x:v>level_low</x:v>
      </x:c>
      <x:c r="C477" s="60" t="n">
        <x:v>0.35</x:v>
      </x:c>
      <x:c r="D477" s="60" t="n">
        <x:v>0.35</x:v>
      </x:c>
      <x:c r="E477" s="62" t="b">
        <x:v>1</x:v>
      </x:c>
      <x:c r="F477" s="62" t="b">
        <x:v>1</x:v>
      </x:c>
      <x:c r="G477" s="85" t="n">
        <x:v>0</x:v>
      </x:c>
      <x:c r="H477" s="85" t="n">
        <x:v>0</x:v>
      </x:c>
      <x:c r="I477" s="85" t="n">
        <x:v>4433469.583100804</x:v>
      </x:c>
      <x:c r="J477" s="85" t="n">
        <x:v>6365691.9437962705</x:v>
      </x:c>
      <x:c r="K477" s="85" t="n">
        <x:v>0</x:v>
      </x:c>
      <x:c r="L477" s="28" t="n">
        <x:v>0</x:v>
      </x:c>
      <x:c r="M477" s="28" t="n">
        <x:v>0</x:v>
      </x:c>
      <x:c r="N477" s="28" t="n">
        <x:v>9.313225746154785e-10</x:v>
      </x:c>
      <x:c r="O477" s="28" t="n">
        <x:v>7.450580596923828e-9</x:v>
      </x:c>
      <x:c r="P477" s="28" t="n">
        <x:v>0</x:v>
      </x:c>
      <x:c r="Q477" s="62" t="b">
        <x:v>1</x:v>
      </x:c>
      <x:c r="R477" s="28" t="n">
        <x:v>0</x:v>
      </x:c>
      <x:c r="S477" s="28" t="str">
        <x:v>aa63741825882af0</x:v>
      </x:c>
    </x:row>
    <x:row r="478" ht="21" customHeight="1">
      <x:c r="A478" s="60" t="n">
        <x:v>0.61</x:v>
      </x:c>
      <x:c r="B478" s="28" t="str">
        <x:v>level_low</x:v>
      </x:c>
      <x:c r="C478" s="60" t="n">
        <x:v>0.4</x:v>
      </x:c>
      <x:c r="D478" s="60" t="n">
        <x:v>0.4</x:v>
      </x:c>
      <x:c r="E478" s="62" t="b">
        <x:v>1</x:v>
      </x:c>
      <x:c r="F478" s="62" t="b">
        <x:v>1</x:v>
      </x:c>
      <x:c r="G478" s="85" t="n">
        <x:v>0</x:v>
      </x:c>
      <x:c r="H478" s="85" t="n">
        <x:v>0</x:v>
      </x:c>
      <x:c r="I478" s="85" t="n">
        <x:v>5242340.021171954</x:v>
      </x:c>
      <x:c r="J478" s="85" t="n">
        <x:v>8071419.364338596</x:v>
      </x:c>
      <x:c r="K478" s="85" t="n">
        <x:v>0</x:v>
      </x:c>
      <x:c r="L478" s="28" t="n">
        <x:v>0</x:v>
      </x:c>
      <x:c r="M478" s="28" t="n">
        <x:v>0</x:v>
      </x:c>
      <x:c r="N478" s="28" t="n">
        <x:v>9.313225746154785e-10</x:v>
      </x:c>
      <x:c r="O478" s="28" t="n">
        <x:v>7.450580596923828e-9</x:v>
      </x:c>
      <x:c r="P478" s="28" t="n">
        <x:v>0</x:v>
      </x:c>
      <x:c r="Q478" s="62" t="b">
        <x:v>1</x:v>
      </x:c>
      <x:c r="R478" s="28" t="n">
        <x:v>0</x:v>
      </x:c>
      <x:c r="S478" s="28" t="str">
        <x:v>fb58fbaf32b5c6d7</x:v>
      </x:c>
    </x:row>
    <x:row r="479" ht="21" customHeight="1">
      <x:c r="A479" s="60" t="n">
        <x:v>0.61</x:v>
      </x:c>
      <x:c r="B479" s="28" t="str">
        <x:v>level_low</x:v>
      </x:c>
      <x:c r="C479" s="60" t="n">
        <x:v>0.45</x:v>
      </x:c>
      <x:c r="D479" s="60" t="n">
        <x:v>0.45</x:v>
      </x:c>
      <x:c r="E479" s="62" t="b">
        <x:v>1</x:v>
      </x:c>
      <x:c r="F479" s="62" t="b">
        <x:v>1</x:v>
      </x:c>
      <x:c r="G479" s="85" t="n">
        <x:v>0</x:v>
      </x:c>
      <x:c r="H479" s="85" t="n">
        <x:v>0</x:v>
      </x:c>
      <x:c r="I479" s="85" t="n">
        <x:v>6044228.701253243</x:v>
      </x:c>
      <x:c r="J479" s="85" t="n">
        <x:v>9777146.78488093</x:v>
      </x:c>
      <x:c r="K479" s="85" t="n">
        <x:v>0</x:v>
      </x:c>
      <x:c r="L479" s="28" t="n">
        <x:v>0</x:v>
      </x:c>
      <x:c r="M479" s="28" t="n">
        <x:v>0</x:v>
      </x:c>
      <x:c r="N479" s="28" t="n">
        <x:v>9.313225746154785e-10</x:v>
      </x:c>
      <x:c r="O479" s="28" t="n">
        <x:v>3.725290298461914e-9</x:v>
      </x:c>
      <x:c r="P479" s="28" t="n">
        <x:v>0</x:v>
      </x:c>
      <x:c r="Q479" s="62" t="b">
        <x:v>1</x:v>
      </x:c>
      <x:c r="R479" s="28" t="n">
        <x:v>0</x:v>
      </x:c>
      <x:c r="S479" s="28" t="str">
        <x:v>90f27af96105f1c7</x:v>
      </x:c>
    </x:row>
    <x:row r="480" ht="21" customHeight="1">
      <x:c r="A480" s="60" t="n">
        <x:v>0.61</x:v>
      </x:c>
      <x:c r="B480" s="28" t="str">
        <x:v>level_low</x:v>
      </x:c>
      <x:c r="C480" s="60" t="n">
        <x:v>0.5</x:v>
      </x:c>
      <x:c r="D480" s="60" t="n">
        <x:v>0.5</x:v>
      </x:c>
      <x:c r="E480" s="62" t="b">
        <x:v>1</x:v>
      </x:c>
      <x:c r="F480" s="62" t="b">
        <x:v>1</x:v>
      </x:c>
      <x:c r="G480" s="85" t="n">
        <x:v>0</x:v>
      </x:c>
      <x:c r="H480" s="85" t="n">
        <x:v>0</x:v>
      </x:c>
      <x:c r="I480" s="85" t="n">
        <x:v>6954743.332819203</x:v>
      </x:c>
      <x:c r="J480" s="85" t="n">
        <x:v>11308407.432816405</x:v>
      </x:c>
      <x:c r="K480" s="85" t="n">
        <x:v>0</x:v>
      </x:c>
      <x:c r="L480" s="28" t="n">
        <x:v>3</x:v>
      </x:c>
      <x:c r="M480" s="28" t="n">
        <x:v>0</x:v>
      </x:c>
      <x:c r="N480" s="28" t="n">
        <x:v>2.3283064365386963e-10</x:v>
      </x:c>
      <x:c r="O480" s="28" t="n">
        <x:v>3.725290298461914e-9</x:v>
      </x:c>
      <x:c r="P480" s="28" t="n">
        <x:v>0</x:v>
      </x:c>
      <x:c r="Q480" s="62" t="b">
        <x:v>1</x:v>
      </x:c>
      <x:c r="R480" s="28" t="n">
        <x:v>0</x:v>
      </x:c>
      <x:c r="S480" s="28" t="str">
        <x:v>4cc68833e2188d10</x:v>
      </x:c>
    </x:row>
    <x:row r="481" ht="21" customHeight="1">
      <x:c r="A481" s="60" t="n">
        <x:v>0.61</x:v>
      </x:c>
      <x:c r="B481" s="28" t="str">
        <x:v>level_low</x:v>
      </x:c>
      <x:c r="C481" s="60" t="n">
        <x:v>0.55</x:v>
      </x:c>
      <x:c r="D481" s="60" t="n">
        <x:v>0.55</x:v>
      </x:c>
      <x:c r="E481" s="62" t="b">
        <x:v>1</x:v>
      </x:c>
      <x:c r="F481" s="62" t="b">
        <x:v>1</x:v>
      </x:c>
      <x:c r="G481" s="85" t="n">
        <x:v>0</x:v>
      </x:c>
      <x:c r="H481" s="85" t="n">
        <x:v>0</x:v>
      </x:c>
      <x:c r="I481" s="85" t="n">
        <x:v>7929176.754037871</x:v>
      </x:c>
      <x:c r="J481" s="85" t="n">
        <x:v>12720377.46001523</x:v>
      </x:c>
      <x:c r="K481" s="85" t="n">
        <x:v>0</x:v>
      </x:c>
      <x:c r="L481" s="28" t="n">
        <x:v>8</x:v>
      </x:c>
      <x:c r="M481" s="28" t="n">
        <x:v>0</x:v>
      </x:c>
      <x:c r="N481" s="28" t="n">
        <x:v>4.656612873077393e-10</x:v>
      </x:c>
      <x:c r="O481" s="28" t="n">
        <x:v>3.725290298461914e-9</x:v>
      </x:c>
      <x:c r="P481" s="28" t="n">
        <x:v>0</x:v>
      </x:c>
      <x:c r="Q481" s="62" t="b">
        <x:v>1</x:v>
      </x:c>
      <x:c r="R481" s="28" t="n">
        <x:v>0</x:v>
      </x:c>
      <x:c r="S481" s="28" t="str">
        <x:v>8ea6a20e9c628d5c</x:v>
      </x:c>
    </x:row>
    <x:row r="482" ht="21" customHeight="1">
      <x:c r="A482" s="60" t="n">
        <x:v>0.61</x:v>
      </x:c>
      <x:c r="B482" s="28" t="str">
        <x:v>level_low</x:v>
      </x:c>
      <x:c r="C482" s="60" t="n">
        <x:v>0.6</x:v>
      </x:c>
      <x:c r="D482" s="60" t="n">
        <x:v>0.6</x:v>
      </x:c>
      <x:c r="E482" s="62" t="b">
        <x:v>1</x:v>
      </x:c>
      <x:c r="F482" s="62" t="b">
        <x:v>1</x:v>
      </x:c>
      <x:c r="G482" s="85" t="n">
        <x:v>0</x:v>
      </x:c>
      <x:c r="H482" s="85" t="n">
        <x:v>0</x:v>
      </x:c>
      <x:c r="I482" s="85" t="n">
        <x:v>8870648.027985435</x:v>
      </x:c>
      <x:c r="J482" s="85" t="n">
        <x:v>14160588.218778776</x:v>
      </x:c>
      <x:c r="K482" s="85" t="n">
        <x:v>0</x:v>
      </x:c>
      <x:c r="L482" s="28" t="n">
        <x:v>12</x:v>
      </x:c>
      <x:c r="M482" s="28" t="n">
        <x:v>0</x:v>
      </x:c>
      <x:c r="N482" s="28" t="n">
        <x:v>4.656612873077393e-10</x:v>
      </x:c>
      <x:c r="O482" s="28" t="n">
        <x:v>7.450580596923828e-9</x:v>
      </x:c>
      <x:c r="P482" s="28" t="n">
        <x:v>0</x:v>
      </x:c>
      <x:c r="Q482" s="62" t="b">
        <x:v>1</x:v>
      </x:c>
      <x:c r="R482" s="28" t="n">
        <x:v>0</x:v>
      </x:c>
      <x:c r="S482" s="28" t="str">
        <x:v>dd287b095542dc7f</x:v>
      </x:c>
    </x:row>
    <x:row r="483" ht="21" customHeight="1">
      <x:c r="A483" s="60" t="n">
        <x:v>0.61</x:v>
      </x:c>
      <x:c r="B483" s="28" t="str">
        <x:v>level_low</x:v>
      </x:c>
      <x:c r="C483" s="60" t="n">
        <x:v>0.65</x:v>
      </x:c>
      <x:c r="D483" s="60" t="n">
        <x:v>0.65</x:v>
      </x:c>
      <x:c r="E483" s="62" t="b">
        <x:v>1</x:v>
      </x:c>
      <x:c r="F483" s="62" t="b">
        <x:v>1</x:v>
      </x:c>
      <x:c r="G483" s="85" t="n">
        <x:v>0</x:v>
      </x:c>
      <x:c r="H483" s="85" t="n">
        <x:v>0</x:v>
      </x:c>
      <x:c r="I483" s="85" t="n">
        <x:v>9648907.578566499</x:v>
      </x:c>
      <x:c r="J483" s="85" t="n">
        <x:v>15848700.22037424</x:v>
      </x:c>
      <x:c r="K483" s="85" t="n">
        <x:v>0</x:v>
      </x:c>
      <x:c r="L483" s="28" t="n">
        <x:v>18</x:v>
      </x:c>
      <x:c r="M483" s="28" t="n">
        <x:v>2</x:v>
      </x:c>
      <x:c r="N483" s="28" t="n">
        <x:v>4.656612873077393e-10</x:v>
      </x:c>
      <x:c r="O483" s="28" t="n">
        <x:v>3.725290298461914e-9</x:v>
      </x:c>
      <x:c r="P483" s="28" t="n">
        <x:v>0</x:v>
      </x:c>
      <x:c r="Q483" s="62" t="b">
        <x:v>1</x:v>
      </x:c>
      <x:c r="R483" s="28" t="n">
        <x:v>0</x:v>
      </x:c>
      <x:c r="S483" s="28" t="str">
        <x:v>a0983d66aeef1280</x:v>
      </x:c>
    </x:row>
    <x:row r="484" ht="21" customHeight="1">
      <x:c r="A484" s="60" t="n">
        <x:v>0.61</x:v>
      </x:c>
      <x:c r="B484" s="28" t="str">
        <x:v>level_low</x:v>
      </x:c>
      <x:c r="C484" s="60" t="n">
        <x:v>0.7</x:v>
      </x:c>
      <x:c r="D484" s="60" t="n">
        <x:v>0.7</x:v>
      </x:c>
      <x:c r="E484" s="62" t="b">
        <x:v>1</x:v>
      </x:c>
      <x:c r="F484" s="62" t="b">
        <x:v>0</x:v>
      </x:c>
      <x:c r="G484" s="85" t="n">
        <x:v>121348.47482861427</x:v>
      </x:c>
      <x:c r="H484" s="85" t="n">
        <x:v>1512187.8497373473</x:v>
      </x:c>
      <x:c r="I484" s="85" t="n">
        <x:v>9921475.970596304</x:v>
      </x:c>
      <x:c r="J484" s="85" t="n">
        <x:v>16165760.000000002</x:v>
      </x:c>
      <x:c r="K484" s="85" t="n">
        <x:v>0</x:v>
      </x:c>
      <x:c r="L484" s="28" t="n">
        <x:v>39</x:v>
      </x:c>
      <x:c r="M484" s="28" t="n">
        <x:v>30</x:v>
      </x:c>
      <x:c r="N484" s="28" t="n">
        <x:v>4.656612873077393e-10</x:v>
      </x:c>
      <x:c r="O484" s="28" t="n">
        <x:v>3.725290298461914e-9</x:v>
      </x:c>
      <x:c r="P484" s="28" t="n">
        <x:v>0</x:v>
      </x:c>
      <x:c r="Q484" s="62" t="b">
        <x:v>1</x:v>
      </x:c>
      <x:c r="R484" s="28" t="n">
        <x:v>0</x:v>
      </x:c>
      <x:c r="S484" s="28" t="str">
        <x:v>8cfc95bfa0b97c5d</x:v>
      </x:c>
    </x:row>
    <x:row r="485" ht="21" customHeight="1">
      <x:c r="A485" s="60" t="n">
        <x:v>0.61</x:v>
      </x:c>
      <x:c r="B485" s="28" t="str">
        <x:v>level_low</x:v>
      </x:c>
      <x:c r="C485" s="60" t="n">
        <x:v>0.75</x:v>
      </x:c>
      <x:c r="D485" s="60" t="n">
        <x:v>0.75</x:v>
      </x:c>
      <x:c r="E485" s="62" t="b">
        <x:v>1</x:v>
      </x:c>
      <x:c r="F485" s="62" t="b">
        <x:v>0</x:v>
      </x:c>
      <x:c r="G485" s="85" t="n">
        <x:v>271570.58685344923</x:v>
      </x:c>
      <x:c r="H485" s="85" t="n">
        <x:v>3380103.072327116</x:v>
      </x:c>
      <x:c r="I485" s="85" t="n">
        <x:v>10090729.539930481</x:v>
      </x:c>
      <x:c r="J485" s="85" t="n">
        <x:v>16165760.000000002</x:v>
      </x:c>
      <x:c r="K485" s="85" t="n">
        <x:v>0</x:v>
      </x:c>
      <x:c r="L485" s="28" t="n">
        <x:v>40</x:v>
      </x:c>
      <x:c r="M485" s="28" t="n">
        <x:v>31</x:v>
      </x:c>
      <x:c r="N485" s="28" t="n">
        <x:v>4.656612873077393e-10</x:v>
      </x:c>
      <x:c r="O485" s="28" t="n">
        <x:v>3.725290298461914e-9</x:v>
      </x:c>
      <x:c r="P485" s="28" t="n">
        <x:v>0</x:v>
      </x:c>
      <x:c r="Q485" s="62" t="b">
        <x:v>1</x:v>
      </x:c>
      <x:c r="R485" s="28" t="n">
        <x:v>0</x:v>
      </x:c>
      <x:c r="S485" s="28" t="str">
        <x:v>11f1b009e147df47</x:v>
      </x:c>
    </x:row>
    <x:row r="486" ht="21" customHeight="1">
      <x:c r="A486" s="60" t="n">
        <x:v>0.61</x:v>
      </x:c>
      <x:c r="B486" s="28" t="str">
        <x:v>level_low</x:v>
      </x:c>
      <x:c r="C486" s="60" t="n">
        <x:v>0.8</x:v>
      </x:c>
      <x:c r="D486" s="60" t="n">
        <x:v>0.8</x:v>
      </x:c>
      <x:c r="E486" s="62" t="b">
        <x:v>1</x:v>
      </x:c>
      <x:c r="F486" s="62" t="b">
        <x:v>0</x:v>
      </x:c>
      <x:c r="G486" s="85" t="n">
        <x:v>443429.89290679747</x:v>
      </x:c>
      <x:c r="H486" s="85" t="n">
        <x:v>5200229.519745998</x:v>
      </x:c>
      <x:c r="I486" s="85" t="n">
        <x:v>10274153.782767124</x:v>
      </x:c>
      <x:c r="J486" s="85" t="n">
        <x:v>16165760.000000002</x:v>
      </x:c>
      <x:c r="K486" s="85" t="n">
        <x:v>0</x:v>
      </x:c>
      <x:c r="L486" s="28" t="n">
        <x:v>41</x:v>
      </x:c>
      <x:c r="M486" s="28" t="n">
        <x:v>32</x:v>
      </x:c>
      <x:c r="N486" s="28" t="n">
        <x:v>2.3283064365386963e-10</x:v>
      </x:c>
      <x:c r="O486" s="28" t="n">
        <x:v>3.725290298461914e-9</x:v>
      </x:c>
      <x:c r="P486" s="28" t="n">
        <x:v>0</x:v>
      </x:c>
      <x:c r="Q486" s="62" t="b">
        <x:v>1</x:v>
      </x:c>
      <x:c r="R486" s="28" t="n">
        <x:v>0</x:v>
      </x:c>
      <x:c r="S486" s="28" t="str">
        <x:v>7cdeca506c6027f4</x:v>
      </x:c>
    </x:row>
    <x:row r="487" ht="21" customHeight="1">
      <x:c r="A487" s="60" t="n">
        <x:v>0.61</x:v>
      </x:c>
      <x:c r="B487" s="28" t="str">
        <x:v>level_low</x:v>
      </x:c>
      <x:c r="C487" s="60" t="n">
        <x:v>0.85</x:v>
      </x:c>
      <x:c r="D487" s="60" t="n">
        <x:v>0.85</x:v>
      </x:c>
      <x:c r="E487" s="62" t="b">
        <x:v>1</x:v>
      </x:c>
      <x:c r="F487" s="62" t="b">
        <x:v>0</x:v>
      </x:c>
      <x:c r="G487" s="85" t="n">
        <x:v>610540.1010418389</x:v>
      </x:c>
      <x:c r="H487" s="85" t="n">
        <x:v>6982542.83844627</x:v>
      </x:c>
      <x:c r="I487" s="85" t="n">
        <x:v>10445433.598238563</x:v>
      </x:c>
      <x:c r="J487" s="85" t="n">
        <x:v>16165760.000000002</x:v>
      </x:c>
      <x:c r="K487" s="85" t="n">
        <x:v>0</x:v>
      </x:c>
      <x:c r="L487" s="28" t="n">
        <x:v>42</x:v>
      </x:c>
      <x:c r="M487" s="28" t="n">
        <x:v>33</x:v>
      </x:c>
      <x:c r="N487" s="28" t="n">
        <x:v>4.656612873077393e-10</x:v>
      </x:c>
      <x:c r="O487" s="28" t="n">
        <x:v>3.725290298461914e-9</x:v>
      </x:c>
      <x:c r="P487" s="28" t="n">
        <x:v>0</x:v>
      </x:c>
      <x:c r="Q487" s="62" t="b">
        <x:v>1</x:v>
      </x:c>
      <x:c r="R487" s="28" t="n">
        <x:v>0</x:v>
      </x:c>
      <x:c r="S487" s="28" t="str">
        <x:v>b5c408c7a0fdd14b</x:v>
      </x:c>
    </x:row>
    <x:row r="488" ht="21" customHeight="1">
      <x:c r="A488" s="60" t="n">
        <x:v>0.61</x:v>
      </x:c>
      <x:c r="B488" s="28" t="str">
        <x:v>level_low</x:v>
      </x:c>
      <x:c r="C488" s="60" t="n">
        <x:v>0.9</x:v>
      </x:c>
      <x:c r="D488" s="60" t="n">
        <x:v>0.8949513562027351</x:v>
      </x:c>
      <x:c r="E488" s="62" t="b">
        <x:v>0</x:v>
      </x:c>
      <x:c r="F488" s="62" t="b">
        <x:v>0</x:v>
      </x:c>
      <x:c r="G488" s="85" t="n">
        <x:v>968091.881572408</x:v>
      </x:c>
      <x:c r="H488" s="85" t="n">
        <x:v>8488158.177566811</x:v>
      </x:c>
      <x:c r="I488" s="85" t="n">
        <x:v>10468396.002176851</x:v>
      </x:c>
      <x:c r="J488" s="85" t="n">
        <x:v>16165760.000000002</x:v>
      </x:c>
      <x:c r="K488" s="85" t="n">
        <x:v>0</x:v>
      </x:c>
      <x:c r="L488" s="28" t="n">
        <x:v>42</x:v>
      </x:c>
      <x:c r="M488" s="28" t="n">
        <x:v>34</x:v>
      </x:c>
      <x:c r="N488" s="28" t="n">
        <x:v>4.656612873077393e-10</x:v>
      </x:c>
      <x:c r="O488" s="28" t="n">
        <x:v>3.725290298461914e-9</x:v>
      </x:c>
      <x:c r="P488" s="28" t="n">
        <x:v>0</x:v>
      </x:c>
      <x:c r="Q488" s="62" t="b">
        <x:v>1</x:v>
      </x:c>
      <x:c r="R488" s="28" t="n">
        <x:v>281431.5998347327</x:v>
      </x:c>
      <x:c r="S488" s="28" t="str">
        <x:v>e0003f71a17cffa1</x:v>
      </x:c>
    </x:row>
    <x:row r="489" ht="21" customHeight="1">
      <x:c r="A489" s="60" t="n">
        <x:v>0.61</x:v>
      </x:c>
      <x:c r="B489" s="28" t="str">
        <x:v>level_low</x:v>
      </x:c>
      <x:c r="C489" s="60" t="n">
        <x:v>0.95</x:v>
      </x:c>
      <x:c r="D489" s="60" t="n">
        <x:v>0.9109811515371262</x:v>
      </x:c>
      <x:c r="E489" s="62" t="b">
        <x:v>0</x:v>
      </x:c>
      <x:c r="F489" s="62" t="b">
        <x:v>0</x:v>
      </x:c>
      <x:c r="G489" s="85" t="n">
        <x:v>1032347.1430311655</x:v>
      </x:c>
      <x:c r="H489" s="85" t="n">
        <x:v>9051543.568338789</x:v>
      </x:c>
      <x:c r="I489" s="85" t="n">
        <x:v>10642502.339958906</x:v>
      </x:c>
      <x:c r="J489" s="85" t="n">
        <x:v>16165760.000000002</x:v>
      </x:c>
      <x:c r="K489" s="85" t="n">
        <x:v>0</x:v>
      </x:c>
      <x:c r="L489" s="28" t="n">
        <x:v>43</x:v>
      </x:c>
      <x:c r="M489" s="28" t="n">
        <x:v>35</x:v>
      </x:c>
      <x:c r="N489" s="28" t="n">
        <x:v>2.3283064365386963e-10</x:v>
      </x:c>
      <x:c r="O489" s="28" t="n">
        <x:v>3.725290298461914e-9</x:v>
      </x:c>
      <x:c r="P489" s="28" t="n">
        <x:v>0</x:v>
      </x:c>
      <x:c r="Q489" s="62" t="b">
        <x:v>1</x:v>
      </x:c>
      <x:c r="R489" s="28" t="n">
        <x:v>2175066.688714437</x:v>
      </x:c>
      <x:c r="S489" s="28" t="str">
        <x:v>9f2b51e973329026</x:v>
      </x:c>
    </x:row>
    <x:row r="490" ht="21" customHeight="1">
      <x:c r="A490" s="60" t="n">
        <x:v>0.61</x:v>
      </x:c>
      <x:c r="B490" s="28" t="str">
        <x:v>level_low</x:v>
      </x:c>
      <x:c r="C490" s="60" t="n">
        <x:v>1</x:v>
      </x:c>
      <x:c r="D490" s="60" t="n">
        <x:v>0.9258453085724337</x:v>
      </x:c>
      <x:c r="E490" s="62" t="b">
        <x:v>0</x:v>
      </x:c>
      <x:c r="F490" s="62" t="b">
        <x:v>0</x:v>
      </x:c>
      <x:c r="G490" s="85" t="n">
        <x:v>1150481.4287449117</x:v>
      </x:c>
      <x:c r="H490" s="85" t="n">
        <x:v>9680838.26663653</x:v>
      </x:c>
      <x:c r="I490" s="85" t="n">
        <x:v>10659102.008383565</x:v>
      </x:c>
      <x:c r="J490" s="85" t="n">
        <x:v>16165760.000000002</x:v>
      </x:c>
      <x:c r="K490" s="85" t="n">
        <x:v>0</x:v>
      </x:c>
      <x:c r="L490" s="28" t="n">
        <x:v>43</x:v>
      </x:c>
      <x:c r="M490" s="28" t="n">
        <x:v>36</x:v>
      </x:c>
      <x:c r="N490" s="28" t="n">
        <x:v>2.3283064365386963e-10</x:v>
      </x:c>
      <x:c r="O490" s="28" t="n">
        <x:v>1.862645149230957e-9</x:v>
      </x:c>
      <x:c r="P490" s="28" t="n">
        <x:v>0</x:v>
      </x:c>
      <x:c r="Q490" s="62" t="b">
        <x:v>1</x:v>
      </x:c>
      <x:c r="R490" s="28" t="n">
        <x:v>4133679.1189382523</x:v>
      </x:c>
      <x:c r="S490" s="28" t="str">
        <x:v>cfe23e7806cc7a37</x:v>
      </x:c>
    </x:row>
    <x:row r="491" ht="21" customHeight="1">
      <x:c r="A491" s="60" t="n">
        <x:v>0.61</x:v>
      </x:c>
      <x:c r="B491" s="28" t="str">
        <x:v>level_high</x:v>
      </x:c>
      <x:c r="C491" s="60" t="n">
        <x:v>0</x:v>
      </x:c>
      <x:c r="D491" s="60" t="n">
        <x:v>0</x:v>
      </x:c>
      <x:c r="E491" s="62" t="b">
        <x:v>1</x:v>
      </x:c>
      <x:c r="F491" s="62" t="b">
        <x:v>1</x:v>
      </x:c>
      <x:c r="G491" s="85" t="n">
        <x:v>0</x:v>
      </x:c>
      <x:c r="H491" s="85" t="n">
        <x:v>0</x:v>
      </x:c>
      <x:c r="I491" s="85" t="n">
        <x:v>0</x:v>
      </x:c>
      <x:c r="J491" s="85" t="n">
        <x:v>0</x:v>
      </x:c>
      <x:c r="K491" s="85" t="n">
        <x:v>6575206.675287668</x:v>
      </x:c>
      <x:c r="L491" s="28" t="n">
        <x:v>0</x:v>
      </x:c>
      <x:c r="M491" s="28" t="n">
        <x:v>0</x:v>
      </x:c>
      <x:c r="N491" s="28" t="n">
        <x:v>9.313225746154785e-10</x:v>
      </x:c>
      <x:c r="O491" s="28" t="n">
        <x:v>0</x:v>
      </x:c>
      <x:c r="P491" s="28" t="n">
        <x:v>0</x:v>
      </x:c>
      <x:c r="Q491" s="62" t="b">
        <x:v>1</x:v>
      </x:c>
      <x:c r="R491" s="28" t="n">
        <x:v>0</x:v>
      </x:c>
      <x:c r="S491" s="28" t="str">
        <x:v>34b774acbe925a1e</x:v>
      </x:c>
    </x:row>
    <x:row r="492" ht="21" customHeight="1">
      <x:c r="A492" s="60" t="n">
        <x:v>0.61</x:v>
      </x:c>
      <x:c r="B492" s="28" t="str">
        <x:v>level_high</x:v>
      </x:c>
      <x:c r="C492" s="60" t="n">
        <x:v>0.05</x:v>
      </x:c>
      <x:c r="D492" s="60" t="n">
        <x:v>0.05</x:v>
      </x:c>
      <x:c r="E492" s="62" t="b">
        <x:v>1</x:v>
      </x:c>
      <x:c r="F492" s="62" t="b">
        <x:v>1</x:v>
      </x:c>
      <x:c r="G492" s="85" t="n">
        <x:v>0</x:v>
      </x:c>
      <x:c r="H492" s="85" t="n">
        <x:v>0</x:v>
      </x:c>
      <x:c r="I492" s="85" t="n">
        <x:v>0</x:v>
      </x:c>
      <x:c r="J492" s="85" t="n">
        <x:v>0</x:v>
      </x:c>
      <x:c r="K492" s="85" t="n">
        <x:v>4077157.320955826</x:v>
      </x:c>
      <x:c r="L492" s="28" t="n">
        <x:v>0</x:v>
      </x:c>
      <x:c r="M492" s="28" t="n">
        <x:v>0</x:v>
      </x:c>
      <x:c r="N492" s="28" t="n">
        <x:v>9.313225746154785e-10</x:v>
      </x:c>
      <x:c r="O492" s="28" t="n">
        <x:v>7.450580596923828e-9</x:v>
      </x:c>
      <x:c r="P492" s="28" t="n">
        <x:v>0</x:v>
      </x:c>
      <x:c r="Q492" s="62" t="b">
        <x:v>1</x:v>
      </x:c>
      <x:c r="R492" s="28" t="n">
        <x:v>0</x:v>
      </x:c>
      <x:c r="S492" s="28" t="str">
        <x:v>132e442699cc7955</x:v>
      </x:c>
    </x:row>
    <x:row r="493" ht="21" customHeight="1">
      <x:c r="A493" s="60" t="n">
        <x:v>0.61</x:v>
      </x:c>
      <x:c r="B493" s="28" t="str">
        <x:v>level_high</x:v>
      </x:c>
      <x:c r="C493" s="60" t="n">
        <x:v>0.1</x:v>
      </x:c>
      <x:c r="D493" s="60" t="n">
        <x:v>0.1</x:v>
      </x:c>
      <x:c r="E493" s="62" t="b">
        <x:v>1</x:v>
      </x:c>
      <x:c r="F493" s="62" t="b">
        <x:v>1</x:v>
      </x:c>
      <x:c r="G493" s="85" t="n">
        <x:v>0</x:v>
      </x:c>
      <x:c r="H493" s="85" t="n">
        <x:v>0</x:v>
      </x:c>
      <x:c r="I493" s="85" t="n">
        <x:v>0</x:v>
      </x:c>
      <x:c r="J493" s="85" t="n">
        <x:v>0</x:v>
      </x:c>
      <x:c r="K493" s="85" t="n">
        <x:v>1578953.0696299393</x:v>
      </x:c>
      <x:c r="L493" s="28" t="n">
        <x:v>0</x:v>
      </x:c>
      <x:c r="M493" s="28" t="n">
        <x:v>0</x:v>
      </x:c>
      <x:c r="N493" s="28" t="n">
        <x:v>4.656612873077393e-10</x:v>
      </x:c>
      <x:c r="O493" s="28" t="n">
        <x:v>7.450580596923828e-9</x:v>
      </x:c>
      <x:c r="P493" s="28" t="n">
        <x:v>0</x:v>
      </x:c>
      <x:c r="Q493" s="62" t="b">
        <x:v>1</x:v>
      </x:c>
      <x:c r="R493" s="28" t="n">
        <x:v>0</x:v>
      </x:c>
      <x:c r="S493" s="28" t="str">
        <x:v>85c3521fb97776a5</x:v>
      </x:c>
    </x:row>
    <x:row r="494" ht="21" customHeight="1">
      <x:c r="A494" s="60" t="n">
        <x:v>0.61</x:v>
      </x:c>
      <x:c r="B494" s="28" t="str">
        <x:v>level_high</x:v>
      </x:c>
      <x:c r="C494" s="60" t="n">
        <x:v>0.15</x:v>
      </x:c>
      <x:c r="D494" s="60" t="n">
        <x:v>0.15</x:v>
      </x:c>
      <x:c r="E494" s="62" t="b">
        <x:v>1</x:v>
      </x:c>
      <x:c r="F494" s="62" t="b">
        <x:v>1</x:v>
      </x:c>
      <x:c r="G494" s="85" t="n">
        <x:v>0</x:v>
      </x:c>
      <x:c r="H494" s="85" t="n">
        <x:v>0</x:v>
      </x:c>
      <x:c r="I494" s="85" t="n">
        <x:v>1061931.9629339017</x:v>
      </x:c>
      <x:c r="J494" s="85" t="n">
        <x:v>0</x:v>
      </x:c>
      <x:c r="K494" s="85" t="n">
        <x:v>260702.64722040974</x:v>
      </x:c>
      <x:c r="L494" s="28" t="n">
        <x:v>0</x:v>
      </x:c>
      <x:c r="M494" s="28" t="n">
        <x:v>0</x:v>
      </x:c>
      <x:c r="N494" s="28" t="n">
        <x:v>9.313225746154785e-10</x:v>
      </x:c>
      <x:c r="O494" s="28" t="n">
        <x:v>7.450580596923828e-9</x:v>
      </x:c>
      <x:c r="P494" s="28" t="n">
        <x:v>0</x:v>
      </x:c>
      <x:c r="Q494" s="62" t="b">
        <x:v>1</x:v>
      </x:c>
      <x:c r="R494" s="28" t="n">
        <x:v>0</x:v>
      </x:c>
      <x:c r="S494" s="28" t="str">
        <x:v>1219d9be8ebaf450</x:v>
      </x:c>
    </x:row>
    <x:row r="495" ht="21" customHeight="1">
      <x:c r="A495" s="60" t="n">
        <x:v>0.61</x:v>
      </x:c>
      <x:c r="B495" s="28" t="str">
        <x:v>level_high</x:v>
      </x:c>
      <x:c r="C495" s="60" t="n">
        <x:v>0.2</x:v>
      </x:c>
      <x:c r="D495" s="60" t="n">
        <x:v>0.2</x:v>
      </x:c>
      <x:c r="E495" s="62" t="b">
        <x:v>1</x:v>
      </x:c>
      <x:c r="F495" s="62" t="b">
        <x:v>1</x:v>
      </x:c>
      <x:c r="G495" s="85" t="n">
        <x:v>0</x:v>
      </x:c>
      <x:c r="H495" s="85" t="n">
        <x:v>0</x:v>
      </x:c>
      <x:c r="I495" s="85" t="n">
        <x:v>3002471.4792102454</x:v>
      </x:c>
      <x:c r="J495" s="85" t="n">
        <x:v>1248509.6821693014</x:v>
      </x:c>
      <x:c r="K495" s="85" t="n">
        <x:v>175931.76346465712</x:v>
      </x:c>
      <x:c r="L495" s="28" t="n">
        <x:v>0</x:v>
      </x:c>
      <x:c r="M495" s="28" t="n">
        <x:v>0</x:v>
      </x:c>
      <x:c r="N495" s="28" t="n">
        <x:v>9.313225746154785e-10</x:v>
      </x:c>
      <x:c r="O495" s="28" t="n">
        <x:v>7.450580596923828e-9</x:v>
      </x:c>
      <x:c r="P495" s="28" t="n">
        <x:v>0</x:v>
      </x:c>
      <x:c r="Q495" s="62" t="b">
        <x:v>1</x:v>
      </x:c>
      <x:c r="R495" s="28" t="n">
        <x:v>0</x:v>
      </x:c>
      <x:c r="S495" s="28" t="str">
        <x:v>58690435d2c89442</x:v>
      </x:c>
    </x:row>
    <x:row r="496" ht="21" customHeight="1">
      <x:c r="A496" s="60" t="n">
        <x:v>0.61</x:v>
      </x:c>
      <x:c r="B496" s="28" t="str">
        <x:v>level_high</x:v>
      </x:c>
      <x:c r="C496" s="60" t="n">
        <x:v>0.25</x:v>
      </x:c>
      <x:c r="D496" s="60" t="n">
        <x:v>0.25</x:v>
      </x:c>
      <x:c r="E496" s="62" t="b">
        <x:v>1</x:v>
      </x:c>
      <x:c r="F496" s="62" t="b">
        <x:v>1</x:v>
      </x:c>
      <x:c r="G496" s="85" t="n">
        <x:v>0</x:v>
      </x:c>
      <x:c r="H496" s="85" t="n">
        <x:v>0</x:v>
      </x:c>
      <x:c r="I496" s="85" t="n">
        <x:v>4684318.085445548</x:v>
      </x:c>
      <x:c r="J496" s="85" t="n">
        <x:v>2954237.1027116347</x:v>
      </x:c>
      <x:c r="K496" s="85" t="n">
        <x:v>131121.57527397212</x:v>
      </x:c>
      <x:c r="L496" s="28" t="n">
        <x:v>0</x:v>
      </x:c>
      <x:c r="M496" s="28" t="n">
        <x:v>0</x:v>
      </x:c>
      <x:c r="N496" s="28" t="n">
        <x:v>4.656612873077393e-10</x:v>
      </x:c>
      <x:c r="O496" s="28" t="n">
        <x:v>7.450580596923828e-9</x:v>
      </x:c>
      <x:c r="P496" s="28" t="n">
        <x:v>0</x:v>
      </x:c>
      <x:c r="Q496" s="62" t="b">
        <x:v>1</x:v>
      </x:c>
      <x:c r="R496" s="28" t="n">
        <x:v>0</x:v>
      </x:c>
      <x:c r="S496" s="28" t="str">
        <x:v>c5c056adcd08b84d</x:v>
      </x:c>
    </x:row>
    <x:row r="497" ht="21" customHeight="1">
      <x:c r="A497" s="60" t="n">
        <x:v>0.61</x:v>
      </x:c>
      <x:c r="B497" s="28" t="str">
        <x:v>level_high</x:v>
      </x:c>
      <x:c r="C497" s="60" t="n">
        <x:v>0.3</x:v>
      </x:c>
      <x:c r="D497" s="60" t="n">
        <x:v>0.3</x:v>
      </x:c>
      <x:c r="E497" s="62" t="b">
        <x:v>1</x:v>
      </x:c>
      <x:c r="F497" s="62" t="b">
        <x:v>1</x:v>
      </x:c>
      <x:c r="G497" s="85" t="n">
        <x:v>0</x:v>
      </x:c>
      <x:c r="H497" s="85" t="n">
        <x:v>0</x:v>
      </x:c>
      <x:c r="I497" s="85" t="n">
        <x:v>6396759.007556837</x:v>
      </x:c>
      <x:c r="J497" s="85" t="n">
        <x:v>4659964.523253947</x:v>
      </x:c>
      <x:c r="K497" s="85" t="n">
        <x:v>101176.20232876751</x:v>
      </x:c>
      <x:c r="L497" s="28" t="n">
        <x:v>0</x:v>
      </x:c>
      <x:c r="M497" s="28" t="n">
        <x:v>0</x:v>
      </x:c>
      <x:c r="N497" s="28" t="n">
        <x:v>9.313225746154785e-10</x:v>
      </x:c>
      <x:c r="O497" s="28" t="n">
        <x:v>7.450580596923828e-9</x:v>
      </x:c>
      <x:c r="P497" s="28" t="n">
        <x:v>0</x:v>
      </x:c>
      <x:c r="Q497" s="62" t="b">
        <x:v>1</x:v>
      </x:c>
      <x:c r="R497" s="28" t="n">
        <x:v>0</x:v>
      </x:c>
      <x:c r="S497" s="28" t="str">
        <x:v>a0a2ace77f861145</x:v>
      </x:c>
    </x:row>
    <x:row r="498" ht="21" customHeight="1">
      <x:c r="A498" s="60" t="n">
        <x:v>0.61</x:v>
      </x:c>
      <x:c r="B498" s="28" t="str">
        <x:v>level_high</x:v>
      </x:c>
      <x:c r="C498" s="60" t="n">
        <x:v>0.35</x:v>
      </x:c>
      <x:c r="D498" s="60" t="n">
        <x:v>0.35</x:v>
      </x:c>
      <x:c r="E498" s="62" t="b">
        <x:v>1</x:v>
      </x:c>
      <x:c r="F498" s="62" t="b">
        <x:v>1</x:v>
      </x:c>
      <x:c r="G498" s="85" t="n">
        <x:v>0</x:v>
      </x:c>
      <x:c r="H498" s="85" t="n">
        <x:v>0</x:v>
      </x:c>
      <x:c r="I498" s="85" t="n">
        <x:v>8132119.275245531</x:v>
      </x:c>
      <x:c r="J498" s="85" t="n">
        <x:v>6365691.9437962705</x:v>
      </x:c>
      <x:c r="K498" s="85" t="n">
        <x:v>77104.80505479478</x:v>
      </x:c>
      <x:c r="L498" s="28" t="n">
        <x:v>0</x:v>
      </x:c>
      <x:c r="M498" s="28" t="n">
        <x:v>0</x:v>
      </x:c>
      <x:c r="N498" s="28" t="n">
        <x:v>4.656612873077393e-10</x:v>
      </x:c>
      <x:c r="O498" s="28" t="n">
        <x:v>7.450580596923828e-9</x:v>
      </x:c>
      <x:c r="P498" s="28" t="n">
        <x:v>0</x:v>
      </x:c>
      <x:c r="Q498" s="62" t="b">
        <x:v>1</x:v>
      </x:c>
      <x:c r="R498" s="28" t="n">
        <x:v>0</x:v>
      </x:c>
      <x:c r="S498" s="28" t="str">
        <x:v>9528ee2e9e246a3c</x:v>
      </x:c>
    </x:row>
    <x:row r="499" ht="21" customHeight="1">
      <x:c r="A499" s="60" t="n">
        <x:v>0.61</x:v>
      </x:c>
      <x:c r="B499" s="28" t="str">
        <x:v>level_high</x:v>
      </x:c>
      <x:c r="C499" s="60" t="n">
        <x:v>0.4</x:v>
      </x:c>
      <x:c r="D499" s="60" t="n">
        <x:v>0.4</x:v>
      </x:c>
      <x:c r="E499" s="62" t="b">
        <x:v>1</x:v>
      </x:c>
      <x:c r="F499" s="62" t="b">
        <x:v>1</x:v>
      </x:c>
      <x:c r="G499" s="85" t="n">
        <x:v>0</x:v>
      </x:c>
      <x:c r="H499" s="85" t="n">
        <x:v>0</x:v>
      </x:c>
      <x:c r="I499" s="85" t="n">
        <x:v>9867479.542934231</x:v>
      </x:c>
      <x:c r="J499" s="85" t="n">
        <x:v>8071419.364338596</x:v>
      </x:c>
      <x:c r="K499" s="85" t="n">
        <x:v>66967.9546301366</x:v>
      </x:c>
      <x:c r="L499" s="28" t="n">
        <x:v>0</x:v>
      </x:c>
      <x:c r="M499" s="28" t="n">
        <x:v>0</x:v>
      </x:c>
      <x:c r="N499" s="28" t="n">
        <x:v>2.3283064365386963e-10</x:v>
      </x:c>
      <x:c r="O499" s="28" t="n">
        <x:v>7.450580596923828e-9</x:v>
      </x:c>
      <x:c r="P499" s="28" t="n">
        <x:v>0</x:v>
      </x:c>
      <x:c r="Q499" s="62" t="b">
        <x:v>1</x:v>
      </x:c>
      <x:c r="R499" s="28" t="n">
        <x:v>0</x:v>
      </x:c>
      <x:c r="S499" s="28" t="str">
        <x:v>400df65aa2f7b391</x:v>
      </x:c>
    </x:row>
    <x:row r="500" ht="21" customHeight="1">
      <x:c r="A500" s="60" t="n">
        <x:v>0.61</x:v>
      </x:c>
      <x:c r="B500" s="28" t="str">
        <x:v>level_high</x:v>
      </x:c>
      <x:c r="C500" s="60" t="n">
        <x:v>0.45</x:v>
      </x:c>
      <x:c r="D500" s="60" t="n">
        <x:v>0.45</x:v>
      </x:c>
      <x:c r="E500" s="62" t="b">
        <x:v>1</x:v>
      </x:c>
      <x:c r="F500" s="62" t="b">
        <x:v>1</x:v>
      </x:c>
      <x:c r="G500" s="85" t="n">
        <x:v>0</x:v>
      </x:c>
      <x:c r="H500" s="85" t="n">
        <x:v>0</x:v>
      </x:c>
      <x:c r="I500" s="85" t="n">
        <x:v>11606046.924085116</x:v>
      </x:c>
      <x:c r="J500" s="85" t="n">
        <x:v>9777146.78488093</x:v>
      </x:c>
      <x:c r="K500" s="85" t="n">
        <x:v>57930.19291780795</x:v>
      </x:c>
      <x:c r="L500" s="28" t="n">
        <x:v>0</x:v>
      </x:c>
      <x:c r="M500" s="28" t="n">
        <x:v>0</x:v>
      </x:c>
      <x:c r="N500" s="28" t="n">
        <x:v>4.656612873077393e-10</x:v>
      </x:c>
      <x:c r="O500" s="28" t="n">
        <x:v>3.725290298461914e-9</x:v>
      </x:c>
      <x:c r="P500" s="28" t="n">
        <x:v>0</x:v>
      </x:c>
      <x:c r="Q500" s="62" t="b">
        <x:v>1</x:v>
      </x:c>
      <x:c r="R500" s="28" t="n">
        <x:v>0</x:v>
      </x:c>
      <x:c r="S500" s="28" t="str">
        <x:v>e9a0386bddda64f2</x:v>
      </x:c>
    </x:row>
    <x:row r="501" ht="21" customHeight="1">
      <x:c r="A501" s="60" t="n">
        <x:v>0.61</x:v>
      </x:c>
      <x:c r="B501" s="28" t="str">
        <x:v>level_high</x:v>
      </x:c>
      <x:c r="C501" s="60" t="n">
        <x:v>0.5</x:v>
      </x:c>
      <x:c r="D501" s="60" t="n">
        <x:v>0.5</x:v>
      </x:c>
      <x:c r="E501" s="62" t="b">
        <x:v>1</x:v>
      </x:c>
      <x:c r="F501" s="62" t="b">
        <x:v>1</x:v>
      </x:c>
      <x:c r="G501" s="85" t="n">
        <x:v>0</x:v>
      </x:c>
      <x:c r="H501" s="85" t="n">
        <x:v>0</x:v>
      </x:c>
      <x:c r="I501" s="85" t="n">
        <x:v>13407942.594780663</x:v>
      </x:c>
      <x:c r="J501" s="85" t="n">
        <x:v>11235678.932327354</x:v>
      </x:c>
      <x:c r="K501" s="85" t="n">
        <x:v>48892.431205478824</x:v>
      </x:c>
      <x:c r="L501" s="28" t="n">
        <x:v>3</x:v>
      </x:c>
      <x:c r="M501" s="28" t="n">
        <x:v>0</x:v>
      </x:c>
      <x:c r="N501" s="28" t="n">
        <x:v>4.656612873077393e-10</x:v>
      </x:c>
      <x:c r="O501" s="28" t="n">
        <x:v>3.725290298461914e-9</x:v>
      </x:c>
      <x:c r="P501" s="28" t="n">
        <x:v>0</x:v>
      </x:c>
      <x:c r="Q501" s="62" t="b">
        <x:v>1</x:v>
      </x:c>
      <x:c r="R501" s="28" t="n">
        <x:v>0</x:v>
      </x:c>
      <x:c r="S501" s="28" t="str">
        <x:v>77f136ba0554f9de</x:v>
      </x:c>
    </x:row>
    <x:row r="502" ht="21" customHeight="1">
      <x:c r="A502" s="60" t="n">
        <x:v>0.61</x:v>
      </x:c>
      <x:c r="B502" s="28" t="str">
        <x:v>level_high</x:v>
      </x:c>
      <x:c r="C502" s="60" t="n">
        <x:v>0.55</x:v>
      </x:c>
      <x:c r="D502" s="60" t="n">
        <x:v>0.55</x:v>
      </x:c>
      <x:c r="E502" s="62" t="b">
        <x:v>1</x:v>
      </x:c>
      <x:c r="F502" s="62" t="b">
        <x:v>1</x:v>
      </x:c>
      <x:c r="G502" s="85" t="n">
        <x:v>0</x:v>
      </x:c>
      <x:c r="H502" s="85" t="n">
        <x:v>0</x:v>
      </x:c>
      <x:c r="I502" s="85" t="n">
        <x:v>15209435.7462878</x:v>
      </x:c>
      <x:c r="J502" s="85" t="n">
        <x:v>12596318.403421711</x:v>
      </x:c>
      <x:c r="K502" s="85" t="n">
        <x:v>39854.6694931504</x:v>
      </x:c>
      <x:c r="L502" s="28" t="n">
        <x:v>7</x:v>
      </x:c>
      <x:c r="M502" s="28" t="n">
        <x:v>2</x:v>
      </x:c>
      <x:c r="N502" s="28" t="n">
        <x:v>2.3283064365386963e-10</x:v>
      </x:c>
      <x:c r="O502" s="28" t="n">
        <x:v>3.725290298461914e-9</x:v>
      </x:c>
      <x:c r="P502" s="28" t="n">
        <x:v>0</x:v>
      </x:c>
      <x:c r="Q502" s="62" t="b">
        <x:v>1</x:v>
      </x:c>
      <x:c r="R502" s="28" t="n">
        <x:v>0</x:v>
      </x:c>
      <x:c r="S502" s="28" t="str">
        <x:v>2b0fd9449939d6d8</x:v>
      </x:c>
    </x:row>
    <x:row r="503" ht="21" customHeight="1">
      <x:c r="A503" s="60" t="n">
        <x:v>0.61</x:v>
      </x:c>
      <x:c r="B503" s="28" t="str">
        <x:v>level_high</x:v>
      </x:c>
      <x:c r="C503" s="60" t="n">
        <x:v>0.6</x:v>
      </x:c>
      <x:c r="D503" s="60" t="n">
        <x:v>0.6</x:v>
      </x:c>
      <x:c r="E503" s="62" t="b">
        <x:v>1</x:v>
      </x:c>
      <x:c r="F503" s="62" t="b">
        <x:v>1</x:v>
      </x:c>
      <x:c r="G503" s="85" t="n">
        <x:v>0</x:v>
      </x:c>
      <x:c r="H503" s="85" t="n">
        <x:v>0</x:v>
      </x:c>
      <x:c r="I503" s="85" t="n">
        <x:v>16978915.516722843</x:v>
      </x:c>
      <x:c r="J503" s="85" t="n">
        <x:v>13918597.28845149</x:v>
      </x:c>
      <x:c r="K503" s="85" t="n">
        <x:v>30816.9077808222</x:v>
      </x:c>
      <x:c r="L503" s="28" t="n">
        <x:v>12</x:v>
      </x:c>
      <x:c r="M503" s="28" t="n">
        <x:v>5</x:v>
      </x:c>
      <x:c r="N503" s="28" t="n">
        <x:v>4.656612873077393e-10</x:v>
      </x:c>
      <x:c r="O503" s="28" t="n">
        <x:v>7.450580596923828e-9</x:v>
      </x:c>
      <x:c r="P503" s="28" t="n">
        <x:v>0</x:v>
      </x:c>
      <x:c r="Q503" s="62" t="b">
        <x:v>1</x:v>
      </x:c>
      <x:c r="R503" s="28" t="n">
        <x:v>0</x:v>
      </x:c>
      <x:c r="S503" s="28" t="str">
        <x:v>70f813ee98f3f385</x:v>
      </x:c>
    </x:row>
    <x:row r="504" ht="21" customHeight="1">
      <x:c r="A504" s="60" t="n">
        <x:v>0.61</x:v>
      </x:c>
      <x:c r="B504" s="28" t="str">
        <x:v>level_high</x:v>
      </x:c>
      <x:c r="C504" s="60" t="n">
        <x:v>0.65</x:v>
      </x:c>
      <x:c r="D504" s="60" t="n">
        <x:v>0.65</x:v>
      </x:c>
      <x:c r="E504" s="62" t="b">
        <x:v>1</x:v>
      </x:c>
      <x:c r="F504" s="62" t="b">
        <x:v>1</x:v>
      </x:c>
      <x:c r="G504" s="85" t="n">
        <x:v>0</x:v>
      </x:c>
      <x:c r="H504" s="85" t="n">
        <x:v>0</x:v>
      </x:c>
      <x:c r="I504" s="85" t="n">
        <x:v>18620140.399896603</x:v>
      </x:c>
      <x:c r="J504" s="85" t="n">
        <x:v>15841198.299549624</x:v>
      </x:c>
      <x:c r="K504" s="85" t="n">
        <x:v>22865.009178082204</x:v>
      </x:c>
      <x:c r="L504" s="28" t="n">
        <x:v>18</x:v>
      </x:c>
      <x:c r="M504" s="28" t="n">
        <x:v>12</x:v>
      </x:c>
      <x:c r="N504" s="28" t="n">
        <x:v>4.656612873077393e-10</x:v>
      </x:c>
      <x:c r="O504" s="28" t="n">
        <x:v>3.725290298461914e-9</x:v>
      </x:c>
      <x:c r="P504" s="28" t="n">
        <x:v>0</x:v>
      </x:c>
      <x:c r="Q504" s="62" t="b">
        <x:v>1</x:v>
      </x:c>
      <x:c r="R504" s="28" t="n">
        <x:v>0</x:v>
      </x:c>
      <x:c r="S504" s="28" t="str">
        <x:v>b45bcec2bf991b24</x:v>
      </x:c>
    </x:row>
    <x:row r="505" ht="21" customHeight="1">
      <x:c r="A505" s="60" t="n">
        <x:v>0.61</x:v>
      </x:c>
      <x:c r="B505" s="28" t="str">
        <x:v>level_high</x:v>
      </x:c>
      <x:c r="C505" s="60" t="n">
        <x:v>0.7</x:v>
      </x:c>
      <x:c r="D505" s="60" t="n">
        <x:v>0.7</x:v>
      </x:c>
      <x:c r="E505" s="62" t="b">
        <x:v>1</x:v>
      </x:c>
      <x:c r="F505" s="62" t="b">
        <x:v>0</x:v>
      </x:c>
      <x:c r="G505" s="85" t="n">
        <x:v>636228.5793465932</x:v>
      </x:c>
      <x:c r="H505" s="85" t="n">
        <x:v>2039482.3168237892</x:v>
      </x:c>
      <x:c r="I505" s="85" t="n">
        <x:v>19139450.659621645</x:v>
      </x:c>
      <x:c r="J505" s="85" t="n">
        <x:v>16165760.000000002</x:v>
      </x:c>
      <x:c r="K505" s="85" t="n">
        <x:v>19840.60849315112</x:v>
      </x:c>
      <x:c r="L505" s="28" t="n">
        <x:v>39</x:v>
      </x:c>
      <x:c r="M505" s="28" t="n">
        <x:v>34</x:v>
      </x:c>
      <x:c r="N505" s="28" t="n">
        <x:v>4.656612873077393e-10</x:v>
      </x:c>
      <x:c r="O505" s="28" t="n">
        <x:v>3.725290298461914e-9</x:v>
      </x:c>
      <x:c r="P505" s="28" t="n">
        <x:v>0</x:v>
      </x:c>
      <x:c r="Q505" s="62" t="b">
        <x:v>1</x:v>
      </x:c>
      <x:c r="R505" s="28" t="n">
        <x:v>0</x:v>
      </x:c>
      <x:c r="S505" s="28" t="str">
        <x:v>0e6eaeb25d2f5d88</x:v>
      </x:c>
    </x:row>
    <x:row r="506" ht="21" customHeight="1">
      <x:c r="A506" s="60" t="n">
        <x:v>0.61</x:v>
      </x:c>
      <x:c r="B506" s="28" t="str">
        <x:v>level_high</x:v>
      </x:c>
      <x:c r="C506" s="60" t="n">
        <x:v>0.75</x:v>
      </x:c>
      <x:c r="D506" s="60" t="n">
        <x:v>0.75</x:v>
      </x:c>
      <x:c r="E506" s="62" t="b">
        <x:v>1</x:v>
      </x:c>
      <x:c r="F506" s="62" t="b">
        <x:v>0</x:v>
      </x:c>
      <x:c r="G506" s="85" t="n">
        <x:v>1427365.8091923133</x:v>
      </x:c>
      <x:c r="H506" s="85" t="n">
        <x:v>4305545.927412421</x:v>
      </x:c>
      <x:c r="I506" s="85" t="n">
        <x:v>19446131.573829453</x:v>
      </x:c>
      <x:c r="J506" s="85" t="n">
        <x:v>16165760.000000002</x:v>
      </x:c>
      <x:c r="K506" s="85" t="n">
        <x:v>16816.207808219107</x:v>
      </x:c>
      <x:c r="L506" s="28" t="n">
        <x:v>40</x:v>
      </x:c>
      <x:c r="M506" s="28" t="n">
        <x:v>36</x:v>
      </x:c>
      <x:c r="N506" s="28" t="n">
        <x:v>4.656612873077393e-10</x:v>
      </x:c>
      <x:c r="O506" s="28" t="n">
        <x:v>3.725290298461914e-9</x:v>
      </x:c>
      <x:c r="P506" s="28" t="n">
        <x:v>0</x:v>
      </x:c>
      <x:c r="Q506" s="62" t="b">
        <x:v>1</x:v>
      </x:c>
      <x:c r="R506" s="28" t="n">
        <x:v>0</x:v>
      </x:c>
      <x:c r="S506" s="28" t="str">
        <x:v>7ac3803c9ab055a8</x:v>
      </x:c>
    </x:row>
    <x:row r="507" ht="21" customHeight="1">
      <x:c r="A507" s="60" t="n">
        <x:v>0.61</x:v>
      </x:c>
      <x:c r="B507" s="28" t="str">
        <x:v>level_high</x:v>
      </x:c>
      <x:c r="C507" s="60" t="n">
        <x:v>0.8</x:v>
      </x:c>
      <x:c r="D507" s="60" t="n">
        <x:v>0.8</x:v>
      </x:c>
      <x:c r="E507" s="62" t="b">
        <x:v>1</x:v>
      </x:c>
      <x:c r="F507" s="62" t="b">
        <x:v>0</x:v>
      </x:c>
      <x:c r="G507" s="85" t="n">
        <x:v>2294009.062878371</x:v>
      </x:c>
      <x:c r="H507" s="85" t="n">
        <x:v>6384660.565920803</x:v>
      </x:c>
      <x:c r="I507" s="85" t="n">
        <x:v>19768492.75687672</x:v>
      </x:c>
      <x:c r="J507" s="85" t="n">
        <x:v>16165760.000000002</x:v>
      </x:c>
      <x:c r="K507" s="85" t="n">
        <x:v>13791.807123287792</x:v>
      </x:c>
      <x:c r="L507" s="28" t="n">
        <x:v>41</x:v>
      </x:c>
      <x:c r="M507" s="28" t="n">
        <x:v>36</x:v>
      </x:c>
      <x:c r="N507" s="28" t="n">
        <x:v>4.656612873077393e-10</x:v>
      </x:c>
      <x:c r="O507" s="28" t="n">
        <x:v>3.725290298461914e-9</x:v>
      </x:c>
      <x:c r="P507" s="28" t="n">
        <x:v>0</x:v>
      </x:c>
      <x:c r="Q507" s="62" t="b">
        <x:v>1</x:v>
      </x:c>
      <x:c r="R507" s="28" t="n">
        <x:v>0</x:v>
      </x:c>
      <x:c r="S507" s="28" t="str">
        <x:v>c36938beba7836f5</x:v>
      </x:c>
    </x:row>
    <x:row r="508" ht="21" customHeight="1">
      <x:c r="A508" s="60" t="n">
        <x:v>0.61</x:v>
      </x:c>
      <x:c r="B508" s="28" t="str">
        <x:v>level_high</x:v>
      </x:c>
      <x:c r="C508" s="60" t="n">
        <x:v>0.85</x:v>
      </x:c>
      <x:c r="D508" s="60" t="n">
        <x:v>0.85</x:v>
      </x:c>
      <x:c r="E508" s="62" t="b">
        <x:v>1</x:v>
      </x:c>
      <x:c r="F508" s="62" t="b">
        <x:v>0</x:v>
      </x:c>
      <x:c r="G508" s="85" t="n">
        <x:v>3176580.9250067454</x:v>
      </x:c>
      <x:c r="H508" s="85" t="n">
        <x:v>8418481.84457658</x:v>
      </x:c>
      <x:c r="I508" s="85" t="n">
        <x:v>20077571.68626151</x:v>
      </x:c>
      <x:c r="J508" s="85" t="n">
        <x:v>16165760.000000002</x:v>
      </x:c>
      <x:c r="K508" s="85" t="n">
        <x:v>10767.406438356244</x:v>
      </x:c>
      <x:c r="L508" s="28" t="n">
        <x:v>42</x:v>
      </x:c>
      <x:c r="M508" s="28" t="n">
        <x:v>37</x:v>
      </x:c>
      <x:c r="N508" s="28" t="n">
        <x:v>4.656612873077393e-10</x:v>
      </x:c>
      <x:c r="O508" s="28" t="n">
        <x:v>3.725290298461914e-9</x:v>
      </x:c>
      <x:c r="P508" s="28" t="n">
        <x:v>0</x:v>
      </x:c>
      <x:c r="Q508" s="62" t="b">
        <x:v>1</x:v>
      </x:c>
      <x:c r="R508" s="28" t="n">
        <x:v>0</x:v>
      </x:c>
      <x:c r="S508" s="28" t="str">
        <x:v>6b0b09fc24026a5c</x:v>
      </x:c>
    </x:row>
    <x:row r="509" ht="21" customHeight="1">
      <x:c r="A509" s="60" t="n">
        <x:v>0.61</x:v>
      </x:c>
      <x:c r="B509" s="28" t="str">
        <x:v>level_high</x:v>
      </x:c>
      <x:c r="C509" s="60" t="n">
        <x:v>0.9</x:v>
      </x:c>
      <x:c r="D509" s="60" t="n">
        <x:v>0.8949513562027351</x:v>
      </x:c>
      <x:c r="E509" s="62" t="b">
        <x:v>0</x:v>
      </x:c>
      <x:c r="F509" s="62" t="b">
        <x:v>0</x:v>
      </x:c>
      <x:c r="G509" s="85" t="n">
        <x:v>4389369.822607805</x:v>
      </x:c>
      <x:c r="H509" s="85" t="n">
        <x:v>9881455.988576418</x:v>
      </x:c>
      <x:c r="I509" s="85" t="n">
        <x:v>20136570.94462822</x:v>
      </x:c>
      <x:c r="J509" s="85" t="n">
        <x:v>16165760.000000002</x:v>
      </x:c>
      <x:c r="K509" s="85" t="n">
        <x:v>7743.0057534244625</x:v>
      </x:c>
      <x:c r="L509" s="28" t="n">
        <x:v>42</x:v>
      </x:c>
      <x:c r="M509" s="28" t="n">
        <x:v>38</x:v>
      </x:c>
      <x:c r="N509" s="28" t="n">
        <x:v>4.656612873077393e-10</x:v>
      </x:c>
      <x:c r="O509" s="28" t="n">
        <x:v>3.725290298461914e-9</x:v>
      </x:c>
      <x:c r="P509" s="28" t="n">
        <x:v>0</x:v>
      </x:c>
      <x:c r="Q509" s="62" t="b">
        <x:v>1</x:v>
      </x:c>
      <x:c r="R509" s="28" t="n">
        <x:v>281431.5998347327</x:v>
      </x:c>
      <x:c r="S509" s="28" t="str">
        <x:v>ae11bc9879c96c8b</x:v>
      </x:c>
    </x:row>
    <x:row r="510" ht="21" customHeight="1">
      <x:c r="A510" s="60" t="n">
        <x:v>0.61</x:v>
      </x:c>
      <x:c r="B510" s="28" t="str">
        <x:v>level_high</x:v>
      </x:c>
      <x:c r="C510" s="60" t="n">
        <x:v>0.95</x:v>
      </x:c>
      <x:c r="D510" s="60" t="n">
        <x:v>0.9109811515371262</x:v>
      </x:c>
      <x:c r="E510" s="62" t="b">
        <x:v>0</x:v>
      </x:c>
      <x:c r="F510" s="62" t="b">
        <x:v>0</x:v>
      </x:c>
      <x:c r="G510" s="85" t="n">
        <x:v>4705619.106762508</x:v>
      </x:c>
      <x:c r="H510" s="85" t="n">
        <x:v>10579844.175475968</x:v>
      </x:c>
      <x:c r="I510" s="85" t="n">
        <x:v>20434852.293452058</x:v>
      </x:c>
      <x:c r="J510" s="85" t="n">
        <x:v>16165760.000000002</x:v>
      </x:c>
      <x:c r="K510" s="85" t="n">
        <x:v>4718.605068492681</x:v>
      </x:c>
      <x:c r="L510" s="28" t="n">
        <x:v>43</x:v>
      </x:c>
      <x:c r="M510" s="28" t="n">
        <x:v>39</x:v>
      </x:c>
      <x:c r="N510" s="28" t="n">
        <x:v>1.1641532182693481e-10</x:v>
      </x:c>
      <x:c r="O510" s="28" t="n">
        <x:v>3.725290298461914e-9</x:v>
      </x:c>
      <x:c r="P510" s="28" t="n">
        <x:v>0</x:v>
      </x:c>
      <x:c r="Q510" s="62" t="b">
        <x:v>1</x:v>
      </x:c>
      <x:c r="R510" s="28" t="n">
        <x:v>2175066.688714437</x:v>
      </x:c>
      <x:c r="S510" s="28" t="str">
        <x:v>2c6bec38f18e0eb0</x:v>
      </x:c>
    </x:row>
    <x:row r="511" ht="21" customHeight="1">
      <x:c r="A511" s="60" t="n">
        <x:v>0.61</x:v>
      </x:c>
      <x:c r="B511" s="28" t="str">
        <x:v>level_high</x:v>
      </x:c>
      <x:c r="C511" s="60" t="n">
        <x:v>1</x:v>
      </x:c>
      <x:c r="D511" s="60" t="n">
        <x:v>0.9258453085724337</x:v>
      </x:c>
      <x:c r="E511" s="62" t="b">
        <x:v>0</x:v>
      </x:c>
      <x:c r="F511" s="62" t="b">
        <x:v>0</x:v>
      </x:c>
      <x:c r="G511" s="85" t="n">
        <x:v>5257194.098078368</x:v>
      </x:c>
      <x:c r="H511" s="85" t="n">
        <x:v>11358193.023632988</x:v>
      </x:c>
      <x:c r="I511" s="85" t="n">
        <x:v>20476892.43221918</x:v>
      </x:c>
      <x:c r="J511" s="85" t="n">
        <x:v>16165760.000000002</x:v>
      </x:c>
      <x:c r="K511" s="85" t="n">
        <x:v>1694.2043835615987</x:v>
      </x:c>
      <x:c r="L511" s="28" t="n">
        <x:v>43</x:v>
      </x:c>
      <x:c r="M511" s="28" t="n">
        <x:v>40</x:v>
      </x:c>
      <x:c r="N511" s="28" t="n">
        <x:v>2.3283064365386963e-10</x:v>
      </x:c>
      <x:c r="O511" s="28" t="n">
        <x:v>1.862645149230957e-9</x:v>
      </x:c>
      <x:c r="P511" s="28" t="n">
        <x:v>0</x:v>
      </x:c>
      <x:c r="Q511" s="62" t="b">
        <x:v>1</x:v>
      </x:c>
      <x:c r="R511" s="28" t="n">
        <x:v>4133679.1189382523</x:v>
      </x:c>
      <x:c r="S511" s="28" t="str">
        <x:v>4ac61a261c4c4833</x:v>
      </x:c>
    </x:row>
    <x:row r="512" ht="21" customHeight="1">
      <x:c r="A512" s="60" t="n">
        <x:v>0.62</x:v>
      </x:c>
      <x:c r="B512" s="28" t="str">
        <x:v>front_flat</x:v>
      </x:c>
      <x:c r="C512" s="60" t="n">
        <x:v>0</x:v>
      </x:c>
      <x:c r="D512" s="60" t="n">
        <x:v>0</x:v>
      </x:c>
      <x:c r="E512" s="62" t="b">
        <x:v>1</x:v>
      </x:c>
      <x:c r="F512" s="62" t="b">
        <x:v>1</x:v>
      </x:c>
      <x:c r="G512" s="85" t="n">
        <x:v>0</x:v>
      </x:c>
      <x:c r="H512" s="85" t="n">
        <x:v>0</x:v>
      </x:c>
      <x:c r="I512" s="85" t="n">
        <x:v>0</x:v>
      </x:c>
      <x:c r="J512" s="85" t="n">
        <x:v>0</x:v>
      </x:c>
      <x:c r="K512" s="85" t="n">
        <x:v>5791027.616876714</x:v>
      </x:c>
      <x:c r="L512" s="28" t="n">
        <x:v>0</x:v>
      </x:c>
      <x:c r="M512" s="28" t="n">
        <x:v>0</x:v>
      </x:c>
      <x:c r="N512" s="28" t="n">
        <x:v>4.656612873077393e-10</x:v>
      </x:c>
      <x:c r="O512" s="28" t="n">
        <x:v>0</x:v>
      </x:c>
      <x:c r="P512" s="28" t="n">
        <x:v>0</x:v>
      </x:c>
      <x:c r="Q512" s="62" t="b">
        <x:v>1</x:v>
      </x:c>
      <x:c r="R512" s="28" t="n">
        <x:v>0</x:v>
      </x:c>
      <x:c r="S512" s="28" t="str">
        <x:v>902cb1a08fe8aae4</x:v>
      </x:c>
    </x:row>
    <x:row r="513" ht="21" customHeight="1">
      <x:c r="A513" s="60" t="n">
        <x:v>0.62</x:v>
      </x:c>
      <x:c r="B513" s="28" t="str">
        <x:v>front_flat</x:v>
      </x:c>
      <x:c r="C513" s="60" t="n">
        <x:v>0.05</x:v>
      </x:c>
      <x:c r="D513" s="60" t="n">
        <x:v>0.05</x:v>
      </x:c>
      <x:c r="E513" s="62" t="b">
        <x:v>1</x:v>
      </x:c>
      <x:c r="F513" s="62" t="b">
        <x:v>1</x:v>
      </x:c>
      <x:c r="G513" s="85" t="n">
        <x:v>0</x:v>
      </x:c>
      <x:c r="H513" s="85" t="n">
        <x:v>0</x:v>
      </x:c>
      <x:c r="I513" s="85" t="n">
        <x:v>0</x:v>
      </x:c>
      <x:c r="J513" s="85" t="n">
        <x:v>0</x:v>
      </x:c>
      <x:c r="K513" s="85" t="n">
        <x:v>3491630.72973188</x:v>
      </x:c>
      <x:c r="L513" s="28" t="n">
        <x:v>0</x:v>
      </x:c>
      <x:c r="M513" s="28" t="n">
        <x:v>0</x:v>
      </x:c>
      <x:c r="N513" s="28" t="n">
        <x:v>9.313225746154785e-10</x:v>
      </x:c>
      <x:c r="O513" s="28" t="n">
        <x:v>7.450580596923828e-9</x:v>
      </x:c>
      <x:c r="P513" s="28" t="n">
        <x:v>0</x:v>
      </x:c>
      <x:c r="Q513" s="62" t="b">
        <x:v>1</x:v>
      </x:c>
      <x:c r="R513" s="28" t="n">
        <x:v>0</x:v>
      </x:c>
      <x:c r="S513" s="28" t="str">
        <x:v>4430dffdc5101d71</x:v>
      </x:c>
    </x:row>
    <x:row r="514" ht="21" customHeight="1">
      <x:c r="A514" s="60" t="n">
        <x:v>0.62</x:v>
      </x:c>
      <x:c r="B514" s="28" t="str">
        <x:v>front_flat</x:v>
      </x:c>
      <x:c r="C514" s="60" t="n">
        <x:v>0.1</x:v>
      </x:c>
      <x:c r="D514" s="60" t="n">
        <x:v>0.1</x:v>
      </x:c>
      <x:c r="E514" s="62" t="b">
        <x:v>1</x:v>
      </x:c>
      <x:c r="F514" s="62" t="b">
        <x:v>1</x:v>
      </x:c>
      <x:c r="G514" s="85" t="n">
        <x:v>0</x:v>
      </x:c>
      <x:c r="H514" s="85" t="n">
        <x:v>0</x:v>
      </x:c>
      <x:c r="I514" s="85" t="n">
        <x:v>0</x:v>
      </x:c>
      <x:c r="J514" s="85" t="n">
        <x:v>0</x:v>
      </x:c>
      <x:c r="K514" s="85" t="n">
        <x:v>1191778.934554976</x:v>
      </x:c>
      <x:c r="L514" s="28" t="n">
        <x:v>0</x:v>
      </x:c>
      <x:c r="M514" s="28" t="n">
        <x:v>0</x:v>
      </x:c>
      <x:c r="N514" s="28" t="n">
        <x:v>2.3283064365386963e-10</x:v>
      </x:c>
      <x:c r="O514" s="28" t="n">
        <x:v>7.450580596923828e-9</x:v>
      </x:c>
      <x:c r="P514" s="28" t="n">
        <x:v>0</x:v>
      </x:c>
      <x:c r="Q514" s="62" t="b">
        <x:v>1</x:v>
      </x:c>
      <x:c r="R514" s="28" t="n">
        <x:v>0</x:v>
      </x:c>
      <x:c r="S514" s="28" t="str">
        <x:v>6aea1af384b436e4</x:v>
      </x:c>
    </x:row>
    <x:row r="515" ht="21" customHeight="1">
      <x:c r="A515" s="60" t="n">
        <x:v>0.62</x:v>
      </x:c>
      <x:c r="B515" s="28" t="str">
        <x:v>front_flat</x:v>
      </x:c>
      <x:c r="C515" s="60" t="n">
        <x:v>0.15</x:v>
      </x:c>
      <x:c r="D515" s="60" t="n">
        <x:v>0.15</x:v>
      </x:c>
      <x:c r="E515" s="62" t="b">
        <x:v>1</x:v>
      </x:c>
      <x:c r="F515" s="62" t="b">
        <x:v>1</x:v>
      </x:c>
      <x:c r="G515" s="85" t="n">
        <x:v>0</x:v>
      </x:c>
      <x:c r="H515" s="85" t="n">
        <x:v>0</x:v>
      </x:c>
      <x:c r="I515" s="85" t="n">
        <x:v>927167.8388205731</x:v>
      </x:c>
      <x:c r="J515" s="85" t="n">
        <x:v>0</x:v>
      </x:c>
      <x:c r="K515" s="85" t="n">
        <x:v>42196.334092465724</x:v>
      </x:c>
      <x:c r="L515" s="28" t="n">
        <x:v>0</x:v>
      </x:c>
      <x:c r="M515" s="28" t="n">
        <x:v>0</x:v>
      </x:c>
      <x:c r="N515" s="28" t="n">
        <x:v>4.656612873077393e-10</x:v>
      </x:c>
      <x:c r="O515" s="28" t="n">
        <x:v>7.450580596923828e-9</x:v>
      </x:c>
      <x:c r="P515" s="28" t="n">
        <x:v>0</x:v>
      </x:c>
      <x:c r="Q515" s="62" t="b">
        <x:v>1</x:v>
      </x:c>
      <x:c r="R515" s="28" t="n">
        <x:v>0</x:v>
      </x:c>
      <x:c r="S515" s="28" t="str">
        <x:v>33496b50b5046b5d</x:v>
      </x:c>
    </x:row>
    <x:row r="516" ht="21" customHeight="1">
      <x:c r="A516" s="60" t="n">
        <x:v>0.62</x:v>
      </x:c>
      <x:c r="B516" s="28" t="str">
        <x:v>front_flat</x:v>
      </x:c>
      <x:c r="C516" s="60" t="n">
        <x:v>0.2</x:v>
      </x:c>
      <x:c r="D516" s="60" t="n">
        <x:v>0.2</x:v>
      </x:c>
      <x:c r="E516" s="62" t="b">
        <x:v>1</x:v>
      </x:c>
      <x:c r="F516" s="62" t="b">
        <x:v>1</x:v>
      </x:c>
      <x:c r="G516" s="85" t="n">
        <x:v>0</x:v>
      </x:c>
      <x:c r="H516" s="85" t="n">
        <x:v>0</x:v>
      </x:c>
      <x:c r="I516" s="85" t="n">
        <x:v>2519420.0300548538</x:v>
      </x:c>
      <x:c r="J516" s="85" t="n">
        <x:v>1254093.4388721196</x:v>
      </x:c>
      <x:c r="K516" s="85" t="n">
        <x:v>30579.369767123622</x:v>
      </x:c>
      <x:c r="L516" s="28" t="n">
        <x:v>0</x:v>
      </x:c>
      <x:c r="M516" s="28" t="n">
        <x:v>0</x:v>
      </x:c>
      <x:c r="N516" s="28" t="n">
        <x:v>4.656612873077393e-10</x:v>
      </x:c>
      <x:c r="O516" s="28" t="n">
        <x:v>7.450580596923828e-9</x:v>
      </x:c>
      <x:c r="P516" s="28" t="n">
        <x:v>0</x:v>
      </x:c>
      <x:c r="Q516" s="62" t="b">
        <x:v>1</x:v>
      </x:c>
      <x:c r="R516" s="28" t="n">
        <x:v>0</x:v>
      </x:c>
      <x:c r="S516" s="28" t="str">
        <x:v>8955ba058fc1e4e5</x:v>
      </x:c>
    </x:row>
    <x:row r="517" ht="21" customHeight="1">
      <x:c r="A517" s="60" t="n">
        <x:v>0.62</x:v>
      </x:c>
      <x:c r="B517" s="28" t="str">
        <x:v>front_flat</x:v>
      </x:c>
      <x:c r="C517" s="60" t="n">
        <x:v>0.25</x:v>
      </x:c>
      <x:c r="D517" s="60" t="n">
        <x:v>0.25</x:v>
      </x:c>
      <x:c r="E517" s="62" t="b">
        <x:v>1</x:v>
      </x:c>
      <x:c r="F517" s="62" t="b">
        <x:v>1</x:v>
      </x:c>
      <x:c r="G517" s="85" t="n">
        <x:v>0</x:v>
      </x:c>
      <x:c r="H517" s="85" t="n">
        <x:v>0</x:v>
      </x:c>
      <x:c r="I517" s="85" t="n">
        <x:v>3811592.6955000586</x:v>
      </x:c>
      <x:c r="J517" s="85" t="n">
        <x:v>2961216.798590132</x:v>
      </x:c>
      <x:c r="K517" s="85" t="n">
        <x:v>18962.40544178082</x:v>
      </x:c>
      <x:c r="L517" s="28" t="n">
        <x:v>0</x:v>
      </x:c>
      <x:c r="M517" s="28" t="n">
        <x:v>0</x:v>
      </x:c>
      <x:c r="N517" s="28" t="n">
        <x:v>9.313225746154785e-10</x:v>
      </x:c>
      <x:c r="O517" s="28" t="n">
        <x:v>3.725290298461914e-9</x:v>
      </x:c>
      <x:c r="P517" s="28" t="n">
        <x:v>0</x:v>
      </x:c>
      <x:c r="Q517" s="62" t="b">
        <x:v>1</x:v>
      </x:c>
      <x:c r="R517" s="28" t="n">
        <x:v>0</x:v>
      </x:c>
      <x:c r="S517" s="28" t="str">
        <x:v>16684977cfb02aa5</x:v>
      </x:c>
    </x:row>
    <x:row r="518" ht="21" customHeight="1">
      <x:c r="A518" s="60" t="n">
        <x:v>0.62</x:v>
      </x:c>
      <x:c r="B518" s="28" t="str">
        <x:v>front_flat</x:v>
      </x:c>
      <x:c r="C518" s="60" t="n">
        <x:v>0.3</x:v>
      </x:c>
      <x:c r="D518" s="60" t="n">
        <x:v>0.3</x:v>
      </x:c>
      <x:c r="E518" s="62" t="b">
        <x:v>1</x:v>
      </x:c>
      <x:c r="F518" s="62" t="b">
        <x:v>1</x:v>
      </x:c>
      <x:c r="G518" s="85" t="n">
        <x:v>0</x:v>
      </x:c>
      <x:c r="H518" s="85" t="n">
        <x:v>0</x:v>
      </x:c>
      <x:c r="I518" s="85" t="n">
        <x:v>5115993.689657613</x:v>
      </x:c>
      <x:c r="J518" s="85" t="n">
        <x:v>4668340.158308164</x:v>
      </x:c>
      <x:c r="K518" s="85" t="n">
        <x:v>7782.21431506877</x:v>
      </x:c>
      <x:c r="L518" s="28" t="n">
        <x:v>0</x:v>
      </x:c>
      <x:c r="M518" s="28" t="n">
        <x:v>0</x:v>
      </x:c>
      <x:c r="N518" s="28" t="n">
        <x:v>4.656612873077393e-10</x:v>
      </x:c>
      <x:c r="O518" s="28" t="n">
        <x:v>7.450580596923828e-9</x:v>
      </x:c>
      <x:c r="P518" s="28" t="n">
        <x:v>0</x:v>
      </x:c>
      <x:c r="Q518" s="62" t="b">
        <x:v>1</x:v>
      </x:c>
      <x:c r="R518" s="28" t="n">
        <x:v>0</x:v>
      </x:c>
      <x:c r="S518" s="28" t="str">
        <x:v>90ab2ac771f00261</x:v>
      </x:c>
    </x:row>
    <x:row r="519" ht="21" customHeight="1">
      <x:c r="A519" s="60" t="n">
        <x:v>0.62</x:v>
      </x:c>
      <x:c r="B519" s="28" t="str">
        <x:v>front_flat</x:v>
      </x:c>
      <x:c r="C519" s="60" t="n">
        <x:v>0.35</x:v>
      </x:c>
      <x:c r="D519" s="60" t="n">
        <x:v>0.35</x:v>
      </x:c>
      <x:c r="E519" s="62" t="b">
        <x:v>1</x:v>
      </x:c>
      <x:c r="F519" s="62" t="b">
        <x:v>1</x:v>
      </x:c>
      <x:c r="G519" s="85" t="n">
        <x:v>0</x:v>
      </x:c>
      <x:c r="H519" s="85" t="n">
        <x:v>0</x:v>
      </x:c>
      <x:c r="I519" s="85" t="n">
        <x:v>6420394.683815157</x:v>
      </x:c>
      <x:c r="J519" s="85" t="n">
        <x:v>6375463.518026188</x:v>
      </x:c>
      <x:c r="K519" s="85" t="n">
        <x:v>3872.13441780836</x:v>
      </x:c>
      <x:c r="L519" s="28" t="n">
        <x:v>0</x:v>
      </x:c>
      <x:c r="M519" s="28" t="n">
        <x:v>0</x:v>
      </x:c>
      <x:c r="N519" s="28" t="n">
        <x:v>9.313225746154785e-10</x:v>
      </x:c>
      <x:c r="O519" s="28" t="n">
        <x:v>7.450580596923828e-9</x:v>
      </x:c>
      <x:c r="P519" s="28" t="n">
        <x:v>0</x:v>
      </x:c>
      <x:c r="Q519" s="62" t="b">
        <x:v>1</x:v>
      </x:c>
      <x:c r="R519" s="28" t="n">
        <x:v>0</x:v>
      </x:c>
      <x:c r="S519" s="28" t="str">
        <x:v>ab7f5cfc165144e1</x:v>
      </x:c>
    </x:row>
    <x:row r="520" ht="21" customHeight="1">
      <x:c r="A520" s="60" t="n">
        <x:v>0.62</x:v>
      </x:c>
      <x:c r="B520" s="28" t="str">
        <x:v>front_flat</x:v>
      </x:c>
      <x:c r="C520" s="60" t="n">
        <x:v>0.4</x:v>
      </x:c>
      <x:c r="D520" s="60" t="n">
        <x:v>0.4</x:v>
      </x:c>
      <x:c r="E520" s="62" t="b">
        <x:v>1</x:v>
      </x:c>
      <x:c r="F520" s="62" t="b">
        <x:v>1</x:v>
      </x:c>
      <x:c r="G520" s="85" t="n">
        <x:v>0</x:v>
      </x:c>
      <x:c r="H520" s="85" t="n">
        <x:v>0</x:v>
      </x:c>
      <x:c r="I520" s="85" t="n">
        <x:v>7718058.984801479</x:v>
      </x:c>
      <x:c r="J520" s="85" t="n">
        <x:v>8082586.877744222</x:v>
      </x:c>
      <x:c r="K520" s="85" t="n">
        <x:v>0</x:v>
      </x:c>
      <x:c r="L520" s="28" t="n">
        <x:v>0</x:v>
      </x:c>
      <x:c r="M520" s="28" t="n">
        <x:v>0</x:v>
      </x:c>
      <x:c r="N520" s="28" t="n">
        <x:v>4.656612873077393e-10</x:v>
      </x:c>
      <x:c r="O520" s="28" t="n">
        <x:v>7.450580596923828e-9</x:v>
      </x:c>
      <x:c r="P520" s="28" t="n">
        <x:v>0</x:v>
      </x:c>
      <x:c r="Q520" s="62" t="b">
        <x:v>1</x:v>
      </x:c>
      <x:c r="R520" s="28" t="n">
        <x:v>0</x:v>
      </x:c>
      <x:c r="S520" s="28" t="str">
        <x:v>aa38668ab921bd19</x:v>
      </x:c>
    </x:row>
    <x:row r="521" ht="21" customHeight="1">
      <x:c r="A521" s="60" t="n">
        <x:v>0.62</x:v>
      </x:c>
      <x:c r="B521" s="28" t="str">
        <x:v>front_flat</x:v>
      </x:c>
      <x:c r="C521" s="60" t="n">
        <x:v>0.45</x:v>
      </x:c>
      <x:c r="D521" s="60" t="n">
        <x:v>0.45</x:v>
      </x:c>
      <x:c r="E521" s="62" t="b">
        <x:v>1</x:v>
      </x:c>
      <x:c r="F521" s="62" t="b">
        <x:v>1</x:v>
      </x:c>
      <x:c r="G521" s="85" t="n">
        <x:v>0</x:v>
      </x:c>
      <x:c r="H521" s="85" t="n">
        <x:v>0</x:v>
      </x:c>
      <x:c r="I521" s="85" t="n">
        <x:v>9016400.361376317</x:v>
      </x:c>
      <x:c r="J521" s="85" t="n">
        <x:v>9789710.237462243</x:v>
      </x:c>
      <x:c r="K521" s="85" t="n">
        <x:v>0</x:v>
      </x:c>
      <x:c r="L521" s="28" t="n">
        <x:v>0</x:v>
      </x:c>
      <x:c r="M521" s="28" t="n">
        <x:v>0</x:v>
      </x:c>
      <x:c r="N521" s="28" t="n">
        <x:v>4.656612873077393e-10</x:v>
      </x:c>
      <x:c r="O521" s="28" t="n">
        <x:v>3.725290298461914e-9</x:v>
      </x:c>
      <x:c r="P521" s="28" t="n">
        <x:v>0</x:v>
      </x:c>
      <x:c r="Q521" s="62" t="b">
        <x:v>1</x:v>
      </x:c>
      <x:c r="R521" s="28" t="n">
        <x:v>0</x:v>
      </x:c>
      <x:c r="S521" s="28" t="str">
        <x:v>f05e09ea0ef55c7e</x:v>
      </x:c>
    </x:row>
    <x:row r="522" ht="21" customHeight="1">
      <x:c r="A522" s="60" t="n">
        <x:v>0.62</x:v>
      </x:c>
      <x:c r="B522" s="28" t="str">
        <x:v>front_flat</x:v>
      </x:c>
      <x:c r="C522" s="60" t="n">
        <x:v>0.5</x:v>
      </x:c>
      <x:c r="D522" s="60" t="n">
        <x:v>0.5</x:v>
      </x:c>
      <x:c r="E522" s="62" t="b">
        <x:v>1</x:v>
      </x:c>
      <x:c r="F522" s="62" t="b">
        <x:v>1</x:v>
      </x:c>
      <x:c r="G522" s="85" t="n">
        <x:v>0</x:v>
      </x:c>
      <x:c r="H522" s="85" t="n">
        <x:v>0</x:v>
      </x:c>
      <x:c r="I522" s="85" t="n">
        <x:v>10645868.641489537</x:v>
      </x:c>
      <x:c r="J522" s="85" t="n">
        <x:v>10662426.759355094</x:v>
      </x:c>
      <x:c r="K522" s="85" t="n">
        <x:v>0</x:v>
      </x:c>
      <x:c r="L522" s="28" t="n">
        <x:v>6</x:v>
      </x:c>
      <x:c r="M522" s="28" t="n">
        <x:v>0</x:v>
      </x:c>
      <x:c r="N522" s="28" t="n">
        <x:v>4.656612873077393e-10</x:v>
      </x:c>
      <x:c r="O522" s="28" t="n">
        <x:v>7.450580596923828e-9</x:v>
      </x:c>
      <x:c r="P522" s="28" t="n">
        <x:v>0</x:v>
      </x:c>
      <x:c r="Q522" s="62" t="b">
        <x:v>1</x:v>
      </x:c>
      <x:c r="R522" s="28" t="n">
        <x:v>0</x:v>
      </x:c>
      <x:c r="S522" s="28" t="str">
        <x:v>7c3d0ba4d5e837a2</x:v>
      </x:c>
    </x:row>
    <x:row r="523" ht="21" customHeight="1">
      <x:c r="A523" s="60" t="n">
        <x:v>0.62</x:v>
      </x:c>
      <x:c r="B523" s="28" t="str">
        <x:v>front_flat</x:v>
      </x:c>
      <x:c r="C523" s="60" t="n">
        <x:v>0.55</x:v>
      </x:c>
      <x:c r="D523" s="60" t="n">
        <x:v>0.55</x:v>
      </x:c>
      <x:c r="E523" s="62" t="b">
        <x:v>1</x:v>
      </x:c>
      <x:c r="F523" s="62" t="b">
        <x:v>1</x:v>
      </x:c>
      <x:c r="G523" s="85" t="n">
        <x:v>0</x:v>
      </x:c>
      <x:c r="H523" s="85" t="n">
        <x:v>0</x:v>
      </x:c>
      <x:c r="I523" s="85" t="n">
        <x:v>12276021.603269547</x:v>
      </x:c>
      <x:c r="J523" s="85" t="n">
        <x:v>11415430.382655498</x:v>
      </x:c>
      <x:c r="K523" s="85" t="n">
        <x:v>0</x:v>
      </x:c>
      <x:c r="L523" s="28" t="n">
        <x:v>13</x:v>
      </x:c>
      <x:c r="M523" s="28" t="n">
        <x:v>0</x:v>
      </x:c>
      <x:c r="N523" s="28" t="n">
        <x:v>4.656612873077393e-10</x:v>
      </x:c>
      <x:c r="O523" s="28" t="n">
        <x:v>3.725290298461914e-9</x:v>
      </x:c>
      <x:c r="P523" s="28" t="n">
        <x:v>0</x:v>
      </x:c>
      <x:c r="Q523" s="62" t="b">
        <x:v>1</x:v>
      </x:c>
      <x:c r="R523" s="28" t="n">
        <x:v>0</x:v>
      </x:c>
      <x:c r="S523" s="28" t="str">
        <x:v>181ab28ac14f2395</x:v>
      </x:c>
    </x:row>
    <x:row r="524" ht="21" customHeight="1">
      <x:c r="A524" s="60" t="n">
        <x:v>0.62</x:v>
      </x:c>
      <x:c r="B524" s="28" t="str">
        <x:v>front_flat</x:v>
      </x:c>
      <x:c r="C524" s="60" t="n">
        <x:v>0.6</x:v>
      </x:c>
      <x:c r="D524" s="60" t="n">
        <x:v>0.6</x:v>
      </x:c>
      <x:c r="E524" s="62" t="b">
        <x:v>1</x:v>
      </x:c>
      <x:c r="F524" s="62" t="b">
        <x:v>1</x:v>
      </x:c>
      <x:c r="G524" s="85" t="n">
        <x:v>0</x:v>
      </x:c>
      <x:c r="H524" s="85" t="n">
        <x:v>0</x:v>
      </x:c>
      <x:c r="I524" s="85" t="n">
        <x:v>13642149.83886968</x:v>
      </x:c>
      <x:c r="J524" s="85" t="n">
        <x:v>12849794.423355501</x:v>
      </x:c>
      <x:c r="K524" s="85" t="n">
        <x:v>0</x:v>
      </x:c>
      <x:c r="L524" s="28" t="n">
        <x:v>18</x:v>
      </x:c>
      <x:c r="M524" s="28" t="n">
        <x:v>0</x:v>
      </x:c>
      <x:c r="N524" s="28" t="n">
        <x:v>4.656612873077393e-10</x:v>
      </x:c>
      <x:c r="O524" s="28" t="n">
        <x:v>3.725290298461914e-9</x:v>
      </x:c>
      <x:c r="P524" s="28" t="n">
        <x:v>0</x:v>
      </x:c>
      <x:c r="Q524" s="62" t="b">
        <x:v>1</x:v>
      </x:c>
      <x:c r="R524" s="28" t="n">
        <x:v>0</x:v>
      </x:c>
      <x:c r="S524" s="28" t="str">
        <x:v>a4e8734e181fdf71</x:v>
      </x:c>
    </x:row>
    <x:row r="525" ht="21" customHeight="1">
      <x:c r="A525" s="60" t="n">
        <x:v>0.62</x:v>
      </x:c>
      <x:c r="B525" s="28" t="str">
        <x:v>front_flat</x:v>
      </x:c>
      <x:c r="C525" s="60" t="n">
        <x:v>0.65</x:v>
      </x:c>
      <x:c r="D525" s="60" t="n">
        <x:v>0.65</x:v>
      </x:c>
      <x:c r="E525" s="62" t="b">
        <x:v>1</x:v>
      </x:c>
      <x:c r="F525" s="62" t="b">
        <x:v>1</x:v>
      </x:c>
      <x:c r="G525" s="85" t="n">
        <x:v>0</x:v>
      </x:c>
      <x:c r="H525" s="85" t="n">
        <x:v>0</x:v>
      </x:c>
      <x:c r="I525" s="85" t="n">
        <x:v>14783011.494733123</x:v>
      </x:c>
      <x:c r="J525" s="85" t="n">
        <x:v>14910011.486239057</x:v>
      </x:c>
      <x:c r="K525" s="85" t="n">
        <x:v>0</x:v>
      </x:c>
      <x:c r="L525" s="28" t="n">
        <x:v>23</x:v>
      </x:c>
      <x:c r="M525" s="28" t="n">
        <x:v>8</x:v>
      </x:c>
      <x:c r="N525" s="28" t="n">
        <x:v>4.656612873077393e-10</x:v>
      </x:c>
      <x:c r="O525" s="28" t="n">
        <x:v>3.725290298461914e-9</x:v>
      </x:c>
      <x:c r="P525" s="28" t="n">
        <x:v>0</x:v>
      </x:c>
      <x:c r="Q525" s="62" t="b">
        <x:v>1</x:v>
      </x:c>
      <x:c r="R525" s="28" t="n">
        <x:v>0</x:v>
      </x:c>
      <x:c r="S525" s="28" t="str">
        <x:v>3885395f40414517</x:v>
      </x:c>
    </x:row>
    <x:row r="526" ht="21" customHeight="1">
      <x:c r="A526" s="60" t="n">
        <x:v>0.62</x:v>
      </x:c>
      <x:c r="B526" s="28" t="str">
        <x:v>front_flat</x:v>
      </x:c>
      <x:c r="C526" s="60" t="n">
        <x:v>0.7</x:v>
      </x:c>
      <x:c r="D526" s="60" t="n">
        <x:v>0.7</x:v>
      </x:c>
      <x:c r="E526" s="62" t="b">
        <x:v>1</x:v>
      </x:c>
      <x:c r="F526" s="62" t="b">
        <x:v>0</x:v>
      </x:c>
      <x:c r="G526" s="85" t="n">
        <x:v>322085.12161743705</x:v>
      </x:c>
      <x:c r="H526" s="85" t="n">
        <x:v>1731228.5394972905</x:v>
      </x:c>
      <x:c r="I526" s="85" t="n">
        <x:v>15092782.57099315</x:v>
      </x:c>
      <x:c r="J526" s="85" t="n">
        <x:v>15608320.000000002</x:v>
      </x:c>
      <x:c r="K526" s="85" t="n">
        <x:v>0</x:v>
      </x:c>
      <x:c r="L526" s="28" t="n">
        <x:v>45</x:v>
      </x:c>
      <x:c r="M526" s="28" t="n">
        <x:v>34</x:v>
      </x:c>
      <x:c r="N526" s="28" t="n">
        <x:v>2.3283064365386963e-10</x:v>
      </x:c>
      <x:c r="O526" s="28" t="n">
        <x:v>1.862645149230957e-9</x:v>
      </x:c>
      <x:c r="P526" s="28" t="n">
        <x:v>0</x:v>
      </x:c>
      <x:c r="Q526" s="62" t="b">
        <x:v>1</x:v>
      </x:c>
      <x:c r="R526" s="28" t="n">
        <x:v>0</x:v>
      </x:c>
      <x:c r="S526" s="28" t="str">
        <x:v>03203d450379e848</x:v>
      </x:c>
    </x:row>
    <x:row r="527" ht="21" customHeight="1">
      <x:c r="A527" s="60" t="n">
        <x:v>0.62</x:v>
      </x:c>
      <x:c r="B527" s="28" t="str">
        <x:v>front_flat</x:v>
      </x:c>
      <x:c r="C527" s="60" t="n">
        <x:v>0.75</x:v>
      </x:c>
      <x:c r="D527" s="60" t="n">
        <x:v>0.75</x:v>
      </x:c>
      <x:c r="E527" s="62" t="b">
        <x:v>1</x:v>
      </x:c>
      <x:c r="F527" s="62" t="b">
        <x:v>0</x:v>
      </x:c>
      <x:c r="G527" s="85" t="n">
        <x:v>824081.4722411664</x:v>
      </x:c>
      <x:c r="H527" s="85" t="n">
        <x:v>4184510.778126983</x:v>
      </x:c>
      <x:c r="I527" s="85" t="n">
        <x:v>15116012.60004452</x:v>
      </x:c>
      <x:c r="J527" s="85" t="n">
        <x:v>15608320.000000002</x:v>
      </x:c>
      <x:c r="K527" s="85" t="n">
        <x:v>0</x:v>
      </x:c>
      <x:c r="L527" s="28" t="n">
        <x:v>45</x:v>
      </x:c>
      <x:c r="M527" s="28" t="n">
        <x:v>37</x:v>
      </x:c>
      <x:c r="N527" s="28" t="n">
        <x:v>2.3283064365386963e-10</x:v>
      </x:c>
      <x:c r="O527" s="28" t="n">
        <x:v>3.725290298461914e-9</x:v>
      </x:c>
      <x:c r="P527" s="28" t="n">
        <x:v>0</x:v>
      </x:c>
      <x:c r="Q527" s="62" t="b">
        <x:v>1</x:v>
      </x:c>
      <x:c r="R527" s="28" t="n">
        <x:v>0</x:v>
      </x:c>
      <x:c r="S527" s="28" t="str">
        <x:v>e0de07e0eff2a805</x:v>
      </x:c>
    </x:row>
    <x:row r="528" ht="21" customHeight="1">
      <x:c r="A528" s="60" t="n">
        <x:v>0.62</x:v>
      </x:c>
      <x:c r="B528" s="28" t="str">
        <x:v>front_flat</x:v>
      </x:c>
      <x:c r="C528" s="60" t="n">
        <x:v>0.8</x:v>
      </x:c>
      <x:c r="D528" s="60" t="n">
        <x:v>0.8</x:v>
      </x:c>
      <x:c r="E528" s="62" t="b">
        <x:v>1</x:v>
      </x:c>
      <x:c r="F528" s="62" t="b">
        <x:v>0</x:v>
      </x:c>
      <x:c r="G528" s="85" t="n">
        <x:v>1238316.116469552</x:v>
      </x:c>
      <x:c r="H528" s="85" t="n">
        <x:v>6271551.216541296</x:v>
      </x:c>
      <x:c r="I528" s="85" t="n">
        <x:v>15342475.338487672</x:v>
      </x:c>
      <x:c r="J528" s="85" t="n">
        <x:v>15608320.000000002</x:v>
      </x:c>
      <x:c r="K528" s="85" t="n">
        <x:v>0</x:v>
      </x:c>
      <x:c r="L528" s="28" t="n">
        <x:v>46</x:v>
      </x:c>
      <x:c r="M528" s="28" t="n">
        <x:v>38</x:v>
      </x:c>
      <x:c r="N528" s="28" t="n">
        <x:v>4.656612873077393e-10</x:v>
      </x:c>
      <x:c r="O528" s="28" t="n">
        <x:v>3.725290298461914e-9</x:v>
      </x:c>
      <x:c r="P528" s="28" t="n">
        <x:v>0</x:v>
      </x:c>
      <x:c r="Q528" s="62" t="b">
        <x:v>1</x:v>
      </x:c>
      <x:c r="R528" s="28" t="n">
        <x:v>0</x:v>
      </x:c>
      <x:c r="S528" s="28" t="str">
        <x:v>4c709a63833c1743</x:v>
      </x:c>
    </x:row>
    <x:row r="529" ht="21" customHeight="1">
      <x:c r="A529" s="60" t="n">
        <x:v>0.62</x:v>
      </x:c>
      <x:c r="B529" s="28" t="str">
        <x:v>front_flat</x:v>
      </x:c>
      <x:c r="C529" s="60" t="n">
        <x:v>0.85</x:v>
      </x:c>
      <x:c r="D529" s="60" t="n">
        <x:v>0.85</x:v>
      </x:c>
      <x:c r="E529" s="62" t="b">
        <x:v>1</x:v>
      </x:c>
      <x:c r="F529" s="62" t="b">
        <x:v>0</x:v>
      </x:c>
      <x:c r="G529" s="85" t="n">
        <x:v>1818905.3109601138</x:v>
      </x:c>
      <x:c r="H529" s="85" t="n">
        <x:v>8545648.355010156</x:v>
      </x:c>
      <x:c r="I529" s="85" t="n">
        <x:v>15354193.930615753</x:v>
      </x:c>
      <x:c r="J529" s="85" t="n">
        <x:v>15608320.000000002</x:v>
      </x:c>
      <x:c r="K529" s="85" t="n">
        <x:v>0</x:v>
      </x:c>
      <x:c r="L529" s="28" t="n">
        <x:v>46</x:v>
      </x:c>
      <x:c r="M529" s="28" t="n">
        <x:v>42</x:v>
      </x:c>
      <x:c r="N529" s="28" t="n">
        <x:v>2.3283064365386963e-10</x:v>
      </x:c>
      <x:c r="O529" s="28" t="n">
        <x:v>1.862645149230957e-9</x:v>
      </x:c>
      <x:c r="P529" s="28" t="n">
        <x:v>0</x:v>
      </x:c>
      <x:c r="Q529" s="62" t="b">
        <x:v>1</x:v>
      </x:c>
      <x:c r="R529" s="28" t="n">
        <x:v>0</x:v>
      </x:c>
      <x:c r="S529" s="28" t="str">
        <x:v>5e783a7bde1ed17e</x:v>
      </x:c>
    </x:row>
    <x:row r="530" ht="21" customHeight="1">
      <x:c r="A530" s="60" t="n">
        <x:v>0.62</x:v>
      </x:c>
      <x:c r="B530" s="28" t="str">
        <x:v>front_flat</x:v>
      </x:c>
      <x:c r="C530" s="60" t="n">
        <x:v>0.9</x:v>
      </x:c>
      <x:c r="D530" s="60" t="n">
        <x:v>0.9</x:v>
      </x:c>
      <x:c r="E530" s="62" t="b">
        <x:v>1</x:v>
      </x:c>
      <x:c r="F530" s="62" t="b">
        <x:v>0</x:v>
      </x:c>
      <x:c r="G530" s="85" t="n">
        <x:v>2405035.989514994</x:v>
      </x:c>
      <x:c r="H530" s="85" t="n">
        <x:v>10749960.024616435</x:v>
      </x:c>
      <x:c r="I530" s="85" t="n">
        <x:v>15365912.522743836</x:v>
      </x:c>
      <x:c r="J530" s="85" t="n">
        <x:v>15608320.000000002</x:v>
      </x:c>
      <x:c r="K530" s="85" t="n">
        <x:v>0</x:v>
      </x:c>
      <x:c r="L530" s="28" t="n">
        <x:v>46</x:v>
      </x:c>
      <x:c r="M530" s="28" t="n">
        <x:v>43</x:v>
      </x:c>
      <x:c r="N530" s="28" t="n">
        <x:v>1.1641532182693481e-10</x:v>
      </x:c>
      <x:c r="O530" s="28" t="n">
        <x:v>3.725290298461914e-9</x:v>
      </x:c>
      <x:c r="P530" s="28" t="n">
        <x:v>0</x:v>
      </x:c>
      <x:c r="Q530" s="62" t="b">
        <x:v>1</x:v>
      </x:c>
      <x:c r="R530" s="28" t="n">
        <x:v>0</x:v>
      </x:c>
      <x:c r="S530" s="28" t="str">
        <x:v>58a9e1de1a663ed5</x:v>
      </x:c>
    </x:row>
    <x:row r="531" ht="21" customHeight="1">
      <x:c r="A531" s="60" t="n">
        <x:v>0.62</x:v>
      </x:c>
      <x:c r="B531" s="28" t="str">
        <x:v>front_flat</x:v>
      </x:c>
      <x:c r="C531" s="60" t="n">
        <x:v>0.95</x:v>
      </x:c>
      <x:c r="D531" s="60" t="n">
        <x:v>0.9427119459478259</x:v>
      </x:c>
      <x:c r="E531" s="62" t="b">
        <x:v>0</x:v>
      </x:c>
      <x:c r="F531" s="62" t="b">
        <x:v>0</x:v>
      </x:c>
      <x:c r="G531" s="85" t="n">
        <x:v>3211591.364803717</x:v>
      </x:c>
      <x:c r="H531" s="85" t="n">
        <x:v>12159566.492607744</x:v>
      </x:c>
      <x:c r="I531" s="85" t="n">
        <x:v>15377631.11487192</x:v>
      </x:c>
      <x:c r="J531" s="85" t="n">
        <x:v>15608320.000000002</x:v>
      </x:c>
      <x:c r="K531" s="85" t="n">
        <x:v>0</x:v>
      </x:c>
      <x:c r="L531" s="28" t="n">
        <x:v>46</x:v>
      </x:c>
      <x:c r="M531" s="28" t="n">
        <x:v>44</x:v>
      </x:c>
      <x:c r="N531" s="28" t="n">
        <x:v>4.656612873077393e-10</x:v>
      </x:c>
      <x:c r="O531" s="28" t="n">
        <x:v>1.862645149230957e-9</x:v>
      </x:c>
      <x:c r="P531" s="28" t="n">
        <x:v>0</x:v>
      </x:c>
      <x:c r="Q531" s="62" t="b">
        <x:v>1</x:v>
      </x:c>
      <x:c r="R531" s="28" t="n">
        <x:v>406265.28508438915</x:v>
      </x:c>
      <x:c r="S531" s="28" t="str">
        <x:v>3e0d80cc9f69a0ff</x:v>
      </x:c>
    </x:row>
    <x:row r="532" ht="21" customHeight="1">
      <x:c r="A532" s="60" t="n">
        <x:v>0.62</x:v>
      </x:c>
      <x:c r="B532" s="28" t="str">
        <x:v>front_flat</x:v>
      </x:c>
      <x:c r="C532" s="60" t="n">
        <x:v>1</x:v>
      </x:c>
      <x:c r="D532" s="60" t="n">
        <x:v>0.9596721012870685</x:v>
      </x:c>
      <x:c r="E532" s="62" t="b">
        <x:v>0</x:v>
      </x:c>
      <x:c r="F532" s="62" t="b">
        <x:v>0</x:v>
      </x:c>
      <x:c r="G532" s="85" t="n">
        <x:v>3581409.485888783</x:v>
      </x:c>
      <x:c r="H532" s="85" t="n">
        <x:v>13013324.397218633</x:v>
      </x:c>
      <x:c r="I532" s="85" t="n">
        <x:v>15389349.707</x:v>
      </x:c>
      <x:c r="J532" s="85" t="n">
        <x:v>15608320.000000002</x:v>
      </x:c>
      <x:c r="K532" s="85" t="n">
        <x:v>0</x:v>
      </x:c>
      <x:c r="L532" s="28" t="n">
        <x:v>46</x:v>
      </x:c>
      <x:c r="M532" s="28" t="n">
        <x:v>44</x:v>
      </x:c>
      <x:c r="N532" s="28" t="n">
        <x:v>2.3283064365386963e-10</x:v>
      </x:c>
      <x:c r="O532" s="28" t="n">
        <x:v>1.862645149230957e-9</x:v>
      </x:c>
      <x:c r="P532" s="28" t="n">
        <x:v>0</x:v>
      </x:c>
      <x:c r="Q532" s="62" t="b">
        <x:v>1</x:v>
      </x:c>
      <x:c r="R532" s="28" t="n">
        <x:v>2248038.3858536556</x:v>
      </x:c>
      <x:c r="S532" s="28" t="str">
        <x:v>1e0055ec9c536075</x:v>
      </x:c>
    </x:row>
    <x:row r="533" ht="21" customHeight="1">
      <x:c r="A533" s="60" t="n">
        <x:v>0.62</x:v>
      </x:c>
      <x:c r="B533" s="28" t="str">
        <x:v>front_low</x:v>
      </x:c>
      <x:c r="C533" s="60" t="n">
        <x:v>0</x:v>
      </x:c>
      <x:c r="D533" s="60" t="n">
        <x:v>0</x:v>
      </x:c>
      <x:c r="E533" s="62" t="b">
        <x:v>1</x:v>
      </x:c>
      <x:c r="F533" s="62" t="b">
        <x:v>1</x:v>
      </x:c>
      <x:c r="G533" s="85" t="n">
        <x:v>0</x:v>
      </x:c>
      <x:c r="H533" s="85" t="n">
        <x:v>0</x:v>
      </x:c>
      <x:c r="I533" s="85" t="n">
        <x:v>0</x:v>
      </x:c>
      <x:c r="J533" s="85" t="n">
        <x:v>0</x:v>
      </x:c>
      <x:c r="K533" s="85" t="n">
        <x:v>5023165.507287669</x:v>
      </x:c>
      <x:c r="L533" s="28" t="n">
        <x:v>0</x:v>
      </x:c>
      <x:c r="M533" s="28" t="n">
        <x:v>0</x:v>
      </x:c>
      <x:c r="N533" s="28" t="n">
        <x:v>5.820766091346741e-11</x:v>
      </x:c>
      <x:c r="O533" s="28" t="n">
        <x:v>0</x:v>
      </x:c>
      <x:c r="P533" s="28" t="n">
        <x:v>0</x:v>
      </x:c>
      <x:c r="Q533" s="62" t="b">
        <x:v>1</x:v>
      </x:c>
      <x:c r="R533" s="28" t="n">
        <x:v>0</x:v>
      </x:c>
      <x:c r="S533" s="28" t="str">
        <x:v>fb4d343ed97245f6</x:v>
      </x:c>
    </x:row>
    <x:row r="534" ht="21" customHeight="1">
      <x:c r="A534" s="60" t="n">
        <x:v>0.62</x:v>
      </x:c>
      <x:c r="B534" s="28" t="str">
        <x:v>front_low</x:v>
      </x:c>
      <x:c r="C534" s="60" t="n">
        <x:v>0.05</x:v>
      </x:c>
      <x:c r="D534" s="60" t="n">
        <x:v>0.05</x:v>
      </x:c>
      <x:c r="E534" s="62" t="b">
        <x:v>1</x:v>
      </x:c>
      <x:c r="F534" s="62" t="b">
        <x:v>1</x:v>
      </x:c>
      <x:c r="G534" s="85" t="n">
        <x:v>0</x:v>
      </x:c>
      <x:c r="H534" s="85" t="n">
        <x:v>0</x:v>
      </x:c>
      <x:c r="I534" s="85" t="n">
        <x:v>0</x:v>
      </x:c>
      <x:c r="J534" s="85" t="n">
        <x:v>0</x:v>
      </x:c>
      <x:c r="K534" s="85" t="n">
        <x:v>2974882.5644964827</x:v>
      </x:c>
      <x:c r="L534" s="28" t="n">
        <x:v>0</x:v>
      </x:c>
      <x:c r="M534" s="28" t="n">
        <x:v>0</x:v>
      </x:c>
      <x:c r="N534" s="28" t="n">
        <x:v>9.313225746154785e-10</x:v>
      </x:c>
      <x:c r="O534" s="28" t="n">
        <x:v>7.450580596923828e-9</x:v>
      </x:c>
      <x:c r="P534" s="28" t="n">
        <x:v>0</x:v>
      </x:c>
      <x:c r="Q534" s="62" t="b">
        <x:v>1</x:v>
      </x:c>
      <x:c r="R534" s="28" t="n">
        <x:v>0</x:v>
      </x:c>
      <x:c r="S534" s="28" t="str">
        <x:v>fd49299ed509fa0e</x:v>
      </x:c>
    </x:row>
    <x:row r="535" ht="21" customHeight="1">
      <x:c r="A535" s="60" t="n">
        <x:v>0.62</x:v>
      </x:c>
      <x:c r="B535" s="28" t="str">
        <x:v>front_low</x:v>
      </x:c>
      <x:c r="C535" s="60" t="n">
        <x:v>0.1</x:v>
      </x:c>
      <x:c r="D535" s="60" t="n">
        <x:v>0.1</x:v>
      </x:c>
      <x:c r="E535" s="62" t="b">
        <x:v>1</x:v>
      </x:c>
      <x:c r="F535" s="62" t="b">
        <x:v>1</x:v>
      </x:c>
      <x:c r="G535" s="85" t="n">
        <x:v>0</x:v>
      </x:c>
      <x:c r="H535" s="85" t="n">
        <x:v>0</x:v>
      </x:c>
      <x:c r="I535" s="85" t="n">
        <x:v>0</x:v>
      </x:c>
      <x:c r="J535" s="85" t="n">
        <x:v>0</x:v>
      </x:c>
      <x:c r="K535" s="85" t="n">
        <x:v>926278.5101532433</x:v>
      </x:c>
      <x:c r="L535" s="28" t="n">
        <x:v>0</x:v>
      </x:c>
      <x:c r="M535" s="28" t="n">
        <x:v>0</x:v>
      </x:c>
      <x:c r="N535" s="28" t="n">
        <x:v>4.656612873077393e-10</x:v>
      </x:c>
      <x:c r="O535" s="28" t="n">
        <x:v>7.450580596923828e-9</x:v>
      </x:c>
      <x:c r="P535" s="28" t="n">
        <x:v>0</x:v>
      </x:c>
      <x:c r="Q535" s="62" t="b">
        <x:v>1</x:v>
      </x:c>
      <x:c r="R535" s="28" t="n">
        <x:v>0</x:v>
      </x:c>
      <x:c r="S535" s="28" t="str">
        <x:v>166aef8deee1d6b9</x:v>
      </x:c>
    </x:row>
    <x:row r="536" ht="21" customHeight="1">
      <x:c r="A536" s="60" t="n">
        <x:v>0.62</x:v>
      </x:c>
      <x:c r="B536" s="28" t="str">
        <x:v>front_low</x:v>
      </x:c>
      <x:c r="C536" s="60" t="n">
        <x:v>0.15</x:v>
      </x:c>
      <x:c r="D536" s="60" t="n">
        <x:v>0.15</x:v>
      </x:c>
      <x:c r="E536" s="62" t="b">
        <x:v>1</x:v>
      </x:c>
      <x:c r="F536" s="62" t="b">
        <x:v>1</x:v>
      </x:c>
      <x:c r="G536" s="85" t="n">
        <x:v>0</x:v>
      </x:c>
      <x:c r="H536" s="85" t="n">
        <x:v>0</x:v>
      </x:c>
      <x:c r="I536" s="85" t="n">
        <x:v>829629.2992938083</x:v>
      </x:c>
      <x:c r="J536" s="85" t="n">
        <x:v>0</x:v>
      </x:c>
      <x:c r="K536" s="85" t="n">
        <x:v>0</x:v>
      </x:c>
      <x:c r="L536" s="28" t="n">
        <x:v>0</x:v>
      </x:c>
      <x:c r="M536" s="28" t="n">
        <x:v>0</x:v>
      </x:c>
      <x:c r="N536" s="28" t="n">
        <x:v>4.656612873077393e-10</x:v>
      </x:c>
      <x:c r="O536" s="28" t="n">
        <x:v>7.450580596923828e-9</x:v>
      </x:c>
      <x:c r="P536" s="28" t="n">
        <x:v>0</x:v>
      </x:c>
      <x:c r="Q536" s="62" t="b">
        <x:v>1</x:v>
      </x:c>
      <x:c r="R536" s="28" t="n">
        <x:v>0</x:v>
      </x:c>
      <x:c r="S536" s="28" t="str">
        <x:v>d45b1d628f986123</x:v>
      </x:c>
    </x:row>
    <x:row r="537" ht="21" customHeight="1">
      <x:c r="A537" s="60" t="n">
        <x:v>0.62</x:v>
      </x:c>
      <x:c r="B537" s="28" t="str">
        <x:v>front_low</x:v>
      </x:c>
      <x:c r="C537" s="60" t="n">
        <x:v>0.2</x:v>
      </x:c>
      <x:c r="D537" s="60" t="n">
        <x:v>0.2</x:v>
      </x:c>
      <x:c r="E537" s="62" t="b">
        <x:v>1</x:v>
      </x:c>
      <x:c r="F537" s="62" t="b">
        <x:v>1</x:v>
      </x:c>
      <x:c r="G537" s="85" t="n">
        <x:v>0</x:v>
      </x:c>
      <x:c r="H537" s="85" t="n">
        <x:v>0</x:v>
      </x:c>
      <x:c r="I537" s="85" t="n">
        <x:v>2030362.0198689825</x:v>
      </x:c>
      <x:c r="J537" s="85" t="n">
        <x:v>1254093.4388721196</x:v>
      </x:c>
      <x:c r="K537" s="85" t="n">
        <x:v>0</x:v>
      </x:c>
      <x:c r="L537" s="28" t="n">
        <x:v>0</x:v>
      </x:c>
      <x:c r="M537" s="28" t="n">
        <x:v>0</x:v>
      </x:c>
      <x:c r="N537" s="28" t="n">
        <x:v>4.656612873077393e-10</x:v>
      </x:c>
      <x:c r="O537" s="28" t="n">
        <x:v>7.450580596923828e-9</x:v>
      </x:c>
      <x:c r="P537" s="28" t="n">
        <x:v>0</x:v>
      </x:c>
      <x:c r="Q537" s="62" t="b">
        <x:v>1</x:v>
      </x:c>
      <x:c r="R537" s="28" t="n">
        <x:v>0</x:v>
      </x:c>
      <x:c r="S537" s="28" t="str">
        <x:v>6cf6b98a7252f5b6</x:v>
      </x:c>
    </x:row>
    <x:row r="538" ht="21" customHeight="1">
      <x:c r="A538" s="60" t="n">
        <x:v>0.62</x:v>
      </x:c>
      <x:c r="B538" s="28" t="str">
        <x:v>front_low</x:v>
      </x:c>
      <x:c r="C538" s="60" t="n">
        <x:v>0.25</x:v>
      </x:c>
      <x:c r="D538" s="60" t="n">
        <x:v>0.25</x:v>
      </x:c>
      <x:c r="E538" s="62" t="b">
        <x:v>1</x:v>
      </x:c>
      <x:c r="F538" s="62" t="b">
        <x:v>1</x:v>
      </x:c>
      <x:c r="G538" s="85" t="n">
        <x:v>0</x:v>
      </x:c>
      <x:c r="H538" s="85" t="n">
        <x:v>0</x:v>
      </x:c>
      <x:c r="I538" s="85" t="n">
        <x:v>2877997.737493755</x:v>
      </x:c>
      <x:c r="J538" s="85" t="n">
        <x:v>2961216.798590132</x:v>
      </x:c>
      <x:c r="K538" s="85" t="n">
        <x:v>0</x:v>
      </x:c>
      <x:c r="L538" s="28" t="n">
        <x:v>0</x:v>
      </x:c>
      <x:c r="M538" s="28" t="n">
        <x:v>0</x:v>
      </x:c>
      <x:c r="N538" s="28" t="n">
        <x:v>4.656612873077393e-10</x:v>
      </x:c>
      <x:c r="O538" s="28" t="n">
        <x:v>3.725290298461914e-9</x:v>
      </x:c>
      <x:c r="P538" s="28" t="n">
        <x:v>0</x:v>
      </x:c>
      <x:c r="Q538" s="62" t="b">
        <x:v>1</x:v>
      </x:c>
      <x:c r="R538" s="28" t="n">
        <x:v>0</x:v>
      </x:c>
      <x:c r="S538" s="28" t="str">
        <x:v>f1f3ee3af9802381</x:v>
      </x:c>
    </x:row>
    <x:row r="539" ht="21" customHeight="1">
      <x:c r="A539" s="60" t="n">
        <x:v>0.62</x:v>
      </x:c>
      <x:c r="B539" s="28" t="str">
        <x:v>front_low</x:v>
      </x:c>
      <x:c r="C539" s="60" t="n">
        <x:v>0.3</x:v>
      </x:c>
      <x:c r="D539" s="60" t="n">
        <x:v>0.3</x:v>
      </x:c>
      <x:c r="E539" s="62" t="b">
        <x:v>1</x:v>
      </x:c>
      <x:c r="F539" s="62" t="b">
        <x:v>1</x:v>
      </x:c>
      <x:c r="G539" s="85" t="n">
        <x:v>0</x:v>
      </x:c>
      <x:c r="H539" s="85" t="n">
        <x:v>0</x:v>
      </x:c>
      <x:c r="I539" s="85" t="n">
        <x:v>3725633.4551185356</x:v>
      </x:c>
      <x:c r="J539" s="85" t="n">
        <x:v>4668340.158308164</x:v>
      </x:c>
      <x:c r="K539" s="85" t="n">
        <x:v>0</x:v>
      </x:c>
      <x:c r="L539" s="28" t="n">
        <x:v>0</x:v>
      </x:c>
      <x:c r="M539" s="28" t="n">
        <x:v>0</x:v>
      </x:c>
      <x:c r="N539" s="28" t="n">
        <x:v>4.656612873077393e-10</x:v>
      </x:c>
      <x:c r="O539" s="28" t="n">
        <x:v>7.450580596923828e-9</x:v>
      </x:c>
      <x:c r="P539" s="28" t="n">
        <x:v>0</x:v>
      </x:c>
      <x:c r="Q539" s="62" t="b">
        <x:v>1</x:v>
      </x:c>
      <x:c r="R539" s="28" t="n">
        <x:v>0</x:v>
      </x:c>
      <x:c r="S539" s="28" t="str">
        <x:v>9983a5a47c1a9b54</x:v>
      </x:c>
    </x:row>
    <x:row r="540" ht="21" customHeight="1">
      <x:c r="A540" s="60" t="n">
        <x:v>0.62</x:v>
      </x:c>
      <x:c r="B540" s="28" t="str">
        <x:v>front_low</x:v>
      </x:c>
      <x:c r="C540" s="60" t="n">
        <x:v>0.35</x:v>
      </x:c>
      <x:c r="D540" s="60" t="n">
        <x:v>0.35</x:v>
      </x:c>
      <x:c r="E540" s="62" t="b">
        <x:v>1</x:v>
      </x:c>
      <x:c r="F540" s="62" t="b">
        <x:v>1</x:v>
      </x:c>
      <x:c r="G540" s="85" t="n">
        <x:v>0</x:v>
      </x:c>
      <x:c r="H540" s="85" t="n">
        <x:v>0</x:v>
      </x:c>
      <x:c r="I540" s="85" t="n">
        <x:v>4573269.172743311</x:v>
      </x:c>
      <x:c r="J540" s="85" t="n">
        <x:v>6375463.518026188</x:v>
      </x:c>
      <x:c r="K540" s="85" t="n">
        <x:v>0</x:v>
      </x:c>
      <x:c r="L540" s="28" t="n">
        <x:v>0</x:v>
      </x:c>
      <x:c r="M540" s="28" t="n">
        <x:v>0</x:v>
      </x:c>
      <x:c r="N540" s="28" t="n">
        <x:v>2.3283064365386963e-10</x:v>
      </x:c>
      <x:c r="O540" s="28" t="n">
        <x:v>7.450580596923828e-9</x:v>
      </x:c>
      <x:c r="P540" s="28" t="n">
        <x:v>0</x:v>
      </x:c>
      <x:c r="Q540" s="62" t="b">
        <x:v>1</x:v>
      </x:c>
      <x:c r="R540" s="28" t="n">
        <x:v>0</x:v>
      </x:c>
      <x:c r="S540" s="28" t="str">
        <x:v>0620e66782b78176</x:v>
      </x:c>
    </x:row>
    <x:row r="541" ht="21" customHeight="1">
      <x:c r="A541" s="60" t="n">
        <x:v>0.62</x:v>
      </x:c>
      <x:c r="B541" s="28" t="str">
        <x:v>front_low</x:v>
      </x:c>
      <x:c r="C541" s="60" t="n">
        <x:v>0.4</x:v>
      </x:c>
      <x:c r="D541" s="60" t="n">
        <x:v>0.4</x:v>
      </x:c>
      <x:c r="E541" s="62" t="b">
        <x:v>1</x:v>
      </x:c>
      <x:c r="F541" s="62" t="b">
        <x:v>1</x:v>
      </x:c>
      <x:c r="G541" s="85" t="n">
        <x:v>0</x:v>
      </x:c>
      <x:c r="H541" s="85" t="n">
        <x:v>0</x:v>
      </x:c>
      <x:c r="I541" s="85" t="n">
        <x:v>5414168.1971968645</x:v>
      </x:c>
      <x:c r="J541" s="85" t="n">
        <x:v>8082586.877744222</x:v>
      </x:c>
      <x:c r="K541" s="85" t="n">
        <x:v>0</x:v>
      </x:c>
      <x:c r="L541" s="28" t="n">
        <x:v>0</x:v>
      </x:c>
      <x:c r="M541" s="28" t="n">
        <x:v>0</x:v>
      </x:c>
      <x:c r="N541" s="28" t="n">
        <x:v>4.656612873077393e-10</x:v>
      </x:c>
      <x:c r="O541" s="28" t="n">
        <x:v>7.450580596923828e-9</x:v>
      </x:c>
      <x:c r="P541" s="28" t="n">
        <x:v>0</x:v>
      </x:c>
      <x:c r="Q541" s="62" t="b">
        <x:v>1</x:v>
      </x:c>
      <x:c r="R541" s="28" t="n">
        <x:v>0</x:v>
      </x:c>
      <x:c r="S541" s="28" t="str">
        <x:v>0210e82a61ae342c</x:v>
      </x:c>
    </x:row>
    <x:row r="542" ht="21" customHeight="1">
      <x:c r="A542" s="60" t="n">
        <x:v>0.62</x:v>
      </x:c>
      <x:c r="B542" s="28" t="str">
        <x:v>front_low</x:v>
      </x:c>
      <x:c r="C542" s="60" t="n">
        <x:v>0.45</x:v>
      </x:c>
      <x:c r="D542" s="60" t="n">
        <x:v>0.45</x:v>
      </x:c>
      <x:c r="E542" s="62" t="b">
        <x:v>1</x:v>
      </x:c>
      <x:c r="F542" s="62" t="b">
        <x:v>1</x:v>
      </x:c>
      <x:c r="G542" s="85" t="n">
        <x:v>0</x:v>
      </x:c>
      <x:c r="H542" s="85" t="n">
        <x:v>0</x:v>
      </x:c>
      <x:c r="I542" s="85" t="n">
        <x:v>6256418.361040303</x:v>
      </x:c>
      <x:c r="J542" s="85" t="n">
        <x:v>9789710.237462243</x:v>
      </x:c>
      <x:c r="K542" s="85" t="n">
        <x:v>0</x:v>
      </x:c>
      <x:c r="L542" s="28" t="n">
        <x:v>0</x:v>
      </x:c>
      <x:c r="M542" s="28" t="n">
        <x:v>0</x:v>
      </x:c>
      <x:c r="N542" s="28" t="n">
        <x:v>4.656612873077393e-10</x:v>
      </x:c>
      <x:c r="O542" s="28" t="n">
        <x:v>3.725290298461914e-9</x:v>
      </x:c>
      <x:c r="P542" s="28" t="n">
        <x:v>0</x:v>
      </x:c>
      <x:c r="Q542" s="62" t="b">
        <x:v>1</x:v>
      </x:c>
      <x:c r="R542" s="28" t="n">
        <x:v>0</x:v>
      </x:c>
      <x:c r="S542" s="28" t="str">
        <x:v>2a28dea3ea8c36b5</x:v>
      </x:c>
    </x:row>
    <x:row r="543" ht="21" customHeight="1">
      <x:c r="A543" s="60" t="n">
        <x:v>0.62</x:v>
      </x:c>
      <x:c r="B543" s="28" t="str">
        <x:v>front_low</x:v>
      </x:c>
      <x:c r="C543" s="60" t="n">
        <x:v>0.5</x:v>
      </x:c>
      <x:c r="D543" s="60" t="n">
        <x:v>0.5</x:v>
      </x:c>
      <x:c r="E543" s="62" t="b">
        <x:v>1</x:v>
      </x:c>
      <x:c r="F543" s="62" t="b">
        <x:v>1</x:v>
      </x:c>
      <x:c r="G543" s="85" t="n">
        <x:v>0</x:v>
      </x:c>
      <x:c r="H543" s="85" t="n">
        <x:v>0</x:v>
      </x:c>
      <x:c r="I543" s="85" t="n">
        <x:v>7496224.869024606</x:v>
      </x:c>
      <x:c r="J543" s="85" t="n">
        <x:v>10842527.084496062</x:v>
      </x:c>
      <x:c r="K543" s="85" t="n">
        <x:v>0</x:v>
      </x:c>
      <x:c r="L543" s="28" t="n">
        <x:v>6</x:v>
      </x:c>
      <x:c r="M543" s="28" t="n">
        <x:v>0</x:v>
      </x:c>
      <x:c r="N543" s="28" t="n">
        <x:v>4.656612873077393e-10</x:v>
      </x:c>
      <x:c r="O543" s="28" t="n">
        <x:v>7.450580596923828e-9</x:v>
      </x:c>
      <x:c r="P543" s="28" t="n">
        <x:v>0</x:v>
      </x:c>
      <x:c r="Q543" s="62" t="b">
        <x:v>1</x:v>
      </x:c>
      <x:c r="R543" s="28" t="n">
        <x:v>0</x:v>
      </x:c>
      <x:c r="S543" s="28" t="str">
        <x:v>2fa57ee0bc7ff1a7</x:v>
      </x:c>
    </x:row>
    <x:row r="544" ht="21" customHeight="1">
      <x:c r="A544" s="60" t="n">
        <x:v>0.62</x:v>
      </x:c>
      <x:c r="B544" s="28" t="str">
        <x:v>front_low</x:v>
      </x:c>
      <x:c r="C544" s="60" t="n">
        <x:v>0.55</x:v>
      </x:c>
      <x:c r="D544" s="60" t="n">
        <x:v>0.55</x:v>
      </x:c>
      <x:c r="E544" s="62" t="b">
        <x:v>1</x:v>
      </x:c>
      <x:c r="F544" s="62" t="b">
        <x:v>1</x:v>
      </x:c>
      <x:c r="G544" s="85" t="n">
        <x:v>0</x:v>
      </x:c>
      <x:c r="H544" s="85" t="n">
        <x:v>0</x:v>
      </x:c>
      <x:c r="I544" s="85" t="n">
        <x:v>8844535.871777168</x:v>
      </x:c>
      <x:c r="J544" s="85" t="n">
        <x:v>11697475.173572607</x:v>
      </x:c>
      <x:c r="K544" s="85" t="n">
        <x:v>0</x:v>
      </x:c>
      <x:c r="L544" s="28" t="n">
        <x:v>15</x:v>
      </x:c>
      <x:c r="M544" s="28" t="n">
        <x:v>0</x:v>
      </x:c>
      <x:c r="N544" s="28" t="n">
        <x:v>4.656612873077393e-10</x:v>
      </x:c>
      <x:c r="O544" s="28" t="n">
        <x:v>3.725290298461914e-9</x:v>
      </x:c>
      <x:c r="P544" s="28" t="n">
        <x:v>0</x:v>
      </x:c>
      <x:c r="Q544" s="62" t="b">
        <x:v>1</x:v>
      </x:c>
      <x:c r="R544" s="28" t="n">
        <x:v>0</x:v>
      </x:c>
      <x:c r="S544" s="28" t="str">
        <x:v>da8931d786228365</x:v>
      </x:c>
    </x:row>
    <x:row r="545" ht="21" customHeight="1">
      <x:c r="A545" s="60" t="n">
        <x:v>0.62</x:v>
      </x:c>
      <x:c r="B545" s="28" t="str">
        <x:v>front_low</x:v>
      </x:c>
      <x:c r="C545" s="60" t="n">
        <x:v>0.6</x:v>
      </x:c>
      <x:c r="D545" s="60" t="n">
        <x:v>0.6</x:v>
      </x:c>
      <x:c r="E545" s="62" t="b">
        <x:v>1</x:v>
      </x:c>
      <x:c r="F545" s="62" t="b">
        <x:v>1</x:v>
      </x:c>
      <x:c r="G545" s="85" t="n">
        <x:v>0</x:v>
      </x:c>
      <x:c r="H545" s="85" t="n">
        <x:v>0</x:v>
      </x:c>
      <x:c r="I545" s="85" t="n">
        <x:v>9780297.954476362</x:v>
      </x:c>
      <x:c r="J545" s="85" t="n">
        <x:v>13204976.374661373</x:v>
      </x:c>
      <x:c r="K545" s="85" t="n">
        <x:v>0</x:v>
      </x:c>
      <x:c r="L545" s="28" t="n">
        <x:v>19</x:v>
      </x:c>
      <x:c r="M545" s="28" t="n">
        <x:v>0</x:v>
      </x:c>
      <x:c r="N545" s="28" t="n">
        <x:v>2.3283064365386963e-10</x:v>
      </x:c>
      <x:c r="O545" s="28" t="n">
        <x:v>3.725290298461914e-9</x:v>
      </x:c>
      <x:c r="P545" s="28" t="n">
        <x:v>0</x:v>
      </x:c>
      <x:c r="Q545" s="62" t="b">
        <x:v>1</x:v>
      </x:c>
      <x:c r="R545" s="28" t="n">
        <x:v>0</x:v>
      </x:c>
      <x:c r="S545" s="28" t="str">
        <x:v>aa3b4c884e716926</x:v>
      </x:c>
    </x:row>
    <x:row r="546" ht="21" customHeight="1">
      <x:c r="A546" s="60" t="n">
        <x:v>0.62</x:v>
      </x:c>
      <x:c r="B546" s="28" t="str">
        <x:v>front_low</x:v>
      </x:c>
      <x:c r="C546" s="60" t="n">
        <x:v>0.65</x:v>
      </x:c>
      <x:c r="D546" s="60" t="n">
        <x:v>0.65</x:v>
      </x:c>
      <x:c r="E546" s="62" t="b">
        <x:v>1</x:v>
      </x:c>
      <x:c r="F546" s="62" t="b">
        <x:v>1</x:v>
      </x:c>
      <x:c r="G546" s="85" t="n">
        <x:v>0</x:v>
      </x:c>
      <x:c r="H546" s="85" t="n">
        <x:v>0</x:v>
      </x:c>
      <x:c r="I546" s="85" t="n">
        <x:v>10496660.104958177</x:v>
      </x:c>
      <x:c r="J546" s="85" t="n">
        <x:v>15079293.491606388</x:v>
      </x:c>
      <x:c r="K546" s="85" t="n">
        <x:v>0</x:v>
      </x:c>
      <x:c r="L546" s="28" t="n">
        <x:v>25</x:v>
      </x:c>
      <x:c r="M546" s="28" t="n">
        <x:v>0</x:v>
      </x:c>
      <x:c r="N546" s="28" t="n">
        <x:v>4.656612873077393e-10</x:v>
      </x:c>
      <x:c r="O546" s="28" t="n">
        <x:v>3.725290298461914e-9</x:v>
      </x:c>
      <x:c r="P546" s="28" t="n">
        <x:v>0</x:v>
      </x:c>
      <x:c r="Q546" s="62" t="b">
        <x:v>1</x:v>
      </x:c>
      <x:c r="R546" s="28" t="n">
        <x:v>0</x:v>
      </x:c>
      <x:c r="S546" s="28" t="str">
        <x:v>3920c299204335dc</x:v>
      </x:c>
    </x:row>
    <x:row r="547" ht="21" customHeight="1">
      <x:c r="A547" s="60" t="n">
        <x:v>0.62</x:v>
      </x:c>
      <x:c r="B547" s="28" t="str">
        <x:v>front_low</x:v>
      </x:c>
      <x:c r="C547" s="60" t="n">
        <x:v>0.7</x:v>
      </x:c>
      <x:c r="D547" s="60" t="n">
        <x:v>0.7</x:v>
      </x:c>
      <x:c r="E547" s="62" t="b">
        <x:v>1</x:v>
      </x:c>
      <x:c r="F547" s="62" t="b">
        <x:v>0</x:v>
      </x:c>
      <x:c r="G547" s="85" t="n">
        <x:v>123525.55516254401</x:v>
      </x:c>
      <x:c r="H547" s="85" t="n">
        <x:v>1539755.847294472</x:v>
      </x:c>
      <x:c r="I547" s="85" t="n">
        <x:v>10650200.878253423</x:v>
      </x:c>
      <x:c r="J547" s="85" t="n">
        <x:v>15608320.000000002</x:v>
      </x:c>
      <x:c r="K547" s="85" t="n">
        <x:v>0</x:v>
      </x:c>
      <x:c r="L547" s="28" t="n">
        <x:v>45</x:v>
      </x:c>
      <x:c r="M547" s="28" t="n">
        <x:v>30</x:v>
      </x:c>
      <x:c r="N547" s="28" t="n">
        <x:v>4.656612873077393e-10</x:v>
      </x:c>
      <x:c r="O547" s="28" t="n">
        <x:v>1.862645149230957e-9</x:v>
      </x:c>
      <x:c r="P547" s="28" t="n">
        <x:v>0</x:v>
      </x:c>
      <x:c r="Q547" s="62" t="b">
        <x:v>1</x:v>
      </x:c>
      <x:c r="R547" s="28" t="n">
        <x:v>0</x:v>
      </x:c>
      <x:c r="S547" s="28" t="str">
        <x:v>9d8129c6d39f34f4</x:v>
      </x:c>
    </x:row>
    <x:row r="548" ht="21" customHeight="1">
      <x:c r="A548" s="60" t="n">
        <x:v>0.62</x:v>
      </x:c>
      <x:c r="B548" s="28" t="str">
        <x:v>front_low</x:v>
      </x:c>
      <x:c r="C548" s="60" t="n">
        <x:v>0.75</x:v>
      </x:c>
      <x:c r="D548" s="60" t="n">
        <x:v>0.75</x:v>
      </x:c>
      <x:c r="E548" s="62" t="b">
        <x:v>1</x:v>
      </x:c>
      <x:c r="F548" s="62" t="b">
        <x:v>0</x:v>
      </x:c>
      <x:c r="G548" s="85" t="n">
        <x:v>291786.9796234141</x:v>
      </x:c>
      <x:c r="H548" s="85" t="n">
        <x:v>3632098.0936215953</x:v>
      </x:c>
      <x:c r="I548" s="85" t="n">
        <x:v>10663346.177784244</x:v>
      </x:c>
      <x:c r="J548" s="85" t="n">
        <x:v>15608320.000000002</x:v>
      </x:c>
      <x:c r="K548" s="85" t="n">
        <x:v>0</x:v>
      </x:c>
      <x:c r="L548" s="28" t="n">
        <x:v>45</x:v>
      </x:c>
      <x:c r="M548" s="28" t="n">
        <x:v>32</x:v>
      </x:c>
      <x:c r="N548" s="28" t="n">
        <x:v>2.3283064365386963e-10</x:v>
      </x:c>
      <x:c r="O548" s="28" t="n">
        <x:v>3.725290298461914e-9</x:v>
      </x:c>
      <x:c r="P548" s="28" t="n">
        <x:v>0</x:v>
      </x:c>
      <x:c r="Q548" s="62" t="b">
        <x:v>1</x:v>
      </x:c>
      <x:c r="R548" s="28" t="n">
        <x:v>0</x:v>
      </x:c>
      <x:c r="S548" s="28" t="str">
        <x:v>94c1e6e0a890e419</x:v>
      </x:c>
    </x:row>
    <x:row r="549" ht="21" customHeight="1">
      <x:c r="A549" s="60" t="n">
        <x:v>0.62</x:v>
      </x:c>
      <x:c r="B549" s="28" t="str">
        <x:v>front_low</x:v>
      </x:c>
      <x:c r="C549" s="60" t="n">
        <x:v>0.8</x:v>
      </x:c>
      <x:c r="D549" s="60" t="n">
        <x:v>0.8</x:v>
      </x:c>
      <x:c r="E549" s="62" t="b">
        <x:v>1</x:v>
      </x:c>
      <x:c r="F549" s="62" t="b">
        <x:v>0</x:v>
      </x:c>
      <x:c r="G549" s="85" t="n">
        <x:v>453570.6392775865</x:v>
      </x:c>
      <x:c r="H549" s="85" t="n">
        <x:v>5535532.159977003</x:v>
      </x:c>
      <x:c r="I549" s="85" t="n">
        <x:v>10831480.62177534</x:v>
      </x:c>
      <x:c r="J549" s="85" t="n">
        <x:v>15608320.000000002</x:v>
      </x:c>
      <x:c r="K549" s="85" t="n">
        <x:v>0</x:v>
      </x:c>
      <x:c r="L549" s="28" t="n">
        <x:v>46</x:v>
      </x:c>
      <x:c r="M549" s="28" t="n">
        <x:v>34</x:v>
      </x:c>
      <x:c r="N549" s="28" t="n">
        <x:v>2.3283064365386963e-10</x:v>
      </x:c>
      <x:c r="O549" s="28" t="n">
        <x:v>3.725290298461914e-9</x:v>
      </x:c>
      <x:c r="P549" s="28" t="n">
        <x:v>0</x:v>
      </x:c>
      <x:c r="Q549" s="62" t="b">
        <x:v>1</x:v>
      </x:c>
      <x:c r="R549" s="28" t="n">
        <x:v>0</x:v>
      </x:c>
      <x:c r="S549" s="28" t="str">
        <x:v>30c7cd33507b8099</x:v>
      </x:c>
    </x:row>
    <x:row r="550" ht="21" customHeight="1">
      <x:c r="A550" s="60" t="n">
        <x:v>0.62</x:v>
      </x:c>
      <x:c r="B550" s="28" t="str">
        <x:v>front_low</x:v>
      </x:c>
      <x:c r="C550" s="60" t="n">
        <x:v>0.85</x:v>
      </x:c>
      <x:c r="D550" s="60" t="n">
        <x:v>0.85</x:v>
      </x:c>
      <x:c r="E550" s="62" t="b">
        <x:v>1</x:v>
      </x:c>
      <x:c r="F550" s="62" t="b">
        <x:v>0</x:v>
      </x:c>
      <x:c r="G550" s="85" t="n">
        <x:v>645563.4875981243</x:v>
      </x:c>
      <x:c r="H550" s="85" t="n">
        <x:v>7562028.3603316285</x:v>
      </x:c>
      <x:c r="I550" s="85" t="n">
        <x:v>10838193.65472534</x:v>
      </x:c>
      <x:c r="J550" s="85" t="n">
        <x:v>15608320.000000002</x:v>
      </x:c>
      <x:c r="K550" s="85" t="n">
        <x:v>0</x:v>
      </x:c>
      <x:c r="L550" s="28" t="n">
        <x:v>46</x:v>
      </x:c>
      <x:c r="M550" s="28" t="n">
        <x:v>36</x:v>
      </x:c>
      <x:c r="N550" s="28" t="n">
        <x:v>4.656612873077393e-10</x:v>
      </x:c>
      <x:c r="O550" s="28" t="n">
        <x:v>1.862645149230957e-9</x:v>
      </x:c>
      <x:c r="P550" s="28" t="n">
        <x:v>0</x:v>
      </x:c>
      <x:c r="Q550" s="62" t="b">
        <x:v>1</x:v>
      </x:c>
      <x:c r="R550" s="28" t="n">
        <x:v>0</x:v>
      </x:c>
      <x:c r="S550" s="28" t="str">
        <x:v>585f56b21159f5c6</x:v>
      </x:c>
    </x:row>
    <x:row r="551" ht="21" customHeight="1">
      <x:c r="A551" s="60" t="n">
        <x:v>0.62</x:v>
      </x:c>
      <x:c r="B551" s="28" t="str">
        <x:v>front_low</x:v>
      </x:c>
      <x:c r="C551" s="60" t="n">
        <x:v>0.9</x:v>
      </x:c>
      <x:c r="D551" s="60" t="n">
        <x:v>0.9</x:v>
      </x:c>
      <x:c r="E551" s="62" t="b">
        <x:v>1</x:v>
      </x:c>
      <x:c r="F551" s="62" t="b">
        <x:v>0</x:v>
      </x:c>
      <x:c r="G551" s="85" t="n">
        <x:v>879093.9612611465</x:v>
      </x:c>
      <x:c r="H551" s="85" t="n">
        <x:v>9529139.219283948</x:v>
      </x:c>
      <x:c r="I551" s="85" t="n">
        <x:v>10844906.68767534</x:v>
      </x:c>
      <x:c r="J551" s="85" t="n">
        <x:v>15608320.000000002</x:v>
      </x:c>
      <x:c r="K551" s="85" t="n">
        <x:v>0</x:v>
      </x:c>
      <x:c r="L551" s="28" t="n">
        <x:v>46</x:v>
      </x:c>
      <x:c r="M551" s="28" t="n">
        <x:v>37</x:v>
      </x:c>
      <x:c r="N551" s="28" t="n">
        <x:v>2.3283064365386963e-10</x:v>
      </x:c>
      <x:c r="O551" s="28" t="n">
        <x:v>3.725290298461914e-9</x:v>
      </x:c>
      <x:c r="P551" s="28" t="n">
        <x:v>0</x:v>
      </x:c>
      <x:c r="Q551" s="62" t="b">
        <x:v>1</x:v>
      </x:c>
      <x:c r="R551" s="28" t="n">
        <x:v>0</x:v>
      </x:c>
      <x:c r="S551" s="28" t="str">
        <x:v>3074b062d1196ce8</x:v>
      </x:c>
    </x:row>
    <x:row r="552" ht="21" customHeight="1">
      <x:c r="A552" s="60" t="n">
        <x:v>0.62</x:v>
      </x:c>
      <x:c r="B552" s="28" t="str">
        <x:v>front_low</x:v>
      </x:c>
      <x:c r="C552" s="60" t="n">
        <x:v>0.95</x:v>
      </x:c>
      <x:c r="D552" s="60" t="n">
        <x:v>0.9427119459478259</x:v>
      </x:c>
      <x:c r="E552" s="62" t="b">
        <x:v>0</x:v>
      </x:c>
      <x:c r="F552" s="62" t="b">
        <x:v>0</x:v>
      </x:c>
      <x:c r="G552" s="85" t="n">
        <x:v>1252998.8754244528</x:v>
      </x:c>
      <x:c r="H552" s="85" t="n">
        <x:v>10986201.675032439</x:v>
      </x:c>
      <x:c r="I552" s="85" t="n">
        <x:v>10851619.72062534</x:v>
      </x:c>
      <x:c r="J552" s="85" t="n">
        <x:v>15608320.000000002</x:v>
      </x:c>
      <x:c r="K552" s="85" t="n">
        <x:v>0</x:v>
      </x:c>
      <x:c r="L552" s="28" t="n">
        <x:v>46</x:v>
      </x:c>
      <x:c r="M552" s="28" t="n">
        <x:v>38</x:v>
      </x:c>
      <x:c r="N552" s="28" t="n">
        <x:v>2.3283064365386963e-10</x:v>
      </x:c>
      <x:c r="O552" s="28" t="n">
        <x:v>1.862645149230957e-9</x:v>
      </x:c>
      <x:c r="P552" s="28" t="n">
        <x:v>0</x:v>
      </x:c>
      <x:c r="Q552" s="62" t="b">
        <x:v>1</x:v>
      </x:c>
      <x:c r="R552" s="28" t="n">
        <x:v>406265.28508438915</x:v>
      </x:c>
      <x:c r="S552" s="28" t="str">
        <x:v>49a47b8d47b2d772</x:v>
      </x:c>
    </x:row>
    <x:row r="553" ht="21" customHeight="1">
      <x:c r="A553" s="60" t="n">
        <x:v>0.62</x:v>
      </x:c>
      <x:c r="B553" s="28" t="str">
        <x:v>front_low</x:v>
      </x:c>
      <x:c r="C553" s="60" t="n">
        <x:v>1</x:v>
      </x:c>
      <x:c r="D553" s="60" t="n">
        <x:v>0.9596721012870685</x:v>
      </x:c>
      <x:c r="E553" s="62" t="b">
        <x:v>0</x:v>
      </x:c>
      <x:c r="F553" s="62" t="b">
        <x:v>0</x:v>
      </x:c>
      <x:c r="G553" s="85" t="n">
        <x:v>1395486.161999372</x:v>
      </x:c>
      <x:c r="H553" s="85" t="n">
        <x:v>11742454.506530434</x:v>
      </x:c>
      <x:c r="I553" s="85" t="n">
        <x:v>10858332.75357534</x:v>
      </x:c>
      <x:c r="J553" s="85" t="n">
        <x:v>15608320.000000002</x:v>
      </x:c>
      <x:c r="K553" s="85" t="n">
        <x:v>0</x:v>
      </x:c>
      <x:c r="L553" s="28" t="n">
        <x:v>46</x:v>
      </x:c>
      <x:c r="M553" s="28" t="n">
        <x:v>40</x:v>
      </x:c>
      <x:c r="N553" s="28" t="n">
        <x:v>2.3283064365386963e-10</x:v>
      </x:c>
      <x:c r="O553" s="28" t="n">
        <x:v>1.862645149230957e-9</x:v>
      </x:c>
      <x:c r="P553" s="28" t="n">
        <x:v>0</x:v>
      </x:c>
      <x:c r="Q553" s="62" t="b">
        <x:v>1</x:v>
      </x:c>
      <x:c r="R553" s="28" t="n">
        <x:v>2248038.3858536556</x:v>
      </x:c>
      <x:c r="S553" s="28" t="str">
        <x:v>d1ea0416d79189a3</x:v>
      </x:c>
    </x:row>
    <x:row r="554" ht="21" customHeight="1">
      <x:c r="A554" s="60" t="n">
        <x:v>0.62</x:v>
      </x:c>
      <x:c r="B554" s="28" t="str">
        <x:v>front_high</x:v>
      </x:c>
      <x:c r="C554" s="60" t="n">
        <x:v>0</x:v>
      </x:c>
      <x:c r="D554" s="60" t="n">
        <x:v>0</x:v>
      </x:c>
      <x:c r="E554" s="62" t="b">
        <x:v>1</x:v>
      </x:c>
      <x:c r="F554" s="62" t="b">
        <x:v>1</x:v>
      </x:c>
      <x:c r="G554" s="85" t="n">
        <x:v>0</x:v>
      </x:c>
      <x:c r="H554" s="85" t="n">
        <x:v>0</x:v>
      </x:c>
      <x:c r="I554" s="85" t="n">
        <x:v>0</x:v>
      </x:c>
      <x:c r="J554" s="85" t="n">
        <x:v>0</x:v>
      </x:c>
      <x:c r="K554" s="85" t="n">
        <x:v>6712462.148383557</x:v>
      </x:c>
      <x:c r="L554" s="28" t="n">
        <x:v>0</x:v>
      </x:c>
      <x:c r="M554" s="28" t="n">
        <x:v>0</x:v>
      </x:c>
      <x:c r="N554" s="28" t="n">
        <x:v>4.656612873077393e-10</x:v>
      </x:c>
      <x:c r="O554" s="28" t="n">
        <x:v>0</x:v>
      </x:c>
      <x:c r="P554" s="28" t="n">
        <x:v>0</x:v>
      </x:c>
      <x:c r="Q554" s="62" t="b">
        <x:v>1</x:v>
      </x:c>
      <x:c r="R554" s="28" t="n">
        <x:v>0</x:v>
      </x:c>
      <x:c r="S554" s="28" t="str">
        <x:v>8e4fc0ff1beeea52</x:v>
      </x:c>
    </x:row>
    <x:row r="555" ht="21" customHeight="1">
      <x:c r="A555" s="60" t="n">
        <x:v>0.62</x:v>
      </x:c>
      <x:c r="B555" s="28" t="str">
        <x:v>front_high</x:v>
      </x:c>
      <x:c r="C555" s="60" t="n">
        <x:v>0.05</x:v>
      </x:c>
      <x:c r="D555" s="60" t="n">
        <x:v>0.05</x:v>
      </x:c>
      <x:c r="E555" s="62" t="b">
        <x:v>1</x:v>
      </x:c>
      <x:c r="F555" s="62" t="b">
        <x:v>1</x:v>
      </x:c>
      <x:c r="G555" s="85" t="n">
        <x:v>0</x:v>
      </x:c>
      <x:c r="H555" s="85" t="n">
        <x:v>0</x:v>
      </x:c>
      <x:c r="I555" s="85" t="n">
        <x:v>0</x:v>
      </x:c>
      <x:c r="J555" s="85" t="n">
        <x:v>0</x:v>
      </x:c>
      <x:c r="K555" s="85" t="n">
        <x:v>4111728.5280143563</x:v>
      </x:c>
      <x:c r="L555" s="28" t="n">
        <x:v>0</x:v>
      </x:c>
      <x:c r="M555" s="28" t="n">
        <x:v>0</x:v>
      </x:c>
      <x:c r="N555" s="28" t="n">
        <x:v>9.313225746154785e-10</x:v>
      </x:c>
      <x:c r="O555" s="28" t="n">
        <x:v>7.450580596923828e-9</x:v>
      </x:c>
      <x:c r="P555" s="28" t="n">
        <x:v>0</x:v>
      </x:c>
      <x:c r="Q555" s="62" t="b">
        <x:v>1</x:v>
      </x:c>
      <x:c r="R555" s="28" t="n">
        <x:v>0</x:v>
      </x:c>
      <x:c r="S555" s="28" t="str">
        <x:v>9b0195410cc57c96</x:v>
      </x:c>
    </x:row>
    <x:row r="556" ht="21" customHeight="1">
      <x:c r="A556" s="60" t="n">
        <x:v>0.62</x:v>
      </x:c>
      <x:c r="B556" s="28" t="str">
        <x:v>front_high</x:v>
      </x:c>
      <x:c r="C556" s="60" t="n">
        <x:v>0.1</x:v>
      </x:c>
      <x:c r="D556" s="60" t="n">
        <x:v>0.1</x:v>
      </x:c>
      <x:c r="E556" s="62" t="b">
        <x:v>1</x:v>
      </x:c>
      <x:c r="F556" s="62" t="b">
        <x:v>1</x:v>
      </x:c>
      <x:c r="G556" s="85" t="n">
        <x:v>0</x:v>
      </x:c>
      <x:c r="H556" s="85" t="n">
        <x:v>0</x:v>
      </x:c>
      <x:c r="I556" s="85" t="n">
        <x:v>0</x:v>
      </x:c>
      <x:c r="J556" s="85" t="n">
        <x:v>0</x:v>
      </x:c>
      <x:c r="K556" s="85" t="n">
        <x:v>1510379.4438370503</x:v>
      </x:c>
      <x:c r="L556" s="28" t="n">
        <x:v>0</x:v>
      </x:c>
      <x:c r="M556" s="28" t="n">
        <x:v>0</x:v>
      </x:c>
      <x:c r="N556" s="28" t="n">
        <x:v>4.656612873077393e-10</x:v>
      </x:c>
      <x:c r="O556" s="28" t="n">
        <x:v>7.450580596923828e-9</x:v>
      </x:c>
      <x:c r="P556" s="28" t="n">
        <x:v>0</x:v>
      </x:c>
      <x:c r="Q556" s="62" t="b">
        <x:v>1</x:v>
      </x:c>
      <x:c r="R556" s="28" t="n">
        <x:v>0</x:v>
      </x:c>
      <x:c r="S556" s="28" t="str">
        <x:v>35a535f3a08614fc</x:v>
      </x:c>
    </x:row>
    <x:row r="557" ht="21" customHeight="1">
      <x:c r="A557" s="60" t="n">
        <x:v>0.62</x:v>
      </x:c>
      <x:c r="B557" s="28" t="str">
        <x:v>front_high</x:v>
      </x:c>
      <x:c r="C557" s="60" t="n">
        <x:v>0.15</x:v>
      </x:c>
      <x:c r="D557" s="60" t="n">
        <x:v>0.15</x:v>
      </x:c>
      <x:c r="E557" s="62" t="b">
        <x:v>1</x:v>
      </x:c>
      <x:c r="F557" s="62" t="b">
        <x:v>1</x:v>
      </x:c>
      <x:c r="G557" s="85" t="n">
        <x:v>0</x:v>
      </x:c>
      <x:c r="H557" s="85" t="n">
        <x:v>0</x:v>
      </x:c>
      <x:c r="I557" s="85" t="n">
        <x:v>1059361.8757489799</x:v>
      </x:c>
      <x:c r="J557" s="85" t="n">
        <x:v>0</x:v>
      </x:c>
      <x:c r="K557" s="85" t="n">
        <x:v>128523.04827054768</x:v>
      </x:c>
      <x:c r="L557" s="28" t="n">
        <x:v>0</x:v>
      </x:c>
      <x:c r="M557" s="28" t="n">
        <x:v>0</x:v>
      </x:c>
      <x:c r="N557" s="28" t="n">
        <x:v>9.313225746154785e-10</x:v>
      </x:c>
      <x:c r="O557" s="28" t="n">
        <x:v>7.450580596923828e-9</x:v>
      </x:c>
      <x:c r="P557" s="28" t="n">
        <x:v>0</x:v>
      </x:c>
      <x:c r="Q557" s="62" t="b">
        <x:v>1</x:v>
      </x:c>
      <x:c r="R557" s="28" t="n">
        <x:v>0</x:v>
      </x:c>
      <x:c r="S557" s="28" t="str">
        <x:v>6e32f58d842efe5f</x:v>
      </x:c>
    </x:row>
    <x:row r="558" ht="21" customHeight="1">
      <x:c r="A558" s="60" t="n">
        <x:v>0.62</x:v>
      </x:c>
      <x:c r="B558" s="28" t="str">
        <x:v>front_high</x:v>
      </x:c>
      <x:c r="C558" s="60" t="n">
        <x:v>0.2</x:v>
      </x:c>
      <x:c r="D558" s="60" t="n">
        <x:v>0.2</x:v>
      </x:c>
      <x:c r="E558" s="62" t="b">
        <x:v>1</x:v>
      </x:c>
      <x:c r="F558" s="62" t="b">
        <x:v>1</x:v>
      </x:c>
      <x:c r="G558" s="85" t="n">
        <x:v>0</x:v>
      </x:c>
      <x:c r="H558" s="85" t="n">
        <x:v>0</x:v>
      </x:c>
      <x:c r="I558" s="85" t="n">
        <x:v>3109504.5235491316</x:v>
      </x:c>
      <x:c r="J558" s="85" t="n">
        <x:v>1254093.4388721196</x:v>
      </x:c>
      <x:c r="K558" s="85" t="n">
        <x:v>80109.10215068553</x:v>
      </x:c>
      <x:c r="L558" s="28" t="n">
        <x:v>0</x:v>
      </x:c>
      <x:c r="M558" s="28" t="n">
        <x:v>0</x:v>
      </x:c>
      <x:c r="N558" s="28" t="n">
        <x:v>4.656612873077393e-10</x:v>
      </x:c>
      <x:c r="O558" s="28" t="n">
        <x:v>7.450580596923828e-9</x:v>
      </x:c>
      <x:c r="P558" s="28" t="n">
        <x:v>0</x:v>
      </x:c>
      <x:c r="Q558" s="62" t="b">
        <x:v>1</x:v>
      </x:c>
      <x:c r="R558" s="28" t="n">
        <x:v>0</x:v>
      </x:c>
      <x:c r="S558" s="28" t="str">
        <x:v>6d75bb9d672b77ed</x:v>
      </x:c>
    </x:row>
    <x:row r="559" ht="21" customHeight="1">
      <x:c r="A559" s="60" t="n">
        <x:v>0.62</x:v>
      </x:c>
      <x:c r="B559" s="28" t="str">
        <x:v>front_high</x:v>
      </x:c>
      <x:c r="C559" s="60" t="n">
        <x:v>0.25</x:v>
      </x:c>
      <x:c r="D559" s="60" t="n">
        <x:v>0.25</x:v>
      </x:c>
      <x:c r="E559" s="62" t="b">
        <x:v>1</x:v>
      </x:c>
      <x:c r="F559" s="62" t="b">
        <x:v>1</x:v>
      </x:c>
      <x:c r="G559" s="85" t="n">
        <x:v>0</x:v>
      </x:c>
      <x:c r="H559" s="85" t="n">
        <x:v>0</x:v>
      </x:c>
      <x:c r="I559" s="85" t="n">
        <x:v>4934275.019696673</x:v>
      </x:c>
      <x:c r="J559" s="85" t="n">
        <x:v>2961216.798590132</x:v>
      </x:c>
      <x:c r="K559" s="85" t="n">
        <x:v>62485.46681164393</x:v>
      </x:c>
      <x:c r="L559" s="28" t="n">
        <x:v>0</x:v>
      </x:c>
      <x:c r="M559" s="28" t="n">
        <x:v>0</x:v>
      </x:c>
      <x:c r="N559" s="28" t="n">
        <x:v>9.313225746154785e-10</x:v>
      </x:c>
      <x:c r="O559" s="28" t="n">
        <x:v>3.725290298461914e-9</x:v>
      </x:c>
      <x:c r="P559" s="28" t="n">
        <x:v>0</x:v>
      </x:c>
      <x:c r="Q559" s="62" t="b">
        <x:v>1</x:v>
      </x:c>
      <x:c r="R559" s="28" t="n">
        <x:v>0</x:v>
      </x:c>
      <x:c r="S559" s="28" t="str">
        <x:v>cabb3d3f3130ccd7</x:v>
      </x:c>
    </x:row>
    <x:row r="560" ht="21" customHeight="1">
      <x:c r="A560" s="60" t="n">
        <x:v>0.62</x:v>
      </x:c>
      <x:c r="B560" s="28" t="str">
        <x:v>front_high</x:v>
      </x:c>
      <x:c r="C560" s="60" t="n">
        <x:v>0.3</x:v>
      </x:c>
      <x:c r="D560" s="60" t="n">
        <x:v>0.3</x:v>
      </x:c>
      <x:c r="E560" s="62" t="b">
        <x:v>1</x:v>
      </x:c>
      <x:c r="F560" s="62" t="b">
        <x:v>1</x:v>
      </x:c>
      <x:c r="G560" s="85" t="n">
        <x:v>0</x:v>
      </x:c>
      <x:c r="H560" s="85" t="n">
        <x:v>0</x:v>
      </x:c>
      <x:c r="I560" s="85" t="n">
        <x:v>6784425.971104507</x:v>
      </x:c>
      <x:c r="J560" s="85" t="n">
        <x:v>4668340.158308164</x:v>
      </x:c>
      <x:c r="K560" s="85" t="n">
        <x:v>44861.83147260302</x:v>
      </x:c>
      <x:c r="L560" s="28" t="n">
        <x:v>0</x:v>
      </x:c>
      <x:c r="M560" s="28" t="n">
        <x:v>0</x:v>
      </x:c>
      <x:c r="N560" s="28" t="n">
        <x:v>4.656612873077393e-10</x:v>
      </x:c>
      <x:c r="O560" s="28" t="n">
        <x:v>7.450580596923828e-9</x:v>
      </x:c>
      <x:c r="P560" s="28" t="n">
        <x:v>0</x:v>
      </x:c>
      <x:c r="Q560" s="62" t="b">
        <x:v>1</x:v>
      </x:c>
      <x:c r="R560" s="28" t="n">
        <x:v>0</x:v>
      </x:c>
      <x:c r="S560" s="28" t="str">
        <x:v>2821f8e907fcbd15</x:v>
      </x:c>
    </x:row>
    <x:row r="561" ht="21" customHeight="1">
      <x:c r="A561" s="60" t="n">
        <x:v>0.62</x:v>
      </x:c>
      <x:c r="B561" s="28" t="str">
        <x:v>front_high</x:v>
      </x:c>
      <x:c r="C561" s="60" t="n">
        <x:v>0.35</x:v>
      </x:c>
      <x:c r="D561" s="60" t="n">
        <x:v>0.35</x:v>
      </x:c>
      <x:c r="E561" s="62" t="b">
        <x:v>1</x:v>
      </x:c>
      <x:c r="F561" s="62" t="b">
        <x:v>1</x:v>
      </x:c>
      <x:c r="G561" s="85" t="n">
        <x:v>0</x:v>
      </x:c>
      <x:c r="H561" s="85" t="n">
        <x:v>0</x:v>
      </x:c>
      <x:c r="I561" s="85" t="n">
        <x:v>8636945.297101373</x:v>
      </x:c>
      <x:c r="J561" s="85" t="n">
        <x:v>6375463.518026188</x:v>
      </x:c>
      <x:c r="K561" s="85" t="n">
        <x:v>27238.19613356189</x:v>
      </x:c>
      <x:c r="L561" s="28" t="n">
        <x:v>0</x:v>
      </x:c>
      <x:c r="M561" s="28" t="n">
        <x:v>0</x:v>
      </x:c>
      <x:c r="N561" s="28" t="n">
        <x:v>2.3283064365386963e-10</x:v>
      </x:c>
      <x:c r="O561" s="28" t="n">
        <x:v>7.450580596923828e-9</x:v>
      </x:c>
      <x:c r="P561" s="28" t="n">
        <x:v>0</x:v>
      </x:c>
      <x:c r="Q561" s="62" t="b">
        <x:v>1</x:v>
      </x:c>
      <x:c r="R561" s="28" t="n">
        <x:v>0</x:v>
      </x:c>
      <x:c r="S561" s="28" t="str">
        <x:v>1fb82c6c4dad4c91</x:v>
      </x:c>
    </x:row>
    <x:row r="562" ht="21" customHeight="1">
      <x:c r="A562" s="60" t="n">
        <x:v>0.62</x:v>
      </x:c>
      <x:c r="B562" s="28" t="str">
        <x:v>front_high</x:v>
      </x:c>
      <x:c r="C562" s="60" t="n">
        <x:v>0.4</x:v>
      </x:c>
      <x:c r="D562" s="60" t="n">
        <x:v>0.4</x:v>
      </x:c>
      <x:c r="E562" s="62" t="b">
        <x:v>1</x:v>
      </x:c>
      <x:c r="F562" s="62" t="b">
        <x:v>1</x:v>
      </x:c>
      <x:c r="G562" s="85" t="n">
        <x:v>0</x:v>
      </x:c>
      <x:c r="H562" s="85" t="n">
        <x:v>0</x:v>
      </x:c>
      <x:c r="I562" s="85" t="n">
        <x:v>10482727.929927014</x:v>
      </x:c>
      <x:c r="J562" s="85" t="n">
        <x:v>8082586.877744222</x:v>
      </x:c>
      <x:c r="K562" s="85" t="n">
        <x:v>20637.056712328784</x:v>
      </x:c>
      <x:c r="L562" s="28" t="n">
        <x:v>0</x:v>
      </x:c>
      <x:c r="M562" s="28" t="n">
        <x:v>0</x:v>
      </x:c>
      <x:c r="N562" s="28" t="n">
        <x:v>4.656612873077393e-10</x:v>
      </x:c>
      <x:c r="O562" s="28" t="n">
        <x:v>7.450580596923828e-9</x:v>
      </x:c>
      <x:c r="P562" s="28" t="n">
        <x:v>0</x:v>
      </x:c>
      <x:c r="Q562" s="62" t="b">
        <x:v>1</x:v>
      </x:c>
      <x:c r="R562" s="28" t="n">
        <x:v>0</x:v>
      </x:c>
      <x:c r="S562" s="28" t="str">
        <x:v>cc031263b561a795</x:v>
      </x:c>
    </x:row>
    <x:row r="563" ht="21" customHeight="1">
      <x:c r="A563" s="60" t="n">
        <x:v>0.62</x:v>
      </x:c>
      <x:c r="B563" s="28" t="str">
        <x:v>front_high</x:v>
      </x:c>
      <x:c r="C563" s="60" t="n">
        <x:v>0.45</x:v>
      </x:c>
      <x:c r="D563" s="60" t="n">
        <x:v>0.45</x:v>
      </x:c>
      <x:c r="E563" s="62" t="b">
        <x:v>1</x:v>
      </x:c>
      <x:c r="F563" s="62" t="b">
        <x:v>1</x:v>
      </x:c>
      <x:c r="G563" s="85" t="n">
        <x:v>0</x:v>
      </x:c>
      <x:c r="H563" s="85" t="n">
        <x:v>0</x:v>
      </x:c>
      <x:c r="I563" s="85" t="n">
        <x:v>12328378.76177954</x:v>
      </x:c>
      <x:c r="J563" s="85" t="n">
        <x:v>9789710.237462243</x:v>
      </x:c>
      <x:c r="K563" s="85" t="n">
        <x:v>14739.475376712486</x:v>
      </x:c>
      <x:c r="L563" s="28" t="n">
        <x:v>0</x:v>
      </x:c>
      <x:c r="M563" s="28" t="n">
        <x:v>0</x:v>
      </x:c>
      <x:c r="N563" s="28" t="n">
        <x:v>2.3283064365386963e-10</x:v>
      </x:c>
      <x:c r="O563" s="28" t="n">
        <x:v>3.725290298461914e-9</x:v>
      </x:c>
      <x:c r="P563" s="28" t="n">
        <x:v>0</x:v>
      </x:c>
      <x:c r="Q563" s="62" t="b">
        <x:v>1</x:v>
      </x:c>
      <x:c r="R563" s="28" t="n">
        <x:v>0</x:v>
      </x:c>
      <x:c r="S563" s="28" t="str">
        <x:v>0e497c5a56cb61ba</x:v>
      </x:c>
    </x:row>
    <x:row r="564" ht="21" customHeight="1">
      <x:c r="A564" s="60" t="n">
        <x:v>0.62</x:v>
      </x:c>
      <x:c r="B564" s="28" t="str">
        <x:v>front_high</x:v>
      </x:c>
      <x:c r="C564" s="60" t="n">
        <x:v>0.5</x:v>
      </x:c>
      <x:c r="D564" s="60" t="n">
        <x:v>0.5</x:v>
      </x:c>
      <x:c r="E564" s="62" t="b">
        <x:v>1</x:v>
      </x:c>
      <x:c r="F564" s="62" t="b">
        <x:v>1</x:v>
      </x:c>
      <x:c r="G564" s="85" t="n">
        <x:v>0</x:v>
      </x:c>
      <x:c r="H564" s="85" t="n">
        <x:v>0</x:v>
      </x:c>
      <x:c r="I564" s="85" t="n">
        <x:v>14299745.962470245</x:v>
      </x:c>
      <x:c r="J564" s="85" t="n">
        <x:v>10621536.374960054</x:v>
      </x:c>
      <x:c r="K564" s="85" t="n">
        <x:v>8841.89404109549</x:v>
      </x:c>
      <x:c r="L564" s="28" t="n">
        <x:v>5</x:v>
      </x:c>
      <x:c r="M564" s="28" t="n">
        <x:v>0</x:v>
      </x:c>
      <x:c r="N564" s="28" t="n">
        <x:v>4.656612873077393e-10</x:v>
      </x:c>
      <x:c r="O564" s="28" t="n">
        <x:v>7.450580596923828e-9</x:v>
      </x:c>
      <x:c r="P564" s="28" t="n">
        <x:v>0</x:v>
      </x:c>
      <x:c r="Q564" s="62" t="b">
        <x:v>1</x:v>
      </x:c>
      <x:c r="R564" s="28" t="n">
        <x:v>0</x:v>
      </x:c>
      <x:c r="S564" s="28" t="str">
        <x:v>f51d83937b42be29</x:v>
      </x:c>
    </x:row>
    <x:row r="565" ht="21" customHeight="1">
      <x:c r="A565" s="60" t="n">
        <x:v>0.62</x:v>
      </x:c>
      <x:c r="B565" s="28" t="str">
        <x:v>front_high</x:v>
      </x:c>
      <x:c r="C565" s="60" t="n">
        <x:v>0.55</x:v>
      </x:c>
      <x:c r="D565" s="60" t="n">
        <x:v>0.55</x:v>
      </x:c>
      <x:c r="E565" s="62" t="b">
        <x:v>1</x:v>
      </x:c>
      <x:c r="F565" s="62" t="b">
        <x:v>1</x:v>
      </x:c>
      <x:c r="G565" s="85" t="n">
        <x:v>0</x:v>
      </x:c>
      <x:c r="H565" s="85" t="n">
        <x:v>0</x:v>
      </x:c>
      <x:c r="I565" s="85" t="n">
        <x:v>16202777.042548059</x:v>
      </x:c>
      <x:c r="J565" s="85" t="n">
        <x:v>11181279.545997906</x:v>
      </x:c>
      <x:c r="K565" s="85" t="n">
        <x:v>2944.312705479191</x:v>
      </x:c>
      <x:c r="L565" s="28" t="n">
        <x:v>11</x:v>
      </x:c>
      <x:c r="M565" s="28" t="n">
        <x:v>0</x:v>
      </x:c>
      <x:c r="N565" s="28" t="n">
        <x:v>4.656612873077393e-10</x:v>
      </x:c>
      <x:c r="O565" s="28" t="n">
        <x:v>3.725290298461914e-9</x:v>
      </x:c>
      <x:c r="P565" s="28" t="n">
        <x:v>0</x:v>
      </x:c>
      <x:c r="Q565" s="62" t="b">
        <x:v>1</x:v>
      </x:c>
      <x:c r="R565" s="28" t="n">
        <x:v>0</x:v>
      </x:c>
      <x:c r="S565" s="28" t="str">
        <x:v>6361ebd788d7f45b</x:v>
      </x:c>
    </x:row>
    <x:row r="566" ht="21" customHeight="1">
      <x:c r="A566" s="60" t="n">
        <x:v>0.62</x:v>
      </x:c>
      <x:c r="B566" s="28" t="str">
        <x:v>front_high</x:v>
      </x:c>
      <x:c r="C566" s="60" t="n">
        <x:v>0.6</x:v>
      </x:c>
      <x:c r="D566" s="60" t="n">
        <x:v>0.6</x:v>
      </x:c>
      <x:c r="E566" s="62" t="b">
        <x:v>1</x:v>
      </x:c>
      <x:c r="F566" s="62" t="b">
        <x:v>1</x:v>
      </x:c>
      <x:c r="G566" s="85" t="n">
        <x:v>0</x:v>
      </x:c>
      <x:c r="H566" s="85" t="n">
        <x:v>0</x:v>
      </x:c>
      <x:c r="I566" s="85" t="n">
        <x:v>18061105.60007382</x:v>
      </x:c>
      <x:c r="J566" s="85" t="n">
        <x:v>12360185.3663853</x:v>
      </x:c>
      <x:c r="K566" s="85" t="n">
        <x:v>0</x:v>
      </x:c>
      <x:c r="L566" s="28" t="n">
        <x:v>17</x:v>
      </x:c>
      <x:c r="M566" s="28" t="n">
        <x:v>0</x:v>
      </x:c>
      <x:c r="N566" s="28" t="n">
        <x:v>4.656612873077393e-10</x:v>
      </x:c>
      <x:c r="O566" s="28" t="n">
        <x:v>3.725290298461914e-9</x:v>
      </x:c>
      <x:c r="P566" s="28" t="n">
        <x:v>0</x:v>
      </x:c>
      <x:c r="Q566" s="62" t="b">
        <x:v>1</x:v>
      </x:c>
      <x:c r="R566" s="28" t="n">
        <x:v>0</x:v>
      </x:c>
      <x:c r="S566" s="28" t="str">
        <x:v>2befb872ba47fc92</x:v>
      </x:c>
    </x:row>
    <x:row r="567" ht="21" customHeight="1">
      <x:c r="A567" s="60" t="n">
        <x:v>0.62</x:v>
      </x:c>
      <x:c r="B567" s="28" t="str">
        <x:v>front_high</x:v>
      </x:c>
      <x:c r="C567" s="60" t="n">
        <x:v>0.65</x:v>
      </x:c>
      <x:c r="D567" s="60" t="n">
        <x:v>0.65</x:v>
      </x:c>
      <x:c r="E567" s="62" t="b">
        <x:v>1</x:v>
      </x:c>
      <x:c r="F567" s="62" t="b">
        <x:v>1</x:v>
      </x:c>
      <x:c r="G567" s="85" t="n">
        <x:v>0</x:v>
      </x:c>
      <x:c r="H567" s="85" t="n">
        <x:v>0</x:v>
      </x:c>
      <x:c r="I567" s="85" t="n">
        <x:v>19822099.800808553</x:v>
      </x:c>
      <x:c r="J567" s="85" t="n">
        <x:v>14637052.697717767</x:v>
      </x:c>
      <x:c r="K567" s="85" t="n">
        <x:v>0</x:v>
      </x:c>
      <x:c r="L567" s="28" t="n">
        <x:v>22</x:v>
      </x:c>
      <x:c r="M567" s="28" t="n">
        <x:v>12</x:v>
      </x:c>
      <x:c r="N567" s="28" t="n">
        <x:v>4.656612873077393e-10</x:v>
      </x:c>
      <x:c r="O567" s="28" t="n">
        <x:v>3.725290298461914e-9</x:v>
      </x:c>
      <x:c r="P567" s="28" t="n">
        <x:v>0</x:v>
      </x:c>
      <x:c r="Q567" s="62" t="b">
        <x:v>1</x:v>
      </x:c>
      <x:c r="R567" s="28" t="n">
        <x:v>0</x:v>
      </x:c>
      <x:c r="S567" s="28" t="str">
        <x:v>bbe38cca5d28d28c</x:v>
      </x:c>
    </x:row>
    <x:row r="568" ht="21" customHeight="1">
      <x:c r="A568" s="60" t="n">
        <x:v>0.62</x:v>
      </x:c>
      <x:c r="B568" s="28" t="str">
        <x:v>front_high</x:v>
      </x:c>
      <x:c r="C568" s="60" t="n">
        <x:v>0.7</x:v>
      </x:c>
      <x:c r="D568" s="60" t="n">
        <x:v>0.7</x:v>
      </x:c>
      <x:c r="E568" s="62" t="b">
        <x:v>1</x:v>
      </x:c>
      <x:c r="F568" s="62" t="b">
        <x:v>0</x:v>
      </x:c>
      <x:c r="G568" s="85" t="n">
        <x:v>605413.9304569606</x:v>
      </x:c>
      <x:c r="H568" s="85" t="n">
        <x:v>1945966.036182813</x:v>
      </x:c>
      <x:c r="I568" s="85" t="n">
        <x:v>20429749.814815067</x:v>
      </x:c>
      <x:c r="J568" s="85" t="n">
        <x:v>15608320.000000002</x:v>
      </x:c>
      <x:c r="K568" s="85" t="n">
        <x:v>0</x:v>
      </x:c>
      <x:c r="L568" s="28" t="n">
        <x:v>45</x:v>
      </x:c>
      <x:c r="M568" s="28" t="n">
        <x:v>38</x:v>
      </x:c>
      <x:c r="N568" s="28" t="n">
        <x:v>2.3283064365386963e-10</x:v>
      </x:c>
      <x:c r="O568" s="28" t="n">
        <x:v>1.862645149230957e-9</x:v>
      </x:c>
      <x:c r="P568" s="28" t="n">
        <x:v>0</x:v>
      </x:c>
      <x:c r="Q568" s="62" t="b">
        <x:v>1</x:v>
      </x:c>
      <x:c r="R568" s="28" t="n">
        <x:v>0</x:v>
      </x:c>
      <x:c r="S568" s="28" t="str">
        <x:v>2129c47f60767c71</x:v>
      </x:c>
    </x:row>
    <x:row r="569" ht="21" customHeight="1">
      <x:c r="A569" s="60" t="n">
        <x:v>0.62</x:v>
      </x:c>
      <x:c r="B569" s="28" t="str">
        <x:v>front_high</x:v>
      </x:c>
      <x:c r="C569" s="60" t="n">
        <x:v>0.75</x:v>
      </x:c>
      <x:c r="D569" s="60" t="n">
        <x:v>0.75</x:v>
      </x:c>
      <x:c r="E569" s="62" t="b">
        <x:v>1</x:v>
      </x:c>
      <x:c r="F569" s="62" t="b">
        <x:v>0</x:v>
      </x:c>
      <x:c r="G569" s="85" t="n">
        <x:v>1600084.5694054363</x:v>
      </x:c>
      <x:c r="H569" s="85" t="n">
        <x:v>4828545.511865526</x:v>
      </x:c>
      <x:c r="I569" s="85" t="n">
        <x:v>20459212.306756847</x:v>
      </x:c>
      <x:c r="J569" s="85" t="n">
        <x:v>15608320.000000002</x:v>
      </x:c>
      <x:c r="K569" s="85" t="n">
        <x:v>0</x:v>
      </x:c>
      <x:c r="L569" s="28" t="n">
        <x:v>45</x:v>
      </x:c>
      <x:c r="M569" s="28" t="n">
        <x:v>42</x:v>
      </x:c>
      <x:c r="N569" s="28" t="n">
        <x:v>4.656612873077393e-10</x:v>
      </x:c>
      <x:c r="O569" s="28" t="n">
        <x:v>3.725290298461914e-9</x:v>
      </x:c>
      <x:c r="P569" s="28" t="n">
        <x:v>0</x:v>
      </x:c>
      <x:c r="Q569" s="62" t="b">
        <x:v>1</x:v>
      </x:c>
      <x:c r="R569" s="28" t="n">
        <x:v>0</x:v>
      </x:c>
      <x:c r="S569" s="28" t="str">
        <x:v>115181239b63541a</x:v>
      </x:c>
    </x:row>
    <x:row r="570" ht="21" customHeight="1">
      <x:c r="A570" s="60" t="n">
        <x:v>0.62</x:v>
      </x:c>
      <x:c r="B570" s="28" t="str">
        <x:v>front_high</x:v>
      </x:c>
      <x:c r="C570" s="60" t="n">
        <x:v>0.8</x:v>
      </x:c>
      <x:c r="D570" s="60" t="n">
        <x:v>0.8</x:v>
      </x:c>
      <x:c r="E570" s="62" t="b">
        <x:v>1</x:v>
      </x:c>
      <x:c r="F570" s="62" t="b">
        <x:v>0</x:v>
      </x:c>
      <x:c r="G570" s="85" t="n">
        <x:v>2520829.9600854204</x:v>
      </x:c>
      <x:c r="H570" s="85" t="n">
        <x:v>7131992.284356997</x:v>
      </x:c>
      <x:c r="I570" s="85" t="n">
        <x:v>20755668.99854246</x:v>
      </x:c>
      <x:c r="J570" s="85" t="n">
        <x:v>15608320.000000002</x:v>
      </x:c>
      <x:c r="K570" s="85" t="n">
        <x:v>0</x:v>
      </x:c>
      <x:c r="L570" s="28" t="n">
        <x:v>46</x:v>
      </x:c>
      <x:c r="M570" s="28" t="n">
        <x:v>44</x:v>
      </x:c>
      <x:c r="N570" s="28" t="n">
        <x:v>2.3283064365386963e-10</x:v>
      </x:c>
      <x:c r="O570" s="28" t="n">
        <x:v>3.725290298461914e-9</x:v>
      </x:c>
      <x:c r="P570" s="28" t="n">
        <x:v>0</x:v>
      </x:c>
      <x:c r="Q570" s="62" t="b">
        <x:v>1</x:v>
      </x:c>
      <x:c r="R570" s="28" t="n">
        <x:v>0</x:v>
      </x:c>
      <x:c r="S570" s="28" t="str">
        <x:v>366452e7a68644c9</x:v>
      </x:c>
    </x:row>
    <x:row r="571" ht="21" customHeight="1">
      <x:c r="A571" s="60" t="n">
        <x:v>0.62</x:v>
      </x:c>
      <x:c r="B571" s="28" t="str">
        <x:v>front_high</x:v>
      </x:c>
      <x:c r="C571" s="60" t="n">
        <x:v>0.85</x:v>
      </x:c>
      <x:c r="D571" s="60" t="n">
        <x:v>0.85</x:v>
      </x:c>
      <x:c r="E571" s="62" t="b">
        <x:v>1</x:v>
      </x:c>
      <x:c r="F571" s="62" t="b">
        <x:v>0</x:v>
      </x:c>
      <x:c r="G571" s="85" t="n">
        <x:v>3609042.456729911</x:v>
      </x:c>
      <x:c r="H571" s="85" t="n">
        <x:v>9763524.871399235</x:v>
      </x:c>
      <x:c r="I571" s="85" t="n">
        <x:v>20773394.261684243</x:v>
      </x:c>
      <x:c r="J571" s="85" t="n">
        <x:v>15608320.000000002</x:v>
      </x:c>
      <x:c r="K571" s="85" t="n">
        <x:v>0</x:v>
      </x:c>
      <x:c r="L571" s="28" t="n">
        <x:v>46</x:v>
      </x:c>
      <x:c r="M571" s="28" t="n">
        <x:v>44</x:v>
      </x:c>
      <x:c r="N571" s="28" t="n">
        <x:v>4.656612873077393e-10</x:v>
      </x:c>
      <x:c r="O571" s="28" t="n">
        <x:v>1.862645149230957e-9</x:v>
      </x:c>
      <x:c r="P571" s="28" t="n">
        <x:v>0</x:v>
      </x:c>
      <x:c r="Q571" s="62" t="b">
        <x:v>1</x:v>
      </x:c>
      <x:c r="R571" s="28" t="n">
        <x:v>0</x:v>
      </x:c>
      <x:c r="S571" s="28" t="str">
        <x:v>21b69a56ff0f8735</x:v>
      </x:c>
    </x:row>
    <x:row r="572" ht="21" customHeight="1">
      <x:c r="A572" s="60" t="n">
        <x:v>0.62</x:v>
      </x:c>
      <x:c r="B572" s="28" t="str">
        <x:v>front_high</x:v>
      </x:c>
      <x:c r="C572" s="60" t="n">
        <x:v>0.9</x:v>
      </x:c>
      <x:c r="D572" s="60" t="n">
        <x:v>0.9</x:v>
      </x:c>
      <x:c r="E572" s="62" t="b">
        <x:v>1</x:v>
      </x:c>
      <x:c r="F572" s="62" t="b">
        <x:v>0</x:v>
      </x:c>
      <x:c r="G572" s="85" t="n">
        <x:v>5024720.058715079</x:v>
      </x:c>
      <x:c r="H572" s="85" t="n">
        <x:v>12209270.625602791</x:v>
      </x:c>
      <x:c r="I572" s="85" t="n">
        <x:v>20791119.524826024</x:v>
      </x:c>
      <x:c r="J572" s="85" t="n">
        <x:v>15608320.000000002</x:v>
      </x:c>
      <x:c r="K572" s="85" t="n">
        <x:v>0</x:v>
      </x:c>
      <x:c r="L572" s="28" t="n">
        <x:v>46</x:v>
      </x:c>
      <x:c r="M572" s="28" t="n">
        <x:v>44</x:v>
      </x:c>
      <x:c r="N572" s="28" t="n">
        <x:v>4.656612873077393e-10</x:v>
      </x:c>
      <x:c r="O572" s="28" t="n">
        <x:v>3.725290298461914e-9</x:v>
      </x:c>
      <x:c r="P572" s="28" t="n">
        <x:v>0</x:v>
      </x:c>
      <x:c r="Q572" s="62" t="b">
        <x:v>1</x:v>
      </x:c>
      <x:c r="R572" s="28" t="n">
        <x:v>0</x:v>
      </x:c>
      <x:c r="S572" s="28" t="str">
        <x:v>3c275831f9c48efe</x:v>
      </x:c>
    </x:row>
    <x:row r="573" ht="21" customHeight="1">
      <x:c r="A573" s="60" t="n">
        <x:v>0.62</x:v>
      </x:c>
      <x:c r="B573" s="28" t="str">
        <x:v>front_high</x:v>
      </x:c>
      <x:c r="C573" s="60" t="n">
        <x:v>0.95</x:v>
      </x:c>
      <x:c r="D573" s="60" t="n">
        <x:v>0.9427119459478259</x:v>
      </x:c>
      <x:c r="E573" s="62" t="b">
        <x:v>0</x:v>
      </x:c>
      <x:c r="F573" s="62" t="b">
        <x:v>0</x:v>
      </x:c>
      <x:c r="G573" s="85" t="n">
        <x:v>6090197.182148052</x:v>
      </x:c>
      <x:c r="H573" s="85" t="n">
        <x:v>13710399.863594556</x:v>
      </x:c>
      <x:c r="I573" s="85" t="n">
        <x:v>20808844.787967805</x:v>
      </x:c>
      <x:c r="J573" s="85" t="n">
        <x:v>15608320.000000002</x:v>
      </x:c>
      <x:c r="K573" s="85" t="n">
        <x:v>0</x:v>
      </x:c>
      <x:c r="L573" s="28" t="n">
        <x:v>46</x:v>
      </x:c>
      <x:c r="M573" s="28" t="n">
        <x:v>45</x:v>
      </x:c>
      <x:c r="N573" s="28" t="n">
        <x:v>4.656612873077393e-10</x:v>
      </x:c>
      <x:c r="O573" s="28" t="n">
        <x:v>1.862645149230957e-9</x:v>
      </x:c>
      <x:c r="P573" s="28" t="n">
        <x:v>0</x:v>
      </x:c>
      <x:c r="Q573" s="62" t="b">
        <x:v>1</x:v>
      </x:c>
      <x:c r="R573" s="28" t="n">
        <x:v>406265.28508438915</x:v>
      </x:c>
      <x:c r="S573" s="28" t="str">
        <x:v>0307597437c7c56d</x:v>
      </x:c>
    </x:row>
    <x:row r="574" ht="21" customHeight="1">
      <x:c r="A574" s="60" t="n">
        <x:v>0.62</x:v>
      </x:c>
      <x:c r="B574" s="28" t="str">
        <x:v>front_high</x:v>
      </x:c>
      <x:c r="C574" s="60" t="n">
        <x:v>1</x:v>
      </x:c>
      <x:c r="D574" s="60" t="n">
        <x:v>0.9596721012870685</x:v>
      </x:c>
      <x:c r="E574" s="62" t="b">
        <x:v>0</x:v>
      </x:c>
      <x:c r="F574" s="62" t="b">
        <x:v>0</x:v>
      </x:c>
      <x:c r="G574" s="85" t="n">
        <x:v>6833962.615554749</x:v>
      </x:c>
      <x:c r="H574" s="85" t="n">
        <x:v>14636346.956744308</x:v>
      </x:c>
      <x:c r="I574" s="85" t="n">
        <x:v>20826570.05110959</x:v>
      </x:c>
      <x:c r="J574" s="85" t="n">
        <x:v>15608320.000000002</x:v>
      </x:c>
      <x:c r="K574" s="85" t="n">
        <x:v>0</x:v>
      </x:c>
      <x:c r="L574" s="28" t="n">
        <x:v>46</x:v>
      </x:c>
      <x:c r="M574" s="28" t="n">
        <x:v>45</x:v>
      </x:c>
      <x:c r="N574" s="28" t="n">
        <x:v>2.3283064365386963e-10</x:v>
      </x:c>
      <x:c r="O574" s="28" t="n">
        <x:v>1.862645149230957e-9</x:v>
      </x:c>
      <x:c r="P574" s="28" t="n">
        <x:v>0</x:v>
      </x:c>
      <x:c r="Q574" s="62" t="b">
        <x:v>1</x:v>
      </x:c>
      <x:c r="R574" s="28" t="n">
        <x:v>2248038.3858536556</x:v>
      </x:c>
      <x:c r="S574" s="28" t="str">
        <x:v>1fb3b001554b8c48</x:v>
      </x:c>
    </x:row>
    <x:row r="575" ht="21" customHeight="1">
      <x:c r="A575" s="60" t="n">
        <x:v>0.62</x:v>
      </x:c>
      <x:c r="B575" s="28" t="str">
        <x:v>middle_flat</x:v>
      </x:c>
      <x:c r="C575" s="60" t="n">
        <x:v>0</x:v>
      </x:c>
      <x:c r="D575" s="60" t="n">
        <x:v>0</x:v>
      </x:c>
      <x:c r="E575" s="62" t="b">
        <x:v>1</x:v>
      </x:c>
      <x:c r="F575" s="62" t="b">
        <x:v>1</x:v>
      </x:c>
      <x:c r="G575" s="85" t="n">
        <x:v>0</x:v>
      </x:c>
      <x:c r="H575" s="85" t="n">
        <x:v>0</x:v>
      </x:c>
      <x:c r="I575" s="85" t="n">
        <x:v>0</x:v>
      </x:c>
      <x:c r="J575" s="85" t="n">
        <x:v>0</x:v>
      </x:c>
      <x:c r="K575" s="85" t="n">
        <x:v>5791027.616876714</x:v>
      </x:c>
      <x:c r="L575" s="28" t="n">
        <x:v>0</x:v>
      </x:c>
      <x:c r="M575" s="28" t="n">
        <x:v>0</x:v>
      </x:c>
      <x:c r="N575" s="28" t="n">
        <x:v>4.656612873077393e-10</x:v>
      </x:c>
      <x:c r="O575" s="28" t="n">
        <x:v>0</x:v>
      </x:c>
      <x:c r="P575" s="28" t="n">
        <x:v>0</x:v>
      </x:c>
      <x:c r="Q575" s="62" t="b">
        <x:v>1</x:v>
      </x:c>
      <x:c r="R575" s="28" t="n">
        <x:v>0</x:v>
      </x:c>
      <x:c r="S575" s="28" t="str">
        <x:v>225399cc3cab1106</x:v>
      </x:c>
    </x:row>
    <x:row r="576" ht="21" customHeight="1">
      <x:c r="A576" s="60" t="n">
        <x:v>0.62</x:v>
      </x:c>
      <x:c r="B576" s="28" t="str">
        <x:v>middle_flat</x:v>
      </x:c>
      <x:c r="C576" s="60" t="n">
        <x:v>0.05</x:v>
      </x:c>
      <x:c r="D576" s="60" t="n">
        <x:v>0.05</x:v>
      </x:c>
      <x:c r="E576" s="62" t="b">
        <x:v>1</x:v>
      </x:c>
      <x:c r="F576" s="62" t="b">
        <x:v>1</x:v>
      </x:c>
      <x:c r="G576" s="85" t="n">
        <x:v>0</x:v>
      </x:c>
      <x:c r="H576" s="85" t="n">
        <x:v>0</x:v>
      </x:c>
      <x:c r="I576" s="85" t="n">
        <x:v>0</x:v>
      </x:c>
      <x:c r="J576" s="85" t="n">
        <x:v>0</x:v>
      </x:c>
      <x:c r="K576" s="85" t="n">
        <x:v>3552580.378636251</x:v>
      </x:c>
      <x:c r="L576" s="28" t="n">
        <x:v>0</x:v>
      </x:c>
      <x:c r="M576" s="28" t="n">
        <x:v>0</x:v>
      </x:c>
      <x:c r="N576" s="28" t="n">
        <x:v>9.313225746154785e-10</x:v>
      </x:c>
      <x:c r="O576" s="28" t="n">
        <x:v>7.450580596923828e-9</x:v>
      </x:c>
      <x:c r="P576" s="28" t="n">
        <x:v>0</x:v>
      </x:c>
      <x:c r="Q576" s="62" t="b">
        <x:v>1</x:v>
      </x:c>
      <x:c r="R576" s="28" t="n">
        <x:v>0</x:v>
      </x:c>
      <x:c r="S576" s="28" t="str">
        <x:v>cb29c08ded5f578f</x:v>
      </x:c>
    </x:row>
    <x:row r="577" ht="21" customHeight="1">
      <x:c r="A577" s="60" t="n">
        <x:v>0.62</x:v>
      </x:c>
      <x:c r="B577" s="28" t="str">
        <x:v>middle_flat</x:v>
      </x:c>
      <x:c r="C577" s="60" t="n">
        <x:v>0.1</x:v>
      </x:c>
      <x:c r="D577" s="60" t="n">
        <x:v>0.1</x:v>
      </x:c>
      <x:c r="E577" s="62" t="b">
        <x:v>1</x:v>
      </x:c>
      <x:c r="F577" s="62" t="b">
        <x:v>1</x:v>
      </x:c>
      <x:c r="G577" s="85" t="n">
        <x:v>0</x:v>
      </x:c>
      <x:c r="H577" s="85" t="n">
        <x:v>0</x:v>
      </x:c>
      <x:c r="I577" s="85" t="n">
        <x:v>0</x:v>
      </x:c>
      <x:c r="J577" s="85" t="n">
        <x:v>0</x:v>
      </x:c>
      <x:c r="K577" s="85" t="n">
        <x:v>1313827.0638173888</x:v>
      </x:c>
      <x:c r="L577" s="28" t="n">
        <x:v>0</x:v>
      </x:c>
      <x:c r="M577" s="28" t="n">
        <x:v>0</x:v>
      </x:c>
      <x:c r="N577" s="28" t="n">
        <x:v>9.313225746154785e-10</x:v>
      </x:c>
      <x:c r="O577" s="28" t="n">
        <x:v>7.450580596923828e-9</x:v>
      </x:c>
      <x:c r="P577" s="28" t="n">
        <x:v>0</x:v>
      </x:c>
      <x:c r="Q577" s="62" t="b">
        <x:v>1</x:v>
      </x:c>
      <x:c r="R577" s="28" t="n">
        <x:v>0</x:v>
      </x:c>
      <x:c r="S577" s="28" t="str">
        <x:v>06fa84569c10703c</x:v>
      </x:c>
    </x:row>
    <x:row r="578" ht="21" customHeight="1">
      <x:c r="A578" s="60" t="n">
        <x:v>0.62</x:v>
      </x:c>
      <x:c r="B578" s="28" t="str">
        <x:v>middle_flat</x:v>
      </x:c>
      <x:c r="C578" s="60" t="n">
        <x:v>0.15</x:v>
      </x:c>
      <x:c r="D578" s="60" t="n">
        <x:v>0.15</x:v>
      </x:c>
      <x:c r="E578" s="62" t="b">
        <x:v>1</x:v>
      </x:c>
      <x:c r="F578" s="62" t="b">
        <x:v>1</x:v>
      </x:c>
      <x:c r="G578" s="85" t="n">
        <x:v>0</x:v>
      </x:c>
      <x:c r="H578" s="85" t="n">
        <x:v>0</x:v>
      </x:c>
      <x:c r="I578" s="85" t="n">
        <x:v>898869.7740038026</x:v>
      </x:c>
      <x:c r="J578" s="85" t="n">
        <x:v>0</x:v>
      </x:c>
      <x:c r="K578" s="85" t="n">
        <x:v>132930.77304358932</x:v>
      </x:c>
      <x:c r="L578" s="28" t="n">
        <x:v>0</x:v>
      </x:c>
      <x:c r="M578" s="28" t="n">
        <x:v>0</x:v>
      </x:c>
      <x:c r="N578" s="28" t="n">
        <x:v>4.656612873077393e-10</x:v>
      </x:c>
      <x:c r="O578" s="28" t="n">
        <x:v>7.450580596923828e-9</x:v>
      </x:c>
      <x:c r="P578" s="28" t="n">
        <x:v>0</x:v>
      </x:c>
      <x:c r="Q578" s="62" t="b">
        <x:v>1</x:v>
      </x:c>
      <x:c r="R578" s="28" t="n">
        <x:v>0</x:v>
      </x:c>
      <x:c r="S578" s="28" t="str">
        <x:v>9778831da94f8763</x:v>
      </x:c>
    </x:row>
    <x:row r="579" ht="21" customHeight="1">
      <x:c r="A579" s="60" t="n">
        <x:v>0.62</x:v>
      </x:c>
      <x:c r="B579" s="28" t="str">
        <x:v>middle_flat</x:v>
      </x:c>
      <x:c r="C579" s="60" t="n">
        <x:v>0.2</x:v>
      </x:c>
      <x:c r="D579" s="60" t="n">
        <x:v>0.2</x:v>
      </x:c>
      <x:c r="E579" s="62" t="b">
        <x:v>1</x:v>
      </x:c>
      <x:c r="F579" s="62" t="b">
        <x:v>1</x:v>
      </x:c>
      <x:c r="G579" s="85" t="n">
        <x:v>0</x:v>
      </x:c>
      <x:c r="H579" s="85" t="n">
        <x:v>0</x:v>
      </x:c>
      <x:c r="I579" s="85" t="n">
        <x:v>2419084.4850142268</x:v>
      </x:c>
      <x:c r="J579" s="85" t="n">
        <x:v>1253157.2790409133</x:v>
      </x:c>
      <x:c r="K579" s="85" t="n">
        <x:v>96686.96362487711</x:v>
      </x:c>
      <x:c r="L579" s="28" t="n">
        <x:v>0</x:v>
      </x:c>
      <x:c r="M579" s="28" t="n">
        <x:v>0</x:v>
      </x:c>
      <x:c r="N579" s="28" t="n">
        <x:v>2.3283064365386963e-10</x:v>
      </x:c>
      <x:c r="O579" s="28" t="n">
        <x:v>7.450580596923828e-9</x:v>
      </x:c>
      <x:c r="P579" s="28" t="n">
        <x:v>0</x:v>
      </x:c>
      <x:c r="Q579" s="62" t="b">
        <x:v>1</x:v>
      </x:c>
      <x:c r="R579" s="28" t="n">
        <x:v>0</x:v>
      </x:c>
      <x:c r="S579" s="28" t="str">
        <x:v>eeedd37c2b336220</x:v>
      </x:c>
    </x:row>
    <x:row r="580" ht="21" customHeight="1">
      <x:c r="A580" s="60" t="n">
        <x:v>0.62</x:v>
      </x:c>
      <x:c r="B580" s="28" t="str">
        <x:v>middle_flat</x:v>
      </x:c>
      <x:c r="C580" s="60" t="n">
        <x:v>0.25</x:v>
      </x:c>
      <x:c r="D580" s="60" t="n">
        <x:v>0.25</x:v>
      </x:c>
      <x:c r="E580" s="62" t="b">
        <x:v>1</x:v>
      </x:c>
      <x:c r="F580" s="62" t="b">
        <x:v>1</x:v>
      </x:c>
      <x:c r="G580" s="85" t="n">
        <x:v>0</x:v>
      </x:c>
      <x:c r="H580" s="85" t="n">
        <x:v>0</x:v>
      </x:c>
      <x:c r="I580" s="85" t="n">
        <x:v>3621020.4841554645</x:v>
      </x:c>
      <x:c r="J580" s="85" t="n">
        <x:v>2960046.598801156</x:v>
      </x:c>
      <x:c r="K580" s="85" t="n">
        <x:v>77084.03534246591</x:v>
      </x:c>
      <x:c r="L580" s="28" t="n">
        <x:v>0</x:v>
      </x:c>
      <x:c r="M580" s="28" t="n">
        <x:v>0</x:v>
      </x:c>
      <x:c r="N580" s="28" t="n">
        <x:v>2.3283064365386963e-10</x:v>
      </x:c>
      <x:c r="O580" s="28" t="n">
        <x:v>7.450580596923828e-9</x:v>
      </x:c>
      <x:c r="P580" s="28" t="n">
        <x:v>0</x:v>
      </x:c>
      <x:c r="Q580" s="62" t="b">
        <x:v>1</x:v>
      </x:c>
      <x:c r="R580" s="28" t="n">
        <x:v>0</x:v>
      </x:c>
      <x:c r="S580" s="28" t="str">
        <x:v>c46497d6fd3474fe</x:v>
      </x:c>
    </x:row>
    <x:row r="581" ht="21" customHeight="1">
      <x:c r="A581" s="60" t="n">
        <x:v>0.62</x:v>
      </x:c>
      <x:c r="B581" s="28" t="str">
        <x:v>middle_flat</x:v>
      </x:c>
      <x:c r="C581" s="60" t="n">
        <x:v>0.3</x:v>
      </x:c>
      <x:c r="D581" s="60" t="n">
        <x:v>0.3</x:v>
      </x:c>
      <x:c r="E581" s="62" t="b">
        <x:v>1</x:v>
      </x:c>
      <x:c r="F581" s="62" t="b">
        <x:v>1</x:v>
      </x:c>
      <x:c r="G581" s="85" t="n">
        <x:v>0</x:v>
      </x:c>
      <x:c r="H581" s="85" t="n">
        <x:v>0</x:v>
      </x:c>
      <x:c r="I581" s="85" t="n">
        <x:v>4839378.58800025</x:v>
      </x:c>
      <x:c r="J581" s="85" t="n">
        <x:v>4666935.918561378</x:v>
      </x:c>
      <x:c r="K581" s="85" t="n">
        <x:v>61426.54641095982</x:v>
      </x:c>
      <x:c r="L581" s="28" t="n">
        <x:v>0</x:v>
      </x:c>
      <x:c r="M581" s="28" t="n">
        <x:v>0</x:v>
      </x:c>
      <x:c r="N581" s="28" t="n">
        <x:v>4.656612873077393e-10</x:v>
      </x:c>
      <x:c r="O581" s="28" t="n">
        <x:v>7.450580596923828e-9</x:v>
      </x:c>
      <x:c r="P581" s="28" t="n">
        <x:v>0</x:v>
      </x:c>
      <x:c r="Q581" s="62" t="b">
        <x:v>1</x:v>
      </x:c>
      <x:c r="R581" s="28" t="n">
        <x:v>0</x:v>
      </x:c>
      <x:c r="S581" s="28" t="str">
        <x:v>8ba10ad457398024</x:v>
      </x:c>
    </x:row>
    <x:row r="582" ht="21" customHeight="1">
      <x:c r="A582" s="60" t="n">
        <x:v>0.62</x:v>
      </x:c>
      <x:c r="B582" s="28" t="str">
        <x:v>middle_flat</x:v>
      </x:c>
      <x:c r="C582" s="60" t="n">
        <x:v>0.35</x:v>
      </x:c>
      <x:c r="D582" s="60" t="n">
        <x:v>0.35</x:v>
      </x:c>
      <x:c r="E582" s="62" t="b">
        <x:v>1</x:v>
      </x:c>
      <x:c r="F582" s="62" t="b">
        <x:v>1</x:v>
      </x:c>
      <x:c r="G582" s="85" t="n">
        <x:v>0</x:v>
      </x:c>
      <x:c r="H582" s="85" t="n">
        <x:v>0</x:v>
      </x:c>
      <x:c r="I582" s="85" t="n">
        <x:v>6069997.766252204</x:v>
      </x:c>
      <x:c r="J582" s="85" t="n">
        <x:v>6373825.238321622</x:v>
      </x:c>
      <x:c r="K582" s="85" t="n">
        <x:v>45769.05747945173</x:v>
      </x:c>
      <x:c r="L582" s="28" t="n">
        <x:v>0</x:v>
      </x:c>
      <x:c r="M582" s="28" t="n">
        <x:v>0</x:v>
      </x:c>
      <x:c r="N582" s="28" t="n">
        <x:v>9.313225746154785e-10</x:v>
      </x:c>
      <x:c r="O582" s="28" t="n">
        <x:v>7.450580596923828e-9</x:v>
      </x:c>
      <x:c r="P582" s="28" t="n">
        <x:v>0</x:v>
      </x:c>
      <x:c r="Q582" s="62" t="b">
        <x:v>1</x:v>
      </x:c>
      <x:c r="R582" s="28" t="n">
        <x:v>0</x:v>
      </x:c>
      <x:c r="S582" s="28" t="str">
        <x:v>f8f0f9eb045d5fab</x:v>
      </x:c>
    </x:row>
    <x:row r="583" ht="21" customHeight="1">
      <x:c r="A583" s="60" t="n">
        <x:v>0.62</x:v>
      </x:c>
      <x:c r="B583" s="28" t="str">
        <x:v>middle_flat</x:v>
      </x:c>
      <x:c r="C583" s="60" t="n">
        <x:v>0.4</x:v>
      </x:c>
      <x:c r="D583" s="60" t="n">
        <x:v>0.4</x:v>
      </x:c>
      <x:c r="E583" s="62" t="b">
        <x:v>1</x:v>
      </x:c>
      <x:c r="F583" s="62" t="b">
        <x:v>1</x:v>
      </x:c>
      <x:c r="G583" s="85" t="n">
        <x:v>0</x:v>
      </x:c>
      <x:c r="H583" s="85" t="n">
        <x:v>0</x:v>
      </x:c>
      <x:c r="I583" s="85" t="n">
        <x:v>7301997.604459327</x:v>
      </x:c>
      <x:c r="J583" s="85" t="n">
        <x:v>8080714.55808184</x:v>
      </x:c>
      <x:c r="K583" s="85" t="n">
        <x:v>38919.75441095914</x:v>
      </x:c>
      <x:c r="L583" s="28" t="n">
        <x:v>0</x:v>
      </x:c>
      <x:c r="M583" s="28" t="n">
        <x:v>0</x:v>
      </x:c>
      <x:c r="N583" s="28" t="n">
        <x:v>4.656612873077393e-10</x:v>
      </x:c>
      <x:c r="O583" s="28" t="n">
        <x:v>3.725290298461914e-9</x:v>
      </x:c>
      <x:c r="P583" s="28" t="n">
        <x:v>0</x:v>
      </x:c>
      <x:c r="Q583" s="62" t="b">
        <x:v>1</x:v>
      </x:c>
      <x:c r="R583" s="28" t="n">
        <x:v>0</x:v>
      </x:c>
      <x:c r="S583" s="28" t="str">
        <x:v>a7f936ec3ca99fb1</x:v>
      </x:c>
    </x:row>
    <x:row r="584" ht="21" customHeight="1">
      <x:c r="A584" s="60" t="n">
        <x:v>0.62</x:v>
      </x:c>
      <x:c r="B584" s="28" t="str">
        <x:v>middle_flat</x:v>
      </x:c>
      <x:c r="C584" s="60" t="n">
        <x:v>0.45</x:v>
      </x:c>
      <x:c r="D584" s="60" t="n">
        <x:v>0.45</x:v>
      </x:c>
      <x:c r="E584" s="62" t="b">
        <x:v>1</x:v>
      </x:c>
      <x:c r="F584" s="62" t="b">
        <x:v>1</x:v>
      </x:c>
      <x:c r="G584" s="85" t="n">
        <x:v>0</x:v>
      </x:c>
      <x:c r="H584" s="85" t="n">
        <x:v>0</x:v>
      </x:c>
      <x:c r="I584" s="85" t="n">
        <x:v>8585251.138564544</x:v>
      </x:c>
      <x:c r="J584" s="85" t="n">
        <x:v>9655832.429510362</x:v>
      </x:c>
      <x:c r="K584" s="85" t="n">
        <x:v>34153.82032876741</x:v>
      </x:c>
      <x:c r="L584" s="28" t="n">
        <x:v>1</x:v>
      </x:c>
      <x:c r="M584" s="28" t="n">
        <x:v>0</x:v>
      </x:c>
      <x:c r="N584" s="28" t="n">
        <x:v>9.313225746154785e-10</x:v>
      </x:c>
      <x:c r="O584" s="28" t="n">
        <x:v>1.862645149230957e-9</x:v>
      </x:c>
      <x:c r="P584" s="28" t="n">
        <x:v>0</x:v>
      </x:c>
      <x:c r="Q584" s="62" t="b">
        <x:v>1</x:v>
      </x:c>
      <x:c r="R584" s="28" t="n">
        <x:v>0</x:v>
      </x:c>
      <x:c r="S584" s="28" t="str">
        <x:v>fa4d173699f3a2d9</x:v>
      </x:c>
    </x:row>
    <x:row r="585" ht="21" customHeight="1">
      <x:c r="A585" s="60" t="n">
        <x:v>0.62</x:v>
      </x:c>
      <x:c r="B585" s="28" t="str">
        <x:v>middle_flat</x:v>
      </x:c>
      <x:c r="C585" s="60" t="n">
        <x:v>0.5</x:v>
      </x:c>
      <x:c r="D585" s="60" t="n">
        <x:v>0.5</x:v>
      </x:c>
      <x:c r="E585" s="62" t="b">
        <x:v>1</x:v>
      </x:c>
      <x:c r="F585" s="62" t="b">
        <x:v>1</x:v>
      </x:c>
      <x:c r="G585" s="85" t="n">
        <x:v>0</x:v>
      </x:c>
      <x:c r="H585" s="85" t="n">
        <x:v>0</x:v>
      </x:c>
      <x:c r="I585" s="85" t="n">
        <x:v>10110759.90202679</x:v>
      </x:c>
      <x:c r="J585" s="85" t="n">
        <x:v>10623495.262176506</x:v>
      </x:c>
      <x:c r="K585" s="85" t="n">
        <x:v>29387.886246575923</x:v>
      </x:c>
      <x:c r="L585" s="28" t="n">
        <x:v>7</x:v>
      </x:c>
      <x:c r="M585" s="28" t="n">
        <x:v>0</x:v>
      </x:c>
      <x:c r="N585" s="28" t="n">
        <x:v>4.656612873077393e-10</x:v>
      </x:c>
      <x:c r="O585" s="28" t="n">
        <x:v>7.450580596923828e-9</x:v>
      </x:c>
      <x:c r="P585" s="28" t="n">
        <x:v>0</x:v>
      </x:c>
      <x:c r="Q585" s="62" t="b">
        <x:v>1</x:v>
      </x:c>
      <x:c r="R585" s="28" t="n">
        <x:v>0</x:v>
      </x:c>
      <x:c r="S585" s="28" t="str">
        <x:v>bf2fbdba2b664323</x:v>
      </x:c>
    </x:row>
    <x:row r="586" ht="21" customHeight="1">
      <x:c r="A586" s="60" t="n">
        <x:v>0.62</x:v>
      </x:c>
      <x:c r="B586" s="28" t="str">
        <x:v>middle_flat</x:v>
      </x:c>
      <x:c r="C586" s="60" t="n">
        <x:v>0.55</x:v>
      </x:c>
      <x:c r="D586" s="60" t="n">
        <x:v>0.55</x:v>
      </x:c>
      <x:c r="E586" s="62" t="b">
        <x:v>1</x:v>
      </x:c>
      <x:c r="F586" s="62" t="b">
        <x:v>1</x:v>
      </x:c>
      <x:c r="G586" s="85" t="n">
        <x:v>0</x:v>
      </x:c>
      <x:c r="H586" s="85" t="n">
        <x:v>0</x:v>
      </x:c>
      <x:c r="I586" s="85" t="n">
        <x:v>11388457.446196396</x:v>
      </x:c>
      <x:c r="J586" s="85" t="n">
        <x:v>12184437.879263155</x:v>
      </x:c>
      <x:c r="K586" s="85" t="n">
        <x:v>24621.952164383725</x:v>
      </x:c>
      <x:c r="L586" s="28" t="n">
        <x:v>11</x:v>
      </x:c>
      <x:c r="M586" s="28" t="n">
        <x:v>0</x:v>
      </x:c>
      <x:c r="N586" s="28" t="n">
        <x:v>4.656612873077393e-10</x:v>
      </x:c>
      <x:c r="O586" s="28" t="n">
        <x:v>7.450580596923828e-9</x:v>
      </x:c>
      <x:c r="P586" s="28" t="n">
        <x:v>0</x:v>
      </x:c>
      <x:c r="Q586" s="62" t="b">
        <x:v>1</x:v>
      </x:c>
      <x:c r="R586" s="28" t="n">
        <x:v>0</x:v>
      </x:c>
      <x:c r="S586" s="28" t="str">
        <x:v>c70141bbdfd31b2f</x:v>
      </x:c>
    </x:row>
    <x:row r="587" ht="21" customHeight="1">
      <x:c r="A587" s="60" t="n">
        <x:v>0.62</x:v>
      </x:c>
      <x:c r="B587" s="28" t="str">
        <x:v>middle_flat</x:v>
      </x:c>
      <x:c r="C587" s="60" t="n">
        <x:v>0.6</x:v>
      </x:c>
      <x:c r="D587" s="60" t="n">
        <x:v>0.6</x:v>
      </x:c>
      <x:c r="E587" s="62" t="b">
        <x:v>1</x:v>
      </x:c>
      <x:c r="F587" s="62" t="b">
        <x:v>1</x:v>
      </x:c>
      <x:c r="G587" s="85" t="n">
        <x:v>0</x:v>
      </x:c>
      <x:c r="H587" s="85" t="n">
        <x:v>0</x:v>
      </x:c>
      <x:c r="I587" s="85" t="n">
        <x:v>12602141.0562563</x:v>
      </x:c>
      <x:c r="J587" s="85" t="n">
        <x:v>13876951.699694542</x:v>
      </x:c>
      <x:c r="K587" s="85" t="n">
        <x:v>19856.018082191884</x:v>
      </x:c>
      <x:c r="L587" s="28" t="n">
        <x:v>15</x:v>
      </x:c>
      <x:c r="M587" s="28" t="n">
        <x:v>3</x:v>
      </x:c>
      <x:c r="N587" s="28" t="n">
        <x:v>4.656612873077393e-10</x:v>
      </x:c>
      <x:c r="O587" s="28" t="n">
        <x:v>3.725290298461914e-9</x:v>
      </x:c>
      <x:c r="P587" s="28" t="n">
        <x:v>0</x:v>
      </x:c>
      <x:c r="Q587" s="62" t="b">
        <x:v>1</x:v>
      </x:c>
      <x:c r="R587" s="28" t="n">
        <x:v>0</x:v>
      </x:c>
      <x:c r="S587" s="28" t="str">
        <x:v>0a54305c4b60608f</x:v>
      </x:c>
    </x:row>
    <x:row r="588" ht="21" customHeight="1">
      <x:c r="A588" s="60" t="n">
        <x:v>0.62</x:v>
      </x:c>
      <x:c r="B588" s="28" t="str">
        <x:v>middle_flat</x:v>
      </x:c>
      <x:c r="C588" s="60" t="n">
        <x:v>0.65</x:v>
      </x:c>
      <x:c r="D588" s="60" t="n">
        <x:v>0.65</x:v>
      </x:c>
      <x:c r="E588" s="62" t="b">
        <x:v>1</x:v>
      </x:c>
      <x:c r="F588" s="62" t="b">
        <x:v>0</x:v>
      </x:c>
      <x:c r="G588" s="85" t="n">
        <x:v>26850.9377096112</x:v>
      </x:c>
      <x:c r="H588" s="85" t="n">
        <x:v>152412.2183513954</x:v>
      </x:c>
      <x:c r="I588" s="85" t="n">
        <x:v>13640807.868387368</x:v>
      </x:c>
      <x:c r="J588" s="85" t="n">
        <x:v>15608320.000000002</x:v>
      </x:c>
      <x:c r="K588" s="85" t="n">
        <x:v>15090.084000000737</x:v>
      </x:c>
      <x:c r="L588" s="28" t="n">
        <x:v>40</x:v>
      </x:c>
      <x:c r="M588" s="28" t="n">
        <x:v>33</x:v>
      </x:c>
      <x:c r="N588" s="28" t="n">
        <x:v>4.656612873077393e-10</x:v>
      </x:c>
      <x:c r="O588" s="28" t="n">
        <x:v>1.862645149230957e-9</x:v>
      </x:c>
      <x:c r="P588" s="28" t="n">
        <x:v>0</x:v>
      </x:c>
      <x:c r="Q588" s="62" t="b">
        <x:v>1</x:v>
      </x:c>
      <x:c r="R588" s="28" t="n">
        <x:v>0</x:v>
      </x:c>
      <x:c r="S588" s="28" t="str">
        <x:v>40d64ff77f1693e1</x:v>
      </x:c>
    </x:row>
    <x:row r="589" ht="21" customHeight="1">
      <x:c r="A589" s="60" t="n">
        <x:v>0.62</x:v>
      </x:c>
      <x:c r="B589" s="28" t="str">
        <x:v>middle_flat</x:v>
      </x:c>
      <x:c r="C589" s="60" t="n">
        <x:v>0.7</x:v>
      </x:c>
      <x:c r="D589" s="60" t="n">
        <x:v>0.7</x:v>
      </x:c>
      <x:c r="E589" s="62" t="b">
        <x:v>1</x:v>
      </x:c>
      <x:c r="F589" s="62" t="b">
        <x:v>0</x:v>
      </x:c>
      <x:c r="G589" s="85" t="n">
        <x:v>467531.9493388806</x:v>
      </x:c>
      <x:c r="H589" s="85" t="n">
        <x:v>2518087.4712042315</x:v>
      </x:c>
      <x:c r="I589" s="85" t="n">
        <x:v>13696698.973036764</x:v>
      </x:c>
      <x:c r="J589" s="85" t="n">
        <x:v>15608320.000000002</x:v>
      </x:c>
      <x:c r="K589" s="85" t="n">
        <x:v>10324.149917808081</x:v>
      </x:c>
      <x:c r="L589" s="28" t="n">
        <x:v>40</x:v>
      </x:c>
      <x:c r="M589" s="28" t="n">
        <x:v>35</x:v>
      </x:c>
      <x:c r="N589" s="28" t="n">
        <x:v>4.656612873077393e-10</x:v>
      </x:c>
      <x:c r="O589" s="28" t="n">
        <x:v>3.725290298461914e-9</x:v>
      </x:c>
      <x:c r="P589" s="28" t="n">
        <x:v>0</x:v>
      </x:c>
      <x:c r="Q589" s="62" t="b">
        <x:v>1</x:v>
      </x:c>
      <x:c r="R589" s="28" t="n">
        <x:v>0</x:v>
      </x:c>
      <x:c r="S589" s="28" t="str">
        <x:v>27a2c8857366e991</x:v>
      </x:c>
    </x:row>
    <x:row r="590" ht="21" customHeight="1">
      <x:c r="A590" s="60" t="n">
        <x:v>0.62</x:v>
      </x:c>
      <x:c r="B590" s="28" t="str">
        <x:v>middle_flat</x:v>
      </x:c>
      <x:c r="C590" s="60" t="n">
        <x:v>0.75</x:v>
      </x:c>
      <x:c r="D590" s="60" t="n">
        <x:v>0.75</x:v>
      </x:c>
      <x:c r="E590" s="62" t="b">
        <x:v>1</x:v>
      </x:c>
      <x:c r="F590" s="62" t="b">
        <x:v>0</x:v>
      </x:c>
      <x:c r="G590" s="85" t="n">
        <x:v>896336.5876948986</x:v>
      </x:c>
      <x:c r="H590" s="85" t="n">
        <x:v>4547379.699720553</x:v>
      </x:c>
      <x:c r="I590" s="85" t="n">
        <x:v>13944213.110071916</x:v>
      </x:c>
      <x:c r="J590" s="85" t="n">
        <x:v>15608320.000000002</x:v>
      </x:c>
      <x:c r="K590" s="85" t="n">
        <x:v>7180.663561643894</x:v>
      </x:c>
      <x:c r="L590" s="28" t="n">
        <x:v>41</x:v>
      </x:c>
      <x:c r="M590" s="28" t="n">
        <x:v>36</x:v>
      </x:c>
      <x:c r="N590" s="28" t="n">
        <x:v>4.656612873077393e-10</x:v>
      </x:c>
      <x:c r="O590" s="28" t="n">
        <x:v>3.725290298461914e-9</x:v>
      </x:c>
      <x:c r="P590" s="28" t="n">
        <x:v>0</x:v>
      </x:c>
      <x:c r="Q590" s="62" t="b">
        <x:v>1</x:v>
      </x:c>
      <x:c r="R590" s="28" t="n">
        <x:v>0</x:v>
      </x:c>
      <x:c r="S590" s="28" t="str">
        <x:v>690f882f577a1122</x:v>
      </x:c>
    </x:row>
    <x:row r="591" ht="21" customHeight="1">
      <x:c r="A591" s="60" t="n">
        <x:v>0.62</x:v>
      </x:c>
      <x:c r="B591" s="28" t="str">
        <x:v>middle_flat</x:v>
      </x:c>
      <x:c r="C591" s="60" t="n">
        <x:v>0.8</x:v>
      </x:c>
      <x:c r="D591" s="60" t="n">
        <x:v>0.8</x:v>
      </x:c>
      <x:c r="E591" s="62" t="b">
        <x:v>1</x:v>
      </x:c>
      <x:c r="F591" s="62" t="b">
        <x:v>0</x:v>
      </x:c>
      <x:c r="G591" s="85" t="n">
        <x:v>1342651.7045642175</x:v>
      </x:c>
      <x:c r="H591" s="85" t="n">
        <x:v>6796344.589079058</x:v>
      </x:c>
      <x:c r="I591" s="85" t="n">
        <x:v>13986088.01677808</x:v>
      </x:c>
      <x:c r="J591" s="85" t="n">
        <x:v>15608320.000000002</x:v>
      </x:c>
      <x:c r="K591" s="85" t="n">
        <x:v>5576.528219178181</x:v>
      </x:c>
      <x:c r="L591" s="28" t="n">
        <x:v>41</x:v>
      </x:c>
      <x:c r="M591" s="28" t="n">
        <x:v>37</x:v>
      </x:c>
      <x:c r="N591" s="28" t="n">
        <x:v>2.3283064365386963e-10</x:v>
      </x:c>
      <x:c r="O591" s="28" t="n">
        <x:v>1.862645149230957e-9</x:v>
      </x:c>
      <x:c r="P591" s="28" t="n">
        <x:v>0</x:v>
      </x:c>
      <x:c r="Q591" s="62" t="b">
        <x:v>1</x:v>
      </x:c>
      <x:c r="R591" s="28" t="n">
        <x:v>0</x:v>
      </x:c>
      <x:c r="S591" s="28" t="str">
        <x:v>fad670d1c4aa4b80</x:v>
      </x:c>
    </x:row>
    <x:row r="592" ht="21" customHeight="1">
      <x:c r="A592" s="60" t="n">
        <x:v>0.62</x:v>
      </x:c>
      <x:c r="B592" s="28" t="str">
        <x:v>middle_flat</x:v>
      </x:c>
      <x:c r="C592" s="60" t="n">
        <x:v>0.85</x:v>
      </x:c>
      <x:c r="D592" s="60" t="n">
        <x:v>0.85</x:v>
      </x:c>
      <x:c r="E592" s="62" t="b">
        <x:v>1</x:v>
      </x:c>
      <x:c r="F592" s="62" t="b">
        <x:v>0</x:v>
      </x:c>
      <x:c r="G592" s="85" t="n">
        <x:v>1864124.274855205</x:v>
      </x:c>
      <x:c r="H592" s="85" t="n">
        <x:v>8654758.54884253</x:v>
      </x:c>
      <x:c r="I592" s="85" t="n">
        <x:v>14211425.442276465</x:v>
      </x:c>
      <x:c r="J592" s="85" t="n">
        <x:v>15608320.000000002</x:v>
      </x:c>
      <x:c r="K592" s="85" t="n">
        <x:v>3972.3928767125835</x:v>
      </x:c>
      <x:c r="L592" s="28" t="n">
        <x:v>42</x:v>
      </x:c>
      <x:c r="M592" s="28" t="n">
        <x:v>38</x:v>
      </x:c>
      <x:c r="N592" s="28" t="n">
        <x:v>4.656612873077393e-10</x:v>
      </x:c>
      <x:c r="O592" s="28" t="n">
        <x:v>3.725290298461914e-9</x:v>
      </x:c>
      <x:c r="P592" s="28" t="n">
        <x:v>0</x:v>
      </x:c>
      <x:c r="Q592" s="62" t="b">
        <x:v>1</x:v>
      </x:c>
      <x:c r="R592" s="28" t="n">
        <x:v>0</x:v>
      </x:c>
      <x:c r="S592" s="28" t="str">
        <x:v>2fc85a5dc3f26d24</x:v>
      </x:c>
    </x:row>
    <x:row r="593" ht="21" customHeight="1">
      <x:c r="A593" s="60" t="n">
        <x:v>0.62</x:v>
      </x:c>
      <x:c r="B593" s="28" t="str">
        <x:v>middle_flat</x:v>
      </x:c>
      <x:c r="C593" s="60" t="n">
        <x:v>0.9</x:v>
      </x:c>
      <x:c r="D593" s="60" t="n">
        <x:v>0.9</x:v>
      </x:c>
      <x:c r="E593" s="62" t="b">
        <x:v>1</x:v>
      </x:c>
      <x:c r="F593" s="62" t="b">
        <x:v>0</x:v>
      </x:c>
      <x:c r="G593" s="85" t="n">
        <x:v>2676883.4851523372</x:v>
      </x:c>
      <x:c r="H593" s="85" t="n">
        <x:v>10567142.7516778</x:v>
      </x:c>
      <x:c r="I593" s="85" t="n">
        <x:v>14241303.103019562</x:v>
      </x:c>
      <x:c r="J593" s="85" t="n">
        <x:v>15608320.000000002</x:v>
      </x:c>
      <x:c r="K593" s="85" t="n">
        <x:v>2368.25753424687</x:v>
      </x:c>
      <x:c r="L593" s="28" t="n">
        <x:v>42</x:v>
      </x:c>
      <x:c r="M593" s="28" t="n">
        <x:v>38</x:v>
      </x:c>
      <x:c r="N593" s="28" t="n">
        <x:v>2.3283064365386963e-10</x:v>
      </x:c>
      <x:c r="O593" s="28" t="n">
        <x:v>3.725290298461914e-9</x:v>
      </x:c>
      <x:c r="P593" s="28" t="n">
        <x:v>0</x:v>
      </x:c>
      <x:c r="Q593" s="62" t="b">
        <x:v>1</x:v>
      </x:c>
      <x:c r="R593" s="28" t="n">
        <x:v>0</x:v>
      </x:c>
      <x:c r="S593" s="28" t="str">
        <x:v>e3d35523768bc65e</x:v>
      </x:c>
    </x:row>
    <x:row r="594" ht="21" customHeight="1">
      <x:c r="A594" s="60" t="n">
        <x:v>0.62</x:v>
      </x:c>
      <x:c r="B594" s="28" t="str">
        <x:v>middle_flat</x:v>
      </x:c>
      <x:c r="C594" s="60" t="n">
        <x:v>0.95</x:v>
      </x:c>
      <x:c r="D594" s="60" t="n">
        <x:v>0.9270639118581285</x:v>
      </x:c>
      <x:c r="E594" s="62" t="b">
        <x:v>0</x:v>
      </x:c>
      <x:c r="F594" s="62" t="b">
        <x:v>0</x:v>
      </x:c>
      <x:c r="G594" s="85" t="n">
        <x:v>2980468.2053548438</x:v>
      </x:c>
      <x:c r="H594" s="85" t="n">
        <x:v>11284499.553488633</x:v>
      </x:c>
      <x:c r="I594" s="85" t="n">
        <x:v>14472122.05566644</x:v>
      </x:c>
      <x:c r="J594" s="85" t="n">
        <x:v>15608320.000000002</x:v>
      </x:c>
      <x:c r="K594" s="85" t="n">
        <x:v>764.1221917809235</x:v>
      </x:c>
      <x:c r="L594" s="28" t="n">
        <x:v>43</x:v>
      </x:c>
      <x:c r="M594" s="28" t="n">
        <x:v>38</x:v>
      </x:c>
      <x:c r="N594" s="28" t="n">
        <x:v>2.3283064365386963e-10</x:v>
      </x:c>
      <x:c r="O594" s="28" t="n">
        <x:v>3.725290298461914e-9</x:v>
      </x:c>
      <x:c r="P594" s="28" t="n">
        <x:v>0</x:v>
      </x:c>
      <x:c r="Q594" s="62" t="b">
        <x:v>1</x:v>
      </x:c>
      <x:c r="R594" s="28" t="n">
        <x:v>1278549.2973804846</x:v>
      </x:c>
      <x:c r="S594" s="28" t="str">
        <x:v>9c211ace8355a5ca</x:v>
      </x:c>
    </x:row>
    <x:row r="595" ht="21" customHeight="1">
      <x:c r="A595" s="60" t="n">
        <x:v>0.62</x:v>
      </x:c>
      <x:c r="B595" s="28" t="str">
        <x:v>middle_flat</x:v>
      </x:c>
      <x:c r="C595" s="60" t="n">
        <x:v>1</x:v>
      </x:c>
      <x:c r="D595" s="60" t="n">
        <x:v>0.9427455891708479</x:v>
      </x:c>
      <x:c r="E595" s="62" t="b">
        <x:v>0</x:v>
      </x:c>
      <x:c r="F595" s="62" t="b">
        <x:v>0</x:v>
      </x:c>
      <x:c r="G595" s="85" t="n">
        <x:v>3302668.624146822</x:v>
      </x:c>
      <x:c r="H595" s="85" t="n">
        <x:v>12000498.226153687</x:v>
      </x:c>
      <x:c r="I595" s="85" t="n">
        <x:v>14491654.632150685</x:v>
      </x:c>
      <x:c r="J595" s="85" t="n">
        <x:v>15608320.000000002</x:v>
      </x:c>
      <x:c r="K595" s="85" t="n">
        <x:v>0</x:v>
      </x:c>
      <x:c r="L595" s="28" t="n">
        <x:v>43</x:v>
      </x:c>
      <x:c r="M595" s="28" t="n">
        <x:v>39</x:v>
      </x:c>
      <x:c r="N595" s="28" t="n">
        <x:v>2.3283064365386963e-10</x:v>
      </x:c>
      <x:c r="O595" s="28" t="n">
        <x:v>9.313225746154785e-10</x:v>
      </x:c>
      <x:c r="P595" s="28" t="n">
        <x:v>0</x:v>
      </x:c>
      <x:c r="Q595" s="62" t="b">
        <x:v>1</x:v>
      </x:c>
      <x:c r="R595" s="28" t="n">
        <x:v>3191589.877260253</x:v>
      </x:c>
      <x:c r="S595" s="28" t="str">
        <x:v>3d8262767db49b70</x:v>
      </x:c>
    </x:row>
    <x:row r="596" ht="21" customHeight="1">
      <x:c r="A596" s="60" t="n">
        <x:v>0.62</x:v>
      </x:c>
      <x:c r="B596" s="28" t="str">
        <x:v>middle_low</x:v>
      </x:c>
      <x:c r="C596" s="60" t="n">
        <x:v>0</x:v>
      </x:c>
      <x:c r="D596" s="60" t="n">
        <x:v>0</x:v>
      </x:c>
      <x:c r="E596" s="62" t="b">
        <x:v>1</x:v>
      </x:c>
      <x:c r="F596" s="62" t="b">
        <x:v>1</x:v>
      </x:c>
      <x:c r="G596" s="85" t="n">
        <x:v>0</x:v>
      </x:c>
      <x:c r="H596" s="85" t="n">
        <x:v>0</x:v>
      </x:c>
      <x:c r="I596" s="85" t="n">
        <x:v>0</x:v>
      </x:c>
      <x:c r="J596" s="85" t="n">
        <x:v>0</x:v>
      </x:c>
      <x:c r="K596" s="85" t="n">
        <x:v>5023165.507287669</x:v>
      </x:c>
      <x:c r="L596" s="28" t="n">
        <x:v>0</x:v>
      </x:c>
      <x:c r="M596" s="28" t="n">
        <x:v>0</x:v>
      </x:c>
      <x:c r="N596" s="28" t="n">
        <x:v>5.820766091346741e-11</x:v>
      </x:c>
      <x:c r="O596" s="28" t="n">
        <x:v>0</x:v>
      </x:c>
      <x:c r="P596" s="28" t="n">
        <x:v>0</x:v>
      </x:c>
      <x:c r="Q596" s="62" t="b">
        <x:v>1</x:v>
      </x:c>
      <x:c r="R596" s="28" t="n">
        <x:v>0</x:v>
      </x:c>
      <x:c r="S596" s="28" t="str">
        <x:v>c18f21f1eb3b3ce6</x:v>
      </x:c>
    </x:row>
    <x:row r="597" ht="21" customHeight="1">
      <x:c r="A597" s="60" t="n">
        <x:v>0.62</x:v>
      </x:c>
      <x:c r="B597" s="28" t="str">
        <x:v>middle_low</x:v>
      </x:c>
      <x:c r="C597" s="60" t="n">
        <x:v>0.05</x:v>
      </x:c>
      <x:c r="D597" s="60" t="n">
        <x:v>0.05</x:v>
      </x:c>
      <x:c r="E597" s="62" t="b">
        <x:v>1</x:v>
      </x:c>
      <x:c r="F597" s="62" t="b">
        <x:v>1</x:v>
      </x:c>
      <x:c r="G597" s="85" t="n">
        <x:v>0</x:v>
      </x:c>
      <x:c r="H597" s="85" t="n">
        <x:v>0</x:v>
      </x:c>
      <x:c r="I597" s="85" t="n">
        <x:v>0</x:v>
      </x:c>
      <x:c r="J597" s="85" t="n">
        <x:v>0</x:v>
      </x:c>
      <x:c r="K597" s="85" t="n">
        <x:v>3010672.820830085</x:v>
      </x:c>
      <x:c r="L597" s="28" t="n">
        <x:v>0</x:v>
      </x:c>
      <x:c r="M597" s="28" t="n">
        <x:v>0</x:v>
      </x:c>
      <x:c r="N597" s="28" t="n">
        <x:v>2.3283064365386963e-10</x:v>
      </x:c>
      <x:c r="O597" s="28" t="n">
        <x:v>7.450580596923828e-9</x:v>
      </x:c>
      <x:c r="P597" s="28" t="n">
        <x:v>0</x:v>
      </x:c>
      <x:c r="Q597" s="62" t="b">
        <x:v>1</x:v>
      </x:c>
      <x:c r="R597" s="28" t="n">
        <x:v>0</x:v>
      </x:c>
      <x:c r="S597" s="28" t="str">
        <x:v>5087687d72b4c049</x:v>
      </x:c>
    </x:row>
    <x:row r="598" ht="21" customHeight="1">
      <x:c r="A598" s="60" t="n">
        <x:v>0.62</x:v>
      </x:c>
      <x:c r="B598" s="28" t="str">
        <x:v>middle_low</x:v>
      </x:c>
      <x:c r="C598" s="60" t="n">
        <x:v>0.1</x:v>
      </x:c>
      <x:c r="D598" s="60" t="n">
        <x:v>0.1</x:v>
      </x:c>
      <x:c r="E598" s="62" t="b">
        <x:v>1</x:v>
      </x:c>
      <x:c r="F598" s="62" t="b">
        <x:v>1</x:v>
      </x:c>
      <x:c r="G598" s="85" t="n">
        <x:v>0</x:v>
      </x:c>
      <x:c r="H598" s="85" t="n">
        <x:v>0</x:v>
      </x:c>
      <x:c r="I598" s="85" t="n">
        <x:v>0</x:v>
      </x:c>
      <x:c r="J598" s="85" t="n">
        <x:v>0</x:v>
      </x:c>
      <x:c r="K598" s="85" t="n">
        <x:v>997964.0803171457</x:v>
      </x:c>
      <x:c r="L598" s="28" t="n">
        <x:v>0</x:v>
      </x:c>
      <x:c r="M598" s="28" t="n">
        <x:v>0</x:v>
      </x:c>
      <x:c r="N598" s="28" t="n">
        <x:v>2.3283064365386963e-10</x:v>
      </x:c>
      <x:c r="O598" s="28" t="n">
        <x:v>7.450580596923828e-9</x:v>
      </x:c>
      <x:c r="P598" s="28" t="n">
        <x:v>0</x:v>
      </x:c>
      <x:c r="Q598" s="62" t="b">
        <x:v>1</x:v>
      </x:c>
      <x:c r="R598" s="28" t="n">
        <x:v>0</x:v>
      </x:c>
      <x:c r="S598" s="28" t="str">
        <x:v>7652311abe13339e</x:v>
      </x:c>
    </x:row>
    <x:row r="599" ht="21" customHeight="1">
      <x:c r="A599" s="60" t="n">
        <x:v>0.62</x:v>
      </x:c>
      <x:c r="B599" s="28" t="str">
        <x:v>middle_low</x:v>
      </x:c>
      <x:c r="C599" s="60" t="n">
        <x:v>0.15</x:v>
      </x:c>
      <x:c r="D599" s="60" t="n">
        <x:v>0.15</x:v>
      </x:c>
      <x:c r="E599" s="62" t="b">
        <x:v>1</x:v>
      </x:c>
      <x:c r="F599" s="62" t="b">
        <x:v>1</x:v>
      </x:c>
      <x:c r="G599" s="85" t="n">
        <x:v>0</x:v>
      </x:c>
      <x:c r="H599" s="85" t="n">
        <x:v>0</x:v>
      </x:c>
      <x:c r="I599" s="85" t="n">
        <x:v>793074.5889408735</x:v>
      </x:c>
      <x:c r="J599" s="85" t="n">
        <x:v>0</x:v>
      </x:c>
      <x:c r="K599" s="85" t="n">
        <x:v>7613.099342465546</x:v>
      </x:c>
      <x:c r="L599" s="28" t="n">
        <x:v>0</x:v>
      </x:c>
      <x:c r="M599" s="28" t="n">
        <x:v>0</x:v>
      </x:c>
      <x:c r="N599" s="28" t="n">
        <x:v>4.656612873077393e-10</x:v>
      </x:c>
      <x:c r="O599" s="28" t="n">
        <x:v>7.450580596923828e-9</x:v>
      </x:c>
      <x:c r="P599" s="28" t="n">
        <x:v>0</x:v>
      </x:c>
      <x:c r="Q599" s="62" t="b">
        <x:v>1</x:v>
      </x:c>
      <x:c r="R599" s="28" t="n">
        <x:v>0</x:v>
      </x:c>
      <x:c r="S599" s="28" t="str">
        <x:v>4f181e2496a329cd</x:v>
      </x:c>
    </x:row>
    <x:row r="600" ht="21" customHeight="1">
      <x:c r="A600" s="60" t="n">
        <x:v>0.62</x:v>
      </x:c>
      <x:c r="B600" s="28" t="str">
        <x:v>middle_low</x:v>
      </x:c>
      <x:c r="C600" s="60" t="n">
        <x:v>0.2</x:v>
      </x:c>
      <x:c r="D600" s="60" t="n">
        <x:v>0.2</x:v>
      </x:c>
      <x:c r="E600" s="62" t="b">
        <x:v>1</x:v>
      </x:c>
      <x:c r="F600" s="62" t="b">
        <x:v>1</x:v>
      </x:c>
      <x:c r="G600" s="85" t="n">
        <x:v>0</x:v>
      </x:c>
      <x:c r="H600" s="85" t="n">
        <x:v>0</x:v>
      </x:c>
      <x:c r="I600" s="85" t="n">
        <x:v>1943330.4975842158</x:v>
      </x:c>
      <x:c r="J600" s="85" t="n">
        <x:v>1253157.2790409133</x:v>
      </x:c>
      <x:c r="K600" s="85" t="n">
        <x:v>4900.727999999799</x:v>
      </x:c>
      <x:c r="L600" s="28" t="n">
        <x:v>0</x:v>
      </x:c>
      <x:c r="M600" s="28" t="n">
        <x:v>0</x:v>
      </x:c>
      <x:c r="N600" s="28" t="n">
        <x:v>4.656612873077393e-10</x:v>
      </x:c>
      <x:c r="O600" s="28" t="n">
        <x:v>7.450580596923828e-9</x:v>
      </x:c>
      <x:c r="P600" s="28" t="n">
        <x:v>0</x:v>
      </x:c>
      <x:c r="Q600" s="62" t="b">
        <x:v>1</x:v>
      </x:c>
      <x:c r="R600" s="28" t="n">
        <x:v>0</x:v>
      </x:c>
      <x:c r="S600" s="28" t="str">
        <x:v>d901988a80771668</x:v>
      </x:c>
    </x:row>
    <x:row r="601" ht="21" customHeight="1">
      <x:c r="A601" s="60" t="n">
        <x:v>0.62</x:v>
      </x:c>
      <x:c r="B601" s="28" t="str">
        <x:v>middle_low</x:v>
      </x:c>
      <x:c r="C601" s="60" t="n">
        <x:v>0.25</x:v>
      </x:c>
      <x:c r="D601" s="60" t="n">
        <x:v>0.25</x:v>
      </x:c>
      <x:c r="E601" s="62" t="b">
        <x:v>1</x:v>
      </x:c>
      <x:c r="F601" s="62" t="b">
        <x:v>1</x:v>
      </x:c>
      <x:c r="G601" s="85" t="n">
        <x:v>0</x:v>
      </x:c>
      <x:c r="H601" s="85" t="n">
        <x:v>0</x:v>
      </x:c>
      <x:c r="I601" s="85" t="n">
        <x:v>2740284.9389665783</x:v>
      </x:c>
      <x:c r="J601" s="85" t="n">
        <x:v>2960046.598801156</x:v>
      </x:c>
      <x:c r="K601" s="85" t="n">
        <x:v>2188.3566575339937</x:v>
      </x:c>
      <x:c r="L601" s="28" t="n">
        <x:v>0</x:v>
      </x:c>
      <x:c r="M601" s="28" t="n">
        <x:v>0</x:v>
      </x:c>
      <x:c r="N601" s="28" t="n">
        <x:v>4.656612873077393e-10</x:v>
      </x:c>
      <x:c r="O601" s="28" t="n">
        <x:v>7.450580596923828e-9</x:v>
      </x:c>
      <x:c r="P601" s="28" t="n">
        <x:v>0</x:v>
      </x:c>
      <x:c r="Q601" s="62" t="b">
        <x:v>1</x:v>
      </x:c>
      <x:c r="R601" s="28" t="n">
        <x:v>0</x:v>
      </x:c>
      <x:c r="S601" s="28" t="str">
        <x:v>bd546104db9dc03c</x:v>
      </x:c>
    </x:row>
    <x:row r="602" ht="21" customHeight="1">
      <x:c r="A602" s="60" t="n">
        <x:v>0.62</x:v>
      </x:c>
      <x:c r="B602" s="28" t="str">
        <x:v>middle_low</x:v>
      </x:c>
      <x:c r="C602" s="60" t="n">
        <x:v>0.3</x:v>
      </x:c>
      <x:c r="D602" s="60" t="n">
        <x:v>0.3</x:v>
      </x:c>
      <x:c r="E602" s="62" t="b">
        <x:v>1</x:v>
      </x:c>
      <x:c r="F602" s="62" t="b">
        <x:v>1</x:v>
      </x:c>
      <x:c r="G602" s="85" t="n">
        <x:v>0</x:v>
      </x:c>
      <x:c r="H602" s="85" t="n">
        <x:v>0</x:v>
      </x:c>
      <x:c r="I602" s="85" t="n">
        <x:v>3543219.8481622986</x:v>
      </x:c>
      <x:c r="J602" s="85" t="n">
        <x:v>4666935.918561378</x:v>
      </x:c>
      <x:c r="K602" s="85" t="n">
        <x:v>0</x:v>
      </x:c>
      <x:c r="L602" s="28" t="n">
        <x:v>0</x:v>
      </x:c>
      <x:c r="M602" s="28" t="n">
        <x:v>0</x:v>
      </x:c>
      <x:c r="N602" s="28" t="n">
        <x:v>2.3283064365386963e-10</x:v>
      </x:c>
      <x:c r="O602" s="28" t="n">
        <x:v>7.450580596923828e-9</x:v>
      </x:c>
      <x:c r="P602" s="28" t="n">
        <x:v>0</x:v>
      </x:c>
      <x:c r="Q602" s="62" t="b">
        <x:v>1</x:v>
      </x:c>
      <x:c r="R602" s="28" t="n">
        <x:v>0</x:v>
      </x:c>
      <x:c r="S602" s="28" t="str">
        <x:v>d023fed565778a7f</x:v>
      </x:c>
    </x:row>
    <x:row r="603" ht="21" customHeight="1">
      <x:c r="A603" s="60" t="n">
        <x:v>0.62</x:v>
      </x:c>
      <x:c r="B603" s="28" t="str">
        <x:v>middle_low</x:v>
      </x:c>
      <x:c r="C603" s="60" t="n">
        <x:v>0.35</x:v>
      </x:c>
      <x:c r="D603" s="60" t="n">
        <x:v>0.35</x:v>
      </x:c>
      <x:c r="E603" s="62" t="b">
        <x:v>1</x:v>
      </x:c>
      <x:c r="F603" s="62" t="b">
        <x:v>1</x:v>
      </x:c>
      <x:c r="G603" s="85" t="n">
        <x:v>0</x:v>
      </x:c>
      <x:c r="H603" s="85" t="n">
        <x:v>0</x:v>
      </x:c>
      <x:c r="I603" s="85" t="n">
        <x:v>4350759.4822898125</x:v>
      </x:c>
      <x:c r="J603" s="85" t="n">
        <x:v>6373825.238321622</x:v>
      </x:c>
      <x:c r="K603" s="85" t="n">
        <x:v>0</x:v>
      </x:c>
      <x:c r="L603" s="28" t="n">
        <x:v>0</x:v>
      </x:c>
      <x:c r="M603" s="28" t="n">
        <x:v>0</x:v>
      </x:c>
      <x:c r="N603" s="28" t="n">
        <x:v>4.656612873077393e-10</x:v>
      </x:c>
      <x:c r="O603" s="28" t="n">
        <x:v>7.450580596923828e-9</x:v>
      </x:c>
      <x:c r="P603" s="28" t="n">
        <x:v>0</x:v>
      </x:c>
      <x:c r="Q603" s="62" t="b">
        <x:v>1</x:v>
      </x:c>
      <x:c r="R603" s="28" t="n">
        <x:v>0</x:v>
      </x:c>
      <x:c r="S603" s="28" t="str">
        <x:v>f954fb076a913bf6</x:v>
      </x:c>
    </x:row>
    <x:row r="604" ht="21" customHeight="1">
      <x:c r="A604" s="60" t="n">
        <x:v>0.62</x:v>
      </x:c>
      <x:c r="B604" s="28" t="str">
        <x:v>middle_low</x:v>
      </x:c>
      <x:c r="C604" s="60" t="n">
        <x:v>0.4</x:v>
      </x:c>
      <x:c r="D604" s="60" t="n">
        <x:v>0.4</x:v>
      </x:c>
      <x:c r="E604" s="62" t="b">
        <x:v>1</x:v>
      </x:c>
      <x:c r="F604" s="62" t="b">
        <x:v>1</x:v>
      </x:c>
      <x:c r="G604" s="85" t="n">
        <x:v>0</x:v>
      </x:c>
      <x:c r="H604" s="85" t="n">
        <x:v>0</x:v>
      </x:c>
      <x:c r="I604" s="85" t="n">
        <x:v>5153165.503022859</x:v>
      </x:c>
      <x:c r="J604" s="85" t="n">
        <x:v>8080714.55808184</x:v>
      </x:c>
      <x:c r="K604" s="85" t="n">
        <x:v>0</x:v>
      </x:c>
      <x:c r="L604" s="28" t="n">
        <x:v>0</x:v>
      </x:c>
      <x:c r="M604" s="28" t="n">
        <x:v>0</x:v>
      </x:c>
      <x:c r="N604" s="28" t="n">
        <x:v>2.3283064365386963e-10</x:v>
      </x:c>
      <x:c r="O604" s="28" t="n">
        <x:v>3.725290298461914e-9</x:v>
      </x:c>
      <x:c r="P604" s="28" t="n">
        <x:v>0</x:v>
      </x:c>
      <x:c r="Q604" s="62" t="b">
        <x:v>1</x:v>
      </x:c>
      <x:c r="R604" s="28" t="n">
        <x:v>0</x:v>
      </x:c>
      <x:c r="S604" s="28" t="str">
        <x:v>e671bd5aa619da52</x:v>
      </x:c>
    </x:row>
    <x:row r="605" ht="21" customHeight="1">
      <x:c r="A605" s="60" t="n">
        <x:v>0.62</x:v>
      </x:c>
      <x:c r="B605" s="28" t="str">
        <x:v>middle_low</x:v>
      </x:c>
      <x:c r="C605" s="60" t="n">
        <x:v>0.45</x:v>
      </x:c>
      <x:c r="D605" s="60" t="n">
        <x:v>0.45</x:v>
      </x:c>
      <x:c r="E605" s="62" t="b">
        <x:v>1</x:v>
      </x:c>
      <x:c r="F605" s="62" t="b">
        <x:v>1</x:v>
      </x:c>
      <x:c r="G605" s="85" t="n">
        <x:v>0</x:v>
      </x:c>
      <x:c r="H605" s="85" t="n">
        <x:v>0</x:v>
      </x:c>
      <x:c r="I605" s="85" t="n">
        <x:v>6017050.495160231</x:v>
      </x:c>
      <x:c r="J605" s="85" t="n">
        <x:v>9681787.539523289</x:v>
      </x:c>
      <x:c r="K605" s="85" t="n">
        <x:v>0</x:v>
      </x:c>
      <x:c r="L605" s="28" t="n">
        <x:v>1</x:v>
      </x:c>
      <x:c r="M605" s="28" t="n">
        <x:v>0</x:v>
      </x:c>
      <x:c r="N605" s="28" t="n">
        <x:v>2.3283064365386963e-10</x:v>
      </x:c>
      <x:c r="O605" s="28" t="n">
        <x:v>1.862645149230957e-9</x:v>
      </x:c>
      <x:c r="P605" s="28" t="n">
        <x:v>0</x:v>
      </x:c>
      <x:c r="Q605" s="62" t="b">
        <x:v>1</x:v>
      </x:c>
      <x:c r="R605" s="28" t="n">
        <x:v>0</x:v>
      </x:c>
      <x:c r="S605" s="28" t="str">
        <x:v>3b8cc079451e1d5f</x:v>
      </x:c>
    </x:row>
    <x:row r="606" ht="21" customHeight="1">
      <x:c r="A606" s="60" t="n">
        <x:v>0.62</x:v>
      </x:c>
      <x:c r="B606" s="28" t="str">
        <x:v>middle_low</x:v>
      </x:c>
      <x:c r="C606" s="60" t="n">
        <x:v>0.5</x:v>
      </x:c>
      <x:c r="D606" s="60" t="n">
        <x:v>0.5</x:v>
      </x:c>
      <x:c r="E606" s="62" t="b">
        <x:v>1</x:v>
      </x:c>
      <x:c r="F606" s="62" t="b">
        <x:v>1</x:v>
      </x:c>
      <x:c r="G606" s="85" t="n">
        <x:v>0</x:v>
      </x:c>
      <x:c r="H606" s="85" t="n">
        <x:v>0</x:v>
      </x:c>
      <x:c r="I606" s="85" t="n">
        <x:v>7181572.356146377</x:v>
      </x:c>
      <x:c r="J606" s="85" t="n">
        <x:v>10797926.561868679</x:v>
      </x:c>
      <x:c r="K606" s="85" t="n">
        <x:v>0</x:v>
      </x:c>
      <x:c r="L606" s="28" t="n">
        <x:v>7</x:v>
      </x:c>
      <x:c r="M606" s="28" t="n">
        <x:v>0</x:v>
      </x:c>
      <x:c r="N606" s="28" t="n">
        <x:v>4.656612873077393e-10</x:v>
      </x:c>
      <x:c r="O606" s="28" t="n">
        <x:v>7.450580596923828e-9</x:v>
      </x:c>
      <x:c r="P606" s="28" t="n">
        <x:v>0</x:v>
      </x:c>
      <x:c r="Q606" s="62" t="b">
        <x:v>1</x:v>
      </x:c>
      <x:c r="R606" s="28" t="n">
        <x:v>0</x:v>
      </x:c>
      <x:c r="S606" s="28" t="str">
        <x:v>8854d678a76bef44</x:v>
      </x:c>
    </x:row>
    <x:row r="607" ht="21" customHeight="1">
      <x:c r="A607" s="60" t="n">
        <x:v>0.62</x:v>
      </x:c>
      <x:c r="B607" s="28" t="str">
        <x:v>middle_low</x:v>
      </x:c>
      <x:c r="C607" s="60" t="n">
        <x:v>0.55</x:v>
      </x:c>
      <x:c r="D607" s="60" t="n">
        <x:v>0.55</x:v>
      </x:c>
      <x:c r="E607" s="62" t="b">
        <x:v>1</x:v>
      </x:c>
      <x:c r="F607" s="62" t="b">
        <x:v>1</x:v>
      </x:c>
      <x:c r="G607" s="85" t="n">
        <x:v>0</x:v>
      </x:c>
      <x:c r="H607" s="85" t="n">
        <x:v>0</x:v>
      </x:c>
      <x:c r="I607" s="85" t="n">
        <x:v>8069672.332209956</x:v>
      </x:c>
      <x:c r="J607" s="85" t="n">
        <x:v>12344485.977960853</x:v>
      </x:c>
      <x:c r="K607" s="85" t="n">
        <x:v>0</x:v>
      </x:c>
      <x:c r="L607" s="28" t="n">
        <x:v>11</x:v>
      </x:c>
      <x:c r="M607" s="28" t="n">
        <x:v>0</x:v>
      </x:c>
      <x:c r="N607" s="28" t="n">
        <x:v>4.656612873077393e-10</x:v>
      </x:c>
      <x:c r="O607" s="28" t="n">
        <x:v>7.450580596923828e-9</x:v>
      </x:c>
      <x:c r="P607" s="28" t="n">
        <x:v>0</x:v>
      </x:c>
      <x:c r="Q607" s="62" t="b">
        <x:v>1</x:v>
      </x:c>
      <x:c r="R607" s="28" t="n">
        <x:v>0</x:v>
      </x:c>
      <x:c r="S607" s="28" t="str">
        <x:v>926f27765be63952</x:v>
      </x:c>
    </x:row>
    <x:row r="608" ht="21" customHeight="1">
      <x:c r="A608" s="60" t="n">
        <x:v>0.62</x:v>
      </x:c>
      <x:c r="B608" s="28" t="str">
        <x:v>middle_low</x:v>
      </x:c>
      <x:c r="C608" s="60" t="n">
        <x:v>0.6</x:v>
      </x:c>
      <x:c r="D608" s="60" t="n">
        <x:v>0.6</x:v>
      </x:c>
      <x:c r="E608" s="62" t="b">
        <x:v>1</x:v>
      </x:c>
      <x:c r="F608" s="62" t="b">
        <x:v>1</x:v>
      </x:c>
      <x:c r="G608" s="85" t="n">
        <x:v>0</x:v>
      </x:c>
      <x:c r="H608" s="85" t="n">
        <x:v>0</x:v>
      </x:c>
      <x:c r="I608" s="85" t="n">
        <x:v>8900998.117712675</x:v>
      </x:c>
      <x:c r="J608" s="85" t="n">
        <x:v>13969816.018445225</x:v>
      </x:c>
      <x:c r="K608" s="85" t="n">
        <x:v>0</x:v>
      </x:c>
      <x:c r="L608" s="28" t="n">
        <x:v>15</x:v>
      </x:c>
      <x:c r="M608" s="28" t="n">
        <x:v>0</x:v>
      </x:c>
      <x:c r="N608" s="28" t="n">
        <x:v>4.656612873077393e-10</x:v>
      </x:c>
      <x:c r="O608" s="28" t="n">
        <x:v>3.725290298461914e-9</x:v>
      </x:c>
      <x:c r="P608" s="28" t="n">
        <x:v>0</x:v>
      </x:c>
      <x:c r="Q608" s="62" t="b">
        <x:v>1</x:v>
      </x:c>
      <x:c r="R608" s="28" t="n">
        <x:v>0</x:v>
      </x:c>
      <x:c r="S608" s="28" t="str">
        <x:v>69040c420654e97f</x:v>
      </x:c>
    </x:row>
    <x:row r="609" ht="21" customHeight="1">
      <x:c r="A609" s="60" t="n">
        <x:v>0.62</x:v>
      </x:c>
      <x:c r="B609" s="28" t="str">
        <x:v>middle_low</x:v>
      </x:c>
      <x:c r="C609" s="60" t="n">
        <x:v>0.65</x:v>
      </x:c>
      <x:c r="D609" s="60" t="n">
        <x:v>0.65</x:v>
      </x:c>
      <x:c r="E609" s="62" t="b">
        <x:v>1</x:v>
      </x:c>
      <x:c r="F609" s="62" t="b">
        <x:v>0</x:v>
      </x:c>
      <x:c r="G609" s="85" t="n">
        <x:v>5993.360950466595</x:v>
      </x:c>
      <x:c r="H609" s="85" t="n">
        <x:v>96915.50358498615</x:v>
      </x:c>
      <x:c r="I609" s="85" t="n">
        <x:v>9607750.904564766</x:v>
      </x:c>
      <x:c r="J609" s="85" t="n">
        <x:v>15608320.000000002</x:v>
      </x:c>
      <x:c r="K609" s="85" t="n">
        <x:v>0</x:v>
      </x:c>
      <x:c r="L609" s="28" t="n">
        <x:v>40</x:v>
      </x:c>
      <x:c r="M609" s="28" t="n">
        <x:v>15</x:v>
      </x:c>
      <x:c r="N609" s="28" t="n">
        <x:v>2.3283064365386963e-10</x:v>
      </x:c>
      <x:c r="O609" s="28" t="n">
        <x:v>1.862645149230957e-9</x:v>
      </x:c>
      <x:c r="P609" s="28" t="n">
        <x:v>0</x:v>
      </x:c>
      <x:c r="Q609" s="62" t="b">
        <x:v>1</x:v>
      </x:c>
      <x:c r="R609" s="28" t="n">
        <x:v>0</x:v>
      </x:c>
      <x:c r="S609" s="28" t="str">
        <x:v>33e4aeb09c6f888f</x:v>
      </x:c>
    </x:row>
    <x:row r="610" ht="21" customHeight="1">
      <x:c r="A610" s="60" t="n">
        <x:v>0.62</x:v>
      </x:c>
      <x:c r="B610" s="28" t="str">
        <x:v>middle_low</x:v>
      </x:c>
      <x:c r="C610" s="60" t="n">
        <x:v>0.7</x:v>
      </x:c>
      <x:c r="D610" s="60" t="n">
        <x:v>0.7</x:v>
      </x:c>
      <x:c r="E610" s="62" t="b">
        <x:v>1</x:v>
      </x:c>
      <x:c r="F610" s="62" t="b">
        <x:v>0</x:v>
      </x:c>
      <x:c r="G610" s="85" t="n">
        <x:v>170362.2977307651</x:v>
      </x:c>
      <x:c r="H610" s="85" t="n">
        <x:v>2122121.018874633</x:v>
      </x:c>
      <x:c r="I610" s="85" t="n">
        <x:v>9639403.510627177</x:v>
      </x:c>
      <x:c r="J610" s="85" t="n">
        <x:v>15608320.000000002</x:v>
      </x:c>
      <x:c r="K610" s="85" t="n">
        <x:v>0</x:v>
      </x:c>
      <x:c r="L610" s="28" t="n">
        <x:v>40</x:v>
      </x:c>
      <x:c r="M610" s="28" t="n">
        <x:v>31</x:v>
      </x:c>
      <x:c r="N610" s="28" t="n">
        <x:v>4.656612873077393e-10</x:v>
      </x:c>
      <x:c r="O610" s="28" t="n">
        <x:v>3.725290298461914e-9</x:v>
      </x:c>
      <x:c r="P610" s="28" t="n">
        <x:v>0</x:v>
      </x:c>
      <x:c r="Q610" s="62" t="b">
        <x:v>1</x:v>
      </x:c>
      <x:c r="R610" s="28" t="n">
        <x:v>0</x:v>
      </x:c>
      <x:c r="S610" s="28" t="str">
        <x:v>9d65ca6179793221</x:v>
      </x:c>
    </x:row>
    <x:row r="611" ht="21" customHeight="1">
      <x:c r="A611" s="60" t="n">
        <x:v>0.62</x:v>
      </x:c>
      <x:c r="B611" s="28" t="str">
        <x:v>middle_low</x:v>
      </x:c>
      <x:c r="C611" s="60" t="n">
        <x:v>0.75</x:v>
      </x:c>
      <x:c r="D611" s="60" t="n">
        <x:v>0.75</x:v>
      </x:c>
      <x:c r="E611" s="62" t="b">
        <x:v>1</x:v>
      </x:c>
      <x:c r="F611" s="62" t="b">
        <x:v>0</x:v>
      </x:c>
      <x:c r="G611" s="85" t="n">
        <x:v>319390.66686862975</x:v>
      </x:c>
      <x:c r="H611" s="85" t="n">
        <x:v>3975204.8294634386</x:v>
      </x:c>
      <x:c r="I611" s="85" t="n">
        <x:v>9822514.487897258</x:v>
      </x:c>
      <x:c r="J611" s="85" t="n">
        <x:v>15608320.000000002</x:v>
      </x:c>
      <x:c r="K611" s="85" t="n">
        <x:v>0</x:v>
      </x:c>
      <x:c r="L611" s="28" t="n">
        <x:v>41</x:v>
      </x:c>
      <x:c r="M611" s="28" t="n">
        <x:v>33</x:v>
      </x:c>
      <x:c r="N611" s="28" t="n">
        <x:v>2.3283064365386963e-10</x:v>
      </x:c>
      <x:c r="O611" s="28" t="n">
        <x:v>3.725290298461914e-9</x:v>
      </x:c>
      <x:c r="P611" s="28" t="n">
        <x:v>0</x:v>
      </x:c>
      <x:c r="Q611" s="62" t="b">
        <x:v>1</x:v>
      </x:c>
      <x:c r="R611" s="28" t="n">
        <x:v>0</x:v>
      </x:c>
      <x:c r="S611" s="28" t="str">
        <x:v>9f8474e82b611c80</x:v>
      </x:c>
    </x:row>
    <x:row r="612" ht="21" customHeight="1">
      <x:c r="A612" s="60" t="n">
        <x:v>0.62</x:v>
      </x:c>
      <x:c r="B612" s="28" t="str">
        <x:v>middle_low</x:v>
      </x:c>
      <x:c r="C612" s="60" t="n">
        <x:v>0.8</x:v>
      </x:c>
      <x:c r="D612" s="60" t="n">
        <x:v>0.8</x:v>
      </x:c>
      <x:c r="E612" s="62" t="b">
        <x:v>1</x:v>
      </x:c>
      <x:c r="F612" s="62" t="b">
        <x:v>0</x:v>
      </x:c>
      <x:c r="G612" s="85" t="n">
        <x:v>509694.2391436512</x:v>
      </x:c>
      <x:c r="H612" s="85" t="n">
        <x:v>5978381.035463383</x:v>
      </x:c>
      <x:c r="I612" s="85" t="n">
        <x:v>9846107.271298628</x:v>
      </x:c>
      <x:c r="J612" s="85" t="n">
        <x:v>15608320.000000002</x:v>
      </x:c>
      <x:c r="K612" s="85" t="n">
        <x:v>0</x:v>
      </x:c>
      <x:c r="L612" s="28" t="n">
        <x:v>41</x:v>
      </x:c>
      <x:c r="M612" s="28" t="n">
        <x:v>34</x:v>
      </x:c>
      <x:c r="N612" s="28" t="n">
        <x:v>4.656612873077393e-10</x:v>
      </x:c>
      <x:c r="O612" s="28" t="n">
        <x:v>1.862645149230957e-9</x:v>
      </x:c>
      <x:c r="P612" s="28" t="n">
        <x:v>0</x:v>
      </x:c>
      <x:c r="Q612" s="62" t="b">
        <x:v>1</x:v>
      </x:c>
      <x:c r="R612" s="28" t="n">
        <x:v>0</x:v>
      </x:c>
      <x:c r="S612" s="28" t="str">
        <x:v>1023b087593dd9eb</x:v>
      </x:c>
    </x:row>
    <x:row r="613" ht="21" customHeight="1">
      <x:c r="A613" s="60" t="n">
        <x:v>0.62</x:v>
      </x:c>
      <x:c r="B613" s="28" t="str">
        <x:v>middle_low</x:v>
      </x:c>
      <x:c r="C613" s="60" t="n">
        <x:v>0.85</x:v>
      </x:c>
      <x:c r="D613" s="60" t="n">
        <x:v>0.85</x:v>
      </x:c>
      <x:c r="E613" s="62" t="b">
        <x:v>1</x:v>
      </x:c>
      <x:c r="F613" s="62" t="b">
        <x:v>0</x:v>
      </x:c>
      <x:c r="G613" s="85" t="n">
        <x:v>664483.1715010008</x:v>
      </x:c>
      <x:c r="H613" s="85" t="n">
        <x:v>7779676.490235882</x:v>
      </x:c>
      <x:c r="I613" s="85" t="n">
        <x:v>10012559.843790848</x:v>
      </x:c>
      <x:c r="J613" s="85" t="n">
        <x:v>15608320.000000002</x:v>
      </x:c>
      <x:c r="K613" s="85" t="n">
        <x:v>0</x:v>
      </x:c>
      <x:c r="L613" s="28" t="n">
        <x:v>42</x:v>
      </x:c>
      <x:c r="M613" s="28" t="n">
        <x:v>35</x:v>
      </x:c>
      <x:c r="N613" s="28" t="n">
        <x:v>2.3283064365386963e-10</x:v>
      </x:c>
      <x:c r="O613" s="28" t="n">
        <x:v>3.725290298461914e-9</x:v>
      </x:c>
      <x:c r="P613" s="28" t="n">
        <x:v>0</x:v>
      </x:c>
      <x:c r="Q613" s="62" t="b">
        <x:v>1</x:v>
      </x:c>
      <x:c r="R613" s="28" t="n">
        <x:v>0</x:v>
      </x:c>
      <x:c r="S613" s="28" t="str">
        <x:v>ae7c06883d8c6a6b</x:v>
      </x:c>
    </x:row>
    <x:row r="614" ht="21" customHeight="1">
      <x:c r="A614" s="60" t="n">
        <x:v>0.62</x:v>
      </x:c>
      <x:c r="B614" s="28" t="str">
        <x:v>middle_low</x:v>
      </x:c>
      <x:c r="C614" s="60" t="n">
        <x:v>0.9</x:v>
      </x:c>
      <x:c r="D614" s="60" t="n">
        <x:v>0.9</x:v>
      </x:c>
      <x:c r="E614" s="62" t="b">
        <x:v>1</x:v>
      </x:c>
      <x:c r="F614" s="62" t="b">
        <x:v>0</x:v>
      </x:c>
      <x:c r="G614" s="85" t="n">
        <x:v>930899.486534498</x:v>
      </x:c>
      <x:c r="H614" s="85" t="n">
        <x:v>9642190.91022412</x:v>
      </x:c>
      <x:c r="I614" s="85" t="n">
        <x:v>10029385.237741478</x:v>
      </x:c>
      <x:c r="J614" s="85" t="n">
        <x:v>15608320.000000002</x:v>
      </x:c>
      <x:c r="K614" s="85" t="n">
        <x:v>0</x:v>
      </x:c>
      <x:c r="L614" s="28" t="n">
        <x:v>42</x:v>
      </x:c>
      <x:c r="M614" s="28" t="n">
        <x:v>36</x:v>
      </x:c>
      <x:c r="N614" s="28" t="n">
        <x:v>2.3283064365386963e-10</x:v>
      </x:c>
      <x:c r="O614" s="28" t="n">
        <x:v>3.725290298461914e-9</x:v>
      </x:c>
      <x:c r="P614" s="28" t="n">
        <x:v>0</x:v>
      </x:c>
      <x:c r="Q614" s="62" t="b">
        <x:v>1</x:v>
      </x:c>
      <x:c r="R614" s="28" t="n">
        <x:v>0</x:v>
      </x:c>
      <x:c r="S614" s="28" t="str">
        <x:v>16ee26bb2c6df4d1</x:v>
      </x:c>
    </x:row>
    <x:row r="615" ht="21" customHeight="1">
      <x:c r="A615" s="60" t="n">
        <x:v>0.62</x:v>
      </x:c>
      <x:c r="B615" s="28" t="str">
        <x:v>middle_low</x:v>
      </x:c>
      <x:c r="C615" s="60" t="n">
        <x:v>0.95</x:v>
      </x:c>
      <x:c r="D615" s="60" t="n">
        <x:v>0.9270639118581285</x:v>
      </x:c>
      <x:c r="E615" s="62" t="b">
        <x:v>0</x:v>
      </x:c>
      <x:c r="F615" s="62" t="b">
        <x:v>0</x:v>
      </x:c>
      <x:c r="G615" s="85" t="n">
        <x:v>1183400.1675690056</x:v>
      </x:c>
      <x:c r="H615" s="85" t="n">
        <x:v>10375965.340572368</x:v>
      </x:c>
      <x:c r="I615" s="85" t="n">
        <x:v>10203682.73369726</x:v>
      </x:c>
      <x:c r="J615" s="85" t="n">
        <x:v>15608320.000000002</x:v>
      </x:c>
      <x:c r="K615" s="85" t="n">
        <x:v>0</x:v>
      </x:c>
      <x:c r="L615" s="28" t="n">
        <x:v>43</x:v>
      </x:c>
      <x:c r="M615" s="28" t="n">
        <x:v>36</x:v>
      </x:c>
      <x:c r="N615" s="28" t="n">
        <x:v>0</x:v>
      </x:c>
      <x:c r="O615" s="28" t="n">
        <x:v>3.725290298461914e-9</x:v>
      </x:c>
      <x:c r="P615" s="28" t="n">
        <x:v>0</x:v>
      </x:c>
      <x:c r="Q615" s="62" t="b">
        <x:v>1</x:v>
      </x:c>
      <x:c r="R615" s="28" t="n">
        <x:v>1278549.2973804846</x:v>
      </x:c>
      <x:c r="S615" s="28" t="str">
        <x:v>4f761762159cb077</x:v>
      </x:c>
    </x:row>
    <x:row r="616" ht="21" customHeight="1">
      <x:c r="A616" s="60" t="n">
        <x:v>0.62</x:v>
      </x:c>
      <x:c r="B616" s="28" t="str">
        <x:v>middle_low</x:v>
      </x:c>
      <x:c r="C616" s="60" t="n">
        <x:v>1</x:v>
      </x:c>
      <x:c r="D616" s="60" t="n">
        <x:v>0.9427455891708479</x:v>
      </x:c>
      <x:c r="E616" s="62" t="b">
        <x:v>0</x:v>
      </x:c>
      <x:c r="F616" s="62" t="b">
        <x:v>0</x:v>
      </x:c>
      <x:c r="G616" s="85" t="n">
        <x:v>1311399.973954899</x:v>
      </x:c>
      <x:c r="H616" s="85" t="n">
        <x:v>11034903.070602808</x:v>
      </x:c>
      <x:c r="I616" s="85" t="n">
        <x:v>10215372.347863013</x:v>
      </x:c>
      <x:c r="J616" s="85" t="n">
        <x:v>15608320.000000002</x:v>
      </x:c>
      <x:c r="K616" s="85" t="n">
        <x:v>0</x:v>
      </x:c>
      <x:c r="L616" s="28" t="n">
        <x:v>43</x:v>
      </x:c>
      <x:c r="M616" s="28" t="n">
        <x:v>37</x:v>
      </x:c>
      <x:c r="N616" s="28" t="n">
        <x:v>2.3283064365386963e-10</x:v>
      </x:c>
      <x:c r="O616" s="28" t="n">
        <x:v>9.313225746154785e-10</x:v>
      </x:c>
      <x:c r="P616" s="28" t="n">
        <x:v>0</x:v>
      </x:c>
      <x:c r="Q616" s="62" t="b">
        <x:v>1</x:v>
      </x:c>
      <x:c r="R616" s="28" t="n">
        <x:v>3191589.877260253</x:v>
      </x:c>
      <x:c r="S616" s="28" t="str">
        <x:v>b7d40f148d365030</x:v>
      </x:c>
    </x:row>
    <x:row r="617" ht="21" customHeight="1">
      <x:c r="A617" s="60" t="n">
        <x:v>0.62</x:v>
      </x:c>
      <x:c r="B617" s="28" t="str">
        <x:v>middle_high</x:v>
      </x:c>
      <x:c r="C617" s="60" t="n">
        <x:v>0</x:v>
      </x:c>
      <x:c r="D617" s="60" t="n">
        <x:v>0</x:v>
      </x:c>
      <x:c r="E617" s="62" t="b">
        <x:v>1</x:v>
      </x:c>
      <x:c r="F617" s="62" t="b">
        <x:v>1</x:v>
      </x:c>
      <x:c r="G617" s="85" t="n">
        <x:v>0</x:v>
      </x:c>
      <x:c r="H617" s="85" t="n">
        <x:v>0</x:v>
      </x:c>
      <x:c r="I617" s="85" t="n">
        <x:v>0</x:v>
      </x:c>
      <x:c r="J617" s="85" t="n">
        <x:v>0</x:v>
      </x:c>
      <x:c r="K617" s="85" t="n">
        <x:v>6712462.148383557</x:v>
      </x:c>
      <x:c r="L617" s="28" t="n">
        <x:v>0</x:v>
      </x:c>
      <x:c r="M617" s="28" t="n">
        <x:v>0</x:v>
      </x:c>
      <x:c r="N617" s="28" t="n">
        <x:v>4.656612873077393e-10</x:v>
      </x:c>
      <x:c r="O617" s="28" t="n">
        <x:v>0</x:v>
      </x:c>
      <x:c r="P617" s="28" t="n">
        <x:v>0</x:v>
      </x:c>
      <x:c r="Q617" s="62" t="b">
        <x:v>1</x:v>
      </x:c>
      <x:c r="R617" s="28" t="n">
        <x:v>0</x:v>
      </x:c>
      <x:c r="S617" s="28" t="str">
        <x:v>b8095e103ccdc4ca</x:v>
      </x:c>
    </x:row>
    <x:row r="618" ht="21" customHeight="1">
      <x:c r="A618" s="60" t="n">
        <x:v>0.62</x:v>
      </x:c>
      <x:c r="B618" s="28" t="str">
        <x:v>middle_high</x:v>
      </x:c>
      <x:c r="C618" s="60" t="n">
        <x:v>0.05</x:v>
      </x:c>
      <x:c r="D618" s="60" t="n">
        <x:v>0.05</x:v>
      </x:c>
      <x:c r="E618" s="62" t="b">
        <x:v>1</x:v>
      </x:c>
      <x:c r="F618" s="62" t="b">
        <x:v>1</x:v>
      </x:c>
      <x:c r="G618" s="85" t="n">
        <x:v>0</x:v>
      </x:c>
      <x:c r="H618" s="85" t="n">
        <x:v>0</x:v>
      </x:c>
      <x:c r="I618" s="85" t="n">
        <x:v>0</x:v>
      </x:c>
      <x:c r="J618" s="85" t="n">
        <x:v>0</x:v>
      </x:c>
      <x:c r="K618" s="85" t="n">
        <x:v>4202869.448003648</x:v>
      </x:c>
      <x:c r="L618" s="28" t="n">
        <x:v>0</x:v>
      </x:c>
      <x:c r="M618" s="28" t="n">
        <x:v>0</x:v>
      </x:c>
      <x:c r="N618" s="28" t="n">
        <x:v>9.313225746154785e-10</x:v>
      </x:c>
      <x:c r="O618" s="28" t="n">
        <x:v>7.450580596923828e-9</x:v>
      </x:c>
      <x:c r="P618" s="28" t="n">
        <x:v>0</x:v>
      </x:c>
      <x:c r="Q618" s="62" t="b">
        <x:v>1</x:v>
      </x:c>
      <x:c r="R618" s="28" t="n">
        <x:v>0</x:v>
      </x:c>
      <x:c r="S618" s="28" t="str">
        <x:v>69337dfd3e0bdcc4</x:v>
      </x:c>
    </x:row>
    <x:row r="619" ht="21" customHeight="1">
      <x:c r="A619" s="60" t="n">
        <x:v>0.62</x:v>
      </x:c>
      <x:c r="B619" s="28" t="str">
        <x:v>middle_high</x:v>
      </x:c>
      <x:c r="C619" s="60" t="n">
        <x:v>0.1</x:v>
      </x:c>
      <x:c r="D619" s="60" t="n">
        <x:v>0.1</x:v>
      </x:c>
      <x:c r="E619" s="62" t="b">
        <x:v>1</x:v>
      </x:c>
      <x:c r="F619" s="62" t="b">
        <x:v>1</x:v>
      </x:c>
      <x:c r="G619" s="85" t="n">
        <x:v>0</x:v>
      </x:c>
      <x:c r="H619" s="85" t="n">
        <x:v>0</x:v>
      </x:c>
      <x:c r="I619" s="85" t="n">
        <x:v>0</x:v>
      </x:c>
      <x:c r="J619" s="85" t="n">
        <x:v>0</x:v>
      </x:c>
      <x:c r="K619" s="85" t="n">
        <x:v>1692862.6440176778</x:v>
      </x:c>
      <x:c r="L619" s="28" t="n">
        <x:v>0</x:v>
      </x:c>
      <x:c r="M619" s="28" t="n">
        <x:v>0</x:v>
      </x:c>
      <x:c r="N619" s="28" t="n">
        <x:v>4.656612873077393e-10</x:v>
      </x:c>
      <x:c r="O619" s="28" t="n">
        <x:v>7.450580596923828e-9</x:v>
      </x:c>
      <x:c r="P619" s="28" t="n">
        <x:v>0</x:v>
      </x:c>
      <x:c r="Q619" s="62" t="b">
        <x:v>1</x:v>
      </x:c>
      <x:c r="R619" s="28" t="n">
        <x:v>0</x:v>
      </x:c>
      <x:c r="S619" s="28" t="str">
        <x:v>f0bc84f02371e76b</x:v>
      </x:c>
    </x:row>
    <x:row r="620" ht="21" customHeight="1">
      <x:c r="A620" s="60" t="n">
        <x:v>0.62</x:v>
      </x:c>
      <x:c r="B620" s="28" t="str">
        <x:v>middle_high</x:v>
      </x:c>
      <x:c r="C620" s="60" t="n">
        <x:v>0.15</x:v>
      </x:c>
      <x:c r="D620" s="60" t="n">
        <x:v>0.15</x:v>
      </x:c>
      <x:c r="E620" s="62" t="b">
        <x:v>1</x:v>
      </x:c>
      <x:c r="F620" s="62" t="b">
        <x:v>1</x:v>
      </x:c>
      <x:c r="G620" s="85" t="n">
        <x:v>0</x:v>
      </x:c>
      <x:c r="H620" s="85" t="n">
        <x:v>0</x:v>
      </x:c>
      <x:c r="I620" s="85" t="n">
        <x:v>1038988.9540686463</x:v>
      </x:c>
      <x:c r="J620" s="85" t="n">
        <x:v>0</x:v>
      </x:c>
      <x:c r="K620" s="85" t="n">
        <x:v>335349.74130851956</x:v>
      </x:c>
      <x:c r="L620" s="28" t="n">
        <x:v>0</x:v>
      </x:c>
      <x:c r="M620" s="28" t="n">
        <x:v>0</x:v>
      </x:c>
      <x:c r="N620" s="28" t="n">
        <x:v>9.313225746154785e-10</x:v>
      </x:c>
      <x:c r="O620" s="28" t="n">
        <x:v>7.450580596923828e-9</x:v>
      </x:c>
      <x:c r="P620" s="28" t="n">
        <x:v>0</x:v>
      </x:c>
      <x:c r="Q620" s="62" t="b">
        <x:v>1</x:v>
      </x:c>
      <x:c r="R620" s="28" t="n">
        <x:v>0</x:v>
      </x:c>
      <x:c r="S620" s="28" t="str">
        <x:v>d4ed464d5b2d8ed4</x:v>
      </x:c>
    </x:row>
    <x:row r="621" ht="21" customHeight="1">
      <x:c r="A621" s="60" t="n">
        <x:v>0.62</x:v>
      </x:c>
      <x:c r="B621" s="28" t="str">
        <x:v>middle_high</x:v>
      </x:c>
      <x:c r="C621" s="60" t="n">
        <x:v>0.2</x:v>
      </x:c>
      <x:c r="D621" s="60" t="n">
        <x:v>0.2</x:v>
      </x:c>
      <x:c r="E621" s="62" t="b">
        <x:v>1</x:v>
      </x:c>
      <x:c r="F621" s="62" t="b">
        <x:v>1</x:v>
      </x:c>
      <x:c r="G621" s="85" t="n">
        <x:v>0</x:v>
      </x:c>
      <x:c r="H621" s="85" t="n">
        <x:v>0</x:v>
      </x:c>
      <x:c r="I621" s="85" t="n">
        <x:v>2991364.415233913</x:v>
      </x:c>
      <x:c r="J621" s="85" t="n">
        <x:v>1253157.2790409133</x:v>
      </x:c>
      <x:c r="K621" s="85" t="n">
        <x:v>246473.78734980724</x:v>
      </x:c>
      <x:c r="L621" s="28" t="n">
        <x:v>0</x:v>
      </x:c>
      <x:c r="M621" s="28" t="n">
        <x:v>0</x:v>
      </x:c>
      <x:c r="N621" s="28" t="n">
        <x:v>4.656612873077393e-10</x:v>
      </x:c>
      <x:c r="O621" s="28" t="n">
        <x:v>7.450580596923828e-9</x:v>
      </x:c>
      <x:c r="P621" s="28" t="n">
        <x:v>0</x:v>
      </x:c>
      <x:c r="Q621" s="62" t="b">
        <x:v>1</x:v>
      </x:c>
      <x:c r="R621" s="28" t="n">
        <x:v>0</x:v>
      </x:c>
      <x:c r="S621" s="28" t="str">
        <x:v>859ff286299ce64f</x:v>
      </x:c>
    </x:row>
    <x:row r="622" ht="21" customHeight="1">
      <x:c r="A622" s="60" t="n">
        <x:v>0.62</x:v>
      </x:c>
      <x:c r="B622" s="28" t="str">
        <x:v>middle_high</x:v>
      </x:c>
      <x:c r="C622" s="60" t="n">
        <x:v>0.25</x:v>
      </x:c>
      <x:c r="D622" s="60" t="n">
        <x:v>0.25</x:v>
      </x:c>
      <x:c r="E622" s="62" t="b">
        <x:v>1</x:v>
      </x:c>
      <x:c r="F622" s="62" t="b">
        <x:v>1</x:v>
      </x:c>
      <x:c r="G622" s="85" t="n">
        <x:v>0</x:v>
      </x:c>
      <x:c r="H622" s="85" t="n">
        <x:v>0</x:v>
      </x:c>
      <x:c r="I622" s="85" t="n">
        <x:v>4677903.138382131</x:v>
      </x:c>
      <x:c r="J622" s="85" t="n">
        <x:v>2960046.598801156</x:v>
      </x:c>
      <x:c r="K622" s="85" t="n">
        <x:v>194307.4372283551</x:v>
      </x:c>
      <x:c r="L622" s="28" t="n">
        <x:v>0</x:v>
      </x:c>
      <x:c r="M622" s="28" t="n">
        <x:v>0</x:v>
      </x:c>
      <x:c r="N622" s="28" t="n">
        <x:v>4.656612873077393e-10</x:v>
      </x:c>
      <x:c r="O622" s="28" t="n">
        <x:v>7.450580596923828e-9</x:v>
      </x:c>
      <x:c r="P622" s="28" t="n">
        <x:v>0</x:v>
      </x:c>
      <x:c r="Q622" s="62" t="b">
        <x:v>1</x:v>
      </x:c>
      <x:c r="R622" s="28" t="n">
        <x:v>0</x:v>
      </x:c>
      <x:c r="S622" s="28" t="str">
        <x:v>b52dbf03e360f9e6</x:v>
      </x:c>
    </x:row>
    <x:row r="623" ht="21" customHeight="1">
      <x:c r="A623" s="60" t="n">
        <x:v>0.62</x:v>
      </x:c>
      <x:c r="B623" s="28" t="str">
        <x:v>middle_high</x:v>
      </x:c>
      <x:c r="C623" s="60" t="n">
        <x:v>0.3</x:v>
      </x:c>
      <x:c r="D623" s="60" t="n">
        <x:v>0.3</x:v>
      </x:c>
      <x:c r="E623" s="62" t="b">
        <x:v>1</x:v>
      </x:c>
      <x:c r="F623" s="62" t="b">
        <x:v>1</x:v>
      </x:c>
      <x:c r="G623" s="85" t="n">
        <x:v>0</x:v>
      </x:c>
      <x:c r="H623" s="85" t="n">
        <x:v>0</x:v>
      </x:c>
      <x:c r="I623" s="85" t="n">
        <x:v>6401945.637181836</x:v>
      </x:c>
      <x:c r="J623" s="85" t="n">
        <x:v>4666935.918561378</x:v>
      </x:c>
      <x:c r="K623" s="85" t="n">
        <x:v>159965.68986301348</x:v>
      </x:c>
      <x:c r="L623" s="28" t="n">
        <x:v>0</x:v>
      </x:c>
      <x:c r="M623" s="28" t="n">
        <x:v>0</x:v>
      </x:c>
      <x:c r="N623" s="28" t="n">
        <x:v>9.313225746154785e-10</x:v>
      </x:c>
      <x:c r="O623" s="28" t="n">
        <x:v>7.450580596923828e-9</x:v>
      </x:c>
      <x:c r="P623" s="28" t="n">
        <x:v>0</x:v>
      </x:c>
      <x:c r="Q623" s="62" t="b">
        <x:v>1</x:v>
      </x:c>
      <x:c r="R623" s="28" t="n">
        <x:v>0</x:v>
      </x:c>
      <x:c r="S623" s="28" t="str">
        <x:v>9237a35073279c7a</x:v>
      </x:c>
    </x:row>
    <x:row r="624" ht="21" customHeight="1">
      <x:c r="A624" s="60" t="n">
        <x:v>0.62</x:v>
      </x:c>
      <x:c r="B624" s="28" t="str">
        <x:v>middle_high</x:v>
      </x:c>
      <x:c r="C624" s="60" t="n">
        <x:v>0.35</x:v>
      </x:c>
      <x:c r="D624" s="60" t="n">
        <x:v>0.35</x:v>
      </x:c>
      <x:c r="E624" s="62" t="b">
        <x:v>1</x:v>
      </x:c>
      <x:c r="F624" s="62" t="b">
        <x:v>1</x:v>
      </x:c>
      <x:c r="G624" s="85" t="n">
        <x:v>0</x:v>
      </x:c>
      <x:c r="H624" s="85" t="n">
        <x:v>0</x:v>
      </x:c>
      <x:c r="I624" s="85" t="n">
        <x:v>8133083.70700707</x:v>
      </x:c>
      <x:c r="J624" s="85" t="n">
        <x:v>6373825.238321622</x:v>
      </x:c>
      <x:c r="K624" s="85" t="n">
        <x:v>136009.39150684988</x:v>
      </x:c>
      <x:c r="L624" s="28" t="n">
        <x:v>0</x:v>
      </x:c>
      <x:c r="M624" s="28" t="n">
        <x:v>0</x:v>
      </x:c>
      <x:c r="N624" s="28" t="n">
        <x:v>9.313225746154785e-10</x:v>
      </x:c>
      <x:c r="O624" s="28" t="n">
        <x:v>7.450580596923828e-9</x:v>
      </x:c>
      <x:c r="P624" s="28" t="n">
        <x:v>0</x:v>
      </x:c>
      <x:c r="Q624" s="62" t="b">
        <x:v>1</x:v>
      </x:c>
      <x:c r="R624" s="28" t="n">
        <x:v>0</x:v>
      </x:c>
      <x:c r="S624" s="28" t="str">
        <x:v>367a22929db3715a</x:v>
      </x:c>
    </x:row>
    <x:row r="625" ht="21" customHeight="1">
      <x:c r="A625" s="60" t="n">
        <x:v>0.62</x:v>
      </x:c>
      <x:c r="B625" s="28" t="str">
        <x:v>middle_high</x:v>
      </x:c>
      <x:c r="C625" s="60" t="n">
        <x:v>0.4</x:v>
      </x:c>
      <x:c r="D625" s="60" t="n">
        <x:v>0.4</x:v>
      </x:c>
      <x:c r="E625" s="62" t="b">
        <x:v>1</x:v>
      </x:c>
      <x:c r="F625" s="62" t="b">
        <x:v>1</x:v>
      </x:c>
      <x:c r="G625" s="85" t="n">
        <x:v>0</x:v>
      </x:c>
      <x:c r="H625" s="85" t="n">
        <x:v>0</x:v>
      </x:c>
      <x:c r="I625" s="85" t="n">
        <x:v>9880596.126183085</x:v>
      </x:c>
      <x:c r="J625" s="85" t="n">
        <x:v>8080714.55808184</x:v>
      </x:c>
      <x:c r="K625" s="85" t="n">
        <x:v>112053.09315068372</x:v>
      </x:c>
      <x:c r="L625" s="28" t="n">
        <x:v>0</x:v>
      </x:c>
      <x:c r="M625" s="28" t="n">
        <x:v>0</x:v>
      </x:c>
      <x:c r="N625" s="28" t="n">
        <x:v>4.656612873077393e-10</x:v>
      </x:c>
      <x:c r="O625" s="28" t="n">
        <x:v>3.725290298461914e-9</x:v>
      </x:c>
      <x:c r="P625" s="28" t="n">
        <x:v>0</x:v>
      </x:c>
      <x:c r="Q625" s="62" t="b">
        <x:v>1</x:v>
      </x:c>
      <x:c r="R625" s="28" t="n">
        <x:v>0</x:v>
      </x:c>
      <x:c r="S625" s="28" t="str">
        <x:v>c1f10b557c388a09</x:v>
      </x:c>
    </x:row>
    <x:row r="626" ht="21" customHeight="1">
      <x:c r="A626" s="60" t="n">
        <x:v>0.62</x:v>
      </x:c>
      <x:c r="B626" s="28" t="str">
        <x:v>middle_high</x:v>
      </x:c>
      <x:c r="C626" s="60" t="n">
        <x:v>0.45</x:v>
      </x:c>
      <x:c r="D626" s="60" t="n">
        <x:v>0.45</x:v>
      </x:c>
      <x:c r="E626" s="62" t="b">
        <x:v>1</x:v>
      </x:c>
      <x:c r="F626" s="62" t="b">
        <x:v>1</x:v>
      </x:c>
      <x:c r="G626" s="85" t="n">
        <x:v>0</x:v>
      </x:c>
      <x:c r="H626" s="85" t="n">
        <x:v>0</x:v>
      </x:c>
      <x:c r="I626" s="85" t="n">
        <x:v>11653378.226057349</x:v>
      </x:c>
      <x:c r="J626" s="85" t="n">
        <x:v>9624686.297494847</x:v>
      </x:c>
      <x:c r="K626" s="85" t="n">
        <x:v>90606.85726027456</x:v>
      </x:c>
      <x:c r="L626" s="28" t="n">
        <x:v>1</x:v>
      </x:c>
      <x:c r="M626" s="28" t="n">
        <x:v>0</x:v>
      </x:c>
      <x:c r="N626" s="28" t="n">
        <x:v>9.313225746154785e-10</x:v>
      </x:c>
      <x:c r="O626" s="28" t="n">
        <x:v>1.862645149230957e-9</x:v>
      </x:c>
      <x:c r="P626" s="28" t="n">
        <x:v>0</x:v>
      </x:c>
      <x:c r="Q626" s="62" t="b">
        <x:v>1</x:v>
      </x:c>
      <x:c r="R626" s="28" t="n">
        <x:v>0</x:v>
      </x:c>
      <x:c r="S626" s="28" t="str">
        <x:v>74952ed4ea24f525</x:v>
      </x:c>
    </x:row>
    <x:row r="627" ht="21" customHeight="1">
      <x:c r="A627" s="60" t="n">
        <x:v>0.62</x:v>
      </x:c>
      <x:c r="B627" s="28" t="str">
        <x:v>middle_high</x:v>
      </x:c>
      <x:c r="C627" s="60" t="n">
        <x:v>0.5</x:v>
      </x:c>
      <x:c r="D627" s="60" t="n">
        <x:v>0.5</x:v>
      </x:c>
      <x:c r="E627" s="62" t="b">
        <x:v>1</x:v>
      </x:c>
      <x:c r="F627" s="62" t="b">
        <x:v>1</x:v>
      </x:c>
      <x:c r="G627" s="85" t="n">
        <x:v>0</x:v>
      </x:c>
      <x:c r="H627" s="85" t="n">
        <x:v>0</x:v>
      </x:c>
      <x:c r="I627" s="85" t="n">
        <x:v>13535416.636920989</x:v>
      </x:c>
      <x:c r="J627" s="85" t="n">
        <x:v>10403489.22146302</x:v>
      </x:c>
      <x:c r="K627" s="85" t="n">
        <x:v>78301.54980821867</x:v>
      </x:c>
      <x:c r="L627" s="28" t="n">
        <x:v>7</x:v>
      </x:c>
      <x:c r="M627" s="28" t="n">
        <x:v>0</x:v>
      </x:c>
      <x:c r="N627" s="28" t="n">
        <x:v>9.313225746154785e-10</x:v>
      </x:c>
      <x:c r="O627" s="28" t="n">
        <x:v>7.450580596923828e-9</x:v>
      </x:c>
      <x:c r="P627" s="28" t="n">
        <x:v>0</x:v>
      </x:c>
      <x:c r="Q627" s="62" t="b">
        <x:v>1</x:v>
      </x:c>
      <x:c r="R627" s="28" t="n">
        <x:v>0</x:v>
      </x:c>
      <x:c r="S627" s="28" t="str">
        <x:v>672d92466ef0e359</x:v>
      </x:c>
    </x:row>
    <x:row r="628" ht="21" customHeight="1">
      <x:c r="A628" s="60" t="n">
        <x:v>0.62</x:v>
      </x:c>
      <x:c r="B628" s="28" t="str">
        <x:v>middle_high</x:v>
      </x:c>
      <x:c r="C628" s="60" t="n">
        <x:v>0.55</x:v>
      </x:c>
      <x:c r="D628" s="60" t="n">
        <x:v>0.55</x:v>
      </x:c>
      <x:c r="E628" s="62" t="b">
        <x:v>1</x:v>
      </x:c>
      <x:c r="F628" s="62" t="b">
        <x:v>1</x:v>
      </x:c>
      <x:c r="G628" s="85" t="n">
        <x:v>0</x:v>
      </x:c>
      <x:c r="H628" s="85" t="n">
        <x:v>0</x:v>
      </x:c>
      <x:c r="I628" s="85" t="n">
        <x:v>15294181.896938099</x:v>
      </x:c>
      <x:c r="J628" s="85" t="n">
        <x:v>11972443.396328932</x:v>
      </x:c>
      <x:c r="K628" s="85" t="n">
        <x:v>71071.34043835662</x:v>
      </x:c>
      <x:c r="L628" s="28" t="n">
        <x:v>11</x:v>
      </x:c>
      <x:c r="M628" s="28" t="n">
        <x:v>1</x:v>
      </x:c>
      <x:c r="N628" s="28" t="n">
        <x:v>4.656612873077393e-10</x:v>
      </x:c>
      <x:c r="O628" s="28" t="n">
        <x:v>7.450580596923828e-9</x:v>
      </x:c>
      <x:c r="P628" s="28" t="n">
        <x:v>0</x:v>
      </x:c>
      <x:c r="Q628" s="62" t="b">
        <x:v>1</x:v>
      </x:c>
      <x:c r="R628" s="28" t="n">
        <x:v>0</x:v>
      </x:c>
      <x:c r="S628" s="28" t="str">
        <x:v>0226d9f482eb15be</x:v>
      </x:c>
    </x:row>
    <x:row r="629" ht="21" customHeight="1">
      <x:c r="A629" s="60" t="n">
        <x:v>0.62</x:v>
      </x:c>
      <x:c r="B629" s="28" t="str">
        <x:v>middle_high</x:v>
      </x:c>
      <x:c r="C629" s="60" t="n">
        <x:v>0.6</x:v>
      </x:c>
      <x:c r="D629" s="60" t="n">
        <x:v>0.6</x:v>
      </x:c>
      <x:c r="E629" s="62" t="b">
        <x:v>1</x:v>
      </x:c>
      <x:c r="F629" s="62" t="b">
        <x:v>1</x:v>
      </x:c>
      <x:c r="G629" s="85" t="n">
        <x:v>0</x:v>
      </x:c>
      <x:c r="H629" s="85" t="n">
        <x:v>0</x:v>
      </x:c>
      <x:c r="I629" s="85" t="n">
        <x:v>16994310.108134586</x:v>
      </x:c>
      <x:c r="J629" s="85" t="n">
        <x:v>13740666.597812789</x:v>
      </x:c>
      <x:c r="K629" s="85" t="n">
        <x:v>63841.13106849319</x:v>
      </x:c>
      <x:c r="L629" s="28" t="n">
        <x:v>15</x:v>
      </x:c>
      <x:c r="M629" s="28" t="n">
        <x:v>8</x:v>
      </x:c>
      <x:c r="N629" s="28" t="n">
        <x:v>4.656612873077393e-10</x:v>
      </x:c>
      <x:c r="O629" s="28" t="n">
        <x:v>3.725290298461914e-9</x:v>
      </x:c>
      <x:c r="P629" s="28" t="n">
        <x:v>0</x:v>
      </x:c>
      <x:c r="Q629" s="62" t="b">
        <x:v>1</x:v>
      </x:c>
      <x:c r="R629" s="28" t="n">
        <x:v>0</x:v>
      </x:c>
      <x:c r="S629" s="28" t="str">
        <x:v>bb7de712a827939f</x:v>
      </x:c>
    </x:row>
    <x:row r="630" ht="21" customHeight="1">
      <x:c r="A630" s="60" t="n">
        <x:v>0.62</x:v>
      </x:c>
      <x:c r="B630" s="28" t="str">
        <x:v>middle_high</x:v>
      </x:c>
      <x:c r="C630" s="60" t="n">
        <x:v>0.65</x:v>
      </x:c>
      <x:c r="D630" s="60" t="n">
        <x:v>0.65</x:v>
      </x:c>
      <x:c r="E630" s="62" t="b">
        <x:v>1</x:v>
      </x:c>
      <x:c r="F630" s="62" t="b">
        <x:v>0</x:v>
      </x:c>
      <x:c r="G630" s="85" t="n">
        <x:v>66762.35580084824</x:v>
      </x:c>
      <x:c r="H630" s="85" t="n">
        <x:v>205244.14605573166</x:v>
      </x:c>
      <x:c r="I630" s="85" t="n">
        <x:v>18480476.22497449</x:v>
      </x:c>
      <x:c r="J630" s="85" t="n">
        <x:v>15608320.000000002</x:v>
      </x:c>
      <x:c r="K630" s="85" t="n">
        <x:v>56610.92169862975</x:v>
      </x:c>
      <x:c r="L630" s="28" t="n">
        <x:v>40</x:v>
      </x:c>
      <x:c r="M630" s="28" t="n">
        <x:v>35</x:v>
      </x:c>
      <x:c r="N630" s="28" t="n">
        <x:v>4.656612873077393e-10</x:v>
      </x:c>
      <x:c r="O630" s="28" t="n">
        <x:v>1.862645149230957e-9</x:v>
      </x:c>
      <x:c r="P630" s="28" t="n">
        <x:v>0</x:v>
      </x:c>
      <x:c r="Q630" s="62" t="b">
        <x:v>1</x:v>
      </x:c>
      <x:c r="R630" s="28" t="n">
        <x:v>0</x:v>
      </x:c>
      <x:c r="S630" s="28" t="str">
        <x:v>13bbf67fe16c149d</x:v>
      </x:c>
    </x:row>
    <x:row r="631" ht="21" customHeight="1">
      <x:c r="A631" s="60" t="n">
        <x:v>0.62</x:v>
      </x:c>
      <x:c r="B631" s="28" t="str">
        <x:v>middle_high</x:v>
      </x:c>
      <x:c r="C631" s="60" t="n">
        <x:v>0.7</x:v>
      </x:c>
      <x:c r="D631" s="60" t="n">
        <x:v>0.7</x:v>
      </x:c>
      <x:c r="E631" s="62" t="b">
        <x:v>1</x:v>
      </x:c>
      <x:c r="F631" s="62" t="b">
        <x:v>0</x:v>
      </x:c>
      <x:c r="G631" s="85" t="n">
        <x:v>988508.3831548976</x:v>
      </x:c>
      <x:c r="H631" s="85" t="n">
        <x:v>2993140.973186963</x:v>
      </x:c>
      <x:c r="I631" s="85" t="n">
        <x:v>18565453.52792827</x:v>
      </x:c>
      <x:c r="J631" s="85" t="n">
        <x:v>15608320.000000002</x:v>
      </x:c>
      <x:c r="K631" s="85" t="n">
        <x:v>49380.712328766545</x:v>
      </x:c>
      <x:c r="L631" s="28" t="n">
        <x:v>40</x:v>
      </x:c>
      <x:c r="M631" s="28" t="n">
        <x:v>37</x:v>
      </x:c>
      <x:c r="N631" s="28" t="n">
        <x:v>4.656612873077393e-10</x:v>
      </x:c>
      <x:c r="O631" s="28" t="n">
        <x:v>3.725290298461914e-9</x:v>
      </x:c>
      <x:c r="P631" s="28" t="n">
        <x:v>0</x:v>
      </x:c>
      <x:c r="Q631" s="62" t="b">
        <x:v>1</x:v>
      </x:c>
      <x:c r="R631" s="28" t="n">
        <x:v>0</x:v>
      </x:c>
      <x:c r="S631" s="28" t="str">
        <x:v>431663d2091b7698</x:v>
      </x:c>
    </x:row>
    <x:row r="632" ht="21" customHeight="1">
      <x:c r="A632" s="60" t="n">
        <x:v>0.62</x:v>
      </x:c>
      <x:c r="B632" s="28" t="str">
        <x:v>middle_high</x:v>
      </x:c>
      <x:c r="C632" s="60" t="n">
        <x:v>0.75</x:v>
      </x:c>
      <x:c r="D632" s="60" t="n">
        <x:v>0.75</x:v>
      </x:c>
      <x:c r="E632" s="62" t="b">
        <x:v>1</x:v>
      </x:c>
      <x:c r="F632" s="62" t="b">
        <x:v>0</x:v>
      </x:c>
      <x:c r="G632" s="85" t="n">
        <x:v>1738856.8283423907</x:v>
      </x:c>
      <x:c r="H632" s="85" t="n">
        <x:v>5243865.863761123</x:v>
      </x:c>
      <x:c r="I632" s="85" t="n">
        <x:v>18890251.4566815</x:v>
      </x:c>
      <x:c r="J632" s="85" t="n">
        <x:v>15608320.000000002</x:v>
      </x:c>
      <x:c r="K632" s="85" t="n">
        <x:v>42150.50295890426</x:v>
      </x:c>
      <x:c r="L632" s="28" t="n">
        <x:v>41</x:v>
      </x:c>
      <x:c r="M632" s="28" t="n">
        <x:v>38</x:v>
      </x:c>
      <x:c r="N632" s="28" t="n">
        <x:v>4.656612873077393e-10</x:v>
      </x:c>
      <x:c r="O632" s="28" t="n">
        <x:v>3.725290298461914e-9</x:v>
      </x:c>
      <x:c r="P632" s="28" t="n">
        <x:v>0</x:v>
      </x:c>
      <x:c r="Q632" s="62" t="b">
        <x:v>1</x:v>
      </x:c>
      <x:c r="R632" s="28" t="n">
        <x:v>0</x:v>
      </x:c>
      <x:c r="S632" s="28" t="str">
        <x:v>6b7044efb51c262c</x:v>
      </x:c>
    </x:row>
    <x:row r="633" ht="21" customHeight="1">
      <x:c r="A633" s="60" t="n">
        <x:v>0.62</x:v>
      </x:c>
      <x:c r="B633" s="28" t="str">
        <x:v>middle_high</x:v>
      </x:c>
      <x:c r="C633" s="60" t="n">
        <x:v>0.8</x:v>
      </x:c>
      <x:c r="D633" s="60" t="n">
        <x:v>0.8</x:v>
      </x:c>
      <x:c r="E633" s="62" t="b">
        <x:v>1</x:v>
      </x:c>
      <x:c r="F633" s="62" t="b">
        <x:v>0</x:v>
      </x:c>
      <x:c r="G633" s="85" t="n">
        <x:v>2767571.3271640525</x:v>
      </x:c>
      <x:c r="H633" s="85" t="n">
        <x:v>7704349.13780477</x:v>
      </x:c>
      <x:c r="I633" s="85" t="n">
        <x:v>18954064.91135342</x:v>
      </x:c>
      <x:c r="J633" s="85" t="n">
        <x:v>15608320.000000002</x:v>
      </x:c>
      <x:c r="K633" s="85" t="n">
        <x:v>34920.293589040826</x:v>
      </x:c>
      <x:c r="L633" s="28" t="n">
        <x:v>41</x:v>
      </x:c>
      <x:c r="M633" s="28" t="n">
        <x:v>38</x:v>
      </x:c>
      <x:c r="N633" s="28" t="n">
        <x:v>4.656612873077393e-10</x:v>
      </x:c>
      <x:c r="O633" s="28" t="n">
        <x:v>1.862645149230957e-9</x:v>
      </x:c>
      <x:c r="P633" s="28" t="n">
        <x:v>0</x:v>
      </x:c>
      <x:c r="Q633" s="62" t="b">
        <x:v>1</x:v>
      </x:c>
      <x:c r="R633" s="28" t="n">
        <x:v>0</x:v>
      </x:c>
      <x:c r="S633" s="28" t="str">
        <x:v>1a49379152f8d2d1</x:v>
      </x:c>
    </x:row>
    <x:row r="634" ht="21" customHeight="1">
      <x:c r="A634" s="60" t="n">
        <x:v>0.62</x:v>
      </x:c>
      <x:c r="B634" s="28" t="str">
        <x:v>middle_high</x:v>
      </x:c>
      <x:c r="C634" s="60" t="n">
        <x:v>0.85</x:v>
      </x:c>
      <x:c r="D634" s="60" t="n">
        <x:v>0.85</x:v>
      </x:c>
      <x:c r="E634" s="62" t="b">
        <x:v>1</x:v>
      </x:c>
      <x:c r="F634" s="62" t="b">
        <x:v>0</x:v>
      </x:c>
      <x:c r="G634" s="85" t="n">
        <x:v>3655528.3971660165</x:v>
      </x:c>
      <x:c r="H634" s="85" t="n">
        <x:v>9769369.553069096</x:v>
      </x:c>
      <x:c r="I634" s="85" t="n">
        <x:v>19250064.160459206</x:v>
      </x:c>
      <x:c r="J634" s="85" t="n">
        <x:v>15608320.000000002</x:v>
      </x:c>
      <x:c r="K634" s="85" t="n">
        <x:v>27690.084219177847</x:v>
      </x:c>
      <x:c r="L634" s="28" t="n">
        <x:v>42</x:v>
      </x:c>
      <x:c r="M634" s="28" t="n">
        <x:v>39</x:v>
      </x:c>
      <x:c r="N634" s="28" t="n">
        <x:v>4.656612873077393e-10</x:v>
      </x:c>
      <x:c r="O634" s="28" t="n">
        <x:v>3.725290298461914e-9</x:v>
      </x:c>
      <x:c r="P634" s="28" t="n">
        <x:v>0</x:v>
      </x:c>
      <x:c r="Q634" s="62" t="b">
        <x:v>1</x:v>
      </x:c>
      <x:c r="R634" s="28" t="n">
        <x:v>0</x:v>
      </x:c>
      <x:c r="S634" s="28" t="str">
        <x:v>6e44e49ab2d95592</x:v>
      </x:c>
    </x:row>
    <x:row r="635" ht="21" customHeight="1">
      <x:c r="A635" s="60" t="n">
        <x:v>0.62</x:v>
      </x:c>
      <x:c r="B635" s="28" t="str">
        <x:v>middle_high</x:v>
      </x:c>
      <x:c r="C635" s="60" t="n">
        <x:v>0.9</x:v>
      </x:c>
      <x:c r="D635" s="60" t="n">
        <x:v>0.9</x:v>
      </x:c>
      <x:c r="E635" s="62" t="b">
        <x:v>1</x:v>
      </x:c>
      <x:c r="F635" s="62" t="b">
        <x:v>0</x:v>
      </x:c>
      <x:c r="G635" s="85" t="n">
        <x:v>5078143.219832091</x:v>
      </x:c>
      <x:c r="H635" s="85" t="n">
        <x:v>11623310.212757051</x:v>
      </x:c>
      <x:c r="I635" s="85" t="n">
        <x:v>19295604.54135326</x:v>
      </x:c>
      <x:c r="J635" s="85" t="n">
        <x:v>15608320.000000002</x:v>
      </x:c>
      <x:c r="K635" s="85" t="n">
        <x:v>24266.337534246362</x:v>
      </x:c>
      <x:c r="L635" s="28" t="n">
        <x:v>42</x:v>
      </x:c>
      <x:c r="M635" s="28" t="n">
        <x:v>40</x:v>
      </x:c>
      <x:c r="N635" s="28" t="n">
        <x:v>4.656612873077393e-10</x:v>
      </x:c>
      <x:c r="O635" s="28" t="n">
        <x:v>3.725290298461914e-9</x:v>
      </x:c>
      <x:c r="P635" s="28" t="n">
        <x:v>0</x:v>
      </x:c>
      <x:c r="Q635" s="62" t="b">
        <x:v>1</x:v>
      </x:c>
      <x:c r="R635" s="28" t="n">
        <x:v>0</x:v>
      </x:c>
      <x:c r="S635" s="28" t="str">
        <x:v>ec6f1b24962ee11a</x:v>
      </x:c>
    </x:row>
    <x:row r="636" ht="21" customHeight="1">
      <x:c r="A636" s="60" t="n">
        <x:v>0.62</x:v>
      </x:c>
      <x:c r="B636" s="28" t="str">
        <x:v>middle_high</x:v>
      </x:c>
      <x:c r="C636" s="60" t="n">
        <x:v>0.95</x:v>
      </x:c>
      <x:c r="D636" s="60" t="n">
        <x:v>0.9270639118581285</x:v>
      </x:c>
      <x:c r="E636" s="62" t="b">
        <x:v>0</x:v>
      </x:c>
      <x:c r="F636" s="62" t="b">
        <x:v>0</x:v>
      </x:c>
      <x:c r="G636" s="85" t="n">
        <x:v>5557082.063912761</x:v>
      </x:c>
      <x:c r="H636" s="85" t="n">
        <x:v>12393007.752083955</x:v>
      </x:c>
      <x:c r="I636" s="85" t="n">
        <x:v>19594249.24202945</x:v>
      </x:c>
      <x:c r="J636" s="85" t="n">
        <x:v>15608320.000000002</x:v>
      </x:c>
      <x:c r="K636" s="85" t="n">
        <x:v>21846.816986301543</x:v>
      </x:c>
      <x:c r="L636" s="28" t="n">
        <x:v>43</x:v>
      </x:c>
      <x:c r="M636" s="28" t="n">
        <x:v>40</x:v>
      </x:c>
      <x:c r="N636" s="28" t="n">
        <x:v>4.656612873077393e-10</x:v>
      </x:c>
      <x:c r="O636" s="28" t="n">
        <x:v>3.725290298461914e-9</x:v>
      </x:c>
      <x:c r="P636" s="28" t="n">
        <x:v>0</x:v>
      </x:c>
      <x:c r="Q636" s="62" t="b">
        <x:v>1</x:v>
      </x:c>
      <x:c r="R636" s="28" t="n">
        <x:v>1278549.2973804846</x:v>
      </x:c>
      <x:c r="S636" s="28" t="str">
        <x:v>2f2ac6ece91307e0</x:v>
      </x:c>
    </x:row>
    <x:row r="637" ht="21" customHeight="1">
      <x:c r="A637" s="60" t="n">
        <x:v>0.62</x:v>
      </x:c>
      <x:c r="B637" s="28" t="str">
        <x:v>middle_high</x:v>
      </x:c>
      <x:c r="C637" s="60" t="n">
        <x:v>1</x:v>
      </x:c>
      <x:c r="D637" s="60" t="n">
        <x:v>0.9427455891708479</x:v>
      </x:c>
      <x:c r="E637" s="62" t="b">
        <x:v>0</x:v>
      </x:c>
      <x:c r="F637" s="62" t="b">
        <x:v>0</x:v>
      </x:c>
      <x:c r="G637" s="85" t="n">
        <x:v>6166701.366174074</x:v>
      </x:c>
      <x:c r="H637" s="85" t="n">
        <x:v>13162236.267218709</x:v>
      </x:c>
      <x:c r="I637" s="85" t="n">
        <x:v>19624099.272561643</x:v>
      </x:c>
      <x:c r="J637" s="85" t="n">
        <x:v>15608320.000000002</x:v>
      </x:c>
      <x:c r="K637" s="85" t="n">
        <x:v>19427.296438356258</x:v>
      </x:c>
      <x:c r="L637" s="28" t="n">
        <x:v>43</x:v>
      </x:c>
      <x:c r="M637" s="28" t="n">
        <x:v>40</x:v>
      </x:c>
      <x:c r="N637" s="28" t="n">
        <x:v>2.3283064365386963e-10</x:v>
      </x:c>
      <x:c r="O637" s="28" t="n">
        <x:v>9.313225746154785e-10</x:v>
      </x:c>
      <x:c r="P637" s="28" t="n">
        <x:v>0</x:v>
      </x:c>
      <x:c r="Q637" s="62" t="b">
        <x:v>1</x:v>
      </x:c>
      <x:c r="R637" s="28" t="n">
        <x:v>3191589.877260253</x:v>
      </x:c>
      <x:c r="S637" s="28" t="str">
        <x:v>cc3e658949a1017a</x:v>
      </x:c>
    </x:row>
    <x:row r="638" ht="21" customHeight="1">
      <x:c r="A638" s="60" t="n">
        <x:v>0.62</x:v>
      </x:c>
      <x:c r="B638" s="28" t="str">
        <x:v>back_flat</x:v>
      </x:c>
      <x:c r="C638" s="60" t="n">
        <x:v>0</x:v>
      </x:c>
      <x:c r="D638" s="60" t="n">
        <x:v>0</x:v>
      </x:c>
      <x:c r="E638" s="62" t="b">
        <x:v>1</x:v>
      </x:c>
      <x:c r="F638" s="62" t="b">
        <x:v>1</x:v>
      </x:c>
      <x:c r="G638" s="85" t="n">
        <x:v>0</x:v>
      </x:c>
      <x:c r="H638" s="85" t="n">
        <x:v>0</x:v>
      </x:c>
      <x:c r="I638" s="85" t="n">
        <x:v>0</x:v>
      </x:c>
      <x:c r="J638" s="85" t="n">
        <x:v>0</x:v>
      </x:c>
      <x:c r="K638" s="85" t="n">
        <x:v>5791027.616876714</x:v>
      </x:c>
      <x:c r="L638" s="28" t="n">
        <x:v>0</x:v>
      </x:c>
      <x:c r="M638" s="28" t="n">
        <x:v>0</x:v>
      </x:c>
      <x:c r="N638" s="28" t="n">
        <x:v>4.656612873077393e-10</x:v>
      </x:c>
      <x:c r="O638" s="28" t="n">
        <x:v>0</x:v>
      </x:c>
      <x:c r="P638" s="28" t="n">
        <x:v>0</x:v>
      </x:c>
      <x:c r="Q638" s="62" t="b">
        <x:v>1</x:v>
      </x:c>
      <x:c r="R638" s="28" t="n">
        <x:v>0</x:v>
      </x:c>
      <x:c r="S638" s="28" t="str">
        <x:v>678f1944664a5c3d</x:v>
      </x:c>
    </x:row>
    <x:row r="639" ht="21" customHeight="1">
      <x:c r="A639" s="60" t="n">
        <x:v>0.62</x:v>
      </x:c>
      <x:c r="B639" s="28" t="str">
        <x:v>back_flat</x:v>
      </x:c>
      <x:c r="C639" s="60" t="n">
        <x:v>0.05</x:v>
      </x:c>
      <x:c r="D639" s="60" t="n">
        <x:v>0.05</x:v>
      </x:c>
      <x:c r="E639" s="62" t="b">
        <x:v>1</x:v>
      </x:c>
      <x:c r="F639" s="62" t="b">
        <x:v>1</x:v>
      </x:c>
      <x:c r="G639" s="85" t="n">
        <x:v>0</x:v>
      </x:c>
      <x:c r="H639" s="85" t="n">
        <x:v>0</x:v>
      </x:c>
      <x:c r="I639" s="85" t="n">
        <x:v>0</x:v>
      </x:c>
      <x:c r="J639" s="85" t="n">
        <x:v>0</x:v>
      </x:c>
      <x:c r="K639" s="85" t="n">
        <x:v>3592485.9249176807</x:v>
      </x:c>
      <x:c r="L639" s="28" t="n">
        <x:v>0</x:v>
      </x:c>
      <x:c r="M639" s="28" t="n">
        <x:v>0</x:v>
      </x:c>
      <x:c r="N639" s="28" t="n">
        <x:v>4.656612873077393e-10</x:v>
      </x:c>
      <x:c r="O639" s="28" t="n">
        <x:v>7.450580596923828e-9</x:v>
      </x:c>
      <x:c r="P639" s="28" t="n">
        <x:v>0</x:v>
      </x:c>
      <x:c r="Q639" s="62" t="b">
        <x:v>1</x:v>
      </x:c>
      <x:c r="R639" s="28" t="n">
        <x:v>0</x:v>
      </x:c>
      <x:c r="S639" s="28" t="str">
        <x:v>038738e3cc13a39b</x:v>
      </x:c>
    </x:row>
    <x:row r="640" ht="21" customHeight="1">
      <x:c r="A640" s="60" t="n">
        <x:v>0.62</x:v>
      </x:c>
      <x:c r="B640" s="28" t="str">
        <x:v>back_flat</x:v>
      </x:c>
      <x:c r="C640" s="60" t="n">
        <x:v>0.1</x:v>
      </x:c>
      <x:c r="D640" s="60" t="n">
        <x:v>0.1</x:v>
      </x:c>
      <x:c r="E640" s="62" t="b">
        <x:v>1</x:v>
      </x:c>
      <x:c r="F640" s="62" t="b">
        <x:v>1</x:v>
      </x:c>
      <x:c r="G640" s="85" t="n">
        <x:v>0</x:v>
      </x:c>
      <x:c r="H640" s="85" t="n">
        <x:v>0</x:v>
      </x:c>
      <x:c r="I640" s="85" t="n">
        <x:v>0</x:v>
      </x:c>
      <x:c r="J640" s="85" t="n">
        <x:v>0</x:v>
      </x:c>
      <x:c r="K640" s="85" t="n">
        <x:v>1393944.2329586989</x:v>
      </x:c>
      <x:c r="L640" s="28" t="n">
        <x:v>0</x:v>
      </x:c>
      <x:c r="M640" s="28" t="n">
        <x:v>0</x:v>
      </x:c>
      <x:c r="N640" s="28" t="n">
        <x:v>4.656612873077393e-10</x:v>
      </x:c>
      <x:c r="O640" s="28" t="n">
        <x:v>7.450580596923828e-9</x:v>
      </x:c>
      <x:c r="P640" s="28" t="n">
        <x:v>0</x:v>
      </x:c>
      <x:c r="Q640" s="62" t="b">
        <x:v>1</x:v>
      </x:c>
      <x:c r="R640" s="28" t="n">
        <x:v>0</x:v>
      </x:c>
      <x:c r="S640" s="28" t="str">
        <x:v>16314331ef694c6c</x:v>
      </x:c>
    </x:row>
    <x:row r="641" ht="21" customHeight="1">
      <x:c r="A641" s="60" t="n">
        <x:v>0.62</x:v>
      </x:c>
      <x:c r="B641" s="28" t="str">
        <x:v>back_flat</x:v>
      </x:c>
      <x:c r="C641" s="60" t="n">
        <x:v>0.15</x:v>
      </x:c>
      <x:c r="D641" s="60" t="n">
        <x:v>0.15</x:v>
      </x:c>
      <x:c r="E641" s="62" t="b">
        <x:v>1</x:v>
      </x:c>
      <x:c r="F641" s="62" t="b">
        <x:v>1</x:v>
      </x:c>
      <x:c r="G641" s="85" t="n">
        <x:v>0</x:v>
      </x:c>
      <x:c r="H641" s="85" t="n">
        <x:v>0</x:v>
      </x:c>
      <x:c r="I641" s="85" t="n">
        <x:v>837182.7341640296</x:v>
      </x:c>
      <x:c r="J641" s="85" t="n">
        <x:v>0</x:v>
      </x:c>
      <x:c r="K641" s="85" t="n">
        <x:v>175285.8535866308</x:v>
      </x:c>
      <x:c r="L641" s="28" t="n">
        <x:v>0</x:v>
      </x:c>
      <x:c r="M641" s="28" t="n">
        <x:v>0</x:v>
      </x:c>
      <x:c r="N641" s="28" t="n">
        <x:v>9.313225746154785e-10</x:v>
      </x:c>
      <x:c r="O641" s="28" t="n">
        <x:v>7.450580596923828e-9</x:v>
      </x:c>
      <x:c r="P641" s="28" t="n">
        <x:v>0</x:v>
      </x:c>
      <x:c r="Q641" s="62" t="b">
        <x:v>1</x:v>
      </x:c>
      <x:c r="R641" s="28" t="n">
        <x:v>0</x:v>
      </x:c>
      <x:c r="S641" s="28" t="str">
        <x:v>b5e73203c06fbe87</x:v>
      </x:c>
    </x:row>
    <x:row r="642" ht="21" customHeight="1">
      <x:c r="A642" s="60" t="n">
        <x:v>0.62</x:v>
      </x:c>
      <x:c r="B642" s="28" t="str">
        <x:v>back_flat</x:v>
      </x:c>
      <x:c r="C642" s="60" t="n">
        <x:v>0.2</x:v>
      </x:c>
      <x:c r="D642" s="60" t="n">
        <x:v>0.2</x:v>
      </x:c>
      <x:c r="E642" s="62" t="b">
        <x:v>1</x:v>
      </x:c>
      <x:c r="F642" s="62" t="b">
        <x:v>1</x:v>
      </x:c>
      <x:c r="G642" s="85" t="n">
        <x:v>0</x:v>
      </x:c>
      <x:c r="H642" s="85" t="n">
        <x:v>0</x:v>
      </x:c>
      <x:c r="I642" s="85" t="n">
        <x:v>2316755.4231637088</x:v>
      </x:c>
      <x:c r="J642" s="85" t="n">
        <x:v>1245718.9057329397</x:v>
      </x:c>
      <x:c r="K642" s="85" t="n">
        <x:v>129991.59301961705</x:v>
      </x:c>
      <x:c r="L642" s="28" t="n">
        <x:v>0</x:v>
      </x:c>
      <x:c r="M642" s="28" t="n">
        <x:v>0</x:v>
      </x:c>
      <x:c r="N642" s="28" t="n">
        <x:v>2.3283064365386963e-10</x:v>
      </x:c>
      <x:c r="O642" s="28" t="n">
        <x:v>7.450580596923828e-9</x:v>
      </x:c>
      <x:c r="P642" s="28" t="n">
        <x:v>0</x:v>
      </x:c>
      <x:c r="Q642" s="62" t="b">
        <x:v>1</x:v>
      </x:c>
      <x:c r="R642" s="28" t="n">
        <x:v>0</x:v>
      </x:c>
      <x:c r="S642" s="28" t="str">
        <x:v>7486f803f01bd14b</x:v>
      </x:c>
    </x:row>
    <x:row r="643" ht="21" customHeight="1">
      <x:c r="A643" s="60" t="n">
        <x:v>0.62</x:v>
      </x:c>
      <x:c r="B643" s="28" t="str">
        <x:v>back_flat</x:v>
      </x:c>
      <x:c r="C643" s="60" t="n">
        <x:v>0.25</x:v>
      </x:c>
      <x:c r="D643" s="60" t="n">
        <x:v>0.25</x:v>
      </x:c>
      <x:c r="E643" s="62" t="b">
        <x:v>1</x:v>
      </x:c>
      <x:c r="F643" s="62" t="b">
        <x:v>1</x:v>
      </x:c>
      <x:c r="G643" s="85" t="n">
        <x:v>0</x:v>
      </x:c>
      <x:c r="H643" s="85" t="n">
        <x:v>0</x:v>
      </x:c>
      <x:c r="I643" s="85" t="n">
        <x:v>3483517.817639594</x:v>
      </x:c>
      <x:c r="J643" s="85" t="n">
        <x:v>2950748.6321662106</x:v>
      </x:c>
      <x:c r="K643" s="85" t="n">
        <x:v>104075.53543342429</x:v>
      </x:c>
      <x:c r="L643" s="28" t="n">
        <x:v>0</x:v>
      </x:c>
      <x:c r="M643" s="28" t="n">
        <x:v>0</x:v>
      </x:c>
      <x:c r="N643" s="28" t="n">
        <x:v>9.313225746154785e-10</x:v>
      </x:c>
      <x:c r="O643" s="28" t="n">
        <x:v>7.450580596923828e-9</x:v>
      </x:c>
      <x:c r="P643" s="28" t="n">
        <x:v>0</x:v>
      </x:c>
      <x:c r="Q643" s="62" t="b">
        <x:v>1</x:v>
      </x:c>
      <x:c r="R643" s="28" t="n">
        <x:v>0</x:v>
      </x:c>
      <x:c r="S643" s="28" t="str">
        <x:v>b4558552bfa5f681</x:v>
      </x:c>
    </x:row>
    <x:row r="644" ht="21" customHeight="1">
      <x:c r="A644" s="60" t="n">
        <x:v>0.62</x:v>
      </x:c>
      <x:c r="B644" s="28" t="str">
        <x:v>back_flat</x:v>
      </x:c>
      <x:c r="C644" s="60" t="n">
        <x:v>0.3</x:v>
      </x:c>
      <x:c r="D644" s="60" t="n">
        <x:v>0.3</x:v>
      </x:c>
      <x:c r="E644" s="62" t="b">
        <x:v>1</x:v>
      </x:c>
      <x:c r="F644" s="62" t="b">
        <x:v>1</x:v>
      </x:c>
      <x:c r="G644" s="85" t="n">
        <x:v>0</x:v>
      </x:c>
      <x:c r="H644" s="85" t="n">
        <x:v>0</x:v>
      </x:c>
      <x:c r="I644" s="85" t="n">
        <x:v>4650280.212115437</x:v>
      </x:c>
      <x:c r="J644" s="85" t="n">
        <x:v>4655778.3585994225</x:v>
      </x:c>
      <x:c r="K644" s="85" t="n">
        <x:v>84912.7798082195</x:v>
      </x:c>
      <x:c r="L644" s="28" t="n">
        <x:v>0</x:v>
      </x:c>
      <x:c r="M644" s="28" t="n">
        <x:v>0</x:v>
      </x:c>
      <x:c r="N644" s="28" t="n">
        <x:v>4.656612873077393e-10</x:v>
      </x:c>
      <x:c r="O644" s="28" t="n">
        <x:v>7.450580596923828e-9</x:v>
      </x:c>
      <x:c r="P644" s="28" t="n">
        <x:v>0</x:v>
      </x:c>
      <x:c r="Q644" s="62" t="b">
        <x:v>1</x:v>
      </x:c>
      <x:c r="R644" s="28" t="n">
        <x:v>0</x:v>
      </x:c>
      <x:c r="S644" s="28" t="str">
        <x:v>f6ce4928520a5129</x:v>
      </x:c>
    </x:row>
    <x:row r="645" ht="21" customHeight="1">
      <x:c r="A645" s="60" t="n">
        <x:v>0.62</x:v>
      </x:c>
      <x:c r="B645" s="28" t="str">
        <x:v>back_flat</x:v>
      </x:c>
      <x:c r="C645" s="60" t="n">
        <x:v>0.35</x:v>
      </x:c>
      <x:c r="D645" s="60" t="n">
        <x:v>0.35</x:v>
      </x:c>
      <x:c r="E645" s="62" t="b">
        <x:v>1</x:v>
      </x:c>
      <x:c r="F645" s="62" t="b">
        <x:v>1</x:v>
      </x:c>
      <x:c r="G645" s="85" t="n">
        <x:v>0</x:v>
      </x:c>
      <x:c r="H645" s="85" t="n">
        <x:v>0</x:v>
      </x:c>
      <x:c r="I645" s="85" t="n">
        <x:v>5836780.25321925</x:v>
      </x:c>
      <x:c r="J645" s="85" t="n">
        <x:v>6360808.085032671</x:v>
      </x:c>
      <x:c r="K645" s="85" t="n">
        <x:v>73169.66310958937</x:v>
      </x:c>
      <x:c r="L645" s="28" t="n">
        <x:v>0</x:v>
      </x:c>
      <x:c r="M645" s="28" t="n">
        <x:v>0</x:v>
      </x:c>
      <x:c r="N645" s="28" t="n">
        <x:v>2.3283064365386963e-10</x:v>
      </x:c>
      <x:c r="O645" s="28" t="n">
        <x:v>3.725290298461914e-9</x:v>
      </x:c>
      <x:c r="P645" s="28" t="n">
        <x:v>0</x:v>
      </x:c>
      <x:c r="Q645" s="62" t="b">
        <x:v>1</x:v>
      </x:c>
      <x:c r="R645" s="28" t="n">
        <x:v>0</x:v>
      </x:c>
      <x:c r="S645" s="28" t="str">
        <x:v>1cd33419ec950b03</x:v>
      </x:c>
    </x:row>
    <x:row r="646" ht="21" customHeight="1">
      <x:c r="A646" s="60" t="n">
        <x:v>0.62</x:v>
      </x:c>
      <x:c r="B646" s="28" t="str">
        <x:v>back_flat</x:v>
      </x:c>
      <x:c r="C646" s="60" t="n">
        <x:v>0.4</x:v>
      </x:c>
      <x:c r="D646" s="60" t="n">
        <x:v>0.4</x:v>
      </x:c>
      <x:c r="E646" s="62" t="b">
        <x:v>1</x:v>
      </x:c>
      <x:c r="F646" s="62" t="b">
        <x:v>1</x:v>
      </x:c>
      <x:c r="G646" s="85" t="n">
        <x:v>0</x:v>
      </x:c>
      <x:c r="H646" s="85" t="n">
        <x:v>0</x:v>
      </x:c>
      <x:c r="I646" s="85" t="n">
        <x:v>7021788.6858105</x:v>
      </x:c>
      <x:c r="J646" s="85" t="n">
        <x:v>8065837.811465903</x:v>
      </x:c>
      <x:c r="K646" s="85" t="n">
        <x:v>61426.54641095982</x:v>
      </x:c>
      <x:c r="L646" s="28" t="n">
        <x:v>0</x:v>
      </x:c>
      <x:c r="M646" s="28" t="n">
        <x:v>0</x:v>
      </x:c>
      <x:c r="N646" s="28" t="n">
        <x:v>9.313225746154785e-10</x:v>
      </x:c>
      <x:c r="O646" s="28" t="n">
        <x:v>7.450580596923828e-9</x:v>
      </x:c>
      <x:c r="P646" s="28" t="n">
        <x:v>0</x:v>
      </x:c>
      <x:c r="Q646" s="62" t="b">
        <x:v>1</x:v>
      </x:c>
      <x:c r="R646" s="28" t="n">
        <x:v>0</x:v>
      </x:c>
      <x:c r="S646" s="28" t="str">
        <x:v>480b6e0bc8451b0c</x:v>
      </x:c>
    </x:row>
    <x:row r="647" ht="21" customHeight="1">
      <x:c r="A647" s="60" t="n">
        <x:v>0.62</x:v>
      </x:c>
      <x:c r="B647" s="28" t="str">
        <x:v>back_flat</x:v>
      </x:c>
      <x:c r="C647" s="60" t="n">
        <x:v>0.45</x:v>
      </x:c>
      <x:c r="D647" s="60" t="n">
        <x:v>0.45</x:v>
      </x:c>
      <x:c r="E647" s="62" t="b">
        <x:v>1</x:v>
      </x:c>
      <x:c r="F647" s="62" t="b">
        <x:v>1</x:v>
      </x:c>
      <x:c r="G647" s="85" t="n">
        <x:v>0</x:v>
      </x:c>
      <x:c r="H647" s="85" t="n">
        <x:v>0</x:v>
      </x:c>
      <x:c r="I647" s="85" t="n">
        <x:v>8240660.228973074</x:v>
      </x:c>
      <x:c r="J647" s="85" t="n">
        <x:v>9703178.78624411</x:v>
      </x:c>
      <x:c r="K647" s="85" t="n">
        <x:v>49683.429712328405</x:v>
      </x:c>
      <x:c r="L647" s="28" t="n">
        <x:v>1</x:v>
      </x:c>
      <x:c r="M647" s="28" t="n">
        <x:v>0</x:v>
      </x:c>
      <x:c r="N647" s="28" t="n">
        <x:v>4.656612873077393e-10</x:v>
      </x:c>
      <x:c r="O647" s="28" t="n">
        <x:v>7.450580596923828e-9</x:v>
      </x:c>
      <x:c r="P647" s="28" t="n">
        <x:v>0</x:v>
      </x:c>
      <x:c r="Q647" s="62" t="b">
        <x:v>1</x:v>
      </x:c>
      <x:c r="R647" s="28" t="n">
        <x:v>0</x:v>
      </x:c>
      <x:c r="S647" s="28" t="str">
        <x:v>64664459c90570fa</x:v>
      </x:c>
    </x:row>
    <x:row r="648" ht="21" customHeight="1">
      <x:c r="A648" s="60" t="n">
        <x:v>0.62</x:v>
      </x:c>
      <x:c r="B648" s="28" t="str">
        <x:v>back_flat</x:v>
      </x:c>
      <x:c r="C648" s="60" t="n">
        <x:v>0.5</x:v>
      </x:c>
      <x:c r="D648" s="60" t="n">
        <x:v>0.5</x:v>
      </x:c>
      <x:c r="E648" s="62" t="b">
        <x:v>1</x:v>
      </x:c>
      <x:c r="F648" s="62" t="b">
        <x:v>1</x:v>
      </x:c>
      <x:c r="G648" s="85" t="n">
        <x:v>0</x:v>
      </x:c>
      <x:c r="H648" s="85" t="n">
        <x:v>0</x:v>
      </x:c>
      <x:c r="I648" s="85" t="n">
        <x:v>9612535.440048667</x:v>
      </x:c>
      <x:c r="J648" s="85" t="n">
        <x:v>10997788.009039065</x:v>
      </x:c>
      <x:c r="K648" s="85" t="n">
        <x:v>41302.721452054655</x:v>
      </x:c>
      <x:c r="L648" s="28" t="n">
        <x:v>6</x:v>
      </x:c>
      <x:c r="M648" s="28" t="n">
        <x:v>0</x:v>
      </x:c>
      <x:c r="N648" s="28" t="n">
        <x:v>9.313225746154785e-10</x:v>
      </x:c>
      <x:c r="O648" s="28" t="n">
        <x:v>1.862645149230957e-9</x:v>
      </x:c>
      <x:c r="P648" s="28" t="n">
        <x:v>0</x:v>
      </x:c>
      <x:c r="Q648" s="62" t="b">
        <x:v>1</x:v>
      </x:c>
      <x:c r="R648" s="28" t="n">
        <x:v>0</x:v>
      </x:c>
      <x:c r="S648" s="28" t="str">
        <x:v>1fc910588b8fe5e3</x:v>
      </x:c>
    </x:row>
    <x:row r="649" ht="21" customHeight="1">
      <x:c r="A649" s="60" t="n">
        <x:v>0.62</x:v>
      </x:c>
      <x:c r="B649" s="28" t="str">
        <x:v>back_flat</x:v>
      </x:c>
      <x:c r="C649" s="60" t="n">
        <x:v>0.55</x:v>
      </x:c>
      <x:c r="D649" s="60" t="n">
        <x:v>0.55</x:v>
      </x:c>
      <x:c r="E649" s="62" t="b">
        <x:v>1</x:v>
      </x:c>
      <x:c r="F649" s="62" t="b">
        <x:v>1</x:v>
      </x:c>
      <x:c r="G649" s="85" t="n">
        <x:v>0</x:v>
      </x:c>
      <x:c r="H649" s="85" t="n">
        <x:v>0</x:v>
      </x:c>
      <x:c r="I649" s="85" t="n">
        <x:v>10788926.034707129</x:v>
      </x:c>
      <x:c r="J649" s="85" t="n">
        <x:v>12691184.574628834</x:v>
      </x:c>
      <x:c r="K649" s="85" t="n">
        <x:v>37728.27089041144</x:v>
      </x:c>
      <x:c r="L649" s="28" t="n">
        <x:v>8</x:v>
      </x:c>
      <x:c r="M649" s="28" t="n">
        <x:v>1</x:v>
      </x:c>
      <x:c r="N649" s="28" t="n">
        <x:v>4.656612873077393e-10</x:v>
      </x:c>
      <x:c r="O649" s="28" t="n">
        <x:v>7.450580596923828e-9</x:v>
      </x:c>
      <x:c r="P649" s="28" t="n">
        <x:v>0</x:v>
      </x:c>
      <x:c r="Q649" s="62" t="b">
        <x:v>1</x:v>
      </x:c>
      <x:c r="R649" s="28" t="n">
        <x:v>0</x:v>
      </x:c>
      <x:c r="S649" s="28" t="str">
        <x:v>cba68e52a9e1fd00</x:v>
      </x:c>
    </x:row>
    <x:row r="650" ht="21" customHeight="1">
      <x:c r="A650" s="60" t="n">
        <x:v>0.62</x:v>
      </x:c>
      <x:c r="B650" s="28" t="str">
        <x:v>back_flat</x:v>
      </x:c>
      <x:c r="C650" s="60" t="n">
        <x:v>0.6</x:v>
      </x:c>
      <x:c r="D650" s="60" t="n">
        <x:v>0.6</x:v>
      </x:c>
      <x:c r="E650" s="62" t="b">
        <x:v>1</x:v>
      </x:c>
      <x:c r="F650" s="62" t="b">
        <x:v>1</x:v>
      </x:c>
      <x:c r="G650" s="85" t="n">
        <x:v>0</x:v>
      </x:c>
      <x:c r="H650" s="85" t="n">
        <x:v>0</x:v>
      </x:c>
      <x:c r="I650" s="85" t="n">
        <x:v>12006521.205473298</x:v>
      </x:c>
      <x:c r="J650" s="85" t="n">
        <x:v>14262891.444806246</x:v>
      </x:c>
      <x:c r="K650" s="85" t="n">
        <x:v>34153.82032876741</x:v>
      </x:c>
      <x:c r="L650" s="28" t="n">
        <x:v>12</x:v>
      </x:c>
      <x:c r="M650" s="28" t="n">
        <x:v>7</x:v>
      </x:c>
      <x:c r="N650" s="28" t="n">
        <x:v>4.656612873077393e-10</x:v>
      </x:c>
      <x:c r="O650" s="28" t="n">
        <x:v>7.450580596923828e-9</x:v>
      </x:c>
      <x:c r="P650" s="28" t="n">
        <x:v>0</x:v>
      </x:c>
      <x:c r="Q650" s="62" t="b">
        <x:v>1</x:v>
      </x:c>
      <x:c r="R650" s="28" t="n">
        <x:v>0</x:v>
      </x:c>
      <x:c r="S650" s="28" t="str">
        <x:v>69226ab5bdc9b82f</x:v>
      </x:c>
    </x:row>
    <x:row r="651" ht="21" customHeight="1">
      <x:c r="A651" s="60" t="n">
        <x:v>0.62</x:v>
      </x:c>
      <x:c r="B651" s="28" t="str">
        <x:v>back_flat</x:v>
      </x:c>
      <x:c r="C651" s="60" t="n">
        <x:v>0.65</x:v>
      </x:c>
      <x:c r="D651" s="60" t="n">
        <x:v>0.65</x:v>
      </x:c>
      <x:c r="E651" s="62" t="b">
        <x:v>1</x:v>
      </x:c>
      <x:c r="F651" s="62" t="b">
        <x:v>0</x:v>
      </x:c>
      <x:c r="G651" s="85" t="n">
        <x:v>96628.52338256431</x:v>
      </x:c>
      <x:c r="H651" s="85" t="n">
        <x:v>512639.4019319483</x:v>
      </x:c>
      <x:c r="I651" s="85" t="n">
        <x:v>12883042.106035732</x:v>
      </x:c>
      <x:c r="J651" s="85" t="n">
        <x:v>15608320.000000002</x:v>
      </x:c>
      <x:c r="K651" s="85" t="n">
        <x:v>30579.369767123622</x:v>
      </x:c>
      <x:c r="L651" s="28" t="n">
        <x:v>37</x:v>
      </x:c>
      <x:c r="M651" s="28" t="n">
        <x:v>32</x:v>
      </x:c>
      <x:c r="N651" s="28" t="n">
        <x:v>2.3283064365386963e-10</x:v>
      </x:c>
      <x:c r="O651" s="28" t="n">
        <x:v>7.450580596923828e-9</x:v>
      </x:c>
      <x:c r="P651" s="28" t="n">
        <x:v>0</x:v>
      </x:c>
      <x:c r="Q651" s="62" t="b">
        <x:v>1</x:v>
      </x:c>
      <x:c r="R651" s="28" t="n">
        <x:v>0</x:v>
      </x:c>
      <x:c r="S651" s="28" t="str">
        <x:v>df53d55978e5f0fa</x:v>
      </x:c>
    </x:row>
    <x:row r="652" ht="21" customHeight="1">
      <x:c r="A652" s="60" t="n">
        <x:v>0.62</x:v>
      </x:c>
      <x:c r="B652" s="28" t="str">
        <x:v>back_flat</x:v>
      </x:c>
      <x:c r="C652" s="60" t="n">
        <x:v>0.7</x:v>
      </x:c>
      <x:c r="D652" s="60" t="n">
        <x:v>0.7</x:v>
      </x:c>
      <x:c r="E652" s="62" t="b">
        <x:v>1</x:v>
      </x:c>
      <x:c r="F652" s="62" t="b">
        <x:v>0</x:v>
      </x:c>
      <x:c r="G652" s="85" t="n">
        <x:v>479174.2862998791</x:v>
      </x:c>
      <x:c r="H652" s="85" t="n">
        <x:v>2582468.6140768034</x:v>
      </x:c>
      <x:c r="I652" s="85" t="n">
        <x:v>13119433.13797273</x:v>
      </x:c>
      <x:c r="J652" s="85" t="n">
        <x:v>15608320.000000002</x:v>
      </x:c>
      <x:c r="K652" s="85" t="n">
        <x:v>27004.91920547971</x:v>
      </x:c>
      <x:c r="L652" s="28" t="n">
        <x:v>38</x:v>
      </x:c>
      <x:c r="M652" s="28" t="n">
        <x:v>32</x:v>
      </x:c>
      <x:c r="N652" s="28" t="n">
        <x:v>2.3283064365386963e-10</x:v>
      </x:c>
      <x:c r="O652" s="28" t="n">
        <x:v>3.725290298461914e-9</x:v>
      </x:c>
      <x:c r="P652" s="28" t="n">
        <x:v>0</x:v>
      </x:c>
      <x:c r="Q652" s="62" t="b">
        <x:v>1</x:v>
      </x:c>
      <x:c r="R652" s="28" t="n">
        <x:v>0</x:v>
      </x:c>
      <x:c r="S652" s="28" t="str">
        <x:v>80a28511951e5ceb</x:v>
      </x:c>
    </x:row>
    <x:row r="653" ht="21" customHeight="1">
      <x:c r="A653" s="60" t="n">
        <x:v>0.62</x:v>
      </x:c>
      <x:c r="B653" s="28" t="str">
        <x:v>back_flat</x:v>
      </x:c>
      <x:c r="C653" s="60" t="n">
        <x:v>0.75</x:v>
      </x:c>
      <x:c r="D653" s="60" t="n">
        <x:v>0.75</x:v>
      </x:c>
      <x:c r="E653" s="62" t="b">
        <x:v>1</x:v>
      </x:c>
      <x:c r="F653" s="62" t="b">
        <x:v>0</x:v>
      </x:c>
      <x:c r="G653" s="85" t="n">
        <x:v>894580.3133970081</x:v>
      </x:c>
      <x:c r="H653" s="85" t="n">
        <x:v>4534149.207679025</x:v>
      </x:c>
      <x:c r="I653" s="85" t="n">
        <x:v>13367514.868461369</x:v>
      </x:c>
      <x:c r="J653" s="85" t="n">
        <x:v>15608320.000000002</x:v>
      </x:c>
      <x:c r="K653" s="85" t="n">
        <x:v>23430.468643835564</x:v>
      </x:c>
      <x:c r="L653" s="28" t="n">
        <x:v>39</x:v>
      </x:c>
      <x:c r="M653" s="28" t="n">
        <x:v>34</x:v>
      </x:c>
      <x:c r="N653" s="28" t="n">
        <x:v>4.656612873077393e-10</x:v>
      </x:c>
      <x:c r="O653" s="28" t="n">
        <x:v>7.450580596923828e-9</x:v>
      </x:c>
      <x:c r="P653" s="28" t="n">
        <x:v>0</x:v>
      </x:c>
      <x:c r="Q653" s="62" t="b">
        <x:v>1</x:v>
      </x:c>
      <x:c r="R653" s="28" t="n">
        <x:v>0</x:v>
      </x:c>
      <x:c r="S653" s="28" t="str">
        <x:v>53b9eb9af2ee26b7</x:v>
      </x:c>
    </x:row>
    <x:row r="654" ht="21" customHeight="1">
      <x:c r="A654" s="60" t="n">
        <x:v>0.62</x:v>
      </x:c>
      <x:c r="B654" s="28" t="str">
        <x:v>back_flat</x:v>
      </x:c>
      <x:c r="C654" s="60" t="n">
        <x:v>0.8</x:v>
      </x:c>
      <x:c r="D654" s="60" t="n">
        <x:v>0.8</x:v>
      </x:c>
      <x:c r="E654" s="62" t="b">
        <x:v>1</x:v>
      </x:c>
      <x:c r="F654" s="62" t="b">
        <x:v>0</x:v>
      </x:c>
      <x:c r="G654" s="85" t="n">
        <x:v>1401138.0365051508</x:v>
      </x:c>
      <x:c r="H654" s="85" t="n">
        <x:v>6651669.357341498</x:v>
      </x:c>
      <x:c r="I654" s="85" t="n">
        <x:v>13422032.481208107</x:v>
      </x:c>
      <x:c r="J654" s="85" t="n">
        <x:v>15608320.000000002</x:v>
      </x:c>
      <x:c r="K654" s="85" t="n">
        <x:v>19856.018082191884</x:v>
      </x:c>
      <x:c r="L654" s="28" t="n">
        <x:v>39</x:v>
      </x:c>
      <x:c r="M654" s="28" t="n">
        <x:v>34</x:v>
      </x:c>
      <x:c r="N654" s="28" t="n">
        <x:v>2.3283064365386963e-10</x:v>
      </x:c>
      <x:c r="O654" s="28" t="n">
        <x:v>3.725290298461914e-9</x:v>
      </x:c>
      <x:c r="P654" s="28" t="n">
        <x:v>0</x:v>
      </x:c>
      <x:c r="Q654" s="62" t="b">
        <x:v>1</x:v>
      </x:c>
      <x:c r="R654" s="28" t="n">
        <x:v>0</x:v>
      </x:c>
      <x:c r="S654" s="28" t="str">
        <x:v>2898864063128c20</x:v>
      </x:c>
    </x:row>
    <x:row r="655" ht="21" customHeight="1">
      <x:c r="A655" s="60" t="n">
        <x:v>0.62</x:v>
      </x:c>
      <x:c r="B655" s="28" t="str">
        <x:v>back_flat</x:v>
      </x:c>
      <x:c r="C655" s="60" t="n">
        <x:v>0.85</x:v>
      </x:c>
      <x:c r="D655" s="60" t="n">
        <x:v>0.85</x:v>
      </x:c>
      <x:c r="E655" s="62" t="b">
        <x:v>1</x:v>
      </x:c>
      <x:c r="F655" s="62" t="b">
        <x:v>0</x:v>
      </x:c>
      <x:c r="G655" s="85" t="n">
        <x:v>1907371.87139442</x:v>
      </x:c>
      <x:c r="H655" s="85" t="n">
        <x:v>8458063.535280474</x:v>
      </x:c>
      <x:c r="I655" s="85" t="n">
        <x:v>13639527.779691286</x:v>
      </x:c>
      <x:c r="J655" s="85" t="n">
        <x:v>15608320.000000002</x:v>
      </x:c>
      <x:c r="K655" s="85" t="n">
        <x:v>16281.567520548087</x:v>
      </x:c>
      <x:c r="L655" s="28" t="n">
        <x:v>40</x:v>
      </x:c>
      <x:c r="M655" s="28" t="n">
        <x:v>35</x:v>
      </x:c>
      <x:c r="N655" s="28" t="n">
        <x:v>4.656612873077393e-10</x:v>
      </x:c>
      <x:c r="O655" s="28" t="n">
        <x:v>9.313225746154785e-10</x:v>
      </x:c>
      <x:c r="P655" s="28" t="n">
        <x:v>0</x:v>
      </x:c>
      <x:c r="Q655" s="62" t="b">
        <x:v>1</x:v>
      </x:c>
      <x:c r="R655" s="28" t="n">
        <x:v>0</x:v>
      </x:c>
      <x:c r="S655" s="28" t="str">
        <x:v>46544e9f3fdd7c18</x:v>
      </x:c>
    </x:row>
    <x:row r="656" ht="21" customHeight="1">
      <x:c r="A656" s="60" t="n">
        <x:v>0.62</x:v>
      </x:c>
      <x:c r="B656" s="28" t="str">
        <x:v>back_flat</x:v>
      </x:c>
      <x:c r="C656" s="60" t="n">
        <x:v>0.9</x:v>
      </x:c>
      <x:c r="D656" s="60" t="n">
        <x:v>0.880265491166173</x:v>
      </x:c>
      <x:c r="E656" s="62" t="b">
        <x:v>0</x:v>
      </x:c>
      <x:c r="F656" s="62" t="b">
        <x:v>0</x:v>
      </x:c>
      <x:c r="G656" s="85" t="n">
        <x:v>2477067.488636233</x:v>
      </x:c>
      <x:c r="H656" s="85" t="n">
        <x:v>9378548.953904662</x:v>
      </x:c>
      <x:c r="I656" s="85" t="n">
        <x:v>13682192.73685282</x:v>
      </x:c>
      <x:c r="J656" s="85" t="n">
        <x:v>15608320.000000002</x:v>
      </x:c>
      <x:c r="K656" s="85" t="n">
        <x:v>12707.116958904291</x:v>
      </x:c>
      <x:c r="L656" s="28" t="n">
        <x:v>40</x:v>
      </x:c>
      <x:c r="M656" s="28" t="n">
        <x:v>36</x:v>
      </x:c>
      <x:c r="N656" s="28" t="n">
        <x:v>4.656612873077393e-10</x:v>
      </x:c>
      <x:c r="O656" s="28" t="n">
        <x:v>3.725290298461914e-9</x:v>
      </x:c>
      <x:c r="P656" s="28" t="n">
        <x:v>0</x:v>
      </x:c>
      <x:c r="Q656" s="62" t="b">
        <x:v>1</x:v>
      </x:c>
      <x:c r="R656" s="28" t="n">
        <x:v>1100080.4604328498</x:v>
      </x:c>
      <x:c r="S656" s="28" t="str">
        <x:v>8acfbba815d54e91</x:v>
      </x:c>
    </x:row>
    <x:row r="657" ht="21" customHeight="1">
      <x:c r="A657" s="60" t="n">
        <x:v>0.62</x:v>
      </x:c>
      <x:c r="B657" s="28" t="str">
        <x:v>back_flat</x:v>
      </x:c>
      <x:c r="C657" s="60" t="n">
        <x:v>0.95</x:v>
      </x:c>
      <x:c r="D657" s="60" t="n">
        <x:v>0.8954794051096439</x:v>
      </x:c>
      <x:c r="E657" s="62" t="b">
        <x:v>0</x:v>
      </x:c>
      <x:c r="F657" s="62" t="b">
        <x:v>0</x:v>
      </x:c>
      <x:c r="G657" s="85" t="n">
        <x:v>2622573.1725973566</x:v>
      </x:c>
      <x:c r="H657" s="85" t="n">
        <x:v>9927205.69047347</x:v>
      </x:c>
      <x:c r="I657" s="85" t="n">
        <x:v>13921310.979306849</x:v>
      </x:c>
      <x:c r="J657" s="85" t="n">
        <x:v>15608320.000000002</x:v>
      </x:c>
      <x:c r="K657" s="85" t="n">
        <x:v>9132.666397260262</x:v>
      </x:c>
      <x:c r="L657" s="28" t="n">
        <x:v>41</x:v>
      </x:c>
      <x:c r="M657" s="28" t="n">
        <x:v>36</x:v>
      </x:c>
      <x:c r="N657" s="28" t="n">
        <x:v>4.656612873077393e-10</x:v>
      </x:c>
      <x:c r="O657" s="28" t="n">
        <x:v>3.725290298461914e-9</x:v>
      </x:c>
      <x:c r="P657" s="28" t="n">
        <x:v>0</x:v>
      </x:c>
      <x:c r="Q657" s="62" t="b">
        <x:v>1</x:v>
      </x:c>
      <x:c r="R657" s="28" t="n">
        <x:v>3039196.041568011</x:v>
      </x:c>
      <x:c r="S657" s="28" t="str">
        <x:v>70c4905e822b3151</x:v>
      </x:c>
    </x:row>
    <x:row r="658" ht="21" customHeight="1">
      <x:c r="A658" s="60" t="n">
        <x:v>0.62</x:v>
      </x:c>
      <x:c r="B658" s="28" t="str">
        <x:v>back_flat</x:v>
      </x:c>
      <x:c r="C658" s="60" t="n">
        <x:v>1</x:v>
      </x:c>
      <x:c r="D658" s="60" t="n">
        <x:v>0.9093341115290656</x:v>
      </x:c>
      <x:c r="E658" s="62" t="b">
        <x:v>0</x:v>
      </x:c>
      <x:c r="F658" s="62" t="b">
        <x:v>0</x:v>
      </x:c>
      <x:c r="G658" s="85" t="n">
        <x:v>2897756.1065153102</x:v>
      </x:c>
      <x:c r="H658" s="85" t="n">
        <x:v>10529217.724665396</x:v>
      </x:c>
      <x:c r="I658" s="85" t="n">
        <x:v>13953164.74087671</x:v>
      </x:c>
      <x:c r="J658" s="85" t="n">
        <x:v>15608320.000000002</x:v>
      </x:c>
      <x:c r="K658" s="85" t="n">
        <x:v>7180.663561643894</x:v>
      </x:c>
      <x:c r="L658" s="28" t="n">
        <x:v>41</x:v>
      </x:c>
      <x:c r="M658" s="28" t="n">
        <x:v>37</x:v>
      </x:c>
      <x:c r="N658" s="28" t="n">
        <x:v>2.3283064365386963e-10</x:v>
      </x:c>
      <x:c r="O658" s="28" t="n">
        <x:v>3.725290298461914e-9</x:v>
      </x:c>
      <x:c r="P658" s="28" t="n">
        <x:v>0</x:v>
      </x:c>
      <x:c r="Q658" s="62" t="b">
        <x:v>1</x:v>
      </x:c>
      <x:c r="R658" s="28" t="n">
        <x:v>5054079.286923766</x:v>
      </x:c>
      <x:c r="S658" s="28" t="str">
        <x:v>3f9fc9baaf90a773</x:v>
      </x:c>
    </x:row>
    <x:row r="659" ht="21" customHeight="1">
      <x:c r="A659" s="60" t="n">
        <x:v>0.62</x:v>
      </x:c>
      <x:c r="B659" s="28" t="str">
        <x:v>back_low</x:v>
      </x:c>
      <x:c r="C659" s="60" t="n">
        <x:v>0</x:v>
      </x:c>
      <x:c r="D659" s="60" t="n">
        <x:v>0</x:v>
      </x:c>
      <x:c r="E659" s="62" t="b">
        <x:v>1</x:v>
      </x:c>
      <x:c r="F659" s="62" t="b">
        <x:v>1</x:v>
      </x:c>
      <x:c r="G659" s="85" t="n">
        <x:v>0</x:v>
      </x:c>
      <x:c r="H659" s="85" t="n">
        <x:v>0</x:v>
      </x:c>
      <x:c r="I659" s="85" t="n">
        <x:v>0</x:v>
      </x:c>
      <x:c r="J659" s="85" t="n">
        <x:v>0</x:v>
      </x:c>
      <x:c r="K659" s="85" t="n">
        <x:v>5023165.507287669</x:v>
      </x:c>
      <x:c r="L659" s="28" t="n">
        <x:v>0</x:v>
      </x:c>
      <x:c r="M659" s="28" t="n">
        <x:v>0</x:v>
      </x:c>
      <x:c r="N659" s="28" t="n">
        <x:v>5.820766091346741e-11</x:v>
      </x:c>
      <x:c r="O659" s="28" t="n">
        <x:v>0</x:v>
      </x:c>
      <x:c r="P659" s="28" t="n">
        <x:v>0</x:v>
      </x:c>
      <x:c r="Q659" s="62" t="b">
        <x:v>1</x:v>
      </x:c>
      <x:c r="R659" s="28" t="n">
        <x:v>0</x:v>
      </x:c>
      <x:c r="S659" s="28" t="str">
        <x:v>05d0da7e84c021c4</x:v>
      </x:c>
    </x:row>
    <x:row r="660" ht="21" customHeight="1">
      <x:c r="A660" s="60" t="n">
        <x:v>0.62</x:v>
      </x:c>
      <x:c r="B660" s="28" t="str">
        <x:v>back_low</x:v>
      </x:c>
      <x:c r="C660" s="60" t="n">
        <x:v>0.05</x:v>
      </x:c>
      <x:c r="D660" s="60" t="n">
        <x:v>0.05</x:v>
      </x:c>
      <x:c r="E660" s="62" t="b">
        <x:v>1</x:v>
      </x:c>
      <x:c r="F660" s="62" t="b">
        <x:v>1</x:v>
      </x:c>
      <x:c r="G660" s="85" t="n">
        <x:v>0</x:v>
      </x:c>
      <x:c r="H660" s="85" t="n">
        <x:v>0</x:v>
      </x:c>
      <x:c r="I660" s="85" t="n">
        <x:v>0</x:v>
      </x:c>
      <x:c r="J660" s="85" t="n">
        <x:v>0</x:v>
      </x:c>
      <x:c r="K660" s="85" t="n">
        <x:v>3034596.9353941362</x:v>
      </x:c>
      <x:c r="L660" s="28" t="n">
        <x:v>0</x:v>
      </x:c>
      <x:c r="M660" s="28" t="n">
        <x:v>0</x:v>
      </x:c>
      <x:c r="N660" s="28" t="n">
        <x:v>9.313225746154785e-10</x:v>
      </x:c>
      <x:c r="O660" s="28" t="n">
        <x:v>7.450580596923828e-9</x:v>
      </x:c>
      <x:c r="P660" s="28" t="n">
        <x:v>0</x:v>
      </x:c>
      <x:c r="Q660" s="62" t="b">
        <x:v>1</x:v>
      </x:c>
      <x:c r="R660" s="28" t="n">
        <x:v>0</x:v>
      </x:c>
      <x:c r="S660" s="28" t="str">
        <x:v>0ba3f33e058e86e4</x:v>
      </x:c>
    </x:row>
    <x:row r="661" ht="21" customHeight="1">
      <x:c r="A661" s="60" t="n">
        <x:v>0.62</x:v>
      </x:c>
      <x:c r="B661" s="28" t="str">
        <x:v>back_low</x:v>
      </x:c>
      <x:c r="C661" s="60" t="n">
        <x:v>0.1</x:v>
      </x:c>
      <x:c r="D661" s="60" t="n">
        <x:v>0.1</x:v>
      </x:c>
      <x:c r="E661" s="62" t="b">
        <x:v>1</x:v>
      </x:c>
      <x:c r="F661" s="62" t="b">
        <x:v>1</x:v>
      </x:c>
      <x:c r="G661" s="85" t="n">
        <x:v>0</x:v>
      </x:c>
      <x:c r="H661" s="85" t="n">
        <x:v>0</x:v>
      </x:c>
      <x:c r="I661" s="85" t="n">
        <x:v>0</x:v>
      </x:c>
      <x:c r="J661" s="85" t="n">
        <x:v>0</x:v>
      </x:c>
      <x:c r="K661" s="85" t="n">
        <x:v>1046028.3635006452</x:v>
      </x:c>
      <x:c r="L661" s="28" t="n">
        <x:v>0</x:v>
      </x:c>
      <x:c r="M661" s="28" t="n">
        <x:v>0</x:v>
      </x:c>
      <x:c r="N661" s="28" t="n">
        <x:v>5.820766091346741e-11</x:v>
      </x:c>
      <x:c r="O661" s="28" t="n">
        <x:v>7.450580596923828e-9</x:v>
      </x:c>
      <x:c r="P661" s="28" t="n">
        <x:v>0</x:v>
      </x:c>
      <x:c r="Q661" s="62" t="b">
        <x:v>1</x:v>
      </x:c>
      <x:c r="R661" s="28" t="n">
        <x:v>0</x:v>
      </x:c>
      <x:c r="S661" s="28" t="str">
        <x:v>6155d9f19f48b5f5</x:v>
      </x:c>
    </x:row>
    <x:row r="662" ht="21" customHeight="1">
      <x:c r="A662" s="60" t="n">
        <x:v>0.62</x:v>
      </x:c>
      <x:c r="B662" s="28" t="str">
        <x:v>back_low</x:v>
      </x:c>
      <x:c r="C662" s="60" t="n">
        <x:v>0.15</x:v>
      </x:c>
      <x:c r="D662" s="60" t="n">
        <x:v>0.15</x:v>
      </x:c>
      <x:c r="E662" s="62" t="b">
        <x:v>1</x:v>
      </x:c>
      <x:c r="F662" s="62" t="b">
        <x:v>1</x:v>
      </x:c>
      <x:c r="G662" s="85" t="n">
        <x:v>0</x:v>
      </x:c>
      <x:c r="H662" s="85" t="n">
        <x:v>0</x:v>
      </x:c>
      <x:c r="I662" s="85" t="n">
        <x:v>741484.94908465</x:v>
      </x:c>
      <x:c r="J662" s="85" t="n">
        <x:v>0</x:v>
      </x:c>
      <x:c r="K662" s="85" t="n">
        <x:v>12092.39757534237</x:v>
      </x:c>
      <x:c r="L662" s="28" t="n">
        <x:v>0</x:v>
      </x:c>
      <x:c r="M662" s="28" t="n">
        <x:v>0</x:v>
      </x:c>
      <x:c r="N662" s="28" t="n">
        <x:v>4.656612873077393e-10</x:v>
      </x:c>
      <x:c r="O662" s="28" t="n">
        <x:v>7.450580596923828e-9</x:v>
      </x:c>
      <x:c r="P662" s="28" t="n">
        <x:v>0</x:v>
      </x:c>
      <x:c r="Q662" s="62" t="b">
        <x:v>1</x:v>
      </x:c>
      <x:c r="R662" s="28" t="n">
        <x:v>0</x:v>
      </x:c>
      <x:c r="S662" s="28" t="str">
        <x:v>0b2e42f39ce9f6d6</x:v>
      </x:c>
    </x:row>
    <x:row r="663" ht="21" customHeight="1">
      <x:c r="A663" s="60" t="n">
        <x:v>0.62</x:v>
      </x:c>
      <x:c r="B663" s="28" t="str">
        <x:v>back_low</x:v>
      </x:c>
      <x:c r="C663" s="60" t="n">
        <x:v>0.2</x:v>
      </x:c>
      <x:c r="D663" s="60" t="n">
        <x:v>0.2</x:v>
      </x:c>
      <x:c r="E663" s="62" t="b">
        <x:v>1</x:v>
      </x:c>
      <x:c r="F663" s="62" t="b">
        <x:v>1</x:v>
      </x:c>
      <x:c r="G663" s="85" t="n">
        <x:v>0</x:v>
      </x:c>
      <x:c r="H663" s="85" t="n">
        <x:v>0</x:v>
      </x:c>
      <x:c r="I663" s="85" t="n">
        <x:v>1880304.357354724</x:v>
      </x:c>
      <x:c r="J663" s="85" t="n">
        <x:v>1245718.9057329397</x:v>
      </x:c>
      <x:c r="K663" s="85" t="n">
        <x:v>7613.099342465546</x:v>
      </x:c>
      <x:c r="L663" s="28" t="n">
        <x:v>0</x:v>
      </x:c>
      <x:c r="M663" s="28" t="n">
        <x:v>0</x:v>
      </x:c>
      <x:c r="N663" s="28" t="n">
        <x:v>2.3283064365386963e-10</x:v>
      </x:c>
      <x:c r="O663" s="28" t="n">
        <x:v>7.450580596923828e-9</x:v>
      </x:c>
      <x:c r="P663" s="28" t="n">
        <x:v>0</x:v>
      </x:c>
      <x:c r="Q663" s="62" t="b">
        <x:v>1</x:v>
      </x:c>
      <x:c r="R663" s="28" t="n">
        <x:v>0</x:v>
      </x:c>
      <x:c r="S663" s="28" t="str">
        <x:v>db730a6568ab428a</x:v>
      </x:c>
    </x:row>
    <x:row r="664" ht="21" customHeight="1">
      <x:c r="A664" s="60" t="n">
        <x:v>0.62</x:v>
      </x:c>
      <x:c r="B664" s="28" t="str">
        <x:v>back_low</x:v>
      </x:c>
      <x:c r="C664" s="60" t="n">
        <x:v>0.25</x:v>
      </x:c>
      <x:c r="D664" s="60" t="n">
        <x:v>0.25</x:v>
      </x:c>
      <x:c r="E664" s="62" t="b">
        <x:v>1</x:v>
      </x:c>
      <x:c r="F664" s="62" t="b">
        <x:v>1</x:v>
      </x:c>
      <x:c r="G664" s="85" t="n">
        <x:v>0</x:v>
      </x:c>
      <x:c r="H664" s="85" t="n">
        <x:v>0</x:v>
      </x:c>
      <x:c r="I664" s="85" t="n">
        <x:v>2646961.540172873</x:v>
      </x:c>
      <x:c r="J664" s="85" t="n">
        <x:v>2950748.6321662106</x:v>
      </x:c>
      <x:c r="K664" s="85" t="n">
        <x:v>5578.820835616425</x:v>
      </x:c>
      <x:c r="L664" s="28" t="n">
        <x:v>0</x:v>
      </x:c>
      <x:c r="M664" s="28" t="n">
        <x:v>0</x:v>
      </x:c>
      <x:c r="N664" s="28" t="n">
        <x:v>4.656612873077393e-10</x:v>
      </x:c>
      <x:c r="O664" s="28" t="n">
        <x:v>7.450580596923828e-9</x:v>
      </x:c>
      <x:c r="P664" s="28" t="n">
        <x:v>0</x:v>
      </x:c>
      <x:c r="Q664" s="62" t="b">
        <x:v>1</x:v>
      </x:c>
      <x:c r="R664" s="28" t="n">
        <x:v>0</x:v>
      </x:c>
      <x:c r="S664" s="28" t="str">
        <x:v>f9ba1210cc7b2441</x:v>
      </x:c>
    </x:row>
    <x:row r="665" ht="21" customHeight="1">
      <x:c r="A665" s="60" t="n">
        <x:v>0.62</x:v>
      </x:c>
      <x:c r="B665" s="28" t="str">
        <x:v>back_low</x:v>
      </x:c>
      <x:c r="C665" s="60" t="n">
        <x:v>0.3</x:v>
      </x:c>
      <x:c r="D665" s="60" t="n">
        <x:v>0.3</x:v>
      </x:c>
      <x:c r="E665" s="62" t="b">
        <x:v>1</x:v>
      </x:c>
      <x:c r="F665" s="62" t="b">
        <x:v>1</x:v>
      </x:c>
      <x:c r="G665" s="85" t="n">
        <x:v>0</x:v>
      </x:c>
      <x:c r="H665" s="85" t="n">
        <x:v>0</x:v>
      </x:c>
      <x:c r="I665" s="85" t="n">
        <x:v>3423933.340055653</x:v>
      </x:c>
      <x:c r="J665" s="85" t="n">
        <x:v>4655778.3585994225</x:v>
      </x:c>
      <x:c r="K665" s="85" t="n">
        <x:v>3544.542328767129</x:v>
      </x:c>
      <x:c r="L665" s="28" t="n">
        <x:v>0</x:v>
      </x:c>
      <x:c r="M665" s="28" t="n">
        <x:v>0</x:v>
      </x:c>
      <x:c r="N665" s="28" t="n">
        <x:v>9.313225746154785e-10</x:v>
      </x:c>
      <x:c r="O665" s="28" t="n">
        <x:v>7.450580596923828e-9</x:v>
      </x:c>
      <x:c r="P665" s="28" t="n">
        <x:v>0</x:v>
      </x:c>
      <x:c r="Q665" s="62" t="b">
        <x:v>1</x:v>
      </x:c>
      <x:c r="R665" s="28" t="n">
        <x:v>0</x:v>
      </x:c>
      <x:c r="S665" s="28" t="str">
        <x:v>46afc0f086d98905</x:v>
      </x:c>
    </x:row>
    <x:row r="666" ht="21" customHeight="1">
      <x:c r="A666" s="60" t="n">
        <x:v>0.62</x:v>
      </x:c>
      <x:c r="B666" s="28" t="str">
        <x:v>back_low</x:v>
      </x:c>
      <x:c r="C666" s="60" t="n">
        <x:v>0.35</x:v>
      </x:c>
      <x:c r="D666" s="60" t="n">
        <x:v>0.35</x:v>
      </x:c>
      <x:c r="E666" s="62" t="b">
        <x:v>1</x:v>
      </x:c>
      <x:c r="F666" s="62" t="b">
        <x:v>1</x:v>
      </x:c>
      <x:c r="G666" s="85" t="n">
        <x:v>0</x:v>
      </x:c>
      <x:c r="H666" s="85" t="n">
        <x:v>0</x:v>
      </x:c>
      <x:c r="I666" s="85" t="n">
        <x:v>4202003.441389135</x:v>
      </x:c>
      <x:c r="J666" s="85" t="n">
        <x:v>6360808.085032671</x:v>
      </x:c>
      <x:c r="K666" s="85" t="n">
        <x:v>1510.2638219177752</x:v>
      </x:c>
      <x:c r="L666" s="28" t="n">
        <x:v>0</x:v>
      </x:c>
      <x:c r="M666" s="28" t="n">
        <x:v>0</x:v>
      </x:c>
      <x:c r="N666" s="28" t="n">
        <x:v>9.313225746154785e-10</x:v>
      </x:c>
      <x:c r="O666" s="28" t="n">
        <x:v>3.725290298461914e-9</x:v>
      </x:c>
      <x:c r="P666" s="28" t="n">
        <x:v>0</x:v>
      </x:c>
      <x:c r="Q666" s="62" t="b">
        <x:v>1</x:v>
      </x:c>
      <x:c r="R666" s="28" t="n">
        <x:v>0</x:v>
      </x:c>
      <x:c r="S666" s="28" t="str">
        <x:v>88e3df479f110a66</x:v>
      </x:c>
    </x:row>
    <x:row r="667" ht="21" customHeight="1">
      <x:c r="A667" s="60" t="n">
        <x:v>0.62</x:v>
      </x:c>
      <x:c r="B667" s="28" t="str">
        <x:v>back_low</x:v>
      </x:c>
      <x:c r="C667" s="60" t="n">
        <x:v>0.4</x:v>
      </x:c>
      <x:c r="D667" s="60" t="n">
        <x:v>0.4</x:v>
      </x:c>
      <x:c r="E667" s="62" t="b">
        <x:v>1</x:v>
      </x:c>
      <x:c r="F667" s="62" t="b">
        <x:v>1</x:v>
      </x:c>
      <x:c r="G667" s="85" t="n">
        <x:v>0</x:v>
      </x:c>
      <x:c r="H667" s="85" t="n">
        <x:v>0</x:v>
      </x:c>
      <x:c r="I667" s="85" t="n">
        <x:v>4985306.289600412</x:v>
      </x:c>
      <x:c r="J667" s="85" t="n">
        <x:v>8065837.811465903</x:v>
      </x:c>
      <x:c r="K667" s="85" t="n">
        <x:v>0</x:v>
      </x:c>
      <x:c r="L667" s="28" t="n">
        <x:v>0</x:v>
      </x:c>
      <x:c r="M667" s="28" t="n">
        <x:v>0</x:v>
      </x:c>
      <x:c r="N667" s="28" t="n">
        <x:v>9.313225746154785e-10</x:v>
      </x:c>
      <x:c r="O667" s="28" t="n">
        <x:v>7.450580596923828e-9</x:v>
      </x:c>
      <x:c r="P667" s="28" t="n">
        <x:v>0</x:v>
      </x:c>
      <x:c r="Q667" s="62" t="b">
        <x:v>1</x:v>
      </x:c>
      <x:c r="R667" s="28" t="n">
        <x:v>0</x:v>
      </x:c>
      <x:c r="S667" s="28" t="str">
        <x:v>f4c4bfb782a7ab0b</x:v>
      </x:c>
    </x:row>
    <x:row r="668" ht="21" customHeight="1">
      <x:c r="A668" s="60" t="n">
        <x:v>0.62</x:v>
      </x:c>
      <x:c r="B668" s="28" t="str">
        <x:v>back_low</x:v>
      </x:c>
      <x:c r="C668" s="60" t="n">
        <x:v>0.45</x:v>
      </x:c>
      <x:c r="D668" s="60" t="n">
        <x:v>0.45</x:v>
      </x:c>
      <x:c r="E668" s="62" t="b">
        <x:v>1</x:v>
      </x:c>
      <x:c r="F668" s="62" t="b">
        <x:v>1</x:v>
      </x:c>
      <x:c r="G668" s="85" t="n">
        <x:v>0</x:v>
      </x:c>
      <x:c r="H668" s="85" t="n">
        <x:v>0</x:v>
      </x:c>
      <x:c r="I668" s="85" t="n">
        <x:v>5798800.674718243</x:v>
      </x:c>
      <x:c r="J668" s="85" t="n">
        <x:v>9714057.559458394</x:v>
      </x:c>
      <x:c r="K668" s="85" t="n">
        <x:v>0</x:v>
      </x:c>
      <x:c r="L668" s="28" t="n">
        <x:v>1</x:v>
      </x:c>
      <x:c r="M668" s="28" t="n">
        <x:v>0</x:v>
      </x:c>
      <x:c r="N668" s="28" t="n">
        <x:v>9.313225746154785e-10</x:v>
      </x:c>
      <x:c r="O668" s="28" t="n">
        <x:v>7.450580596923828e-9</x:v>
      </x:c>
      <x:c r="P668" s="28" t="n">
        <x:v>0</x:v>
      </x:c>
      <x:c r="Q668" s="62" t="b">
        <x:v>1</x:v>
      </x:c>
      <x:c r="R668" s="28" t="n">
        <x:v>0</x:v>
      </x:c>
      <x:c r="S668" s="28" t="str">
        <x:v>36e68f2faa3eafa5</x:v>
      </x:c>
    </x:row>
    <x:row r="669" ht="21" customHeight="1">
      <x:c r="A669" s="60" t="n">
        <x:v>0.62</x:v>
      </x:c>
      <x:c r="B669" s="28" t="str">
        <x:v>back_low</x:v>
      </x:c>
      <x:c r="C669" s="60" t="n">
        <x:v>0.5</x:v>
      </x:c>
      <x:c r="D669" s="60" t="n">
        <x:v>0.5</x:v>
      </x:c>
      <x:c r="E669" s="62" t="b">
        <x:v>1</x:v>
      </x:c>
      <x:c r="F669" s="62" t="b">
        <x:v>1</x:v>
      </x:c>
      <x:c r="G669" s="85" t="n">
        <x:v>0</x:v>
      </x:c>
      <x:c r="H669" s="85" t="n">
        <x:v>0</x:v>
      </x:c>
      <x:c r="I669" s="85" t="n">
        <x:v>6789802.294509743</x:v>
      </x:c>
      <x:c r="J669" s="85" t="n">
        <x:v>11078570.52770794</x:v>
      </x:c>
      <x:c r="K669" s="85" t="n">
        <x:v>0</x:v>
      </x:c>
      <x:c r="L669" s="28" t="n">
        <x:v>6</x:v>
      </x:c>
      <x:c r="M669" s="28" t="n">
        <x:v>0</x:v>
      </x:c>
      <x:c r="N669" s="28" t="n">
        <x:v>9.313225746154785e-10</x:v>
      </x:c>
      <x:c r="O669" s="28" t="n">
        <x:v>1.862645149230957e-9</x:v>
      </x:c>
      <x:c r="P669" s="28" t="n">
        <x:v>0</x:v>
      </x:c>
      <x:c r="Q669" s="62" t="b">
        <x:v>1</x:v>
      </x:c>
      <x:c r="R669" s="28" t="n">
        <x:v>0</x:v>
      </x:c>
      <x:c r="S669" s="28" t="str">
        <x:v>cec5f82bd476394b</x:v>
      </x:c>
    </x:row>
    <x:row r="670" ht="21" customHeight="1">
      <x:c r="A670" s="60" t="n">
        <x:v>0.62</x:v>
      </x:c>
      <x:c r="B670" s="28" t="str">
        <x:v>back_low</x:v>
      </x:c>
      <x:c r="C670" s="60" t="n">
        <x:v>0.55</x:v>
      </x:c>
      <x:c r="D670" s="60" t="n">
        <x:v>0.55</x:v>
      </x:c>
      <x:c r="E670" s="62" t="b">
        <x:v>1</x:v>
      </x:c>
      <x:c r="F670" s="62" t="b">
        <x:v>1</x:v>
      </x:c>
      <x:c r="G670" s="85" t="n">
        <x:v>0</x:v>
      </x:c>
      <x:c r="H670" s="85" t="n">
        <x:v>0</x:v>
      </x:c>
      <x:c r="I670" s="85" t="n">
        <x:v>7580222.163969046</x:v>
      </x:c>
      <x:c r="J670" s="85" t="n">
        <x:v>12733223.33353218</x:v>
      </x:c>
      <x:c r="K670" s="85" t="n">
        <x:v>0</x:v>
      </x:c>
      <x:c r="L670" s="28" t="n">
        <x:v>8</x:v>
      </x:c>
      <x:c r="M670" s="28" t="n">
        <x:v>0</x:v>
      </x:c>
      <x:c r="N670" s="28" t="n">
        <x:v>4.656612873077393e-10</x:v>
      </x:c>
      <x:c r="O670" s="28" t="n">
        <x:v>7.450580596923828e-9</x:v>
      </x:c>
      <x:c r="P670" s="28" t="n">
        <x:v>0</x:v>
      </x:c>
      <x:c r="Q670" s="62" t="b">
        <x:v>1</x:v>
      </x:c>
      <x:c r="R670" s="28" t="n">
        <x:v>0</x:v>
      </x:c>
      <x:c r="S670" s="28" t="str">
        <x:v>c1059da2efeada72</x:v>
      </x:c>
    </x:row>
    <x:row r="671" ht="21" customHeight="1">
      <x:c r="A671" s="60" t="n">
        <x:v>0.62</x:v>
      </x:c>
      <x:c r="B671" s="28" t="str">
        <x:v>back_low</x:v>
      </x:c>
      <x:c r="C671" s="60" t="n">
        <x:v>0.6</x:v>
      </x:c>
      <x:c r="D671" s="60" t="n">
        <x:v>0.6</x:v>
      </x:c>
      <x:c r="E671" s="62" t="b">
        <x:v>1</x:v>
      </x:c>
      <x:c r="F671" s="62" t="b">
        <x:v>1</x:v>
      </x:c>
      <x:c r="G671" s="85" t="n">
        <x:v>0</x:v>
      </x:c>
      <x:c r="H671" s="85" t="n">
        <x:v>0</x:v>
      </x:c>
      <x:c r="I671" s="85" t="n">
        <x:v>8434239.9140297</x:v>
      </x:c>
      <x:c r="J671" s="85" t="n">
        <x:v>14278587.81946099</x:v>
      </x:c>
      <x:c r="K671" s="85" t="n">
        <x:v>0</x:v>
      </x:c>
      <x:c r="L671" s="28" t="n">
        <x:v>12</x:v>
      </x:c>
      <x:c r="M671" s="28" t="n">
        <x:v>0</x:v>
      </x:c>
      <x:c r="N671" s="28" t="n">
        <x:v>4.656612873077393e-10</x:v>
      </x:c>
      <x:c r="O671" s="28" t="n">
        <x:v>7.450580596923828e-9</x:v>
      </x:c>
      <x:c r="P671" s="28" t="n">
        <x:v>0</x:v>
      </x:c>
      <x:c r="Q671" s="62" t="b">
        <x:v>1</x:v>
      </x:c>
      <x:c r="R671" s="28" t="n">
        <x:v>0</x:v>
      </x:c>
      <x:c r="S671" s="28" t="str">
        <x:v>9683b5d3b13bfd35</x:v>
      </x:c>
    </x:row>
    <x:row r="672" ht="21" customHeight="1">
      <x:c r="A672" s="60" t="n">
        <x:v>0.62</x:v>
      </x:c>
      <x:c r="B672" s="28" t="str">
        <x:v>back_low</x:v>
      </x:c>
      <x:c r="C672" s="60" t="n">
        <x:v>0.65</x:v>
      </x:c>
      <x:c r="D672" s="60" t="n">
        <x:v>0.65</x:v>
      </x:c>
      <x:c r="E672" s="62" t="b">
        <x:v>1</x:v>
      </x:c>
      <x:c r="F672" s="62" t="b">
        <x:v>0</x:v>
      </x:c>
      <x:c r="G672" s="85" t="n">
        <x:v>30109.89637455259</x:v>
      </x:c>
      <x:c r="H672" s="85" t="n">
        <x:v>383376.3320099325</x:v>
      </x:c>
      <x:c r="I672" s="85" t="n">
        <x:v>9056681.066052753</x:v>
      </x:c>
      <x:c r="J672" s="85" t="n">
        <x:v>15608320.000000002</x:v>
      </x:c>
      <x:c r="K672" s="85" t="n">
        <x:v>0</x:v>
      </x:c>
      <x:c r="L672" s="28" t="n">
        <x:v>37</x:v>
      </x:c>
      <x:c r="M672" s="28" t="n">
        <x:v>26</x:v>
      </x:c>
      <x:c r="N672" s="28" t="n">
        <x:v>4.656612873077393e-10</x:v>
      </x:c>
      <x:c r="O672" s="28" t="n">
        <x:v>7.450580596923828e-9</x:v>
      </x:c>
      <x:c r="P672" s="28" t="n">
        <x:v>0</x:v>
      </x:c>
      <x:c r="Q672" s="62" t="b">
        <x:v>1</x:v>
      </x:c>
      <x:c r="R672" s="28" t="n">
        <x:v>0</x:v>
      </x:c>
      <x:c r="S672" s="28" t="str">
        <x:v>6c911ae97950501d</x:v>
      </x:c>
    </x:row>
    <x:row r="673" ht="21" customHeight="1">
      <x:c r="A673" s="60" t="n">
        <x:v>0.62</x:v>
      </x:c>
      <x:c r="B673" s="28" t="str">
        <x:v>back_low</x:v>
      </x:c>
      <x:c r="C673" s="60" t="n">
        <x:v>0.7</x:v>
      </x:c>
      <x:c r="D673" s="60" t="n">
        <x:v>0.7</x:v>
      </x:c>
      <x:c r="E673" s="62" t="b">
        <x:v>1</x:v>
      </x:c>
      <x:c r="F673" s="62" t="b">
        <x:v>0</x:v>
      </x:c>
      <x:c r="G673" s="85" t="n">
        <x:v>178382.64566370845</x:v>
      </x:c>
      <x:c r="H673" s="85" t="n">
        <x:v>2221401.767100158</x:v>
      </x:c>
      <x:c r="I673" s="85" t="n">
        <x:v>9232396.101552408</x:v>
      </x:c>
      <x:c r="J673" s="85" t="n">
        <x:v>15608320.000000002</x:v>
      </x:c>
      <x:c r="K673" s="85" t="n">
        <x:v>0</x:v>
      </x:c>
      <x:c r="L673" s="28" t="n">
        <x:v>38</x:v>
      </x:c>
      <x:c r="M673" s="28" t="n">
        <x:v>31</x:v>
      </x:c>
      <x:c r="N673" s="28" t="n">
        <x:v>4.656612873077393e-10</x:v>
      </x:c>
      <x:c r="O673" s="28" t="n">
        <x:v>3.725290298461914e-9</x:v>
      </x:c>
      <x:c r="P673" s="28" t="n">
        <x:v>0</x:v>
      </x:c>
      <x:c r="Q673" s="62" t="b">
        <x:v>1</x:v>
      </x:c>
      <x:c r="R673" s="28" t="n">
        <x:v>0</x:v>
      </x:c>
      <x:c r="S673" s="28" t="str">
        <x:v>ea7f7fbb32afe953</x:v>
      </x:c>
    </x:row>
    <x:row r="674" ht="21" customHeight="1">
      <x:c r="A674" s="60" t="n">
        <x:v>0.62</x:v>
      </x:c>
      <x:c r="B674" s="28" t="str">
        <x:v>back_low</x:v>
      </x:c>
      <x:c r="C674" s="60" t="n">
        <x:v>0.75</x:v>
      </x:c>
      <x:c r="D674" s="60" t="n">
        <x:v>0.75</x:v>
      </x:c>
      <x:c r="E674" s="62" t="b">
        <x:v>1</x:v>
      </x:c>
      <x:c r="F674" s="62" t="b">
        <x:v>0</x:v>
      </x:c>
      <x:c r="G674" s="85" t="n">
        <x:v>325457.26266441063</x:v>
      </x:c>
      <x:c r="H674" s="85" t="n">
        <x:v>4050148.086848067</x:v>
      </x:c>
      <x:c r="I674" s="85" t="n">
        <x:v>9415702.503788425</x:v>
      </x:c>
      <x:c r="J674" s="85" t="n">
        <x:v>15608320.000000002</x:v>
      </x:c>
      <x:c r="K674" s="85" t="n">
        <x:v>0</x:v>
      </x:c>
      <x:c r="L674" s="28" t="n">
        <x:v>39</x:v>
      </x:c>
      <x:c r="M674" s="28" t="n">
        <x:v>31</x:v>
      </x:c>
      <x:c r="N674" s="28" t="n">
        <x:v>4.656612873077393e-10</x:v>
      </x:c>
      <x:c r="O674" s="28" t="n">
        <x:v>7.450580596923828e-9</x:v>
      </x:c>
      <x:c r="P674" s="28" t="n">
        <x:v>0</x:v>
      </x:c>
      <x:c r="Q674" s="62" t="b">
        <x:v>1</x:v>
      </x:c>
      <x:c r="R674" s="28" t="n">
        <x:v>0</x:v>
      </x:c>
      <x:c r="S674" s="28" t="str">
        <x:v>7aae8c0688ba8971</x:v>
      </x:c>
    </x:row>
    <x:row r="675" ht="21" customHeight="1">
      <x:c r="A675" s="60" t="n">
        <x:v>0.62</x:v>
      </x:c>
      <x:c r="B675" s="28" t="str">
        <x:v>back_low</x:v>
      </x:c>
      <x:c r="C675" s="60" t="n">
        <x:v>0.8</x:v>
      </x:c>
      <x:c r="D675" s="60" t="n">
        <x:v>0.8</x:v>
      </x:c>
      <x:c r="E675" s="62" t="b">
        <x:v>1</x:v>
      </x:c>
      <x:c r="F675" s="62" t="b">
        <x:v>0</x:v>
      </x:c>
      <x:c r="G675" s="85" t="n">
        <x:v>511297.8259120176</x:v>
      </x:c>
      <x:c r="H675" s="85" t="n">
        <x:v>5990388.296895629</x:v>
      </x:c>
      <x:c r="I675" s="85" t="n">
        <x:v>9446593.592862904</x:v>
      </x:c>
      <x:c r="J675" s="85" t="n">
        <x:v>15608320.000000002</x:v>
      </x:c>
      <x:c r="K675" s="85" t="n">
        <x:v>0</x:v>
      </x:c>
      <x:c r="L675" s="28" t="n">
        <x:v>39</x:v>
      </x:c>
      <x:c r="M675" s="28" t="n">
        <x:v>32</x:v>
      </x:c>
      <x:c r="N675" s="28" t="n">
        <x:v>4.656612873077393e-10</x:v>
      </x:c>
      <x:c r="O675" s="28" t="n">
        <x:v>3.725290298461914e-9</x:v>
      </x:c>
      <x:c r="P675" s="28" t="n">
        <x:v>0</x:v>
      </x:c>
      <x:c r="Q675" s="62" t="b">
        <x:v>1</x:v>
      </x:c>
      <x:c r="R675" s="28" t="n">
        <x:v>0</x:v>
      </x:c>
      <x:c r="S675" s="28" t="str">
        <x:v>e4739363f260b751</x:v>
      </x:c>
    </x:row>
    <x:row r="676" ht="21" customHeight="1">
      <x:c r="A676" s="60" t="n">
        <x:v>0.62</x:v>
      </x:c>
      <x:c r="B676" s="28" t="str">
        <x:v>back_low</x:v>
      </x:c>
      <x:c r="C676" s="60" t="n">
        <x:v>0.85</x:v>
      </x:c>
      <x:c r="D676" s="60" t="n">
        <x:v>0.85</x:v>
      </x:c>
      <x:c r="E676" s="62" t="b">
        <x:v>1</x:v>
      </x:c>
      <x:c r="F676" s="62" t="b">
        <x:v>0</x:v>
      </x:c>
      <x:c r="G676" s="85" t="n">
        <x:v>722999.9549540726</x:v>
      </x:c>
      <x:c r="H676" s="85" t="n">
        <x:v>7708917.183919012</x:v>
      </x:c>
      <x:c r="I676" s="85" t="n">
        <x:v>9607013.49608478</x:v>
      </x:c>
      <x:c r="J676" s="85" t="n">
        <x:v>15608320.000000002</x:v>
      </x:c>
      <x:c r="K676" s="85" t="n">
        <x:v>0</x:v>
      </x:c>
      <x:c r="L676" s="28" t="n">
        <x:v>40</x:v>
      </x:c>
      <x:c r="M676" s="28" t="n">
        <x:v>33</x:v>
      </x:c>
      <x:c r="N676" s="28" t="n">
        <x:v>4.656612873077393e-10</x:v>
      </x:c>
      <x:c r="O676" s="28" t="n">
        <x:v>9.313225746154785e-10</x:v>
      </x:c>
      <x:c r="P676" s="28" t="n">
        <x:v>0</x:v>
      </x:c>
      <x:c r="Q676" s="62" t="b">
        <x:v>1</x:v>
      </x:c>
      <x:c r="R676" s="28" t="n">
        <x:v>0</x:v>
      </x:c>
      <x:c r="S676" s="28" t="str">
        <x:v>556702c6e820400b</x:v>
      </x:c>
    </x:row>
    <x:row r="677" ht="21" customHeight="1">
      <x:c r="A677" s="60" t="n">
        <x:v>0.62</x:v>
      </x:c>
      <x:c r="B677" s="28" t="str">
        <x:v>back_low</x:v>
      </x:c>
      <x:c r="C677" s="60" t="n">
        <x:v>0.9</x:v>
      </x:c>
      <x:c r="D677" s="60" t="n">
        <x:v>0.880265491166173</x:v>
      </x:c>
      <x:c r="E677" s="62" t="b">
        <x:v>0</x:v>
      </x:c>
      <x:c r="F677" s="62" t="b">
        <x:v>0</x:v>
      </x:c>
      <x:c r="G677" s="85" t="n">
        <x:v>993618.9449236179</x:v>
      </x:c>
      <x:c r="H677" s="85" t="n">
        <x:v>8711977.585267974</x:v>
      </x:c>
      <x:c r="I677" s="85" t="n">
        <x:v>9631175.053163094</x:v>
      </x:c>
      <x:c r="J677" s="85" t="n">
        <x:v>15608320.000000002</x:v>
      </x:c>
      <x:c r="K677" s="85" t="n">
        <x:v>0</x:v>
      </x:c>
      <x:c r="L677" s="28" t="n">
        <x:v>40</x:v>
      </x:c>
      <x:c r="M677" s="28" t="n">
        <x:v>34</x:v>
      </x:c>
      <x:c r="N677" s="28" t="n">
        <x:v>4.656612873077393e-10</x:v>
      </x:c>
      <x:c r="O677" s="28" t="n">
        <x:v>3.725290298461914e-9</x:v>
      </x:c>
      <x:c r="P677" s="28" t="n">
        <x:v>0</x:v>
      </x:c>
      <x:c r="Q677" s="62" t="b">
        <x:v>1</x:v>
      </x:c>
      <x:c r="R677" s="28" t="n">
        <x:v>1100080.4604328498</x:v>
      </x:c>
      <x:c r="S677" s="28" t="str">
        <x:v>de5725ce4eb3def0</x:v>
      </x:c>
    </x:row>
    <x:row r="678" ht="21" customHeight="1">
      <x:c r="A678" s="60" t="n">
        <x:v>0.62</x:v>
      </x:c>
      <x:c r="B678" s="28" t="str">
        <x:v>back_low</x:v>
      </x:c>
      <x:c r="C678" s="60" t="n">
        <x:v>0.95</x:v>
      </x:c>
      <x:c r="D678" s="60" t="n">
        <x:v>0.8954794051096439</x:v>
      </x:c>
      <x:c r="E678" s="62" t="b">
        <x:v>0</x:v>
      </x:c>
      <x:c r="F678" s="62" t="b">
        <x:v>0</x:v>
      </x:c>
      <x:c r="G678" s="85" t="n">
        <x:v>1051602.9161879432</x:v>
      </x:c>
      <x:c r="H678" s="85" t="n">
        <x:v>9220376.76640321</x:v>
      </x:c>
      <x:c r="I678" s="85" t="n">
        <x:v>9809632.420496916</x:v>
      </x:c>
      <x:c r="J678" s="85" t="n">
        <x:v>15608320.000000002</x:v>
      </x:c>
      <x:c r="K678" s="85" t="n">
        <x:v>0</x:v>
      </x:c>
      <x:c r="L678" s="28" t="n">
        <x:v>41</x:v>
      </x:c>
      <x:c r="M678" s="28" t="n">
        <x:v>34</x:v>
      </x:c>
      <x:c r="N678" s="28" t="n">
        <x:v>4.656612873077393e-10</x:v>
      </x:c>
      <x:c r="O678" s="28" t="n">
        <x:v>3.725290298461914e-9</x:v>
      </x:c>
      <x:c r="P678" s="28" t="n">
        <x:v>0</x:v>
      </x:c>
      <x:c r="Q678" s="62" t="b">
        <x:v>1</x:v>
      </x:c>
      <x:c r="R678" s="28" t="n">
        <x:v>3039196.041568011</x:v>
      </x:c>
      <x:c r="S678" s="28" t="str">
        <x:v>9758032b861c70d2</x:v>
      </x:c>
    </x:row>
    <x:row r="679" ht="21" customHeight="1">
      <x:c r="A679" s="60" t="n">
        <x:v>0.62</x:v>
      </x:c>
      <x:c r="B679" s="28" t="str">
        <x:v>back_low</x:v>
      </x:c>
      <x:c r="C679" s="60" t="n">
        <x:v>1</x:v>
      </x:c>
      <x:c r="D679" s="60" t="n">
        <x:v>0.9093341115290656</x:v>
      </x:c>
      <x:c r="E679" s="62" t="b">
        <x:v>0</x:v>
      </x:c>
      <x:c r="F679" s="62" t="b">
        <x:v>0</x:v>
      </x:c>
      <x:c r="G679" s="85" t="n">
        <x:v>1162972.4768643472</x:v>
      </x:c>
      <x:c r="H679" s="85" t="n">
        <x:v>9785945.410136405</x:v>
      </x:c>
      <x:c r="I679" s="85" t="n">
        <x:v>9827580.29858219</x:v>
      </x:c>
      <x:c r="J679" s="85" t="n">
        <x:v>15608320.000000002</x:v>
      </x:c>
      <x:c r="K679" s="85" t="n">
        <x:v>0</x:v>
      </x:c>
      <x:c r="L679" s="28" t="n">
        <x:v>41</x:v>
      </x:c>
      <x:c r="M679" s="28" t="n">
        <x:v>35</x:v>
      </x:c>
      <x:c r="N679" s="28" t="n">
        <x:v>4.656612873077393e-10</x:v>
      </x:c>
      <x:c r="O679" s="28" t="n">
        <x:v>3.725290298461914e-9</x:v>
      </x:c>
      <x:c r="P679" s="28" t="n">
        <x:v>0</x:v>
      </x:c>
      <x:c r="Q679" s="62" t="b">
        <x:v>1</x:v>
      </x:c>
      <x:c r="R679" s="28" t="n">
        <x:v>5054079.286923766</x:v>
      </x:c>
      <x:c r="S679" s="28" t="str">
        <x:v>981b6d26e2a00f54</x:v>
      </x:c>
    </x:row>
    <x:row r="680" ht="21" customHeight="1">
      <x:c r="A680" s="60" t="n">
        <x:v>0.62</x:v>
      </x:c>
      <x:c r="B680" s="28" t="str">
        <x:v>back_high</x:v>
      </x:c>
      <x:c r="C680" s="60" t="n">
        <x:v>0</x:v>
      </x:c>
      <x:c r="D680" s="60" t="n">
        <x:v>0</x:v>
      </x:c>
      <x:c r="E680" s="62" t="b">
        <x:v>1</x:v>
      </x:c>
      <x:c r="F680" s="62" t="b">
        <x:v>1</x:v>
      </x:c>
      <x:c r="G680" s="85" t="n">
        <x:v>0</x:v>
      </x:c>
      <x:c r="H680" s="85" t="n">
        <x:v>0</x:v>
      </x:c>
      <x:c r="I680" s="85" t="n">
        <x:v>0</x:v>
      </x:c>
      <x:c r="J680" s="85" t="n">
        <x:v>0</x:v>
      </x:c>
      <x:c r="K680" s="85" t="n">
        <x:v>6712462.148383557</x:v>
      </x:c>
      <x:c r="L680" s="28" t="n">
        <x:v>0</x:v>
      </x:c>
      <x:c r="M680" s="28" t="n">
        <x:v>0</x:v>
      </x:c>
      <x:c r="N680" s="28" t="n">
        <x:v>4.656612873077393e-10</x:v>
      </x:c>
      <x:c r="O680" s="28" t="n">
        <x:v>0</x:v>
      </x:c>
      <x:c r="P680" s="28" t="n">
        <x:v>0</x:v>
      </x:c>
      <x:c r="Q680" s="62" t="b">
        <x:v>1</x:v>
      </x:c>
      <x:c r="R680" s="28" t="n">
        <x:v>0</x:v>
      </x:c>
      <x:c r="S680" s="28" t="str">
        <x:v>c2097498eaf6cd99</x:v>
      </x:c>
    </x:row>
    <x:row r="681" ht="21" customHeight="1">
      <x:c r="A681" s="60" t="n">
        <x:v>0.62</x:v>
      </x:c>
      <x:c r="B681" s="28" t="str">
        <x:v>back_high</x:v>
      </x:c>
      <x:c r="C681" s="60" t="n">
        <x:v>0.05</x:v>
      </x:c>
      <x:c r="D681" s="60" t="n">
        <x:v>0.05</x:v>
      </x:c>
      <x:c r="E681" s="62" t="b">
        <x:v>1</x:v>
      </x:c>
      <x:c r="F681" s="62" t="b">
        <x:v>1</x:v>
      </x:c>
      <x:c r="G681" s="85" t="n">
        <x:v>0</x:v>
      </x:c>
      <x:c r="H681" s="85" t="n">
        <x:v>0</x:v>
      </x:c>
      <x:c r="I681" s="85" t="n">
        <x:v>0</x:v>
      </x:c>
      <x:c r="J681" s="85" t="n">
        <x:v>0</x:v>
      </x:c>
      <x:c r="K681" s="85" t="n">
        <x:v>4261952.7123459345</x:v>
      </x:c>
      <x:c r="L681" s="28" t="n">
        <x:v>0</x:v>
      </x:c>
      <x:c r="M681" s="28" t="n">
        <x:v>0</x:v>
      </x:c>
      <x:c r="N681" s="28" t="n">
        <x:v>9.313225746154785e-10</x:v>
      </x:c>
      <x:c r="O681" s="28" t="n">
        <x:v>7.450580596923828e-9</x:v>
      </x:c>
      <x:c r="P681" s="28" t="n">
        <x:v>0</x:v>
      </x:c>
      <x:c r="Q681" s="62" t="b">
        <x:v>1</x:v>
      </x:c>
      <x:c r="R681" s="28" t="n">
        <x:v>0</x:v>
      </x:c>
      <x:c r="S681" s="28" t="str">
        <x:v>6b1a1dfa538b9f5c</x:v>
      </x:c>
    </x:row>
    <x:row r="682" ht="21" customHeight="1">
      <x:c r="A682" s="60" t="n">
        <x:v>0.62</x:v>
      </x:c>
      <x:c r="B682" s="28" t="str">
        <x:v>back_high</x:v>
      </x:c>
      <x:c r="C682" s="60" t="n">
        <x:v>0.1</x:v>
      </x:c>
      <x:c r="D682" s="60" t="n">
        <x:v>0.1</x:v>
      </x:c>
      <x:c r="E682" s="62" t="b">
        <x:v>1</x:v>
      </x:c>
      <x:c r="F682" s="62" t="b">
        <x:v>1</x:v>
      </x:c>
      <x:c r="G682" s="85" t="n">
        <x:v>0</x:v>
      </x:c>
      <x:c r="H682" s="85" t="n">
        <x:v>0</x:v>
      </x:c>
      <x:c r="I682" s="85" t="n">
        <x:v>0</x:v>
      </x:c>
      <x:c r="J682" s="85" t="n">
        <x:v>0</x:v>
      </x:c>
      <x:c r="K682" s="85" t="n">
        <x:v>1811443.2763083607</x:v>
      </x:c>
      <x:c r="L682" s="28" t="n">
        <x:v>0</x:v>
      </x:c>
      <x:c r="M682" s="28" t="n">
        <x:v>0</x:v>
      </x:c>
      <x:c r="N682" s="28" t="n">
        <x:v>9.313225746154785e-10</x:v>
      </x:c>
      <x:c r="O682" s="28" t="n">
        <x:v>7.450580596923828e-9</x:v>
      </x:c>
      <x:c r="P682" s="28" t="n">
        <x:v>0</x:v>
      </x:c>
      <x:c r="Q682" s="62" t="b">
        <x:v>1</x:v>
      </x:c>
      <x:c r="R682" s="28" t="n">
        <x:v>0</x:v>
      </x:c>
      <x:c r="S682" s="28" t="str">
        <x:v>820afd03acdd36f0</x:v>
      </x:c>
    </x:row>
    <x:row r="683" ht="21" customHeight="1">
      <x:c r="A683" s="60" t="n">
        <x:v>0.62</x:v>
      </x:c>
      <x:c r="B683" s="28" t="str">
        <x:v>back_high</x:v>
      </x:c>
      <x:c r="C683" s="60" t="n">
        <x:v>0.15</x:v>
      </x:c>
      <x:c r="D683" s="60" t="n">
        <x:v>0.15</x:v>
      </x:c>
      <x:c r="E683" s="62" t="b">
        <x:v>1</x:v>
      </x:c>
      <x:c r="F683" s="62" t="b">
        <x:v>1</x:v>
      </x:c>
      <x:c r="G683" s="85" t="n">
        <x:v>0</x:v>
      </x:c>
      <x:c r="H683" s="85" t="n">
        <x:v>0</x:v>
      </x:c>
      <x:c r="I683" s="85" t="n">
        <x:v>961809.6462104383</x:v>
      </x:c>
      <x:c r="J683" s="85" t="n">
        <x:v>0</x:v>
      </x:c>
      <x:c r="K683" s="85" t="n">
        <x:v>410487.7321446271</x:v>
      </x:c>
      <x:c r="L683" s="28" t="n">
        <x:v>0</x:v>
      </x:c>
      <x:c r="M683" s="28" t="n">
        <x:v>0</x:v>
      </x:c>
      <x:c r="N683" s="28" t="n">
        <x:v>9.313225746154785e-10</x:v>
      </x:c>
      <x:c r="O683" s="28" t="n">
        <x:v>7.450580596923828e-9</x:v>
      </x:c>
      <x:c r="P683" s="28" t="n">
        <x:v>0</x:v>
      </x:c>
      <x:c r="Q683" s="62" t="b">
        <x:v>1</x:v>
      </x:c>
      <x:c r="R683" s="28" t="n">
        <x:v>0</x:v>
      </x:c>
      <x:c r="S683" s="28" t="str">
        <x:v>390f7b53010c05e6</x:v>
      </x:c>
    </x:row>
    <x:row r="684" ht="21" customHeight="1">
      <x:c r="A684" s="60" t="n">
        <x:v>0.62</x:v>
      </x:c>
      <x:c r="B684" s="28" t="str">
        <x:v>back_high</x:v>
      </x:c>
      <x:c r="C684" s="60" t="n">
        <x:v>0.2</x:v>
      </x:c>
      <x:c r="D684" s="60" t="n">
        <x:v>0.2</x:v>
      </x:c>
      <x:c r="E684" s="62" t="b">
        <x:v>1</x:v>
      </x:c>
      <x:c r="F684" s="62" t="b">
        <x:v>1</x:v>
      </x:c>
      <x:c r="G684" s="85" t="n">
        <x:v>0</x:v>
      </x:c>
      <x:c r="H684" s="85" t="n">
        <x:v>0</x:v>
      </x:c>
      <x:c r="I684" s="85" t="n">
        <x:v>2850633.546794839</x:v>
      </x:c>
      <x:c r="J684" s="85" t="n">
        <x:v>1245718.9057329397</x:v>
      </x:c>
      <x:c r="K684" s="85" t="n">
        <x:v>330852.8357982477</x:v>
      </x:c>
      <x:c r="L684" s="28" t="n">
        <x:v>0</x:v>
      </x:c>
      <x:c r="M684" s="28" t="n">
        <x:v>0</x:v>
      </x:c>
      <x:c r="N684" s="28" t="n">
        <x:v>9.313225746154785e-10</x:v>
      </x:c>
      <x:c r="O684" s="28" t="n">
        <x:v>7.450580596923828e-9</x:v>
      </x:c>
      <x:c r="P684" s="28" t="n">
        <x:v>0</x:v>
      </x:c>
      <x:c r="Q684" s="62" t="b">
        <x:v>1</x:v>
      </x:c>
      <x:c r="R684" s="28" t="n">
        <x:v>0</x:v>
      </x:c>
      <x:c r="S684" s="28" t="str">
        <x:v>10cdf7a4ab2e44e5</x:v>
      </x:c>
    </x:row>
    <x:row r="685" ht="21" customHeight="1">
      <x:c r="A685" s="60" t="n">
        <x:v>0.62</x:v>
      </x:c>
      <x:c r="B685" s="28" t="str">
        <x:v>back_high</x:v>
      </x:c>
      <x:c r="C685" s="60" t="n">
        <x:v>0.25</x:v>
      </x:c>
      <x:c r="D685" s="60" t="n">
        <x:v>0.25</x:v>
      </x:c>
      <x:c r="E685" s="62" t="b">
        <x:v>1</x:v>
      </x:c>
      <x:c r="F685" s="62" t="b">
        <x:v>1</x:v>
      </x:c>
      <x:c r="G685" s="85" t="n">
        <x:v>0</x:v>
      </x:c>
      <x:c r="H685" s="85" t="n">
        <x:v>0</x:v>
      </x:c>
      <x:c r="I685" s="85" t="n">
        <x:v>4487385.350599659</x:v>
      </x:c>
      <x:c r="J685" s="85" t="n">
        <x:v>2950748.6321662106</x:v>
      </x:c>
      <x:c r="K685" s="85" t="n">
        <x:v>261506.28866561476</x:v>
      </x:c>
      <x:c r="L685" s="28" t="n">
        <x:v>0</x:v>
      </x:c>
      <x:c r="M685" s="28" t="n">
        <x:v>0</x:v>
      </x:c>
      <x:c r="N685" s="28" t="n">
        <x:v>9.313225746154785e-10</x:v>
      </x:c>
      <x:c r="O685" s="28" t="n">
        <x:v>7.450580596923828e-9</x:v>
      </x:c>
      <x:c r="P685" s="28" t="n">
        <x:v>0</x:v>
      </x:c>
      <x:c r="Q685" s="62" t="b">
        <x:v>1</x:v>
      </x:c>
      <x:c r="R685" s="28" t="n">
        <x:v>0</x:v>
      </x:c>
      <x:c r="S685" s="28" t="str">
        <x:v>90e955d16cd87a4a</x:v>
      </x:c>
    </x:row>
    <x:row r="686" ht="21" customHeight="1">
      <x:c r="A686" s="60" t="n">
        <x:v>0.62</x:v>
      </x:c>
      <x:c r="B686" s="28" t="str">
        <x:v>back_high</x:v>
      </x:c>
      <x:c r="C686" s="60" t="n">
        <x:v>0.3</x:v>
      </x:c>
      <x:c r="D686" s="60" t="n">
        <x:v>0.3</x:v>
      </x:c>
      <x:c r="E686" s="62" t="b">
        <x:v>1</x:v>
      </x:c>
      <x:c r="F686" s="62" t="b">
        <x:v>1</x:v>
      </x:c>
      <x:c r="G686" s="85" t="n">
        <x:v>0</x:v>
      </x:c>
      <x:c r="H686" s="85" t="n">
        <x:v>0</x:v>
      </x:c>
      <x:c r="I686" s="85" t="n">
        <x:v>6134273.99906477</x:v>
      </x:c>
      <x:c r="J686" s="85" t="n">
        <x:v>4655778.3585994225</x:v>
      </x:c>
      <x:c r="K686" s="85" t="n">
        <x:v>218349.4665510692</x:v>
      </x:c>
      <x:c r="L686" s="28" t="n">
        <x:v>0</x:v>
      </x:c>
      <x:c r="M686" s="28" t="n">
        <x:v>0</x:v>
      </x:c>
      <x:c r="N686" s="28" t="n">
        <x:v>4.656612873077393e-10</x:v>
      </x:c>
      <x:c r="O686" s="28" t="n">
        <x:v>7.450580596923828e-9</x:v>
      </x:c>
      <x:c r="P686" s="28" t="n">
        <x:v>0</x:v>
      </x:c>
      <x:c r="Q686" s="62" t="b">
        <x:v>1</x:v>
      </x:c>
      <x:c r="R686" s="28" t="n">
        <x:v>0</x:v>
      </x:c>
      <x:c r="S686" s="28" t="str">
        <x:v>1301b93f78e1521c</x:v>
      </x:c>
    </x:row>
    <x:row r="687" ht="21" customHeight="1">
      <x:c r="A687" s="60" t="n">
        <x:v>0.62</x:v>
      </x:c>
      <x:c r="B687" s="28" t="str">
        <x:v>back_high</x:v>
      </x:c>
      <x:c r="C687" s="60" t="n">
        <x:v>0.35</x:v>
      </x:c>
      <x:c r="D687" s="60" t="n">
        <x:v>0.35</x:v>
      </x:c>
      <x:c r="E687" s="62" t="b">
        <x:v>1</x:v>
      </x:c>
      <x:c r="F687" s="62" t="b">
        <x:v>1</x:v>
      </x:c>
      <x:c r="G687" s="85" t="n">
        <x:v>0</x:v>
      </x:c>
      <x:c r="H687" s="85" t="n">
        <x:v>0</x:v>
      </x:c>
      <x:c r="I687" s="85" t="n">
        <x:v>7798512.427415389</x:v>
      </x:c>
      <x:c r="J687" s="85" t="n">
        <x:v>6360808.085032671</x:v>
      </x:c>
      <x:c r="K687" s="85" t="n">
        <x:v>178884.51300364442</x:v>
      </x:c>
      <x:c r="L687" s="28" t="n">
        <x:v>0</x:v>
      </x:c>
      <x:c r="M687" s="28" t="n">
        <x:v>0</x:v>
      </x:c>
      <x:c r="N687" s="28" t="n">
        <x:v>4.656612873077393e-10</x:v>
      </x:c>
      <x:c r="O687" s="28" t="n">
        <x:v>3.725290298461914e-9</x:v>
      </x:c>
      <x:c r="P687" s="28" t="n">
        <x:v>0</x:v>
      </x:c>
      <x:c r="Q687" s="62" t="b">
        <x:v>1</x:v>
      </x:c>
      <x:c r="R687" s="28" t="n">
        <x:v>0</x:v>
      </x:c>
      <x:c r="S687" s="28" t="str">
        <x:v>5c9258e3fa2aa733</x:v>
      </x:c>
    </x:row>
    <x:row r="688" ht="21" customHeight="1">
      <x:c r="A688" s="60" t="n">
        <x:v>0.62</x:v>
      </x:c>
      <x:c r="B688" s="28" t="str">
        <x:v>back_high</x:v>
      </x:c>
      <x:c r="C688" s="60" t="n">
        <x:v>0.4</x:v>
      </x:c>
      <x:c r="D688" s="60" t="n">
        <x:v>0.4</x:v>
      </x:c>
      <x:c r="E688" s="62" t="b">
        <x:v>1</x:v>
      </x:c>
      <x:c r="F688" s="62" t="b">
        <x:v>1</x:v>
      </x:c>
      <x:c r="G688" s="85" t="n">
        <x:v>0</x:v>
      </x:c>
      <x:c r="H688" s="85" t="n">
        <x:v>0</x:v>
      </x:c>
      <x:c r="I688" s="85" t="n">
        <x:v>9473988.216398645</x:v>
      </x:c>
      <x:c r="J688" s="85" t="n">
        <x:v>8065837.811465903</x:v>
      </x:c>
      <x:c r="K688" s="85" t="n">
        <x:v>159965.68986301348</x:v>
      </x:c>
      <x:c r="L688" s="28" t="n">
        <x:v>0</x:v>
      </x:c>
      <x:c r="M688" s="28" t="n">
        <x:v>0</x:v>
      </x:c>
      <x:c r="N688" s="28" t="n">
        <x:v>2.3283064365386963e-10</x:v>
      </x:c>
      <x:c r="O688" s="28" t="n">
        <x:v>7.450580596923828e-9</x:v>
      </x:c>
      <x:c r="P688" s="28" t="n">
        <x:v>0</x:v>
      </x:c>
      <x:c r="Q688" s="62" t="b">
        <x:v>1</x:v>
      </x:c>
      <x:c r="R688" s="28" t="n">
        <x:v>0</x:v>
      </x:c>
      <x:c r="S688" s="28" t="str">
        <x:v>7f8712eb6d687647</x:v>
      </x:c>
    </x:row>
    <x:row r="689" ht="21" customHeight="1">
      <x:c r="A689" s="60" t="n">
        <x:v>0.62</x:v>
      </x:c>
      <x:c r="B689" s="28" t="str">
        <x:v>back_high</x:v>
      </x:c>
      <x:c r="C689" s="60" t="n">
        <x:v>0.45</x:v>
      </x:c>
      <x:c r="D689" s="60" t="n">
        <x:v>0.45</x:v>
      </x:c>
      <x:c r="E689" s="62" t="b">
        <x:v>1</x:v>
      </x:c>
      <x:c r="F689" s="62" t="b">
        <x:v>1</x:v>
      </x:c>
      <x:c r="G689" s="85" t="n">
        <x:v>0</x:v>
      </x:c>
      <x:c r="H689" s="85" t="n">
        <x:v>0</x:v>
      </x:c>
      <x:c r="I689" s="85" t="n">
        <x:v>11167083.66811534</x:v>
      </x:c>
      <x:c r="J689" s="85" t="n">
        <x:v>9690124.258386966</x:v>
      </x:c>
      <x:c r="K689" s="85" t="n">
        <x:v>141998.4660958902</x:v>
      </x:c>
      <x:c r="L689" s="28" t="n">
        <x:v>1</x:v>
      </x:c>
      <x:c r="M689" s="28" t="n">
        <x:v>0</x:v>
      </x:c>
      <x:c r="N689" s="28" t="n">
        <x:v>2.3283064365386963e-10</x:v>
      </x:c>
      <x:c r="O689" s="28" t="n">
        <x:v>7.450580596923828e-9</x:v>
      </x:c>
      <x:c r="P689" s="28" t="n">
        <x:v>0</x:v>
      </x:c>
      <x:c r="Q689" s="62" t="b">
        <x:v>1</x:v>
      </x:c>
      <x:c r="R689" s="28" t="n">
        <x:v>0</x:v>
      </x:c>
      <x:c r="S689" s="28" t="str">
        <x:v>72bb8f3c8696eb50</x:v>
      </x:c>
    </x:row>
    <x:row r="690" ht="21" customHeight="1">
      <x:c r="A690" s="60" t="n">
        <x:v>0.62</x:v>
      </x:c>
      <x:c r="B690" s="28" t="str">
        <x:v>back_high</x:v>
      </x:c>
      <x:c r="C690" s="60" t="n">
        <x:v>0.5</x:v>
      </x:c>
      <x:c r="D690" s="60" t="n">
        <x:v>0.5</x:v>
      </x:c>
      <x:c r="E690" s="62" t="b">
        <x:v>1</x:v>
      </x:c>
      <x:c r="F690" s="62" t="b">
        <x:v>1</x:v>
      </x:c>
      <x:c r="G690" s="85" t="n">
        <x:v>0</x:v>
      </x:c>
      <x:c r="H690" s="85" t="n">
        <x:v>0</x:v>
      </x:c>
      <x:c r="I690" s="85" t="n">
        <x:v>12959848.970323306</x:v>
      </x:c>
      <x:c r="J690" s="85" t="n">
        <x:v>10896082.920185195</x:v>
      </x:c>
      <x:c r="K690" s="85" t="n">
        <x:v>124031.24232876737</x:v>
      </x:c>
      <x:c r="L690" s="28" t="n">
        <x:v>6</x:v>
      </x:c>
      <x:c r="M690" s="28" t="n">
        <x:v>1</x:v>
      </x:c>
      <x:c r="N690" s="28" t="n">
        <x:v>4.656612873077393e-10</x:v>
      </x:c>
      <x:c r="O690" s="28" t="n">
        <x:v>1.862645149230957e-9</x:v>
      </x:c>
      <x:c r="P690" s="28" t="n">
        <x:v>0</x:v>
      </x:c>
      <x:c r="Q690" s="62" t="b">
        <x:v>1</x:v>
      </x:c>
      <x:c r="R690" s="28" t="n">
        <x:v>0</x:v>
      </x:c>
      <x:c r="S690" s="28" t="str">
        <x:v>ba8b939d6d8344ca</x:v>
      </x:c>
    </x:row>
    <x:row r="691" ht="21" customHeight="1">
      <x:c r="A691" s="60" t="n">
        <x:v>0.62</x:v>
      </x:c>
      <x:c r="B691" s="28" t="str">
        <x:v>back_high</x:v>
      </x:c>
      <x:c r="C691" s="60" t="n">
        <x:v>0.55</x:v>
      </x:c>
      <x:c r="D691" s="60" t="n">
        <x:v>0.55</x:v>
      </x:c>
      <x:c r="E691" s="62" t="b">
        <x:v>1</x:v>
      </x:c>
      <x:c r="F691" s="62" t="b">
        <x:v>1</x:v>
      </x:c>
      <x:c r="G691" s="85" t="n">
        <x:v>0</x:v>
      </x:c>
      <x:c r="H691" s="85" t="n">
        <x:v>0</x:v>
      </x:c>
      <x:c r="I691" s="85" t="n">
        <x:v>14617357.37402581</x:v>
      </x:c>
      <x:c r="J691" s="85" t="n">
        <x:v>12634971.149327002</x:v>
      </x:c>
      <x:c r="K691" s="85" t="n">
        <x:v>106064.01856164247</x:v>
      </x:c>
      <x:c r="L691" s="28" t="n">
        <x:v>8</x:v>
      </x:c>
      <x:c r="M691" s="28" t="n">
        <x:v>5</x:v>
      </x:c>
      <x:c r="N691" s="28" t="n">
        <x:v>4.656612873077393e-10</x:v>
      </x:c>
      <x:c r="O691" s="28" t="n">
        <x:v>7.450580596923828e-9</x:v>
      </x:c>
      <x:c r="P691" s="28" t="n">
        <x:v>0</x:v>
      </x:c>
      <x:c r="Q691" s="62" t="b">
        <x:v>1</x:v>
      </x:c>
      <x:c r="R691" s="28" t="n">
        <x:v>0</x:v>
      </x:c>
      <x:c r="S691" s="28" t="str">
        <x:v>c29fad84736967e4</x:v>
      </x:c>
    </x:row>
    <x:row r="692" ht="21" customHeight="1">
      <x:c r="A692" s="60" t="n">
        <x:v>0.62</x:v>
      </x:c>
      <x:c r="B692" s="28" t="str">
        <x:v>back_high</x:v>
      </x:c>
      <x:c r="C692" s="60" t="n">
        <x:v>0.6</x:v>
      </x:c>
      <x:c r="D692" s="60" t="n">
        <x:v>0.6</x:v>
      </x:c>
      <x:c r="E692" s="62" t="b">
        <x:v>1</x:v>
      </x:c>
      <x:c r="F692" s="62" t="b">
        <x:v>1</x:v>
      </x:c>
      <x:c r="G692" s="85" t="n">
        <x:v>0</x:v>
      </x:c>
      <x:c r="H692" s="85" t="n">
        <x:v>0</x:v>
      </x:c>
      <x:c r="I692" s="85" t="n">
        <x:v>16279678.855099078</x:v>
      </x:c>
      <x:c r="J692" s="85" t="n">
        <x:v>14232718.775872206</x:v>
      </x:c>
      <x:c r="K692" s="85" t="n">
        <x:v>90606.85726027456</x:v>
      </x:c>
      <x:c r="L692" s="28" t="n">
        <x:v>12</x:v>
      </x:c>
      <x:c r="M692" s="28" t="n">
        <x:v>8</x:v>
      </x:c>
      <x:c r="N692" s="28" t="n">
        <x:v>4.656612873077393e-10</x:v>
      </x:c>
      <x:c r="O692" s="28" t="n">
        <x:v>7.450580596923828e-9</x:v>
      </x:c>
      <x:c r="P692" s="28" t="n">
        <x:v>0</x:v>
      </x:c>
      <x:c r="Q692" s="62" t="b">
        <x:v>1</x:v>
      </x:c>
      <x:c r="R692" s="28" t="n">
        <x:v>0</x:v>
      </x:c>
      <x:c r="S692" s="28" t="str">
        <x:v>94ed9f25477e4e73</x:v>
      </x:c>
    </x:row>
    <x:row r="693" ht="21" customHeight="1">
      <x:c r="A693" s="60" t="n">
        <x:v>0.62</x:v>
      </x:c>
      <x:c r="B693" s="28" t="str">
        <x:v>back_high</x:v>
      </x:c>
      <x:c r="C693" s="60" t="n">
        <x:v>0.65</x:v>
      </x:c>
      <x:c r="D693" s="60" t="n">
        <x:v>0.65</x:v>
      </x:c>
      <x:c r="E693" s="62" t="b">
        <x:v>1</x:v>
      </x:c>
      <x:c r="F693" s="62" t="b">
        <x:v>0</x:v>
      </x:c>
      <x:c r="G693" s="85" t="n">
        <x:v>213582.48638193516</x:v>
      </x:c>
      <x:c r="H693" s="85" t="n">
        <x:v>677710.8481413147</x:v>
      </x:c>
      <x:c r="I693" s="85" t="n">
        <x:v>17477890.23528654</x:v>
      </x:c>
      <x:c r="J693" s="85" t="n">
        <x:v>15608320.000000002</x:v>
      </x:c>
      <x:c r="K693" s="85" t="n">
        <x:v>80109.10215068553</x:v>
      </x:c>
      <x:c r="L693" s="28" t="n">
        <x:v>37</x:v>
      </x:c>
      <x:c r="M693" s="28" t="n">
        <x:v>33</x:v>
      </x:c>
      <x:c r="N693" s="28" t="n">
        <x:v>9.313225746154785e-10</x:v>
      </x:c>
      <x:c r="O693" s="28" t="n">
        <x:v>7.450580596923828e-9</x:v>
      </x:c>
      <x:c r="P693" s="28" t="n">
        <x:v>0</x:v>
      </x:c>
      <x:c r="Q693" s="62" t="b">
        <x:v>1</x:v>
      </x:c>
      <x:c r="R693" s="28" t="n">
        <x:v>0</x:v>
      </x:c>
      <x:c r="S693" s="28" t="str">
        <x:v>48e36f56d0242fc2</x:v>
      </x:c>
    </x:row>
    <x:row r="694" ht="21" customHeight="1">
      <x:c r="A694" s="60" t="n">
        <x:v>0.62</x:v>
      </x:c>
      <x:c r="B694" s="28" t="str">
        <x:v>back_high</x:v>
      </x:c>
      <x:c r="C694" s="60" t="n">
        <x:v>0.7</x:v>
      </x:c>
      <x:c r="D694" s="60" t="n">
        <x:v>0.7</x:v>
      </x:c>
      <x:c r="E694" s="62" t="b">
        <x:v>1</x:v>
      </x:c>
      <x:c r="F694" s="62" t="b">
        <x:v>0</x:v>
      </x:c>
      <x:c r="G694" s="85" t="n">
        <x:v>983483.980609301</x:v>
      </x:c>
      <x:c r="H694" s="85" t="n">
        <x:v>2974534.3727494143</x:v>
      </x:c>
      <x:c r="I694" s="85" t="n">
        <x:v>17792708.644033283</x:v>
      </x:c>
      <x:c r="J694" s="85" t="n">
        <x:v>15608320.000000002</x:v>
      </x:c>
      <x:c r="K694" s="85" t="n">
        <x:v>74686.44512328753</x:v>
      </x:c>
      <x:c r="L694" s="28" t="n">
        <x:v>38</x:v>
      </x:c>
      <x:c r="M694" s="28" t="n">
        <x:v>34</x:v>
      </x:c>
      <x:c r="N694" s="28" t="n">
        <x:v>4.656612873077393e-10</x:v>
      </x:c>
      <x:c r="O694" s="28" t="n">
        <x:v>3.725290298461914e-9</x:v>
      </x:c>
      <x:c r="P694" s="28" t="n">
        <x:v>0</x:v>
      </x:c>
      <x:c r="Q694" s="62" t="b">
        <x:v>1</x:v>
      </x:c>
      <x:c r="R694" s="28" t="n">
        <x:v>0</x:v>
      </x:c>
      <x:c r="S694" s="28" t="str">
        <x:v>4c88efbdebbcb571</x:v>
      </x:c>
    </x:row>
    <x:row r="695" ht="21" customHeight="1">
      <x:c r="A695" s="60" t="n">
        <x:v>0.62</x:v>
      </x:c>
      <x:c r="B695" s="28" t="str">
        <x:v>back_high</x:v>
      </x:c>
      <x:c r="C695" s="60" t="n">
        <x:v>0.75</x:v>
      </x:c>
      <x:c r="D695" s="60" t="n">
        <x:v>0.75</x:v>
      </x:c>
      <x:c r="E695" s="62" t="b">
        <x:v>1</x:v>
      </x:c>
      <x:c r="F695" s="62" t="b">
        <x:v>0</x:v>
      </x:c>
      <x:c r="G695" s="85" t="n">
        <x:v>1719183.6248965086</x:v>
      </x:c>
      <x:c r="H695" s="85" t="n">
        <x:v>5121554.580462217</x:v>
      </x:c>
      <x:c r="I695" s="85" t="n">
        <x:v>18118829.788863424</x:v>
      </x:c>
      <x:c r="J695" s="85" t="n">
        <x:v>15608320.000000002</x:v>
      </x:c>
      <x:c r="K695" s="85" t="n">
        <x:v>69263.78809589002</x:v>
      </x:c>
      <x:c r="L695" s="28" t="n">
        <x:v>39</x:v>
      </x:c>
      <x:c r="M695" s="28" t="n">
        <x:v>35</x:v>
      </x:c>
      <x:c r="N695" s="28" t="n">
        <x:v>4.656612873077393e-10</x:v>
      </x:c>
      <x:c r="O695" s="28" t="n">
        <x:v>7.450580596923828e-9</x:v>
      </x:c>
      <x:c r="P695" s="28" t="n">
        <x:v>0</x:v>
      </x:c>
      <x:c r="Q695" s="62" t="b">
        <x:v>1</x:v>
      </x:c>
      <x:c r="R695" s="28" t="n">
        <x:v>0</x:v>
      </x:c>
      <x:c r="S695" s="28" t="str">
        <x:v>3ec78bee0887a7ee</x:v>
      </x:c>
    </x:row>
    <x:row r="696" ht="21" customHeight="1">
      <x:c r="A696" s="60" t="n">
        <x:v>0.62</x:v>
      </x:c>
      <x:c r="B696" s="28" t="str">
        <x:v>back_high</x:v>
      </x:c>
      <x:c r="C696" s="60" t="n">
        <x:v>0.8</x:v>
      </x:c>
      <x:c r="D696" s="60" t="n">
        <x:v>0.8</x:v>
      </x:c>
      <x:c r="E696" s="62" t="b">
        <x:v>1</x:v>
      </x:c>
      <x:c r="F696" s="62" t="b">
        <x:v>0</x:v>
      </x:c>
      <x:c r="G696" s="85" t="n">
        <x:v>2721294.137415393</x:v>
      </x:c>
      <x:c r="H696" s="85" t="n">
        <x:v>7415786.801585554</x:v>
      </x:c>
      <x:c r="I696" s="85" t="n">
        <x:v>18196281.86345249</x:v>
      </x:c>
      <x:c r="J696" s="85" t="n">
        <x:v>15608320.000000002</x:v>
      </x:c>
      <x:c r="K696" s="85" t="n">
        <x:v>63841.13106849319</x:v>
      </x:c>
      <x:c r="L696" s="28" t="n">
        <x:v>39</x:v>
      </x:c>
      <x:c r="M696" s="28" t="n">
        <x:v>36</x:v>
      </x:c>
      <x:c r="N696" s="28" t="n">
        <x:v>4.656612873077393e-10</x:v>
      </x:c>
      <x:c r="O696" s="28" t="n">
        <x:v>3.725290298461914e-9</x:v>
      </x:c>
      <x:c r="P696" s="28" t="n">
        <x:v>0</x:v>
      </x:c>
      <x:c r="Q696" s="62" t="b">
        <x:v>1</x:v>
      </x:c>
      <x:c r="R696" s="28" t="n">
        <x:v>0</x:v>
      </x:c>
      <x:c r="S696" s="28" t="str">
        <x:v>3dfcdeafa39f8f22</x:v>
      </x:c>
    </x:row>
    <x:row r="697" ht="21" customHeight="1">
      <x:c r="A697" s="60" t="n">
        <x:v>0.62</x:v>
      </x:c>
      <x:c r="B697" s="28" t="str">
        <x:v>back_high</x:v>
      </x:c>
      <x:c r="C697" s="60" t="n">
        <x:v>0.85</x:v>
      </x:c>
      <x:c r="D697" s="60" t="n">
        <x:v>0.85</x:v>
      </x:c>
      <x:c r="E697" s="62" t="b">
        <x:v>1</x:v>
      </x:c>
      <x:c r="F697" s="62" t="b">
        <x:v>0</x:v>
      </x:c>
      <x:c r="G697" s="85" t="n">
        <x:v>3895111.675017601</x:v>
      </x:c>
      <x:c r="H697" s="85" t="n">
        <x:v>9171225.908408655</x:v>
      </x:c>
      <x:c r="I697" s="85" t="n">
        <x:v>18478544.92001909</x:v>
      </x:c>
      <x:c r="J697" s="85" t="n">
        <x:v>15608320.000000002</x:v>
      </x:c>
      <x:c r="K697" s="85" t="n">
        <x:v>58418.4740410959</x:v>
      </x:c>
      <x:c r="L697" s="28" t="n">
        <x:v>40</x:v>
      </x:c>
      <x:c r="M697" s="28" t="n">
        <x:v>36</x:v>
      </x:c>
      <x:c r="N697" s="28" t="n">
        <x:v>4.656612873077393e-10</x:v>
      </x:c>
      <x:c r="O697" s="28" t="n">
        <x:v>9.313225746154785e-10</x:v>
      </x:c>
      <x:c r="P697" s="28" t="n">
        <x:v>0</x:v>
      </x:c>
      <x:c r="Q697" s="62" t="b">
        <x:v>1</x:v>
      </x:c>
      <x:c r="R697" s="28" t="n">
        <x:v>0</x:v>
      </x:c>
      <x:c r="S697" s="28" t="str">
        <x:v>9ee675d77d9e938c</x:v>
      </x:c>
    </x:row>
    <x:row r="698" ht="21" customHeight="1">
      <x:c r="A698" s="60" t="n">
        <x:v>0.62</x:v>
      </x:c>
      <x:c r="B698" s="28" t="str">
        <x:v>back_high</x:v>
      </x:c>
      <x:c r="C698" s="60" t="n">
        <x:v>0.9</x:v>
      </x:c>
      <x:c r="D698" s="60" t="n">
        <x:v>0.880265491166173</x:v>
      </x:c>
      <x:c r="E698" s="62" t="b">
        <x:v>0</x:v>
      </x:c>
      <x:c r="F698" s="62" t="b">
        <x:v>0</x:v>
      </x:c>
      <x:c r="G698" s="85" t="n">
        <x:v>4538660.292566728</x:v>
      </x:c>
      <x:c r="H698" s="85" t="n">
        <x:v>10217542.321702149</x:v>
      </x:c>
      <x:c r="I698" s="85" t="n">
        <x:v>18543413.95728049</x:v>
      </x:c>
      <x:c r="J698" s="85" t="n">
        <x:v>15608320.000000002</x:v>
      </x:c>
      <x:c r="K698" s="85" t="n">
        <x:v>52995.81701369814</x:v>
      </x:c>
      <x:c r="L698" s="28" t="n">
        <x:v>40</x:v>
      </x:c>
      <x:c r="M698" s="28" t="n">
        <x:v>37</x:v>
      </x:c>
      <x:c r="N698" s="28" t="n">
        <x:v>4.656612873077393e-10</x:v>
      </x:c>
      <x:c r="O698" s="28" t="n">
        <x:v>3.725290298461914e-9</x:v>
      </x:c>
      <x:c r="P698" s="28" t="n">
        <x:v>0</x:v>
      </x:c>
      <x:c r="Q698" s="62" t="b">
        <x:v>1</x:v>
      </x:c>
      <x:c r="R698" s="28" t="n">
        <x:v>1100080.4604328498</x:v>
      </x:c>
      <x:c r="S698" s="28" t="str">
        <x:v>fcbae1d2802ca587</x:v>
      </x:c>
    </x:row>
    <x:row r="699" ht="21" customHeight="1">
      <x:c r="A699" s="60" t="n">
        <x:v>0.62</x:v>
      </x:c>
      <x:c r="B699" s="28" t="str">
        <x:v>back_high</x:v>
      </x:c>
      <x:c r="C699" s="60" t="n">
        <x:v>0.95</x:v>
      </x:c>
      <x:c r="D699" s="60" t="n">
        <x:v>0.8954794051096439</x:v>
      </x:c>
      <x:c r="E699" s="62" t="b">
        <x:v>0</x:v>
      </x:c>
      <x:c r="F699" s="62" t="b">
        <x:v>0</x:v>
      </x:c>
      <x:c r="G699" s="85" t="n">
        <x:v>4855044.443024693</x:v>
      </x:c>
      <x:c r="H699" s="85" t="n">
        <x:v>10725927.713211747</x:v>
      </x:c>
      <x:c r="I699" s="85" t="n">
        <x:v>18855325.249878764</x:v>
      </x:c>
      <x:c r="J699" s="85" t="n">
        <x:v>15608320.000000002</x:v>
      </x:c>
      <x:c r="K699" s="85" t="n">
        <x:v>47573.15998630132</x:v>
      </x:c>
      <x:c r="L699" s="28" t="n">
        <x:v>41</x:v>
      </x:c>
      <x:c r="M699" s="28" t="n">
        <x:v>38</x:v>
      </x:c>
      <x:c r="N699" s="28" t="n">
        <x:v>4.656612873077393e-10</x:v>
      </x:c>
      <x:c r="O699" s="28" t="n">
        <x:v>3.725290298461914e-9</x:v>
      </x:c>
      <x:c r="P699" s="28" t="n">
        <x:v>0</x:v>
      </x:c>
      <x:c r="Q699" s="62" t="b">
        <x:v>1</x:v>
      </x:c>
      <x:c r="R699" s="28" t="n">
        <x:v>3039196.041568011</x:v>
      </x:c>
      <x:c r="S699" s="28" t="str">
        <x:v>212d5a616ca91c6e</x:v>
      </x:c>
    </x:row>
    <x:row r="700" ht="21" customHeight="1">
      <x:c r="A700" s="60" t="n">
        <x:v>0.62</x:v>
      </x:c>
      <x:c r="B700" s="28" t="str">
        <x:v>back_high</x:v>
      </x:c>
      <x:c r="C700" s="60" t="n">
        <x:v>1</x:v>
      </x:c>
      <x:c r="D700" s="60" t="n">
        <x:v>0.9093341115290656</x:v>
      </x:c>
      <x:c r="E700" s="62" t="b">
        <x:v>0</x:v>
      </x:c>
      <x:c r="F700" s="62" t="b">
        <x:v>0</x:v>
      </x:c>
      <x:c r="G700" s="85" t="n">
        <x:v>5306728.536732735</x:v>
      </x:c>
      <x:c r="H700" s="85" t="n">
        <x:v>11465212.415547637</x:v>
      </x:c>
      <x:c r="I700" s="85" t="n">
        <x:v>18903866.07163013</x:v>
      </x:c>
      <x:c r="J700" s="85" t="n">
        <x:v>15608320.000000002</x:v>
      </x:c>
      <x:c r="K700" s="85" t="n">
        <x:v>42150.50295890426</x:v>
      </x:c>
      <x:c r="L700" s="28" t="n">
        <x:v>41</x:v>
      </x:c>
      <x:c r="M700" s="28" t="n">
        <x:v>38</x:v>
      </x:c>
      <x:c r="N700" s="28" t="n">
        <x:v>4.656612873077393e-10</x:v>
      </x:c>
      <x:c r="O700" s="28" t="n">
        <x:v>3.725290298461914e-9</x:v>
      </x:c>
      <x:c r="P700" s="28" t="n">
        <x:v>0</x:v>
      </x:c>
      <x:c r="Q700" s="62" t="b">
        <x:v>1</x:v>
      </x:c>
      <x:c r="R700" s="28" t="n">
        <x:v>5054079.286923766</x:v>
      </x:c>
      <x:c r="S700" s="28" t="str">
        <x:v>933adfba24488f1b</x:v>
      </x:c>
    </x:row>
    <x:row r="701" ht="21" customHeight="1">
      <x:c r="A701" s="60" t="n">
        <x:v>0.62</x:v>
      </x:c>
      <x:c r="B701" s="28" t="str">
        <x:v>level_flat</x:v>
      </x:c>
      <x:c r="C701" s="60" t="n">
        <x:v>0</x:v>
      </x:c>
      <x:c r="D701" s="60" t="n">
        <x:v>0</x:v>
      </x:c>
      <x:c r="E701" s="62" t="b">
        <x:v>1</x:v>
      </x:c>
      <x:c r="F701" s="62" t="b">
        <x:v>1</x:v>
      </x:c>
      <x:c r="G701" s="85" t="n">
        <x:v>0</x:v>
      </x:c>
      <x:c r="H701" s="85" t="n">
        <x:v>0</x:v>
      </x:c>
      <x:c r="I701" s="85" t="n">
        <x:v>0</x:v>
      </x:c>
      <x:c r="J701" s="85" t="n">
        <x:v>0</x:v>
      </x:c>
      <x:c r="K701" s="85" t="n">
        <x:v>5791027.616876714</x:v>
      </x:c>
      <x:c r="L701" s="28" t="n">
        <x:v>0</x:v>
      </x:c>
      <x:c r="M701" s="28" t="n">
        <x:v>0</x:v>
      </x:c>
      <x:c r="N701" s="28" t="n">
        <x:v>4.656612873077393e-10</x:v>
      </x:c>
      <x:c r="O701" s="28" t="n">
        <x:v>0</x:v>
      </x:c>
      <x:c r="P701" s="28" t="n">
        <x:v>0</x:v>
      </x:c>
      <x:c r="Q701" s="62" t="b">
        <x:v>1</x:v>
      </x:c>
      <x:c r="R701" s="28" t="n">
        <x:v>0</x:v>
      </x:c>
      <x:c r="S701" s="28" t="str">
        <x:v>fe979662cef5c337</x:v>
      </x:c>
    </x:row>
    <x:row r="702" ht="21" customHeight="1">
      <x:c r="A702" s="60" t="n">
        <x:v>0.62</x:v>
      </x:c>
      <x:c r="B702" s="28" t="str">
        <x:v>level_flat</x:v>
      </x:c>
      <x:c r="C702" s="60" t="n">
        <x:v>0.05</x:v>
      </x:c>
      <x:c r="D702" s="60" t="n">
        <x:v>0.05</x:v>
      </x:c>
      <x:c r="E702" s="62" t="b">
        <x:v>1</x:v>
      </x:c>
      <x:c r="F702" s="62" t="b">
        <x:v>1</x:v>
      </x:c>
      <x:c r="G702" s="85" t="n">
        <x:v>0</x:v>
      </x:c>
      <x:c r="H702" s="85" t="n">
        <x:v>0</x:v>
      </x:c>
      <x:c r="I702" s="85" t="n">
        <x:v>0</x:v>
      </x:c>
      <x:c r="J702" s="85" t="n">
        <x:v>0</x:v>
      </x:c>
      <x:c r="K702" s="85" t="n">
        <x:v>3560562.6371173584</x:v>
      </x:c>
      <x:c r="L702" s="28" t="n">
        <x:v>0</x:v>
      </x:c>
      <x:c r="M702" s="28" t="n">
        <x:v>0</x:v>
      </x:c>
      <x:c r="N702" s="28" t="n">
        <x:v>2.3283064365386963e-10</x:v>
      </x:c>
      <x:c r="O702" s="28" t="n">
        <x:v>7.450580596923828e-9</x:v>
      </x:c>
      <x:c r="P702" s="28" t="n">
        <x:v>0</x:v>
      </x:c>
      <x:c r="Q702" s="62" t="b">
        <x:v>1</x:v>
      </x:c>
      <x:c r="R702" s="28" t="n">
        <x:v>0</x:v>
      </x:c>
      <x:c r="S702" s="28" t="str">
        <x:v>d9674a7a737f0610</x:v>
      </x:c>
    </x:row>
    <x:row r="703" ht="21" customHeight="1">
      <x:c r="A703" s="60" t="n">
        <x:v>0.62</x:v>
      </x:c>
      <x:c r="B703" s="28" t="str">
        <x:v>level_flat</x:v>
      </x:c>
      <x:c r="C703" s="60" t="n">
        <x:v>0.1</x:v>
      </x:c>
      <x:c r="D703" s="60" t="n">
        <x:v>0.1</x:v>
      </x:c>
      <x:c r="E703" s="62" t="b">
        <x:v>1</x:v>
      </x:c>
      <x:c r="F703" s="62" t="b">
        <x:v>1</x:v>
      </x:c>
      <x:c r="G703" s="85" t="n">
        <x:v>0</x:v>
      </x:c>
      <x:c r="H703" s="85" t="n">
        <x:v>0</x:v>
      </x:c>
      <x:c r="I703" s="85" t="n">
        <x:v>0</x:v>
      </x:c>
      <x:c r="J703" s="85" t="n">
        <x:v>0</x:v>
      </x:c>
      <x:c r="K703" s="85" t="n">
        <x:v>1329983.1682754443</x:v>
      </x:c>
      <x:c r="L703" s="28" t="n">
        <x:v>0</x:v>
      </x:c>
      <x:c r="M703" s="28" t="n">
        <x:v>0</x:v>
      </x:c>
      <x:c r="N703" s="28" t="n">
        <x:v>4.656612873077393e-10</x:v>
      </x:c>
      <x:c r="O703" s="28" t="n">
        <x:v>7.450580596923828e-9</x:v>
      </x:c>
      <x:c r="P703" s="28" t="n">
        <x:v>0</x:v>
      </x:c>
      <x:c r="Q703" s="62" t="b">
        <x:v>1</x:v>
      </x:c>
      <x:c r="R703" s="28" t="n">
        <x:v>0</x:v>
      </x:c>
      <x:c r="S703" s="28" t="str">
        <x:v>2d684d1669059f9b</x:v>
      </x:c>
    </x:row>
    <x:row r="704" ht="21" customHeight="1">
      <x:c r="A704" s="60" t="n">
        <x:v>0.62</x:v>
      </x:c>
      <x:c r="B704" s="28" t="str">
        <x:v>level_flat</x:v>
      </x:c>
      <x:c r="C704" s="60" t="n">
        <x:v>0.15</x:v>
      </x:c>
      <x:c r="D704" s="60" t="n">
        <x:v>0.15</x:v>
      </x:c>
      <x:c r="E704" s="62" t="b">
        <x:v>1</x:v>
      </x:c>
      <x:c r="F704" s="62" t="b">
        <x:v>1</x:v>
      </x:c>
      <x:c r="G704" s="85" t="n">
        <x:v>0</x:v>
      </x:c>
      <x:c r="H704" s="85" t="n">
        <x:v>0</x:v>
      </x:c>
      <x:c r="I704" s="85" t="n">
        <x:v>859550.104917136</x:v>
      </x:c>
      <x:c r="J704" s="85" t="n">
        <x:v>0</x:v>
      </x:c>
      <x:c r="K704" s="85" t="n">
        <x:v>114089.13269232886</x:v>
      </x:c>
      <x:c r="L704" s="28" t="n">
        <x:v>0</x:v>
      </x:c>
      <x:c r="M704" s="28" t="n">
        <x:v>0</x:v>
      </x:c>
      <x:c r="N704" s="28" t="n">
        <x:v>9.313225746154785e-10</x:v>
      </x:c>
      <x:c r="O704" s="28" t="n">
        <x:v>7.450580596923828e-9</x:v>
      </x:c>
      <x:c r="P704" s="28" t="n">
        <x:v>0</x:v>
      </x:c>
      <x:c r="Q704" s="62" t="b">
        <x:v>1</x:v>
      </x:c>
      <x:c r="R704" s="28" t="n">
        <x:v>0</x:v>
      </x:c>
      <x:c r="S704" s="28" t="str">
        <x:v>42ae74b5f1d9cf21</x:v>
      </x:c>
    </x:row>
    <x:row r="705" ht="21" customHeight="1">
      <x:c r="A705" s="60" t="n">
        <x:v>0.62</x:v>
      </x:c>
      <x:c r="B705" s="28" t="str">
        <x:v>level_flat</x:v>
      </x:c>
      <x:c r="C705" s="60" t="n">
        <x:v>0.2</x:v>
      </x:c>
      <x:c r="D705" s="60" t="n">
        <x:v>0.2</x:v>
      </x:c>
      <x:c r="E705" s="62" t="b">
        <x:v>1</x:v>
      </x:c>
      <x:c r="F705" s="62" t="b">
        <x:v>1</x:v>
      </x:c>
      <x:c r="G705" s="85" t="n">
        <x:v>0</x:v>
      </x:c>
      <x:c r="H705" s="85" t="n">
        <x:v>0</x:v>
      </x:c>
      <x:c r="I705" s="85" t="n">
        <x:v>2363594.5430860235</x:v>
      </x:c>
      <x:c r="J705" s="85" t="n">
        <x:v>1248509.6821693014</x:v>
      </x:c>
      <x:c r="K705" s="85" t="n">
        <x:v>77084.03534246591</x:v>
      </x:c>
      <x:c r="L705" s="28" t="n">
        <x:v>0</x:v>
      </x:c>
      <x:c r="M705" s="28" t="n">
        <x:v>0</x:v>
      </x:c>
      <x:c r="N705" s="28" t="n">
        <x:v>9.313225746154785e-10</x:v>
      </x:c>
      <x:c r="O705" s="28" t="n">
        <x:v>7.450580596923828e-9</x:v>
      </x:c>
      <x:c r="P705" s="28" t="n">
        <x:v>0</x:v>
      </x:c>
      <x:c r="Q705" s="62" t="b">
        <x:v>1</x:v>
      </x:c>
      <x:c r="R705" s="28" t="n">
        <x:v>0</x:v>
      </x:c>
      <x:c r="S705" s="28" t="str">
        <x:v>74b5999f34606a65</x:v>
      </x:c>
    </x:row>
    <x:row r="706" ht="21" customHeight="1">
      <x:c r="A706" s="60" t="n">
        <x:v>0.62</x:v>
      </x:c>
      <x:c r="B706" s="28" t="str">
        <x:v>level_flat</x:v>
      </x:c>
      <x:c r="C706" s="60" t="n">
        <x:v>0.25</x:v>
      </x:c>
      <x:c r="D706" s="60" t="n">
        <x:v>0.25</x:v>
      </x:c>
      <x:c r="E706" s="62" t="b">
        <x:v>1</x:v>
      </x:c>
      <x:c r="F706" s="62" t="b">
        <x:v>1</x:v>
      </x:c>
      <x:c r="G706" s="85" t="n">
        <x:v>0</x:v>
      </x:c>
      <x:c r="H706" s="85" t="n">
        <x:v>0</x:v>
      </x:c>
      <x:c r="I706" s="85" t="n">
        <x:v>3553816.974556161</x:v>
      </x:c>
      <x:c r="J706" s="85" t="n">
        <x:v>2954237.1027116347</x:v>
      </x:c>
      <x:c r="K706" s="85" t="n">
        <x:v>57512.17417808232</x:v>
      </x:c>
      <x:c r="L706" s="28" t="n">
        <x:v>0</x:v>
      </x:c>
      <x:c r="M706" s="28" t="n">
        <x:v>0</x:v>
      </x:c>
      <x:c r="N706" s="28" t="n">
        <x:v>4.656612873077393e-10</x:v>
      </x:c>
      <x:c r="O706" s="28" t="n">
        <x:v>7.450580596923828e-9</x:v>
      </x:c>
      <x:c r="P706" s="28" t="n">
        <x:v>0</x:v>
      </x:c>
      <x:c r="Q706" s="62" t="b">
        <x:v>1</x:v>
      </x:c>
      <x:c r="R706" s="28" t="n">
        <x:v>0</x:v>
      </x:c>
      <x:c r="S706" s="28" t="str">
        <x:v>f4c200a37e8f565c</x:v>
      </x:c>
    </x:row>
    <x:row r="707" ht="21" customHeight="1">
      <x:c r="A707" s="60" t="n">
        <x:v>0.62</x:v>
      </x:c>
      <x:c r="B707" s="28" t="str">
        <x:v>level_flat</x:v>
      </x:c>
      <x:c r="C707" s="60" t="n">
        <x:v>0.3</x:v>
      </x:c>
      <x:c r="D707" s="60" t="n">
        <x:v>0.3</x:v>
      </x:c>
      <x:c r="E707" s="62" t="b">
        <x:v>1</x:v>
      </x:c>
      <x:c r="F707" s="62" t="b">
        <x:v>1</x:v>
      </x:c>
      <x:c r="G707" s="85" t="n">
        <x:v>0</x:v>
      </x:c>
      <x:c r="H707" s="85" t="n">
        <x:v>0</x:v>
      </x:c>
      <x:c r="I707" s="85" t="n">
        <x:v>4764548.582038893</x:v>
      </x:c>
      <x:c r="J707" s="85" t="n">
        <x:v>4659964.523253947</x:v>
      </x:c>
      <x:c r="K707" s="85" t="n">
        <x:v>41302.721452054655</x:v>
      </x:c>
      <x:c r="L707" s="28" t="n">
        <x:v>0</x:v>
      </x:c>
      <x:c r="M707" s="28" t="n">
        <x:v>0</x:v>
      </x:c>
      <x:c r="N707" s="28" t="n">
        <x:v>4.656612873077393e-10</x:v>
      </x:c>
      <x:c r="O707" s="28" t="n">
        <x:v>7.450580596923828e-9</x:v>
      </x:c>
      <x:c r="P707" s="28" t="n">
        <x:v>0</x:v>
      </x:c>
      <x:c r="Q707" s="62" t="b">
        <x:v>1</x:v>
      </x:c>
      <x:c r="R707" s="28" t="n">
        <x:v>0</x:v>
      </x:c>
      <x:c r="S707" s="28" t="str">
        <x:v>c576db9551f8be02</x:v>
      </x:c>
    </x:row>
    <x:row r="708" ht="21" customHeight="1">
      <x:c r="A708" s="60" t="n">
        <x:v>0.62</x:v>
      </x:c>
      <x:c r="B708" s="28" t="str">
        <x:v>level_flat</x:v>
      </x:c>
      <x:c r="C708" s="60" t="n">
        <x:v>0.35</x:v>
      </x:c>
      <x:c r="D708" s="60" t="n">
        <x:v>0.35</x:v>
      </x:c>
      <x:c r="E708" s="62" t="b">
        <x:v>1</x:v>
      </x:c>
      <x:c r="F708" s="62" t="b">
        <x:v>1</x:v>
      </x:c>
      <x:c r="G708" s="85" t="n">
        <x:v>0</x:v>
      </x:c>
      <x:c r="H708" s="85" t="n">
        <x:v>0</x:v>
      </x:c>
      <x:c r="I708" s="85" t="n">
        <x:v>5990296.078205193</x:v>
      </x:c>
      <x:c r="J708" s="85" t="n">
        <x:v>6365691.943796267</x:v>
      </x:c>
      <x:c r="K708" s="85" t="n">
        <x:v>35345.30384931534</x:v>
      </x:c>
      <x:c r="L708" s="28" t="n">
        <x:v>0</x:v>
      </x:c>
      <x:c r="M708" s="28" t="n">
        <x:v>0</x:v>
      </x:c>
      <x:c r="N708" s="28" t="n">
        <x:v>2.3283064365386963e-10</x:v>
      </x:c>
      <x:c r="O708" s="28" t="n">
        <x:v>7.450580596923828e-9</x:v>
      </x:c>
      <x:c r="P708" s="28" t="n">
        <x:v>0</x:v>
      </x:c>
      <x:c r="Q708" s="62" t="b">
        <x:v>1</x:v>
      </x:c>
      <x:c r="R708" s="28" t="n">
        <x:v>0</x:v>
      </x:c>
      <x:c r="S708" s="28" t="str">
        <x:v>bebb1a31cd22ddff</x:v>
      </x:c>
    </x:row>
    <x:row r="709" ht="21" customHeight="1">
      <x:c r="A709" s="60" t="n">
        <x:v>0.62</x:v>
      </x:c>
      <x:c r="B709" s="28" t="str">
        <x:v>level_flat</x:v>
      </x:c>
      <x:c r="C709" s="60" t="n">
        <x:v>0.4</x:v>
      </x:c>
      <x:c r="D709" s="60" t="n">
        <x:v>0.4</x:v>
      </x:c>
      <x:c r="E709" s="62" t="b">
        <x:v>1</x:v>
      </x:c>
      <x:c r="F709" s="62" t="b">
        <x:v>1</x:v>
      </x:c>
      <x:c r="G709" s="85" t="n">
        <x:v>0</x:v>
      </x:c>
      <x:c r="H709" s="85" t="n">
        <x:v>0</x:v>
      </x:c>
      <x:c r="I709" s="85" t="n">
        <x:v>7212632.92105934</x:v>
      </x:c>
      <x:c r="J709" s="85" t="n">
        <x:v>8071419.3643385945</x:v>
      </x:c>
      <x:c r="K709" s="85" t="n">
        <x:v>29387.886246575923</x:v>
      </x:c>
      <x:c r="L709" s="28" t="n">
        <x:v>0</x:v>
      </x:c>
      <x:c r="M709" s="28" t="n">
        <x:v>0</x:v>
      </x:c>
      <x:c r="N709" s="28" t="n">
        <x:v>9.313225746154785e-10</x:v>
      </x:c>
      <x:c r="O709" s="28" t="n">
        <x:v>7.450580596923828e-9</x:v>
      </x:c>
      <x:c r="P709" s="28" t="n">
        <x:v>0</x:v>
      </x:c>
      <x:c r="Q709" s="62" t="b">
        <x:v>1</x:v>
      </x:c>
      <x:c r="R709" s="28" t="n">
        <x:v>0</x:v>
      </x:c>
      <x:c r="S709" s="28" t="str">
        <x:v>39ee16097a7a8886</x:v>
      </x:c>
    </x:row>
    <x:row r="710" ht="21" customHeight="1">
      <x:c r="A710" s="60" t="n">
        <x:v>0.62</x:v>
      </x:c>
      <x:c r="B710" s="28" t="str">
        <x:v>level_flat</x:v>
      </x:c>
      <x:c r="C710" s="60" t="n">
        <x:v>0.45</x:v>
      </x:c>
      <x:c r="D710" s="60" t="n">
        <x:v>0.45</x:v>
      </x:c>
      <x:c r="E710" s="62" t="b">
        <x:v>1</x:v>
      </x:c>
      <x:c r="F710" s="62" t="b">
        <x:v>1</x:v>
      </x:c>
      <x:c r="G710" s="85" t="n">
        <x:v>0</x:v>
      </x:c>
      <x:c r="H710" s="85" t="n">
        <x:v>0</x:v>
      </x:c>
      <x:c r="I710" s="85" t="n">
        <x:v>8433536.347452039</x:v>
      </x:c>
      <x:c r="J710" s="85" t="n">
        <x:v>9777146.78488093</x:v>
      </x:c>
      <x:c r="K710" s="85" t="n">
        <x:v>23430.468643835564</x:v>
      </x:c>
      <x:c r="L710" s="28" t="n">
        <x:v>0</x:v>
      </x:c>
      <x:c r="M710" s="28" t="n">
        <x:v>0</x:v>
      </x:c>
      <x:c r="N710" s="28" t="n">
        <x:v>4.656612873077393e-10</x:v>
      </x:c>
      <x:c r="O710" s="28" t="n">
        <x:v>3.725290298461914e-9</x:v>
      </x:c>
      <x:c r="P710" s="28" t="n">
        <x:v>0</x:v>
      </x:c>
      <x:c r="Q710" s="62" t="b">
        <x:v>1</x:v>
      </x:c>
      <x:c r="R710" s="28" t="n">
        <x:v>0</x:v>
      </x:c>
      <x:c r="S710" s="28" t="str">
        <x:v>08829a85d7e128ef</x:v>
      </x:c>
    </x:row>
    <x:row r="711" ht="21" customHeight="1">
      <x:c r="A711" s="60" t="n">
        <x:v>0.62</x:v>
      </x:c>
      <x:c r="B711" s="28" t="str">
        <x:v>level_flat</x:v>
      </x:c>
      <x:c r="C711" s="60" t="n">
        <x:v>0.5</x:v>
      </x:c>
      <x:c r="D711" s="60" t="n">
        <x:v>0.5</x:v>
      </x:c>
      <x:c r="E711" s="62" t="b">
        <x:v>1</x:v>
      </x:c>
      <x:c r="F711" s="62" t="b">
        <x:v>1</x:v>
      </x:c>
      <x:c r="G711" s="85" t="n">
        <x:v>0</x:v>
      </x:c>
      <x:c r="H711" s="85" t="n">
        <x:v>0</x:v>
      </x:c>
      <x:c r="I711" s="85" t="n">
        <x:v>9850296.500949048</x:v>
      </x:c>
      <x:c r="J711" s="85" t="n">
        <x:v>11054502.060884438</x:v>
      </x:c>
      <x:c r="K711" s="85" t="n">
        <x:v>17473.05104109602</x:v>
      </x:c>
      <x:c r="L711" s="28" t="n">
        <x:v>5</x:v>
      </x:c>
      <x:c r="M711" s="28" t="n">
        <x:v>0</x:v>
      </x:c>
      <x:c r="N711" s="28" t="n">
        <x:v>2.3283064365386963e-10</x:v>
      </x:c>
      <x:c r="O711" s="28" t="n">
        <x:v>3.725290298461914e-9</x:v>
      </x:c>
      <x:c r="P711" s="28" t="n">
        <x:v>0</x:v>
      </x:c>
      <x:c r="Q711" s="62" t="b">
        <x:v>1</x:v>
      </x:c>
      <x:c r="R711" s="28" t="n">
        <x:v>0</x:v>
      </x:c>
      <x:c r="S711" s="28" t="str">
        <x:v>15eb860a25ad7735</x:v>
      </x:c>
    </x:row>
    <x:row r="712" ht="21" customHeight="1">
      <x:c r="A712" s="60" t="n">
        <x:v>0.62</x:v>
      </x:c>
      <x:c r="B712" s="28" t="str">
        <x:v>level_flat</x:v>
      </x:c>
      <x:c r="C712" s="60" t="n">
        <x:v>0.55</x:v>
      </x:c>
      <x:c r="D712" s="60" t="n">
        <x:v>0.55</x:v>
      </x:c>
      <x:c r="E712" s="62" t="b">
        <x:v>1</x:v>
      </x:c>
      <x:c r="F712" s="62" t="b">
        <x:v>1</x:v>
      </x:c>
      <x:c r="G712" s="85" t="n">
        <x:v>0</x:v>
      </x:c>
      <x:c r="H712" s="85" t="n">
        <x:v>0</x:v>
      </x:c>
      <x:c r="I712" s="85" t="n">
        <x:v>11219941.516680349</x:v>
      </x:c>
      <x:c r="J712" s="85" t="n">
        <x:v>12384990.034699574</x:v>
      </x:c>
      <x:c r="K712" s="85" t="n">
        <x:v>11515.63343835613</x:v>
      </x:c>
      <x:c r="L712" s="28" t="n">
        <x:v>10</x:v>
      </x:c>
      <x:c r="M712" s="28" t="n">
        <x:v>0</x:v>
      </x:c>
      <x:c r="N712" s="28" t="n">
        <x:v>4.656612873077393e-10</x:v>
      </x:c>
      <x:c r="O712" s="28" t="n">
        <x:v>3.725290298461914e-9</x:v>
      </x:c>
      <x:c r="P712" s="28" t="n">
        <x:v>0</x:v>
      </x:c>
      <x:c r="Q712" s="62" t="b">
        <x:v>1</x:v>
      </x:c>
      <x:c r="R712" s="28" t="n">
        <x:v>0</x:v>
      </x:c>
      <x:c r="S712" s="28" t="str">
        <x:v>3f316880fb2d4ad3</x:v>
      </x:c>
    </x:row>
    <x:row r="713" ht="21" customHeight="1">
      <x:c r="A713" s="60" t="n">
        <x:v>0.62</x:v>
      </x:c>
      <x:c r="B713" s="28" t="str">
        <x:v>level_flat</x:v>
      </x:c>
      <x:c r="C713" s="60" t="n">
        <x:v>0.6</x:v>
      </x:c>
      <x:c r="D713" s="60" t="n">
        <x:v>0.6</x:v>
      </x:c>
      <x:c r="E713" s="62" t="b">
        <x:v>1</x:v>
      </x:c>
      <x:c r="F713" s="62" t="b">
        <x:v>1</x:v>
      </x:c>
      <x:c r="G713" s="85" t="n">
        <x:v>0</x:v>
      </x:c>
      <x:c r="H713" s="85" t="n">
        <x:v>0</x:v>
      </x:c>
      <x:c r="I713" s="85" t="n">
        <x:v>12483309.442091847</x:v>
      </x:c>
      <x:c r="J713" s="85" t="n">
        <x:v>13925844.353456551</x:v>
      </x:c>
      <x:c r="K713" s="85" t="n">
        <x:v>7180.663561643894</x:v>
      </x:c>
      <x:c r="L713" s="28" t="n">
        <x:v>14</x:v>
      </x:c>
      <x:c r="M713" s="28" t="n">
        <x:v>5</x:v>
      </x:c>
      <x:c r="N713" s="28" t="n">
        <x:v>4.656612873077393e-10</x:v>
      </x:c>
      <x:c r="O713" s="28" t="n">
        <x:v>7.450580596923828e-9</x:v>
      </x:c>
      <x:c r="P713" s="28" t="n">
        <x:v>0</x:v>
      </x:c>
      <x:c r="Q713" s="62" t="b">
        <x:v>1</x:v>
      </x:c>
      <x:c r="R713" s="28" t="n">
        <x:v>0</x:v>
      </x:c>
      <x:c r="S713" s="28" t="str">
        <x:v>3ec375cb4945b909</x:v>
      </x:c>
    </x:row>
    <x:row r="714" ht="21" customHeight="1">
      <x:c r="A714" s="60" t="n">
        <x:v>0.62</x:v>
      </x:c>
      <x:c r="B714" s="28" t="str">
        <x:v>level_flat</x:v>
      </x:c>
      <x:c r="C714" s="60" t="n">
        <x:v>0.65</x:v>
      </x:c>
      <x:c r="D714" s="60" t="n">
        <x:v>0.65</x:v>
      </x:c>
      <x:c r="E714" s="62" t="b">
        <x:v>1</x:v>
      </x:c>
      <x:c r="F714" s="62" t="b">
        <x:v>0</x:v>
      </x:c>
      <x:c r="G714" s="85" t="n">
        <x:v>28311.32348842556</x:v>
      </x:c>
      <x:c r="H714" s="85" t="n">
        <x:v>157370.5095609918</x:v>
      </x:c>
      <x:c r="I714" s="85" t="n">
        <x:v>13532157.050441915</x:v>
      </x:c>
      <x:c r="J714" s="85" t="n">
        <x:v>15608320.000000002</x:v>
      </x:c>
      <x:c r="K714" s="85" t="n">
        <x:v>5175.494383561636</x:v>
      </x:c>
      <x:c r="L714" s="28" t="n">
        <x:v>39</x:v>
      </x:c>
      <x:c r="M714" s="28" t="n">
        <x:v>32</x:v>
      </x:c>
      <x:c r="N714" s="28" t="n">
        <x:v>4.656612873077393e-10</x:v>
      </x:c>
      <x:c r="O714" s="28" t="n">
        <x:v>3.725290298461914e-9</x:v>
      </x:c>
      <x:c r="P714" s="28" t="n">
        <x:v>0</x:v>
      </x:c>
      <x:c r="Q714" s="62" t="b">
        <x:v>1</x:v>
      </x:c>
      <x:c r="R714" s="28" t="n">
        <x:v>0</x:v>
      </x:c>
      <x:c r="S714" s="28" t="str">
        <x:v>c65b6909dd679e05</x:v>
      </x:c>
    </x:row>
    <x:row r="715" ht="21" customHeight="1">
      <x:c r="A715" s="60" t="n">
        <x:v>0.62</x:v>
      </x:c>
      <x:c r="B715" s="28" t="str">
        <x:v>level_flat</x:v>
      </x:c>
      <x:c r="C715" s="60" t="n">
        <x:v>0.7</x:v>
      </x:c>
      <x:c r="D715" s="60" t="n">
        <x:v>0.7</x:v>
      </x:c>
      <x:c r="E715" s="62" t="b">
        <x:v>1</x:v>
      </x:c>
      <x:c r="F715" s="62" t="b">
        <x:v>0</x:v>
      </x:c>
      <x:c r="G715" s="85" t="n">
        <x:v>421527.6332489069</x:v>
      </x:c>
      <x:c r="H715" s="85" t="n">
        <x:v>2270175.3023082726</x:v>
      </x:c>
      <x:c r="I715" s="85" t="n">
        <x:v>13770368.489143562</x:v>
      </x:c>
      <x:c r="J715" s="85" t="n">
        <x:v>15608320.000000002</x:v>
      </x:c>
      <x:c r="K715" s="85" t="n">
        <x:v>3170.325205479261</x:v>
      </x:c>
      <x:c r="L715" s="28" t="n">
        <x:v>40</x:v>
      </x:c>
      <x:c r="M715" s="28" t="n">
        <x:v>33</x:v>
      </x:c>
      <x:c r="N715" s="28" t="n">
        <x:v>2.3283064365386963e-10</x:v>
      </x:c>
      <x:c r="O715" s="28" t="n">
        <x:v>3.725290298461914e-9</x:v>
      </x:c>
      <x:c r="P715" s="28" t="n">
        <x:v>0</x:v>
      </x:c>
      <x:c r="Q715" s="62" t="b">
        <x:v>1</x:v>
      </x:c>
      <x:c r="R715" s="28" t="n">
        <x:v>0</x:v>
      </x:c>
      <x:c r="S715" s="28" t="str">
        <x:v>48e3662ea0df1b2a</x:v>
      </x:c>
    </x:row>
    <x:row r="716" ht="21" customHeight="1">
      <x:c r="A716" s="60" t="n">
        <x:v>0.62</x:v>
      </x:c>
      <x:c r="B716" s="28" t="str">
        <x:v>level_flat</x:v>
      </x:c>
      <x:c r="C716" s="60" t="n">
        <x:v>0.75</x:v>
      </x:c>
      <x:c r="D716" s="60" t="n">
        <x:v>0.75</x:v>
      </x:c>
      <x:c r="E716" s="62" t="b">
        <x:v>1</x:v>
      </x:c>
      <x:c r="F716" s="62" t="b">
        <x:v>0</x:v>
      </x:c>
      <x:c r="G716" s="85" t="n">
        <x:v>843813.6479368047</x:v>
      </x:c>
      <x:c r="H716" s="85" t="n">
        <x:v>4279818.304611215</x:v>
      </x:c>
      <x:c r="I716" s="85" t="n">
        <x:v>14022917.240678081</x:v>
      </x:c>
      <x:c r="J716" s="85" t="n">
        <x:v>15608320.000000002</x:v>
      </x:c>
      <x:c r="K716" s="85" t="n">
        <x:v>1165.1560273973519</x:v>
      </x:c>
      <x:c r="L716" s="28" t="n">
        <x:v>41</x:v>
      </x:c>
      <x:c r="M716" s="28" t="n">
        <x:v>34</x:v>
      </x:c>
      <x:c r="N716" s="28" t="n">
        <x:v>4.656612873077393e-10</x:v>
      </x:c>
      <x:c r="O716" s="28" t="n">
        <x:v>3.725290298461914e-9</x:v>
      </x:c>
      <x:c r="P716" s="28" t="n">
        <x:v>0</x:v>
      </x:c>
      <x:c r="Q716" s="62" t="b">
        <x:v>1</x:v>
      </x:c>
      <x:c r="R716" s="28" t="n">
        <x:v>0</x:v>
      </x:c>
      <x:c r="S716" s="28" t="str">
        <x:v>32c55a986edf2096</x:v>
      </x:c>
    </x:row>
    <x:row r="717" ht="21" customHeight="1">
      <x:c r="A717" s="60" t="n">
        <x:v>0.62</x:v>
      </x:c>
      <x:c r="B717" s="28" t="str">
        <x:v>level_flat</x:v>
      </x:c>
      <x:c r="C717" s="60" t="n">
        <x:v>0.8</x:v>
      </x:c>
      <x:c r="D717" s="60" t="n">
        <x:v>0.8</x:v>
      </x:c>
      <x:c r="E717" s="62" t="b">
        <x:v>1</x:v>
      </x:c>
      <x:c r="F717" s="62" t="b">
        <x:v>0</x:v>
      </x:c>
      <x:c r="G717" s="85" t="n">
        <x:v>1248590.2012767347</x:v>
      </x:c>
      <x:c r="H717" s="85" t="n">
        <x:v>6253757.304693994</x:v>
      </x:c>
      <x:c r="I717" s="85" t="n">
        <x:v>14258832.97723178</x:v>
      </x:c>
      <x:c r="J717" s="85" t="n">
        <x:v>15608320.000000002</x:v>
      </x:c>
      <x:c r="K717" s="85" t="n">
        <x:v>0</x:v>
      </x:c>
      <x:c r="L717" s="28" t="n">
        <x:v>42</x:v>
      </x:c>
      <x:c r="M717" s="28" t="n">
        <x:v>35</x:v>
      </x:c>
      <x:c r="N717" s="28" t="n">
        <x:v>4.656612873077393e-10</x:v>
      </x:c>
      <x:c r="O717" s="28" t="n">
        <x:v>3.725290298461914e-9</x:v>
      </x:c>
      <x:c r="P717" s="28" t="n">
        <x:v>0</x:v>
      </x:c>
      <x:c r="Q717" s="62" t="b">
        <x:v>1</x:v>
      </x:c>
      <x:c r="R717" s="28" t="n">
        <x:v>0</x:v>
      </x:c>
      <x:c r="S717" s="28" t="str">
        <x:v>f66b2e9bf1e38397</x:v>
      </x:c>
    </x:row>
    <x:row r="718" ht="21" customHeight="1">
      <x:c r="A718" s="60" t="n">
        <x:v>0.62</x:v>
      </x:c>
      <x:c r="B718" s="28" t="str">
        <x:v>level_flat</x:v>
      </x:c>
      <x:c r="C718" s="60" t="n">
        <x:v>0.85</x:v>
      </x:c>
      <x:c r="D718" s="60" t="n">
        <x:v>0.85</x:v>
      </x:c>
      <x:c r="E718" s="62" t="b">
        <x:v>1</x:v>
      </x:c>
      <x:c r="F718" s="62" t="b">
        <x:v>0</x:v>
      </x:c>
      <x:c r="G718" s="85" t="n">
        <x:v>1833110.3437277933</x:v>
      </x:c>
      <x:c r="H718" s="85" t="n">
        <x:v>8326479.834156703</x:v>
      </x:c>
      <x:c r="I718" s="85" t="n">
        <x:v>14294963.909760822</x:v>
      </x:c>
      <x:c r="J718" s="85" t="n">
        <x:v>15608320.000000002</x:v>
      </x:c>
      <x:c r="K718" s="85" t="n">
        <x:v>0</x:v>
      </x:c>
      <x:c r="L718" s="28" t="n">
        <x:v>42</x:v>
      </x:c>
      <x:c r="M718" s="28" t="n">
        <x:v>36</x:v>
      </x:c>
      <x:c r="N718" s="28" t="n">
        <x:v>4.656612873077393e-10</x:v>
      </x:c>
      <x:c r="O718" s="28" t="n">
        <x:v>3.725290298461914e-9</x:v>
      </x:c>
      <x:c r="P718" s="28" t="n">
        <x:v>0</x:v>
      </x:c>
      <x:c r="Q718" s="62" t="b">
        <x:v>1</x:v>
      </x:c>
      <x:c r="R718" s="28" t="n">
        <x:v>0</x:v>
      </x:c>
      <x:c r="S718" s="28" t="str">
        <x:v>ff3b601af5d11c25</x:v>
      </x:c>
    </x:row>
    <x:row r="719" ht="21" customHeight="1">
      <x:c r="A719" s="60" t="n">
        <x:v>0.62</x:v>
      </x:c>
      <x:c r="B719" s="28" t="str">
        <x:v>level_flat</x:v>
      </x:c>
      <x:c r="C719" s="60" t="n">
        <x:v>0.9</x:v>
      </x:c>
      <x:c r="D719" s="60" t="n">
        <x:v>0.8949513562027351</x:v>
      </x:c>
      <x:c r="E719" s="62" t="b">
        <x:v>0</x:v>
      </x:c>
      <x:c r="F719" s="62" t="b">
        <x:v>0</x:v>
      </x:c>
      <x:c r="G719" s="85" t="n">
        <x:v>2521809.6239971514</x:v>
      </x:c>
      <x:c r="H719" s="85" t="n">
        <x:v>9547949.387566494</x:v>
      </x:c>
      <x:c r="I719" s="85" t="n">
        <x:v>14529947.22608219</x:v>
      </x:c>
      <x:c r="J719" s="85" t="n">
        <x:v>15608320.000000002</x:v>
      </x:c>
      <x:c r="K719" s="85" t="n">
        <x:v>0</x:v>
      </x:c>
      <x:c r="L719" s="28" t="n">
        <x:v>43</x:v>
      </x:c>
      <x:c r="M719" s="28" t="n">
        <x:v>37</x:v>
      </x:c>
      <x:c r="N719" s="28" t="n">
        <x:v>4.656612873077393e-10</x:v>
      </x:c>
      <x:c r="O719" s="28" t="n">
        <x:v>3.725290298461914e-9</x:v>
      </x:c>
      <x:c r="P719" s="28" t="n">
        <x:v>0</x:v>
      </x:c>
      <x:c r="Q719" s="62" t="b">
        <x:v>1</x:v>
      </x:c>
      <x:c r="R719" s="28" t="n">
        <x:v>281431.5998347327</x:v>
      </x:c>
      <x:c r="S719" s="28" t="str">
        <x:v>bdbe7f1a6230250b</x:v>
      </x:c>
    </x:row>
    <x:row r="720" ht="21" customHeight="1">
      <x:c r="A720" s="60" t="n">
        <x:v>0.62</x:v>
      </x:c>
      <x:c r="B720" s="28" t="str">
        <x:v>level_flat</x:v>
      </x:c>
      <x:c r="C720" s="60" t="n">
        <x:v>0.95</x:v>
      </x:c>
      <x:c r="D720" s="60" t="n">
        <x:v>0.9109811515371262</x:v>
      </x:c>
      <x:c r="E720" s="62" t="b">
        <x:v>0</x:v>
      </x:c>
      <x:c r="F720" s="62" t="b">
        <x:v>0</x:v>
      </x:c>
      <x:c r="G720" s="85" t="n">
        <x:v>2752161.946172972</x:v>
      </x:c>
      <x:c r="H720" s="85" t="n">
        <x:v>10420097.82118102</x:v>
      </x:c>
      <x:c r="I720" s="85" t="n">
        <x:v>14557480.303068493</x:v>
      </x:c>
      <x:c r="J720" s="85" t="n">
        <x:v>15608320.000000002</x:v>
      </x:c>
      <x:c r="K720" s="85" t="n">
        <x:v>0</x:v>
      </x:c>
      <x:c r="L720" s="28" t="n">
        <x:v>43</x:v>
      </x:c>
      <x:c r="M720" s="28" t="n">
        <x:v>38</x:v>
      </x:c>
      <x:c r="N720" s="28" t="n">
        <x:v>2.3283064365386963e-10</x:v>
      </x:c>
      <x:c r="O720" s="28" t="n">
        <x:v>3.725290298461914e-9</x:v>
      </x:c>
      <x:c r="P720" s="28" t="n">
        <x:v>0</x:v>
      </x:c>
      <x:c r="Q720" s="62" t="b">
        <x:v>1</x:v>
      </x:c>
      <x:c r="R720" s="28" t="n">
        <x:v>2175066.688714437</x:v>
      </x:c>
      <x:c r="S720" s="28" t="str">
        <x:v>a4d96c3d5c82898f</x:v>
      </x:c>
    </x:row>
    <x:row r="721" ht="21" customHeight="1">
      <x:c r="A721" s="60" t="n">
        <x:v>0.62</x:v>
      </x:c>
      <x:c r="B721" s="28" t="str">
        <x:v>level_flat</x:v>
      </x:c>
      <x:c r="C721" s="60" t="n">
        <x:v>1</x:v>
      </x:c>
      <x:c r="D721" s="60" t="n">
        <x:v>0.9258453085724337</x:v>
      </x:c>
      <x:c r="E721" s="62" t="b">
        <x:v>0</x:v>
      </x:c>
      <x:c r="F721" s="62" t="b">
        <x:v>0</x:v>
      </x:c>
      <x:c r="G721" s="85" t="n">
        <x:v>2991708.661609795</x:v>
      </x:c>
      <x:c r="H721" s="85" t="n">
        <x:v>10870601.49611332</x:v>
      </x:c>
      <x:c r="I721" s="85" t="n">
        <x:v>14775201.629863013</x:v>
      </x:c>
      <x:c r="J721" s="85" t="n">
        <x:v>15608320.000000002</x:v>
      </x:c>
      <x:c r="K721" s="85" t="n">
        <x:v>0</x:v>
      </x:c>
      <x:c r="L721" s="28" t="n">
        <x:v>44</x:v>
      </x:c>
      <x:c r="M721" s="28" t="n">
        <x:v>38</x:v>
      </x:c>
      <x:c r="N721" s="28" t="n">
        <x:v>4.656612873077393e-10</x:v>
      </x:c>
      <x:c r="O721" s="28" t="n">
        <x:v>1.862645149230957e-9</x:v>
      </x:c>
      <x:c r="P721" s="28" t="n">
        <x:v>0</x:v>
      </x:c>
      <x:c r="Q721" s="62" t="b">
        <x:v>1</x:v>
      </x:c>
      <x:c r="R721" s="28" t="n">
        <x:v>4133679.1189382523</x:v>
      </x:c>
      <x:c r="S721" s="28" t="str">
        <x:v>293b07c0dc6fb4d0</x:v>
      </x:c>
    </x:row>
    <x:row r="722" ht="21" customHeight="1">
      <x:c r="A722" s="60" t="n">
        <x:v>0.62</x:v>
      </x:c>
      <x:c r="B722" s="28" t="str">
        <x:v>level_low</x:v>
      </x:c>
      <x:c r="C722" s="60" t="n">
        <x:v>0</x:v>
      </x:c>
      <x:c r="D722" s="60" t="n">
        <x:v>0</x:v>
      </x:c>
      <x:c r="E722" s="62" t="b">
        <x:v>1</x:v>
      </x:c>
      <x:c r="F722" s="62" t="b">
        <x:v>1</x:v>
      </x:c>
      <x:c r="G722" s="85" t="n">
        <x:v>0</x:v>
      </x:c>
      <x:c r="H722" s="85" t="n">
        <x:v>0</x:v>
      </x:c>
      <x:c r="I722" s="85" t="n">
        <x:v>0</x:v>
      </x:c>
      <x:c r="J722" s="85" t="n">
        <x:v>0</x:v>
      </x:c>
      <x:c r="K722" s="85" t="n">
        <x:v>5023165.507287669</x:v>
      </x:c>
      <x:c r="L722" s="28" t="n">
        <x:v>0</x:v>
      </x:c>
      <x:c r="M722" s="28" t="n">
        <x:v>0</x:v>
      </x:c>
      <x:c r="N722" s="28" t="n">
        <x:v>5.820766091346741e-11</x:v>
      </x:c>
      <x:c r="O722" s="28" t="n">
        <x:v>0</x:v>
      </x:c>
      <x:c r="P722" s="28" t="n">
        <x:v>0</x:v>
      </x:c>
      <x:c r="Q722" s="62" t="b">
        <x:v>1</x:v>
      </x:c>
      <x:c r="R722" s="28" t="n">
        <x:v>0</x:v>
      </x:c>
      <x:c r="S722" s="28" t="str">
        <x:v>7c1590e56dad7040</x:v>
      </x:c>
    </x:row>
    <x:row r="723" ht="21" customHeight="1">
      <x:c r="A723" s="60" t="n">
        <x:v>0.62</x:v>
      </x:c>
      <x:c r="B723" s="28" t="str">
        <x:v>level_low</x:v>
      </x:c>
      <x:c r="C723" s="60" t="n">
        <x:v>0.05</x:v>
      </x:c>
      <x:c r="D723" s="60" t="n">
        <x:v>0.05</x:v>
      </x:c>
      <x:c r="E723" s="62" t="b">
        <x:v>1</x:v>
      </x:c>
      <x:c r="F723" s="62" t="b">
        <x:v>1</x:v>
      </x:c>
      <x:c r="G723" s="85" t="n">
        <x:v>0</x:v>
      </x:c>
      <x:c r="H723" s="85" t="n">
        <x:v>0</x:v>
      </x:c>
      <x:c r="I723" s="85" t="n">
        <x:v>0</x:v>
      </x:c>
      <x:c r="J723" s="85" t="n">
        <x:v>0</x:v>
      </x:c>
      <x:c r="K723" s="85" t="n">
        <x:v>3015687.5063387197</x:v>
      </x:c>
      <x:c r="L723" s="28" t="n">
        <x:v>0</x:v>
      </x:c>
      <x:c r="M723" s="28" t="n">
        <x:v>0</x:v>
      </x:c>
      <x:c r="N723" s="28" t="n">
        <x:v>4.656612873077393e-10</x:v>
      </x:c>
      <x:c r="O723" s="28" t="n">
        <x:v>7.450580596923828e-9</x:v>
      </x:c>
      <x:c r="P723" s="28" t="n">
        <x:v>0</x:v>
      </x:c>
      <x:c r="Q723" s="62" t="b">
        <x:v>1</x:v>
      </x:c>
      <x:c r="R723" s="28" t="n">
        <x:v>0</x:v>
      </x:c>
      <x:c r="S723" s="28" t="str">
        <x:v>e09079f3ee1207f1</x:v>
      </x:c>
    </x:row>
    <x:row r="724" ht="21" customHeight="1">
      <x:c r="A724" s="60" t="n">
        <x:v>0.62</x:v>
      </x:c>
      <x:c r="B724" s="28" t="str">
        <x:v>level_low</x:v>
      </x:c>
      <x:c r="C724" s="60" t="n">
        <x:v>0.1</x:v>
      </x:c>
      <x:c r="D724" s="60" t="n">
        <x:v>0.1</x:v>
      </x:c>
      <x:c r="E724" s="62" t="b">
        <x:v>1</x:v>
      </x:c>
      <x:c r="F724" s="62" t="b">
        <x:v>1</x:v>
      </x:c>
      <x:c r="G724" s="85" t="n">
        <x:v>0</x:v>
      </x:c>
      <x:c r="H724" s="85" t="n">
        <x:v>0</x:v>
      </x:c>
      <x:c r="I724" s="85" t="n">
        <x:v>0</x:v>
      </x:c>
      <x:c r="J724" s="85" t="n">
        <x:v>0</x:v>
      </x:c>
      <x:c r="K724" s="85" t="n">
        <x:v>1008128.6895667881</x:v>
      </x:c>
      <x:c r="L724" s="28" t="n">
        <x:v>0</x:v>
      </x:c>
      <x:c r="M724" s="28" t="n">
        <x:v>0</x:v>
      </x:c>
      <x:c r="N724" s="28" t="n">
        <x:v>2.3283064365386963e-10</x:v>
      </x:c>
      <x:c r="O724" s="28" t="n">
        <x:v>7.450580596923828e-9</x:v>
      </x:c>
      <x:c r="P724" s="28" t="n">
        <x:v>0</x:v>
      </x:c>
      <x:c r="Q724" s="62" t="b">
        <x:v>1</x:v>
      </x:c>
      <x:c r="R724" s="28" t="n">
        <x:v>0</x:v>
      </x:c>
      <x:c r="S724" s="28" t="str">
        <x:v>d0051f18b754349e</x:v>
      </x:c>
    </x:row>
    <x:row r="725" ht="21" customHeight="1">
      <x:c r="A725" s="60" t="n">
        <x:v>0.62</x:v>
      </x:c>
      <x:c r="B725" s="28" t="str">
        <x:v>level_low</x:v>
      </x:c>
      <x:c r="C725" s="60" t="n">
        <x:v>0.15</x:v>
      </x:c>
      <x:c r="D725" s="60" t="n">
        <x:v>0.15</x:v>
      </x:c>
      <x:c r="E725" s="62" t="b">
        <x:v>1</x:v>
      </x:c>
      <x:c r="F725" s="62" t="b">
        <x:v>1</x:v>
      </x:c>
      <x:c r="G725" s="85" t="n">
        <x:v>0</x:v>
      </x:c>
      <x:c r="H725" s="85" t="n">
        <x:v>0</x:v>
      </x:c>
      <x:c r="I725" s="85" t="n">
        <x:v>765736.3811213854</x:v>
      </x:c>
      <x:c r="J725" s="85" t="n">
        <x:v>0</x:v>
      </x:c>
      <x:c r="K725" s="85" t="n">
        <x:v>5578.820835616425</x:v>
      </x:c>
      <x:c r="L725" s="28" t="n">
        <x:v>0</x:v>
      </x:c>
      <x:c r="M725" s="28" t="n">
        <x:v>0</x:v>
      </x:c>
      <x:c r="N725" s="28" t="n">
        <x:v>2.3283064365386963e-10</x:v>
      </x:c>
      <x:c r="O725" s="28" t="n">
        <x:v>7.450580596923828e-9</x:v>
      </x:c>
      <x:c r="P725" s="28" t="n">
        <x:v>0</x:v>
      </x:c>
      <x:c r="Q725" s="62" t="b">
        <x:v>1</x:v>
      </x:c>
      <x:c r="R725" s="28" t="n">
        <x:v>0</x:v>
      </x:c>
      <x:c r="S725" s="28" t="str">
        <x:v>edc3d2a1cdcae8c9</x:v>
      </x:c>
    </x:row>
    <x:row r="726" ht="21" customHeight="1">
      <x:c r="A726" s="60" t="n">
        <x:v>0.62</x:v>
      </x:c>
      <x:c r="B726" s="28" t="str">
        <x:v>level_low</x:v>
      </x:c>
      <x:c r="C726" s="60" t="n">
        <x:v>0.2</x:v>
      </x:c>
      <x:c r="D726" s="60" t="n">
        <x:v>0.2</x:v>
      </x:c>
      <x:c r="E726" s="62" t="b">
        <x:v>1</x:v>
      </x:c>
      <x:c r="F726" s="62" t="b">
        <x:v>1</x:v>
      </x:c>
      <x:c r="G726" s="85" t="n">
        <x:v>0</x:v>
      </x:c>
      <x:c r="H726" s="85" t="n">
        <x:v>0</x:v>
      </x:c>
      <x:c r="I726" s="85" t="n">
        <x:v>1912915.1925862546</x:v>
      </x:c>
      <x:c r="J726" s="85" t="n">
        <x:v>1248509.6821693014</x:v>
      </x:c>
      <x:c r="K726" s="85" t="n">
        <x:v>2188.3566575339937</x:v>
      </x:c>
      <x:c r="L726" s="28" t="n">
        <x:v>0</x:v>
      </x:c>
      <x:c r="M726" s="28" t="n">
        <x:v>0</x:v>
      </x:c>
      <x:c r="N726" s="28" t="n">
        <x:v>4.656612873077393e-10</x:v>
      </x:c>
      <x:c r="O726" s="28" t="n">
        <x:v>7.450580596923828e-9</x:v>
      </x:c>
      <x:c r="P726" s="28" t="n">
        <x:v>0</x:v>
      </x:c>
      <x:c r="Q726" s="62" t="b">
        <x:v>1</x:v>
      </x:c>
      <x:c r="R726" s="28" t="n">
        <x:v>0</x:v>
      </x:c>
      <x:c r="S726" s="28" t="str">
        <x:v>eea8501fb43454ee</x:v>
      </x:c>
    </x:row>
    <x:row r="727" ht="21" customHeight="1">
      <x:c r="A727" s="60" t="n">
        <x:v>0.62</x:v>
      </x:c>
      <x:c r="B727" s="28" t="str">
        <x:v>level_low</x:v>
      </x:c>
      <x:c r="C727" s="60" t="n">
        <x:v>0.25</x:v>
      </x:c>
      <x:c r="D727" s="60" t="n">
        <x:v>0.25</x:v>
      </x:c>
      <x:c r="E727" s="62" t="b">
        <x:v>1</x:v>
      </x:c>
      <x:c r="F727" s="62" t="b">
        <x:v>1</x:v>
      </x:c>
      <x:c r="G727" s="85" t="n">
        <x:v>0</x:v>
      </x:c>
      <x:c r="H727" s="85" t="n">
        <x:v>0</x:v>
      </x:c>
      <x:c r="I727" s="85" t="n">
        <x:v>2703332.97621878</x:v>
      </x:c>
      <x:c r="J727" s="85" t="n">
        <x:v>2954237.1027116347</x:v>
      </x:c>
      <x:c r="K727" s="85" t="n">
        <x:v>0</x:v>
      </x:c>
      <x:c r="L727" s="28" t="n">
        <x:v>0</x:v>
      </x:c>
      <x:c r="M727" s="28" t="n">
        <x:v>0</x:v>
      </x:c>
      <x:c r="N727" s="28" t="n">
        <x:v>4.656612873077393e-10</x:v>
      </x:c>
      <x:c r="O727" s="28" t="n">
        <x:v>7.450580596923828e-9</x:v>
      </x:c>
      <x:c r="P727" s="28" t="n">
        <x:v>0</x:v>
      </x:c>
      <x:c r="Q727" s="62" t="b">
        <x:v>1</x:v>
      </x:c>
      <x:c r="R727" s="28" t="n">
        <x:v>0</x:v>
      </x:c>
      <x:c r="S727" s="28" t="str">
        <x:v>1b51dbd7fa489e0c</x:v>
      </x:c>
    </x:row>
    <x:row r="728" ht="21" customHeight="1">
      <x:c r="A728" s="60" t="n">
        <x:v>0.62</x:v>
      </x:c>
      <x:c r="B728" s="28" t="str">
        <x:v>level_low</x:v>
      </x:c>
      <x:c r="C728" s="60" t="n">
        <x:v>0.3</x:v>
      </x:c>
      <x:c r="D728" s="60" t="n">
        <x:v>0.3</x:v>
      </x:c>
      <x:c r="E728" s="62" t="b">
        <x:v>1</x:v>
      </x:c>
      <x:c r="F728" s="62" t="b">
        <x:v>1</x:v>
      </x:c>
      <x:c r="G728" s="85" t="n">
        <x:v>0</x:v>
      </x:c>
      <x:c r="H728" s="85" t="n">
        <x:v>0</x:v>
      </x:c>
      <x:c r="I728" s="85" t="n">
        <x:v>3504403.1627830756</x:v>
      </x:c>
      <x:c r="J728" s="85" t="n">
        <x:v>4659964.523253947</x:v>
      </x:c>
      <x:c r="K728" s="85" t="n">
        <x:v>0</x:v>
      </x:c>
      <x:c r="L728" s="28" t="n">
        <x:v>0</x:v>
      </x:c>
      <x:c r="M728" s="28" t="n">
        <x:v>0</x:v>
      </x:c>
      <x:c r="N728" s="28" t="n">
        <x:v>4.656612873077393e-10</x:v>
      </x:c>
      <x:c r="O728" s="28" t="n">
        <x:v>7.450580596923828e-9</x:v>
      </x:c>
      <x:c r="P728" s="28" t="n">
        <x:v>0</x:v>
      </x:c>
      <x:c r="Q728" s="62" t="b">
        <x:v>1</x:v>
      </x:c>
      <x:c r="R728" s="28" t="n">
        <x:v>0</x:v>
      </x:c>
      <x:c r="S728" s="28" t="str">
        <x:v>1169756d26d2fa5f</x:v>
      </x:c>
    </x:row>
    <x:row r="729" ht="21" customHeight="1">
      <x:c r="A729" s="60" t="n">
        <x:v>0.62</x:v>
      </x:c>
      <x:c r="B729" s="28" t="str">
        <x:v>level_low</x:v>
      </x:c>
      <x:c r="C729" s="60" t="n">
        <x:v>0.35</x:v>
      </x:c>
      <x:c r="D729" s="60" t="n">
        <x:v>0.35</x:v>
      </x:c>
      <x:c r="E729" s="62" t="b">
        <x:v>1</x:v>
      </x:c>
      <x:c r="F729" s="62" t="b">
        <x:v>1</x:v>
      </x:c>
      <x:c r="G729" s="85" t="n">
        <x:v>0</x:v>
      </x:c>
      <x:c r="H729" s="85" t="n">
        <x:v>0</x:v>
      </x:c>
      <x:c r="I729" s="85" t="n">
        <x:v>4305473.349347379</x:v>
      </x:c>
      <x:c r="J729" s="85" t="n">
        <x:v>6365691.943796267</x:v>
      </x:c>
      <x:c r="K729" s="85" t="n">
        <x:v>0</x:v>
      </x:c>
      <x:c r="L729" s="28" t="n">
        <x:v>0</x:v>
      </x:c>
      <x:c r="M729" s="28" t="n">
        <x:v>0</x:v>
      </x:c>
      <x:c r="N729" s="28" t="n">
        <x:v>9.313225746154785e-10</x:v>
      </x:c>
      <x:c r="O729" s="28" t="n">
        <x:v>7.450580596923828e-9</x:v>
      </x:c>
      <x:c r="P729" s="28" t="n">
        <x:v>0</x:v>
      </x:c>
      <x:c r="Q729" s="62" t="b">
        <x:v>1</x:v>
      </x:c>
      <x:c r="R729" s="28" t="n">
        <x:v>0</x:v>
      </x:c>
      <x:c r="S729" s="28" t="str">
        <x:v>aa63741825882af0</x:v>
      </x:c>
    </x:row>
    <x:row r="730" ht="21" customHeight="1">
      <x:c r="A730" s="60" t="n">
        <x:v>0.62</x:v>
      </x:c>
      <x:c r="B730" s="28" t="str">
        <x:v>level_low</x:v>
      </x:c>
      <x:c r="C730" s="60" t="n">
        <x:v>0.4</x:v>
      </x:c>
      <x:c r="D730" s="60" t="n">
        <x:v>0.4</x:v>
      </x:c>
      <x:c r="E730" s="62" t="b">
        <x:v>1</x:v>
      </x:c>
      <x:c r="F730" s="62" t="b">
        <x:v>1</x:v>
      </x:c>
      <x:c r="G730" s="85" t="n">
        <x:v>0</x:v>
      </x:c>
      <x:c r="H730" s="85" t="n">
        <x:v>0</x:v>
      </x:c>
      <x:c r="I730" s="85" t="n">
        <x:v>5107372.000626924</x:v>
      </x:c>
      <x:c r="J730" s="85" t="n">
        <x:v>8071419.3643385945</x:v>
      </x:c>
      <x:c r="K730" s="85" t="n">
        <x:v>0</x:v>
      </x:c>
      <x:c r="L730" s="28" t="n">
        <x:v>0</x:v>
      </x:c>
      <x:c r="M730" s="28" t="n">
        <x:v>0</x:v>
      </x:c>
      <x:c r="N730" s="28" t="n">
        <x:v>9.313225746154785e-10</x:v>
      </x:c>
      <x:c r="O730" s="28" t="n">
        <x:v>7.450580596923828e-9</x:v>
      </x:c>
      <x:c r="P730" s="28" t="n">
        <x:v>0</x:v>
      </x:c>
      <x:c r="Q730" s="62" t="b">
        <x:v>1</x:v>
      </x:c>
      <x:c r="R730" s="28" t="n">
        <x:v>0</x:v>
      </x:c>
      <x:c r="S730" s="28" t="str">
        <x:v>fb58fbaf32b5c6d7</x:v>
      </x:c>
    </x:row>
    <x:row r="731" ht="21" customHeight="1">
      <x:c r="A731" s="60" t="n">
        <x:v>0.62</x:v>
      </x:c>
      <x:c r="B731" s="28" t="str">
        <x:v>level_low</x:v>
      </x:c>
      <x:c r="C731" s="60" t="n">
        <x:v>0.45</x:v>
      </x:c>
      <x:c r="D731" s="60" t="n">
        <x:v>0.45</x:v>
      </x:c>
      <x:c r="E731" s="62" t="b">
        <x:v>1</x:v>
      </x:c>
      <x:c r="F731" s="62" t="b">
        <x:v>1</x:v>
      </x:c>
      <x:c r="G731" s="85" t="n">
        <x:v>0</x:v>
      </x:c>
      <x:c r="H731" s="85" t="n">
        <x:v>0</x:v>
      </x:c>
      <x:c r="I731" s="85" t="n">
        <x:v>5906973.228157353</x:v>
      </x:c>
      <x:c r="J731" s="85" t="n">
        <x:v>9777146.78488093</x:v>
      </x:c>
      <x:c r="K731" s="85" t="n">
        <x:v>0</x:v>
      </x:c>
      <x:c r="L731" s="28" t="n">
        <x:v>0</x:v>
      </x:c>
      <x:c r="M731" s="28" t="n">
        <x:v>0</x:v>
      </x:c>
      <x:c r="N731" s="28" t="n">
        <x:v>9.313225746154785e-10</x:v>
      </x:c>
      <x:c r="O731" s="28" t="n">
        <x:v>3.725290298461914e-9</x:v>
      </x:c>
      <x:c r="P731" s="28" t="n">
        <x:v>0</x:v>
      </x:c>
      <x:c r="Q731" s="62" t="b">
        <x:v>1</x:v>
      </x:c>
      <x:c r="R731" s="28" t="n">
        <x:v>0</x:v>
      </x:c>
      <x:c r="S731" s="28" t="str">
        <x:v>90f27af96105f1c7</x:v>
      </x:c>
    </x:row>
    <x:row r="732" ht="21" customHeight="1">
      <x:c r="A732" s="60" t="n">
        <x:v>0.62</x:v>
      </x:c>
      <x:c r="B732" s="28" t="str">
        <x:v>level_low</x:v>
      </x:c>
      <x:c r="C732" s="60" t="n">
        <x:v>0.5</x:v>
      </x:c>
      <x:c r="D732" s="60" t="n">
        <x:v>0.5</x:v>
      </x:c>
      <x:c r="E732" s="62" t="b">
        <x:v>1</x:v>
      </x:c>
      <x:c r="F732" s="62" t="b">
        <x:v>1</x:v>
      </x:c>
      <x:c r="G732" s="85" t="n">
        <x:v>0</x:v>
      </x:c>
      <x:c r="H732" s="85" t="n">
        <x:v>0</x:v>
      </x:c>
      <x:c r="I732" s="85" t="n">
        <x:v>6927336.687036316</x:v>
      </x:c>
      <x:c r="J732" s="85" t="n">
        <x:v>11128452.651293015</x:v>
      </x:c>
      <x:c r="K732" s="85" t="n">
        <x:v>0</x:v>
      </x:c>
      <x:c r="L732" s="28" t="n">
        <x:v>5</x:v>
      </x:c>
      <x:c r="M732" s="28" t="n">
        <x:v>0</x:v>
      </x:c>
      <x:c r="N732" s="28" t="n">
        <x:v>2.3283064365386963e-10</x:v>
      </x:c>
      <x:c r="O732" s="28" t="n">
        <x:v>3.725290298461914e-9</x:v>
      </x:c>
      <x:c r="P732" s="28" t="n">
        <x:v>0</x:v>
      </x:c>
      <x:c r="Q732" s="62" t="b">
        <x:v>1</x:v>
      </x:c>
      <x:c r="R732" s="28" t="n">
        <x:v>0</x:v>
      </x:c>
      <x:c r="S732" s="28" t="str">
        <x:v>4cc68833e2188d10</x:v>
      </x:c>
    </x:row>
    <x:row r="733" ht="21" customHeight="1">
      <x:c r="A733" s="60" t="n">
        <x:v>0.62</x:v>
      </x:c>
      <x:c r="B733" s="28" t="str">
        <x:v>level_low</x:v>
      </x:c>
      <x:c r="C733" s="60" t="n">
        <x:v>0.55</x:v>
      </x:c>
      <x:c r="D733" s="60" t="n">
        <x:v>0.55</x:v>
      </x:c>
      <x:c r="E733" s="62" t="b">
        <x:v>1</x:v>
      </x:c>
      <x:c r="F733" s="62" t="b">
        <x:v>1</x:v>
      </x:c>
      <x:c r="G733" s="85" t="n">
        <x:v>0</x:v>
      </x:c>
      <x:c r="H733" s="85" t="n">
        <x:v>0</x:v>
      </x:c>
      <x:c r="I733" s="85" t="n">
        <x:v>7912888.183452093</x:v>
      </x:c>
      <x:c r="J733" s="85" t="n">
        <x:v>12509874.843108337</x:v>
      </x:c>
      <x:c r="K733" s="85" t="n">
        <x:v>0</x:v>
      </x:c>
      <x:c r="L733" s="28" t="n">
        <x:v>10</x:v>
      </x:c>
      <x:c r="M733" s="28" t="n">
        <x:v>0</x:v>
      </x:c>
      <x:c r="N733" s="28" t="n">
        <x:v>4.656612873077393e-10</x:v>
      </x:c>
      <x:c r="O733" s="28" t="n">
        <x:v>3.725290298461914e-9</x:v>
      </x:c>
      <x:c r="P733" s="28" t="n">
        <x:v>0</x:v>
      </x:c>
      <x:c r="Q733" s="62" t="b">
        <x:v>1</x:v>
      </x:c>
      <x:c r="R733" s="28" t="n">
        <x:v>0</x:v>
      </x:c>
      <x:c r="S733" s="28" t="str">
        <x:v>8ea6a20e9c628d5c</x:v>
      </x:c>
    </x:row>
    <x:row r="734" ht="21" customHeight="1">
      <x:c r="A734" s="60" t="n">
        <x:v>0.62</x:v>
      </x:c>
      <x:c r="B734" s="28" t="str">
        <x:v>level_low</x:v>
      </x:c>
      <x:c r="C734" s="60" t="n">
        <x:v>0.6</x:v>
      </x:c>
      <x:c r="D734" s="60" t="n">
        <x:v>0.6</x:v>
      </x:c>
      <x:c r="E734" s="62" t="b">
        <x:v>1</x:v>
      </x:c>
      <x:c r="F734" s="62" t="b">
        <x:v>1</x:v>
      </x:c>
      <x:c r="G734" s="85" t="n">
        <x:v>0</x:v>
      </x:c>
      <x:c r="H734" s="85" t="n">
        <x:v>0</x:v>
      </x:c>
      <x:c r="I734" s="85" t="n">
        <x:v>8802302.412962621</x:v>
      </x:c>
      <x:c r="J734" s="85" t="n">
        <x:v>14031772.3534836</x:v>
      </x:c>
      <x:c r="K734" s="85" t="n">
        <x:v>0</x:v>
      </x:c>
      <x:c r="L734" s="28" t="n">
        <x:v>14</x:v>
      </x:c>
      <x:c r="M734" s="28" t="n">
        <x:v>0</x:v>
      </x:c>
      <x:c r="N734" s="28" t="n">
        <x:v>4.656612873077393e-10</x:v>
      </x:c>
      <x:c r="O734" s="28" t="n">
        <x:v>7.450580596923828e-9</x:v>
      </x:c>
      <x:c r="P734" s="28" t="n">
        <x:v>0</x:v>
      </x:c>
      <x:c r="Q734" s="62" t="b">
        <x:v>1</x:v>
      </x:c>
      <x:c r="R734" s="28" t="n">
        <x:v>0</x:v>
      </x:c>
      <x:c r="S734" s="28" t="str">
        <x:v>dd287b095542dc7f</x:v>
      </x:c>
    </x:row>
    <x:row r="735" ht="21" customHeight="1">
      <x:c r="A735" s="60" t="n">
        <x:v>0.62</x:v>
      </x:c>
      <x:c r="B735" s="28" t="str">
        <x:v>level_low</x:v>
      </x:c>
      <x:c r="C735" s="60" t="n">
        <x:v>0.65</x:v>
      </x:c>
      <x:c r="D735" s="60" t="n">
        <x:v>0.65</x:v>
      </x:c>
      <x:c r="E735" s="62" t="b">
        <x:v>1</x:v>
      </x:c>
      <x:c r="F735" s="62" t="b">
        <x:v>0</x:v>
      </x:c>
      <x:c r="G735" s="85" t="n">
        <x:v>8392.520945142813</x:v>
      </x:c>
      <x:c r="H735" s="85" t="n">
        <x:v>135711.0643707747</x:v>
      </x:c>
      <x:c r="I735" s="85" t="n">
        <x:v>9509803.893536096</x:v>
      </x:c>
      <x:c r="J735" s="85" t="n">
        <x:v>15608320.000000002</x:v>
      </x:c>
      <x:c r="K735" s="85" t="n">
        <x:v>0</x:v>
      </x:c>
      <x:c r="L735" s="28" t="n">
        <x:v>39</x:v>
      </x:c>
      <x:c r="M735" s="28" t="n">
        <x:v>22</x:v>
      </x:c>
      <x:c r="N735" s="28" t="n">
        <x:v>4.656612873077393e-10</x:v>
      </x:c>
      <x:c r="O735" s="28" t="n">
        <x:v>3.725290298461914e-9</x:v>
      </x:c>
      <x:c r="P735" s="28" t="n">
        <x:v>0</x:v>
      </x:c>
      <x:c r="Q735" s="62" t="b">
        <x:v>1</x:v>
      </x:c>
      <x:c r="R735" s="28" t="n">
        <x:v>0</x:v>
      </x:c>
      <x:c r="S735" s="28" t="str">
        <x:v>a0983d66aeef1280</x:v>
      </x:c>
    </x:row>
    <x:row r="736" ht="21" customHeight="1">
      <x:c r="A736" s="60" t="n">
        <x:v>0.62</x:v>
      </x:c>
      <x:c r="B736" s="28" t="str">
        <x:v>level_low</x:v>
      </x:c>
      <x:c r="C736" s="60" t="n">
        <x:v>0.7</x:v>
      </x:c>
      <x:c r="D736" s="60" t="n">
        <x:v>0.7</x:v>
      </x:c>
      <x:c r="E736" s="62" t="b">
        <x:v>1</x:v>
      </x:c>
      <x:c r="F736" s="62" t="b">
        <x:v>0</x:v>
      </x:c>
      <x:c r="G736" s="85" t="n">
        <x:v>160344.8545404773</x:v>
      </x:c>
      <x:c r="H736" s="85" t="n">
        <x:v>1997266.4544242164</x:v>
      </x:c>
      <x:c r="I736" s="85" t="n">
        <x:v>9681244.218366163</x:v>
      </x:c>
      <x:c r="J736" s="85" t="n">
        <x:v>15608320.000000002</x:v>
      </x:c>
      <x:c r="K736" s="85" t="n">
        <x:v>0</x:v>
      </x:c>
      <x:c r="L736" s="28" t="n">
        <x:v>40</x:v>
      </x:c>
      <x:c r="M736" s="28" t="n">
        <x:v>30</x:v>
      </x:c>
      <x:c r="N736" s="28" t="n">
        <x:v>4.656612873077393e-10</x:v>
      </x:c>
      <x:c r="O736" s="28" t="n">
        <x:v>3.725290298461914e-9</x:v>
      </x:c>
      <x:c r="P736" s="28" t="n">
        <x:v>0</x:v>
      </x:c>
      <x:c r="Q736" s="62" t="b">
        <x:v>1</x:v>
      </x:c>
      <x:c r="R736" s="28" t="n">
        <x:v>0</x:v>
      </x:c>
      <x:c r="S736" s="28" t="str">
        <x:v>8cfc95bfa0b97c5d</x:v>
      </x:c>
    </x:row>
    <x:row r="737" ht="21" customHeight="1">
      <x:c r="A737" s="60" t="n">
        <x:v>0.62</x:v>
      </x:c>
      <x:c r="B737" s="28" t="str">
        <x:v>level_low</x:v>
      </x:c>
      <x:c r="C737" s="60" t="n">
        <x:v>0.75</x:v>
      </x:c>
      <x:c r="D737" s="60" t="n">
        <x:v>0.75</x:v>
      </x:c>
      <x:c r="E737" s="62" t="b">
        <x:v>1</x:v>
      </x:c>
      <x:c r="F737" s="62" t="b">
        <x:v>0</x:v>
      </x:c>
      <x:c r="G737" s="85" t="n">
        <x:v>308720.0153794026</x:v>
      </x:c>
      <x:c r="H737" s="85" t="n">
        <x:v>3842207.326297185</x:v>
      </x:c>
      <x:c r="I737" s="85" t="n">
        <x:v>9866661.582159245</x:v>
      </x:c>
      <x:c r="J737" s="85" t="n">
        <x:v>15608320.000000002</x:v>
      </x:c>
      <x:c r="K737" s="85" t="n">
        <x:v>0</x:v>
      </x:c>
      <x:c r="L737" s="28" t="n">
        <x:v>41</x:v>
      </x:c>
      <x:c r="M737" s="28" t="n">
        <x:v>31</x:v>
      </x:c>
      <x:c r="N737" s="28" t="n">
        <x:v>4.656612873077393e-10</x:v>
      </x:c>
      <x:c r="O737" s="28" t="n">
        <x:v>3.725290298461914e-9</x:v>
      </x:c>
      <x:c r="P737" s="28" t="n">
        <x:v>0</x:v>
      </x:c>
      <x:c r="Q737" s="62" t="b">
        <x:v>1</x:v>
      </x:c>
      <x:c r="R737" s="28" t="n">
        <x:v>0</x:v>
      </x:c>
      <x:c r="S737" s="28" t="str">
        <x:v>11f1b009e147df47</x:v>
      </x:c>
    </x:row>
    <x:row r="738" ht="21" customHeight="1">
      <x:c r="A738" s="60" t="n">
        <x:v>0.62</x:v>
      </x:c>
      <x:c r="B738" s="28" t="str">
        <x:v>level_low</x:v>
      </x:c>
      <x:c r="C738" s="60" t="n">
        <x:v>0.8</x:v>
      </x:c>
      <x:c r="D738" s="60" t="n">
        <x:v>0.8</x:v>
      </x:c>
      <x:c r="E738" s="62" t="b">
        <x:v>1</x:v>
      </x:c>
      <x:c r="F738" s="62" t="b">
        <x:v>0</x:v>
      </x:c>
      <x:c r="G738" s="85" t="n">
        <x:v>482895.50541462604</x:v>
      </x:c>
      <x:c r="H738" s="85" t="n">
        <x:v>5661635.475759206</x:v>
      </x:c>
      <x:c r="I738" s="85" t="n">
        <x:v>10039600.229697533</x:v>
      </x:c>
      <x:c r="J738" s="85" t="n">
        <x:v>15608320.000000002</x:v>
      </x:c>
      <x:c r="K738" s="85" t="n">
        <x:v>0</x:v>
      </x:c>
      <x:c r="L738" s="28" t="n">
        <x:v>42</x:v>
      </x:c>
      <x:c r="M738" s="28" t="n">
        <x:v>32</x:v>
      </x:c>
      <x:c r="N738" s="28" t="n">
        <x:v>2.3283064365386963e-10</x:v>
      </x:c>
      <x:c r="O738" s="28" t="n">
        <x:v>3.725290298461914e-9</x:v>
      </x:c>
      <x:c r="P738" s="28" t="n">
        <x:v>0</x:v>
      </x:c>
      <x:c r="Q738" s="62" t="b">
        <x:v>1</x:v>
      </x:c>
      <x:c r="R738" s="28" t="n">
        <x:v>0</x:v>
      </x:c>
      <x:c r="S738" s="28" t="str">
        <x:v>7cdeca506c6027f4</x:v>
      </x:c>
    </x:row>
    <x:row r="739" ht="21" customHeight="1">
      <x:c r="A739" s="60" t="n">
        <x:v>0.62</x:v>
      </x:c>
      <x:c r="B739" s="28" t="str">
        <x:v>level_low</x:v>
      </x:c>
      <x:c r="C739" s="60" t="n">
        <x:v>0.85</x:v>
      </x:c>
      <x:c r="D739" s="60" t="n">
        <x:v>0.85</x:v>
      </x:c>
      <x:c r="E739" s="62" t="b">
        <x:v>1</x:v>
      </x:c>
      <x:c r="F739" s="62" t="b">
        <x:v>0</x:v>
      </x:c>
      <x:c r="G739" s="85" t="n">
        <x:v>675185.6767961197</x:v>
      </x:c>
      <x:c r="H739" s="85" t="n">
        <x:v>7601314.903332652</x:v>
      </x:c>
      <x:c r="I739" s="85" t="n">
        <x:v>10061406.824046781</x:v>
      </x:c>
      <x:c r="J739" s="85" t="n">
        <x:v>15608320.000000002</x:v>
      </x:c>
      <x:c r="K739" s="85" t="n">
        <x:v>0</x:v>
      </x:c>
      <x:c r="L739" s="28" t="n">
        <x:v>42</x:v>
      </x:c>
      <x:c r="M739" s="28" t="n">
        <x:v>33</x:v>
      </x:c>
      <x:c r="N739" s="28" t="n">
        <x:v>4.656612873077393e-10</x:v>
      </x:c>
      <x:c r="O739" s="28" t="n">
        <x:v>3.725290298461914e-9</x:v>
      </x:c>
      <x:c r="P739" s="28" t="n">
        <x:v>0</x:v>
      </x:c>
      <x:c r="Q739" s="62" t="b">
        <x:v>1</x:v>
      </x:c>
      <x:c r="R739" s="28" t="n">
        <x:v>0</x:v>
      </x:c>
      <x:c r="S739" s="28" t="str">
        <x:v>b5c408c7a0fdd14b</x:v>
      </x:c>
    </x:row>
    <x:row r="740" ht="21" customHeight="1">
      <x:c r="A740" s="60" t="n">
        <x:v>0.62</x:v>
      </x:c>
      <x:c r="B740" s="28" t="str">
        <x:v>level_low</x:v>
      </x:c>
      <x:c r="C740" s="60" t="n">
        <x:v>0.9</x:v>
      </x:c>
      <x:c r="D740" s="60" t="n">
        <x:v>0.8949513562027351</x:v>
      </x:c>
      <x:c r="E740" s="62" t="b">
        <x:v>0</x:v>
      </x:c>
      <x:c r="F740" s="62" t="b">
        <x:v>0</x:v>
      </x:c>
      <x:c r="G740" s="85" t="n">
        <x:v>1018101.0068781489</x:v>
      </x:c>
      <x:c r="H740" s="85" t="n">
        <x:v>8926634.497838631</x:v>
      </x:c>
      <x:c r="I740" s="85" t="n">
        <x:v>10238079.502109589</x:v>
      </x:c>
      <x:c r="J740" s="85" t="n">
        <x:v>15608320.000000002</x:v>
      </x:c>
      <x:c r="K740" s="85" t="n">
        <x:v>0</x:v>
      </x:c>
      <x:c r="L740" s="28" t="n">
        <x:v>43</x:v>
      </x:c>
      <x:c r="M740" s="28" t="n">
        <x:v>34</x:v>
      </x:c>
      <x:c r="N740" s="28" t="n">
        <x:v>4.656612873077393e-10</x:v>
      </x:c>
      <x:c r="O740" s="28" t="n">
        <x:v>3.725290298461914e-9</x:v>
      </x:c>
      <x:c r="P740" s="28" t="n">
        <x:v>0</x:v>
      </x:c>
      <x:c r="Q740" s="62" t="b">
        <x:v>1</x:v>
      </x:c>
      <x:c r="R740" s="28" t="n">
        <x:v>281431.5998347327</x:v>
      </x:c>
      <x:c r="S740" s="28" t="str">
        <x:v>e0003f71a17cffa1</x:v>
      </x:c>
    </x:row>
    <x:row r="741" ht="21" customHeight="1">
      <x:c r="A741" s="60" t="n">
        <x:v>0.62</x:v>
      </x:c>
      <x:c r="B741" s="28" t="str">
        <x:v>level_low</x:v>
      </x:c>
      <x:c r="C741" s="60" t="n">
        <x:v>0.95</x:v>
      </x:c>
      <x:c r="D741" s="60" t="n">
        <x:v>0.9109811515371262</x:v>
      </x:c>
      <x:c r="E741" s="62" t="b">
        <x:v>0</x:v>
      </x:c>
      <x:c r="F741" s="62" t="b">
        <x:v>0</x:v>
      </x:c>
      <x:c r="G741" s="85" t="n">
        <x:v>1101922.2919805732</x:v>
      </x:c>
      <x:c r="H741" s="85" t="n">
        <x:v>9661573.340049228</x:v>
      </x:c>
      <x:c r="I741" s="85" t="n">
        <x:v>10254102.583684932</x:v>
      </x:c>
      <x:c r="J741" s="85" t="n">
        <x:v>15608320.000000002</x:v>
      </x:c>
      <x:c r="K741" s="85" t="n">
        <x:v>0</x:v>
      </x:c>
      <x:c r="L741" s="28" t="n">
        <x:v>43</x:v>
      </x:c>
      <x:c r="M741" s="28" t="n">
        <x:v>35</x:v>
      </x:c>
      <x:c r="N741" s="28" t="n">
        <x:v>2.3283064365386963e-10</x:v>
      </x:c>
      <x:c r="O741" s="28" t="n">
        <x:v>3.725290298461914e-9</x:v>
      </x:c>
      <x:c r="P741" s="28" t="n">
        <x:v>0</x:v>
      </x:c>
      <x:c r="Q741" s="62" t="b">
        <x:v>1</x:v>
      </x:c>
      <x:c r="R741" s="28" t="n">
        <x:v>2175066.688714437</x:v>
      </x:c>
      <x:c r="S741" s="28" t="str">
        <x:v>9f2b51e973329026</x:v>
      </x:c>
    </x:row>
    <x:row r="742" ht="21" customHeight="1">
      <x:c r="A742" s="60" t="n">
        <x:v>0.62</x:v>
      </x:c>
      <x:c r="B742" s="28" t="str">
        <x:v>level_low</x:v>
      </x:c>
      <x:c r="C742" s="60" t="n">
        <x:v>1</x:v>
      </x:c>
      <x:c r="D742" s="60" t="n">
        <x:v>0.9258453085724337</x:v>
      </x:c>
      <x:c r="E742" s="62" t="b">
        <x:v>0</x:v>
      </x:c>
      <x:c r="F742" s="62" t="b">
        <x:v>0</x:v>
      </x:c>
      <x:c r="G742" s="85" t="n">
        <x:v>1203480.9146925386</x:v>
      </x:c>
      <x:c r="H742" s="85" t="n">
        <x:v>10126807.613776343</x:v>
      </x:c>
      <x:c r="I742" s="85" t="n">
        <x:v>10418667.623835616</x:v>
      </x:c>
      <x:c r="J742" s="85" t="n">
        <x:v>15608320.000000002</x:v>
      </x:c>
      <x:c r="K742" s="85" t="n">
        <x:v>0</x:v>
      </x:c>
      <x:c r="L742" s="28" t="n">
        <x:v>44</x:v>
      </x:c>
      <x:c r="M742" s="28" t="n">
        <x:v>36</x:v>
      </x:c>
      <x:c r="N742" s="28" t="n">
        <x:v>2.3283064365386963e-10</x:v>
      </x:c>
      <x:c r="O742" s="28" t="n">
        <x:v>1.862645149230957e-9</x:v>
      </x:c>
      <x:c r="P742" s="28" t="n">
        <x:v>0</x:v>
      </x:c>
      <x:c r="Q742" s="62" t="b">
        <x:v>1</x:v>
      </x:c>
      <x:c r="R742" s="28" t="n">
        <x:v>4133679.1189382523</x:v>
      </x:c>
      <x:c r="S742" s="28" t="str">
        <x:v>cfe23e7806cc7a37</x:v>
      </x:c>
    </x:row>
    <x:row r="743" ht="21" customHeight="1">
      <x:c r="A743" s="60" t="n">
        <x:v>0.62</x:v>
      </x:c>
      <x:c r="B743" s="28" t="str">
        <x:v>level_high</x:v>
      </x:c>
      <x:c r="C743" s="60" t="n">
        <x:v>0</x:v>
      </x:c>
      <x:c r="D743" s="60" t="n">
        <x:v>0</x:v>
      </x:c>
      <x:c r="E743" s="62" t="b">
        <x:v>1</x:v>
      </x:c>
      <x:c r="F743" s="62" t="b">
        <x:v>1</x:v>
      </x:c>
      <x:c r="G743" s="85" t="n">
        <x:v>0</x:v>
      </x:c>
      <x:c r="H743" s="85" t="n">
        <x:v>0</x:v>
      </x:c>
      <x:c r="I743" s="85" t="n">
        <x:v>0</x:v>
      </x:c>
      <x:c r="J743" s="85" t="n">
        <x:v>0</x:v>
      </x:c>
      <x:c r="K743" s="85" t="n">
        <x:v>6712462.148383557</x:v>
      </x:c>
      <x:c r="L743" s="28" t="n">
        <x:v>0</x:v>
      </x:c>
      <x:c r="M743" s="28" t="n">
        <x:v>0</x:v>
      </x:c>
      <x:c r="N743" s="28" t="n">
        <x:v>4.656612873077393e-10</x:v>
      </x:c>
      <x:c r="O743" s="28" t="n">
        <x:v>0</x:v>
      </x:c>
      <x:c r="P743" s="28" t="n">
        <x:v>0</x:v>
      </x:c>
      <x:c r="Q743" s="62" t="b">
        <x:v>1</x:v>
      </x:c>
      <x:c r="R743" s="28" t="n">
        <x:v>0</x:v>
      </x:c>
      <x:c r="S743" s="28" t="str">
        <x:v>34b774acbe925a1e</x:v>
      </x:c>
    </x:row>
    <x:row r="744" ht="21" customHeight="1">
      <x:c r="A744" s="60" t="n">
        <x:v>0.62</x:v>
      </x:c>
      <x:c r="B744" s="28" t="str">
        <x:v>level_high</x:v>
      </x:c>
      <x:c r="C744" s="60" t="n">
        <x:v>0.05</x:v>
      </x:c>
      <x:c r="D744" s="60" t="n">
        <x:v>0.05</x:v>
      </x:c>
      <x:c r="E744" s="62" t="b">
        <x:v>1</x:v>
      </x:c>
      <x:c r="F744" s="62" t="b">
        <x:v>1</x:v>
      </x:c>
      <x:c r="G744" s="85" t="n">
        <x:v>0</x:v>
      </x:c>
      <x:c r="H744" s="85" t="n">
        <x:v>0</x:v>
      </x:c>
      <x:c r="I744" s="85" t="n">
        <x:v>0</x:v>
      </x:c>
      <x:c r="J744" s="85" t="n">
        <x:v>0</x:v>
      </x:c>
      <x:c r="K744" s="85" t="n">
        <x:v>4214412.79405172</x:v>
      </x:c>
      <x:c r="L744" s="28" t="n">
        <x:v>0</x:v>
      </x:c>
      <x:c r="M744" s="28" t="n">
        <x:v>0</x:v>
      </x:c>
      <x:c r="N744" s="28" t="n">
        <x:v>9.313225746154785e-10</x:v>
      </x:c>
      <x:c r="O744" s="28" t="n">
        <x:v>7.450580596923828e-9</x:v>
      </x:c>
      <x:c r="P744" s="28" t="n">
        <x:v>0</x:v>
      </x:c>
      <x:c r="Q744" s="62" t="b">
        <x:v>1</x:v>
      </x:c>
      <x:c r="R744" s="28" t="n">
        <x:v>0</x:v>
      </x:c>
      <x:c r="S744" s="28" t="str">
        <x:v>132e442699cc7955</x:v>
      </x:c>
    </x:row>
    <x:row r="745" ht="21" customHeight="1">
      <x:c r="A745" s="60" t="n">
        <x:v>0.62</x:v>
      </x:c>
      <x:c r="B745" s="28" t="str">
        <x:v>level_high</x:v>
      </x:c>
      <x:c r="C745" s="60" t="n">
        <x:v>0.1</x:v>
      </x:c>
      <x:c r="D745" s="60" t="n">
        <x:v>0.1</x:v>
      </x:c>
      <x:c r="E745" s="62" t="b">
        <x:v>1</x:v>
      </x:c>
      <x:c r="F745" s="62" t="b">
        <x:v>1</x:v>
      </x:c>
      <x:c r="G745" s="85" t="n">
        <x:v>0</x:v>
      </x:c>
      <x:c r="H745" s="85" t="n">
        <x:v>0</x:v>
      </x:c>
      <x:c r="I745" s="85" t="n">
        <x:v>0</x:v>
      </x:c>
      <x:c r="J745" s="85" t="n">
        <x:v>0</x:v>
      </x:c>
      <x:c r="K745" s="85" t="n">
        <x:v>1716208.542725829</x:v>
      </x:c>
      <x:c r="L745" s="28" t="n">
        <x:v>0</x:v>
      </x:c>
      <x:c r="M745" s="28" t="n">
        <x:v>0</x:v>
      </x:c>
      <x:c r="N745" s="28" t="n">
        <x:v>4.656612873077393e-10</x:v>
      </x:c>
      <x:c r="O745" s="28" t="n">
        <x:v>7.450580596923828e-9</x:v>
      </x:c>
      <x:c r="P745" s="28" t="n">
        <x:v>0</x:v>
      </x:c>
      <x:c r="Q745" s="62" t="b">
        <x:v>1</x:v>
      </x:c>
      <x:c r="R745" s="28" t="n">
        <x:v>0</x:v>
      </x:c>
      <x:c r="S745" s="28" t="str">
        <x:v>85c3521fb97776a5</x:v>
      </x:c>
    </x:row>
    <x:row r="746" ht="21" customHeight="1">
      <x:c r="A746" s="60" t="n">
        <x:v>0.62</x:v>
      </x:c>
      <x:c r="B746" s="28" t="str">
        <x:v>level_high</x:v>
      </x:c>
      <x:c r="C746" s="60" t="n">
        <x:v>0.15</x:v>
      </x:c>
      <x:c r="D746" s="60" t="n">
        <x:v>0.15</x:v>
      </x:c>
      <x:c r="E746" s="62" t="b">
        <x:v>1</x:v>
      </x:c>
      <x:c r="F746" s="62" t="b">
        <x:v>1</x:v>
      </x:c>
      <x:c r="G746" s="85" t="n">
        <x:v>0</x:v>
      </x:c>
      <x:c r="H746" s="85" t="n">
        <x:v>0</x:v>
      </x:c>
      <x:c r="I746" s="85" t="n">
        <x:v>981782.7815640513</x:v>
      </x:c>
      <x:c r="J746" s="85" t="n">
        <x:v>0</x:v>
      </x:c>
      <x:c r="K746" s="85" t="n">
        <x:v>306475.34376835456</x:v>
      </x:c>
      <x:c r="L746" s="28" t="n">
        <x:v>0</x:v>
      </x:c>
      <x:c r="M746" s="28" t="n">
        <x:v>0</x:v>
      </x:c>
      <x:c r="N746" s="28" t="n">
        <x:v>9.313225746154785e-10</x:v>
      </x:c>
      <x:c r="O746" s="28" t="n">
        <x:v>7.450580596923828e-9</x:v>
      </x:c>
      <x:c r="P746" s="28" t="n">
        <x:v>0</x:v>
      </x:c>
      <x:c r="Q746" s="62" t="b">
        <x:v>1</x:v>
      </x:c>
      <x:c r="R746" s="28" t="n">
        <x:v>0</x:v>
      </x:c>
      <x:c r="S746" s="28" t="str">
        <x:v>1219d9be8ebaf450</x:v>
      </x:c>
    </x:row>
    <x:row r="747" ht="21" customHeight="1">
      <x:c r="A747" s="60" t="n">
        <x:v>0.62</x:v>
      </x:c>
      <x:c r="B747" s="28" t="str">
        <x:v>level_high</x:v>
      </x:c>
      <x:c r="C747" s="60" t="n">
        <x:v>0.2</x:v>
      </x:c>
      <x:c r="D747" s="60" t="n">
        <x:v>0.2</x:v>
      </x:c>
      <x:c r="E747" s="62" t="b">
        <x:v>1</x:v>
      </x:c>
      <x:c r="F747" s="62" t="b">
        <x:v>1</x:v>
      </x:c>
      <x:c r="G747" s="85" t="n">
        <x:v>0</x:v>
      </x:c>
      <x:c r="H747" s="85" t="n">
        <x:v>0</x:v>
      </x:c>
      <x:c r="I747" s="85" t="n">
        <x:v>2907197.0353591745</x:v>
      </x:c>
      <x:c r="J747" s="85" t="n">
        <x:v>1248509.6821693014</x:v>
      </x:c>
      <x:c r="K747" s="85" t="n">
        <x:v>210183.0151906843</x:v>
      </x:c>
      <x:c r="L747" s="28" t="n">
        <x:v>0</x:v>
      </x:c>
      <x:c r="M747" s="28" t="n">
        <x:v>0</x:v>
      </x:c>
      <x:c r="N747" s="28" t="n">
        <x:v>9.313225746154785e-10</x:v>
      </x:c>
      <x:c r="O747" s="28" t="n">
        <x:v>7.450580596923828e-9</x:v>
      </x:c>
      <x:c r="P747" s="28" t="n">
        <x:v>0</x:v>
      </x:c>
      <x:c r="Q747" s="62" t="b">
        <x:v>1</x:v>
      </x:c>
      <x:c r="R747" s="28" t="n">
        <x:v>0</x:v>
      </x:c>
      <x:c r="S747" s="28" t="str">
        <x:v>58690435d2c89442</x:v>
      </x:c>
    </x:row>
    <x:row r="748" ht="21" customHeight="1">
      <x:c r="A748" s="60" t="n">
        <x:v>0.62</x:v>
      </x:c>
      <x:c r="B748" s="28" t="str">
        <x:v>level_high</x:v>
      </x:c>
      <x:c r="C748" s="60" t="n">
        <x:v>0.25</x:v>
      </x:c>
      <x:c r="D748" s="60" t="n">
        <x:v>0.25</x:v>
      </x:c>
      <x:c r="E748" s="62" t="b">
        <x:v>1</x:v>
      </x:c>
      <x:c r="F748" s="62" t="b">
        <x:v>1</x:v>
      </x:c>
      <x:c r="G748" s="85" t="n">
        <x:v>0</x:v>
      </x:c>
      <x:c r="H748" s="85" t="n">
        <x:v>0</x:v>
      </x:c>
      <x:c r="I748" s="85" t="n">
        <x:v>4575678.374760617</x:v>
      </x:c>
      <x:c r="J748" s="85" t="n">
        <x:v>2954237.1027116347</x:v>
      </x:c>
      <x:c r="K748" s="85" t="n">
        <x:v>153976.61527397198</x:v>
      </x:c>
      <x:c r="L748" s="28" t="n">
        <x:v>0</x:v>
      </x:c>
      <x:c r="M748" s="28" t="n">
        <x:v>0</x:v>
      </x:c>
      <x:c r="N748" s="28" t="n">
        <x:v>4.656612873077393e-10</x:v>
      </x:c>
      <x:c r="O748" s="28" t="n">
        <x:v>7.450580596923828e-9</x:v>
      </x:c>
      <x:c r="P748" s="28" t="n">
        <x:v>0</x:v>
      </x:c>
      <x:c r="Q748" s="62" t="b">
        <x:v>1</x:v>
      </x:c>
      <x:c r="R748" s="28" t="n">
        <x:v>0</x:v>
      </x:c>
      <x:c r="S748" s="28" t="str">
        <x:v>c5c056adcd08b84d</x:v>
      </x:c>
    </x:row>
    <x:row r="749" ht="21" customHeight="1">
      <x:c r="A749" s="60" t="n">
        <x:v>0.62</x:v>
      </x:c>
      <x:c r="B749" s="28" t="str">
        <x:v>level_high</x:v>
      </x:c>
      <x:c r="C749" s="60" t="n">
        <x:v>0.3</x:v>
      </x:c>
      <x:c r="D749" s="60" t="n">
        <x:v>0.3</x:v>
      </x:c>
      <x:c r="E749" s="62" t="b">
        <x:v>1</x:v>
      </x:c>
      <x:c r="F749" s="62" t="b">
        <x:v>1</x:v>
      </x:c>
      <x:c r="G749" s="85" t="n">
        <x:v>0</x:v>
      </x:c>
      <x:c r="H749" s="85" t="n">
        <x:v>0</x:v>
      </x:c>
      <x:c r="I749" s="85" t="n">
        <x:v>6279275.920836015</x:v>
      </x:c>
      <x:c r="J749" s="85" t="n">
        <x:v>4659964.523253947</x:v>
      </x:c>
      <x:c r="K749" s="85" t="n">
        <x:v>124031.24232876737</x:v>
      </x:c>
      <x:c r="L749" s="28" t="n">
        <x:v>0</x:v>
      </x:c>
      <x:c r="M749" s="28" t="n">
        <x:v>0</x:v>
      </x:c>
      <x:c r="N749" s="28" t="n">
        <x:v>4.656612873077393e-10</x:v>
      </x:c>
      <x:c r="O749" s="28" t="n">
        <x:v>7.450580596923828e-9</x:v>
      </x:c>
      <x:c r="P749" s="28" t="n">
        <x:v>0</x:v>
      </x:c>
      <x:c r="Q749" s="62" t="b">
        <x:v>1</x:v>
      </x:c>
      <x:c r="R749" s="28" t="n">
        <x:v>0</x:v>
      </x:c>
      <x:c r="S749" s="28" t="str">
        <x:v>a0a2ace77f861145</x:v>
      </x:c>
    </x:row>
    <x:row r="750" ht="21" customHeight="1">
      <x:c r="A750" s="60" t="n">
        <x:v>0.62</x:v>
      </x:c>
      <x:c r="B750" s="28" t="str">
        <x:v>level_high</x:v>
      </x:c>
      <x:c r="C750" s="60" t="n">
        <x:v>0.35</x:v>
      </x:c>
      <x:c r="D750" s="60" t="n">
        <x:v>0.35</x:v>
      </x:c>
      <x:c r="E750" s="62" t="b">
        <x:v>1</x:v>
      </x:c>
      <x:c r="F750" s="62" t="b">
        <x:v>1</x:v>
      </x:c>
      <x:c r="G750" s="85" t="n">
        <x:v>0</x:v>
      </x:c>
      <x:c r="H750" s="85" t="n">
        <x:v>0</x:v>
      </x:c>
      <x:c r="I750" s="85" t="n">
        <x:v>8012083.352834568</x:v>
      </x:c>
      <x:c r="J750" s="85" t="n">
        <x:v>6365691.943796267</x:v>
      </x:c>
      <x:c r="K750" s="85" t="n">
        <x:v>94199.12264383574</x:v>
      </x:c>
      <x:c r="L750" s="28" t="n">
        <x:v>0</x:v>
      </x:c>
      <x:c r="M750" s="28" t="n">
        <x:v>0</x:v>
      </x:c>
      <x:c r="N750" s="28" t="n">
        <x:v>4.656612873077393e-10</x:v>
      </x:c>
      <x:c r="O750" s="28" t="n">
        <x:v>7.450580596923828e-9</x:v>
      </x:c>
      <x:c r="P750" s="28" t="n">
        <x:v>0</x:v>
      </x:c>
      <x:c r="Q750" s="62" t="b">
        <x:v>1</x:v>
      </x:c>
      <x:c r="R750" s="28" t="n">
        <x:v>0</x:v>
      </x:c>
      <x:c r="S750" s="28" t="str">
        <x:v>9528ee2e9e246a3c</x:v>
      </x:c>
    </x:row>
    <x:row r="751" ht="21" customHeight="1">
      <x:c r="A751" s="60" t="n">
        <x:v>0.62</x:v>
      </x:c>
      <x:c r="B751" s="28" t="str">
        <x:v>level_high</x:v>
      </x:c>
      <x:c r="C751" s="60" t="n">
        <x:v>0.4</x:v>
      </x:c>
      <x:c r="D751" s="60" t="n">
        <x:v>0.4</x:v>
      </x:c>
      <x:c r="E751" s="62" t="b">
        <x:v>1</x:v>
      </x:c>
      <x:c r="F751" s="62" t="b">
        <x:v>1</x:v>
      </x:c>
      <x:c r="G751" s="85" t="n">
        <x:v>0</x:v>
      </x:c>
      <x:c r="H751" s="85" t="n">
        <x:v>0</x:v>
      </x:c>
      <x:c r="I751" s="85" t="n">
        <x:v>9744032.967211118</x:v>
      </x:c>
      <x:c r="J751" s="85" t="n">
        <x:v>8071419.3643385945</x:v>
      </x:c>
      <x:c r="K751" s="85" t="n">
        <x:v>78301.54980821867</x:v>
      </x:c>
      <x:c r="L751" s="28" t="n">
        <x:v>0</x:v>
      </x:c>
      <x:c r="M751" s="28" t="n">
        <x:v>0</x:v>
      </x:c>
      <x:c r="N751" s="28" t="n">
        <x:v>2.3283064365386963e-10</x:v>
      </x:c>
      <x:c r="O751" s="28" t="n">
        <x:v>7.450580596923828e-9</x:v>
      </x:c>
      <x:c r="P751" s="28" t="n">
        <x:v>0</x:v>
      </x:c>
      <x:c r="Q751" s="62" t="b">
        <x:v>1</x:v>
      </x:c>
      <x:c r="R751" s="28" t="n">
        <x:v>0</x:v>
      </x:c>
      <x:c r="S751" s="28" t="str">
        <x:v>400df65aa2f7b391</x:v>
      </x:c>
    </x:row>
    <x:row r="752" ht="21" customHeight="1">
      <x:c r="A752" s="60" t="n">
        <x:v>0.62</x:v>
      </x:c>
      <x:c r="B752" s="28" t="str">
        <x:v>level_high</x:v>
      </x:c>
      <x:c r="C752" s="60" t="n">
        <x:v>0.45</x:v>
      </x:c>
      <x:c r="D752" s="60" t="n">
        <x:v>0.45</x:v>
      </x:c>
      <x:c r="E752" s="62" t="b">
        <x:v>1</x:v>
      </x:c>
      <x:c r="F752" s="62" t="b">
        <x:v>1</x:v>
      </x:c>
      <x:c r="G752" s="85" t="n">
        <x:v>0</x:v>
      </x:c>
      <x:c r="H752" s="85" t="n">
        <x:v>0</x:v>
      </x:c>
      <x:c r="I752" s="85" t="n">
        <x:v>11474552.173400184</x:v>
      </x:c>
      <x:c r="J752" s="85" t="n">
        <x:v>9777146.78488093</x:v>
      </x:c>
      <x:c r="K752" s="85" t="n">
        <x:v>69263.78809589002</x:v>
      </x:c>
      <x:c r="L752" s="28" t="n">
        <x:v>0</x:v>
      </x:c>
      <x:c r="M752" s="28" t="n">
        <x:v>0</x:v>
      </x:c>
      <x:c r="N752" s="28" t="n">
        <x:v>4.656612873077393e-10</x:v>
      </x:c>
      <x:c r="O752" s="28" t="n">
        <x:v>3.725290298461914e-9</x:v>
      </x:c>
      <x:c r="P752" s="28" t="n">
        <x:v>0</x:v>
      </x:c>
      <x:c r="Q752" s="62" t="b">
        <x:v>1</x:v>
      </x:c>
      <x:c r="R752" s="28" t="n">
        <x:v>0</x:v>
      </x:c>
      <x:c r="S752" s="28" t="str">
        <x:v>e9a0386bddda64f2</x:v>
      </x:c>
    </x:row>
    <x:row r="753" ht="21" customHeight="1">
      <x:c r="A753" s="60" t="n">
        <x:v>0.62</x:v>
      </x:c>
      <x:c r="B753" s="28" t="str">
        <x:v>level_high</x:v>
      </x:c>
      <x:c r="C753" s="60" t="n">
        <x:v>0.5</x:v>
      </x:c>
      <x:c r="D753" s="60" t="n">
        <x:v>0.5</x:v>
      </x:c>
      <x:c r="E753" s="62" t="b">
        <x:v>1</x:v>
      </x:c>
      <x:c r="F753" s="62" t="b">
        <x:v>1</x:v>
      </x:c>
      <x:c r="G753" s="85" t="n">
        <x:v>0</x:v>
      </x:c>
      <x:c r="H753" s="85" t="n">
        <x:v>0</x:v>
      </x:c>
      <x:c r="I753" s="85" t="n">
        <x:v>13321319.725591712</x:v>
      </x:c>
      <x:c r="J753" s="85" t="n">
        <x:v>10962425.83808544</x:v>
      </x:c>
      <x:c r="K753" s="85" t="n">
        <x:v>60226.026383560886</x:v>
      </x:c>
      <x:c r="L753" s="28" t="n">
        <x:v>5</x:v>
      </x:c>
      <x:c r="M753" s="28" t="n">
        <x:v>0</x:v>
      </x:c>
      <x:c r="N753" s="28" t="n">
        <x:v>4.656612873077393e-10</x:v>
      </x:c>
      <x:c r="O753" s="28" t="n">
        <x:v>3.725290298461914e-9</x:v>
      </x:c>
      <x:c r="P753" s="28" t="n">
        <x:v>0</x:v>
      </x:c>
      <x:c r="Q753" s="62" t="b">
        <x:v>1</x:v>
      </x:c>
      <x:c r="R753" s="28" t="n">
        <x:v>0</x:v>
      </x:c>
      <x:c r="S753" s="28" t="str">
        <x:v>77f136ba0554f9de</x:v>
      </x:c>
    </x:row>
    <x:row r="754" ht="21" customHeight="1">
      <x:c r="A754" s="60" t="n">
        <x:v>0.62</x:v>
      </x:c>
      <x:c r="B754" s="28" t="str">
        <x:v>level_high</x:v>
      </x:c>
      <x:c r="C754" s="60" t="n">
        <x:v>0.55</x:v>
      </x:c>
      <x:c r="D754" s="60" t="n">
        <x:v>0.55</x:v>
      </x:c>
      <x:c r="E754" s="62" t="b">
        <x:v>1</x:v>
      </x:c>
      <x:c r="F754" s="62" t="b">
        <x:v>1</x:v>
      </x:c>
      <x:c r="G754" s="85" t="n">
        <x:v>0</x:v>
      </x:c>
      <x:c r="H754" s="85" t="n">
        <x:v>0</x:v>
      </x:c>
      <x:c r="I754" s="85" t="n">
        <x:v>15124178.851595378</x:v>
      </x:c>
      <x:c r="J754" s="85" t="n">
        <x:v>12219698.128496755</x:v>
      </x:c>
      <x:c r="K754" s="85" t="n">
        <x:v>51188.264671232464</x:v>
      </x:c>
      <x:c r="L754" s="28" t="n">
        <x:v>10</x:v>
      </x:c>
      <x:c r="M754" s="28" t="n">
        <x:v>3</x:v>
      </x:c>
      <x:c r="N754" s="28" t="n">
        <x:v>2.3283064365386963e-10</x:v>
      </x:c>
      <x:c r="O754" s="28" t="n">
        <x:v>3.725290298461914e-9</x:v>
      </x:c>
      <x:c r="P754" s="28" t="n">
        <x:v>0</x:v>
      </x:c>
      <x:c r="Q754" s="62" t="b">
        <x:v>1</x:v>
      </x:c>
      <x:c r="R754" s="28" t="n">
        <x:v>0</x:v>
      </x:c>
      <x:c r="S754" s="28" t="str">
        <x:v>2b0fd9449939d6d8</x:v>
      </x:c>
    </x:row>
    <x:row r="755" ht="21" customHeight="1">
      <x:c r="A755" s="60" t="n">
        <x:v>0.62</x:v>
      </x:c>
      <x:c r="B755" s="28" t="str">
        <x:v>level_high</x:v>
      </x:c>
      <x:c r="C755" s="60" t="n">
        <x:v>0.6</x:v>
      </x:c>
      <x:c r="D755" s="60" t="n">
        <x:v>0.6</x:v>
      </x:c>
      <x:c r="E755" s="62" t="b">
        <x:v>1</x:v>
      </x:c>
      <x:c r="F755" s="62" t="b">
        <x:v>1</x:v>
      </x:c>
      <x:c r="G755" s="85" t="n">
        <x:v>0</x:v>
      </x:c>
      <x:c r="H755" s="85" t="n">
        <x:v>0</x:v>
      </x:c>
      <x:c r="I755" s="85" t="n">
        <x:v>16841217.979351517</x:v>
      </x:c>
      <x:c r="J755" s="85" t="n">
        <x:v>13772036.077108027</x:v>
      </x:c>
      <x:c r="K755" s="85" t="n">
        <x:v>42150.50295890426</x:v>
      </x:c>
      <x:c r="L755" s="28" t="n">
        <x:v>13</x:v>
      </x:c>
      <x:c r="M755" s="28" t="n">
        <x:v>7</x:v>
      </x:c>
      <x:c r="N755" s="28" t="n">
        <x:v>2.3283064365386963e-10</x:v>
      </x:c>
      <x:c r="O755" s="28" t="n">
        <x:v>7.450580596923828e-9</x:v>
      </x:c>
      <x:c r="P755" s="28" t="n">
        <x:v>0</x:v>
      </x:c>
      <x:c r="Q755" s="62" t="b">
        <x:v>1</x:v>
      </x:c>
      <x:c r="R755" s="28" t="n">
        <x:v>0</x:v>
      </x:c>
      <x:c r="S755" s="28" t="str">
        <x:v>70f813ee98f3f385</x:v>
      </x:c>
    </x:row>
    <x:row r="756" ht="21" customHeight="1">
      <x:c r="A756" s="60" t="n">
        <x:v>0.62</x:v>
      </x:c>
      <x:c r="B756" s="28" t="str">
        <x:v>level_high</x:v>
      </x:c>
      <x:c r="C756" s="60" t="n">
        <x:v>0.65</x:v>
      </x:c>
      <x:c r="D756" s="60" t="n">
        <x:v>0.65</x:v>
      </x:c>
      <x:c r="E756" s="62" t="b">
        <x:v>1</x:v>
      </x:c>
      <x:c r="F756" s="62" t="b">
        <x:v>0</x:v>
      </x:c>
      <x:c r="G756" s="85" t="n">
        <x:v>51004.56121824006</x:v>
      </x:c>
      <x:c r="H756" s="85" t="n">
        <x:v>157165.20762730602</x:v>
      </x:c>
      <x:c r="I756" s="85" t="n">
        <x:v>18358980.8387289</x:v>
      </x:c>
      <x:c r="J756" s="85" t="n">
        <x:v>15608320.000000002</x:v>
      </x:c>
      <x:c r="K756" s="85" t="n">
        <x:v>33112.74124657514</x:v>
      </x:c>
      <x:c r="L756" s="28" t="n">
        <x:v>39</x:v>
      </x:c>
      <x:c r="M756" s="28" t="n">
        <x:v>33</x:v>
      </x:c>
      <x:c r="N756" s="28" t="n">
        <x:v>4.656612873077393e-10</x:v>
      </x:c>
      <x:c r="O756" s="28" t="n">
        <x:v>3.725290298461914e-9</x:v>
      </x:c>
      <x:c r="P756" s="28" t="n">
        <x:v>0</x:v>
      </x:c>
      <x:c r="Q756" s="62" t="b">
        <x:v>1</x:v>
      </x:c>
      <x:c r="R756" s="28" t="n">
        <x:v>0</x:v>
      </x:c>
      <x:c r="S756" s="28" t="str">
        <x:v>b45bcec2bf991b24</x:v>
      </x:c>
    </x:row>
    <x:row r="757" ht="21" customHeight="1">
      <x:c r="A757" s="60" t="n">
        <x:v>0.62</x:v>
      </x:c>
      <x:c r="B757" s="28" t="str">
        <x:v>level_high</x:v>
      </x:c>
      <x:c r="C757" s="60" t="n">
        <x:v>0.7</x:v>
      </x:c>
      <x:c r="D757" s="60" t="n">
        <x:v>0.7</x:v>
      </x:c>
      <x:c r="E757" s="62" t="b">
        <x:v>1</x:v>
      </x:c>
      <x:c r="F757" s="62" t="b">
        <x:v>0</x:v>
      </x:c>
      <x:c r="G757" s="85" t="n">
        <x:v>841736.8070660674</x:v>
      </x:c>
      <x:c r="H757" s="85" t="n">
        <x:v>2569153.554273806</x:v>
      </x:c>
      <x:c r="I757" s="85" t="n">
        <x:v>18677317.614076436</x:v>
      </x:c>
      <x:c r="J757" s="85" t="n">
        <x:v>15608320.000000002</x:v>
      </x:c>
      <x:c r="K757" s="85" t="n">
        <x:v>25476.097808219587</x:v>
      </x:c>
      <x:c r="L757" s="28" t="n">
        <x:v>40</x:v>
      </x:c>
      <x:c r="M757" s="28" t="n">
        <x:v>34</x:v>
      </x:c>
      <x:c r="N757" s="28" t="n">
        <x:v>4.656612873077393e-10</x:v>
      </x:c>
      <x:c r="O757" s="28" t="n">
        <x:v>3.725290298461914e-9</x:v>
      </x:c>
      <x:c r="P757" s="28" t="n">
        <x:v>0</x:v>
      </x:c>
      <x:c r="Q757" s="62" t="b">
        <x:v>1</x:v>
      </x:c>
      <x:c r="R757" s="28" t="n">
        <x:v>0</x:v>
      </x:c>
      <x:c r="S757" s="28" t="str">
        <x:v>0e6eaeb25d2f5d88</x:v>
      </x:c>
    </x:row>
    <x:row r="758" ht="21" customHeight="1">
      <x:c r="A758" s="60" t="n">
        <x:v>0.62</x:v>
      </x:c>
      <x:c r="B758" s="28" t="str">
        <x:v>level_high</x:v>
      </x:c>
      <x:c r="C758" s="60" t="n">
        <x:v>0.75</x:v>
      </x:c>
      <x:c r="D758" s="60" t="n">
        <x:v>0.75</x:v>
      </x:c>
      <x:c r="E758" s="62" t="b">
        <x:v>1</x:v>
      </x:c>
      <x:c r="F758" s="62" t="b">
        <x:v>0</x:v>
      </x:c>
      <x:c r="G758" s="85" t="n">
        <x:v>1588220.1142078096</x:v>
      </x:c>
      <x:c r="H758" s="85" t="n">
        <x:v>4789108.702429635</x:v>
      </x:c>
      <x:c r="I758" s="85" t="n">
        <x:v>19010424.030900683</x:v>
      </x:c>
      <x:c r="J758" s="85" t="n">
        <x:v>15608320.000000002</x:v>
      </x:c>
      <x:c r="K758" s="85" t="n">
        <x:v>22451.697123287573</x:v>
      </x:c>
      <x:c r="L758" s="28" t="n">
        <x:v>41</x:v>
      </x:c>
      <x:c r="M758" s="28" t="n">
        <x:v>36</x:v>
      </x:c>
      <x:c r="N758" s="28" t="n">
        <x:v>2.3283064365386963e-10</x:v>
      </x:c>
      <x:c r="O758" s="28" t="n">
        <x:v>3.725290298461914e-9</x:v>
      </x:c>
      <x:c r="P758" s="28" t="n">
        <x:v>0</x:v>
      </x:c>
      <x:c r="Q758" s="62" t="b">
        <x:v>1</x:v>
      </x:c>
      <x:c r="R758" s="28" t="n">
        <x:v>0</x:v>
      </x:c>
      <x:c r="S758" s="28" t="str">
        <x:v>7ac3803c9ab055a8</x:v>
      </x:c>
    </x:row>
    <x:row r="759" ht="21" customHeight="1">
      <x:c r="A759" s="60" t="n">
        <x:v>0.62</x:v>
      </x:c>
      <x:c r="B759" s="28" t="str">
        <x:v>level_high</x:v>
      </x:c>
      <x:c r="C759" s="60" t="n">
        <x:v>0.8</x:v>
      </x:c>
      <x:c r="D759" s="60" t="n">
        <x:v>0.8</x:v>
      </x:c>
      <x:c r="E759" s="62" t="b">
        <x:v>1</x:v>
      </x:c>
      <x:c r="F759" s="62" t="b">
        <x:v>0</x:v>
      </x:c>
      <x:c r="G759" s="85" t="n">
        <x:v>2466455.707447814</x:v>
      </x:c>
      <x:c r="H759" s="85" t="n">
        <x:v>6850477.336204741</x:v>
      </x:c>
      <x:c r="I759" s="85" t="n">
        <x:v>19322818.17353863</x:v>
      </x:c>
      <x:c r="J759" s="85" t="n">
        <x:v>15608320.000000002</x:v>
      </x:c>
      <x:c r="K759" s="85" t="n">
        <x:v>19427.296438356258</x:v>
      </x:c>
      <x:c r="L759" s="28" t="n">
        <x:v>42</x:v>
      </x:c>
      <x:c r="M759" s="28" t="n">
        <x:v>37</x:v>
      </x:c>
      <x:c r="N759" s="28" t="n">
        <x:v>4.656612873077393e-10</x:v>
      </x:c>
      <x:c r="O759" s="28" t="n">
        <x:v>3.725290298461914e-9</x:v>
      </x:c>
      <x:c r="P759" s="28" t="n">
        <x:v>0</x:v>
      </x:c>
      <x:c r="Q759" s="62" t="b">
        <x:v>1</x:v>
      </x:c>
      <x:c r="R759" s="28" t="n">
        <x:v>0</x:v>
      </x:c>
      <x:c r="S759" s="28" t="str">
        <x:v>c36938beba7836f5</x:v>
      </x:c>
    </x:row>
    <x:row r="760" ht="21" customHeight="1">
      <x:c r="A760" s="60" t="n">
        <x:v>0.62</x:v>
      </x:c>
      <x:c r="B760" s="28" t="str">
        <x:v>level_high</x:v>
      </x:c>
      <x:c r="C760" s="60" t="n">
        <x:v>0.85</x:v>
      </x:c>
      <x:c r="D760" s="60" t="n">
        <x:v>0.85</x:v>
      </x:c>
      <x:c r="E760" s="62" t="b">
        <x:v>1</x:v>
      </x:c>
      <x:c r="F760" s="62" t="b">
        <x:v>0</x:v>
      </x:c>
      <x:c r="G760" s="85" t="n">
        <x:v>3500509.223837075</x:v>
      </x:c>
      <x:c r="H760" s="85" t="n">
        <x:v>9252952.824960684</x:v>
      </x:c>
      <x:c r="I760" s="85" t="n">
        <x:v>19375751.954056025</x:v>
      </x:c>
      <x:c r="J760" s="85" t="n">
        <x:v>15608320.000000002</x:v>
      </x:c>
      <x:c r="K760" s="85" t="n">
        <x:v>16402.89575342471</x:v>
      </x:c>
      <x:c r="L760" s="28" t="n">
        <x:v>42</x:v>
      </x:c>
      <x:c r="M760" s="28" t="n">
        <x:v>38</x:v>
      </x:c>
      <x:c r="N760" s="28" t="n">
        <x:v>4.656612873077393e-10</x:v>
      </x:c>
      <x:c r="O760" s="28" t="n">
        <x:v>3.725290298461914e-9</x:v>
      </x:c>
      <x:c r="P760" s="28" t="n">
        <x:v>0</x:v>
      </x:c>
      <x:c r="Q760" s="62" t="b">
        <x:v>1</x:v>
      </x:c>
      <x:c r="R760" s="28" t="n">
        <x:v>0</x:v>
      </x:c>
      <x:c r="S760" s="28" t="str">
        <x:v>6b0b09fc24026a5c</x:v>
      </x:c>
    </x:row>
    <x:row r="761" ht="21" customHeight="1">
      <x:c r="A761" s="60" t="n">
        <x:v>0.62</x:v>
      </x:c>
      <x:c r="B761" s="28" t="str">
        <x:v>level_high</x:v>
      </x:c>
      <x:c r="C761" s="60" t="n">
        <x:v>0.9</x:v>
      </x:c>
      <x:c r="D761" s="60" t="n">
        <x:v>0.8949513562027351</x:v>
      </x:c>
      <x:c r="E761" s="62" t="b">
        <x:v>0</x:v>
      </x:c>
      <x:c r="F761" s="62" t="b">
        <x:v>0</x:v>
      </x:c>
      <x:c r="G761" s="85" t="n">
        <x:v>4581914.030846018</x:v>
      </x:c>
      <x:c r="H761" s="85" t="n">
        <x:v>10314916.188207265</x:v>
      </x:c>
      <x:c r="I761" s="85" t="n">
        <x:v>19680188.494849313</x:v>
      </x:c>
      <x:c r="J761" s="85" t="n">
        <x:v>15608320.000000002</x:v>
      </x:c>
      <x:c r="K761" s="85" t="n">
        <x:v>13378.495068492928</x:v>
      </x:c>
      <x:c r="L761" s="28" t="n">
        <x:v>43</x:v>
      </x:c>
      <x:c r="M761" s="28" t="n">
        <x:v>38</x:v>
      </x:c>
      <x:c r="N761" s="28" t="n">
        <x:v>2.3283064365386963e-10</x:v>
      </x:c>
      <x:c r="O761" s="28" t="n">
        <x:v>3.725290298461914e-9</x:v>
      </x:c>
      <x:c r="P761" s="28" t="n">
        <x:v>0</x:v>
      </x:c>
      <x:c r="Q761" s="62" t="b">
        <x:v>1</x:v>
      </x:c>
      <x:c r="R761" s="28" t="n">
        <x:v>281431.5998347327</x:v>
      </x:c>
      <x:c r="S761" s="28" t="str">
        <x:v>ae11bc9879c96c8b</x:v>
      </x:c>
    </x:row>
    <x:row r="762" ht="21" customHeight="1">
      <x:c r="A762" s="60" t="n">
        <x:v>0.62</x:v>
      </x:c>
      <x:c r="B762" s="28" t="str">
        <x:v>level_high</x:v>
      </x:c>
      <x:c r="C762" s="60" t="n">
        <x:v>0.95</x:v>
      </x:c>
      <x:c r="D762" s="60" t="n">
        <x:v>0.9109811515371262</x:v>
      </x:c>
      <x:c r="E762" s="62" t="b">
        <x:v>0</x:v>
      </x:c>
      <x:c r="F762" s="62" t="b">
        <x:v>0</x:v>
      </x:c>
      <x:c r="G762" s="85" t="n">
        <x:v>5064599.792501158</x:v>
      </x:c>
      <x:c r="H762" s="85" t="n">
        <x:v>11355423.66603846</x:v>
      </x:c>
      <x:c r="I762" s="85" t="n">
        <x:v>19722228.633616436</x:v>
      </x:c>
      <x:c r="J762" s="85" t="n">
        <x:v>15608320.000000002</x:v>
      </x:c>
      <x:c r="K762" s="85" t="n">
        <x:v>10354.094383561147</x:v>
      </x:c>
      <x:c r="L762" s="28" t="n">
        <x:v>43</x:v>
      </x:c>
      <x:c r="M762" s="28" t="n">
        <x:v>40</x:v>
      </x:c>
      <x:c r="N762" s="28" t="n">
        <x:v>2.3283064365386963e-10</x:v>
      </x:c>
      <x:c r="O762" s="28" t="n">
        <x:v>3.725290298461914e-9</x:v>
      </x:c>
      <x:c r="P762" s="28" t="n">
        <x:v>0</x:v>
      </x:c>
      <x:c r="Q762" s="62" t="b">
        <x:v>1</x:v>
      </x:c>
      <x:c r="R762" s="28" t="n">
        <x:v>2175066.688714437</x:v>
      </x:c>
      <x:c r="S762" s="28" t="str">
        <x:v>2c6bec38f18e0eb0</x:v>
      </x:c>
    </x:row>
    <x:row r="763" ht="21" customHeight="1">
      <x:c r="A763" s="60" t="n">
        <x:v>0.62</x:v>
      </x:c>
      <x:c r="B763" s="28" t="str">
        <x:v>level_high</x:v>
      </x:c>
      <x:c r="C763" s="60" t="n">
        <x:v>1</x:v>
      </x:c>
      <x:c r="D763" s="60" t="n">
        <x:v>0.9258453085724337</x:v>
      </x:c>
      <x:c r="E763" s="62" t="b">
        <x:v>0</x:v>
      </x:c>
      <x:c r="F763" s="62" t="b">
        <x:v>0</x:v>
      </x:c>
      <x:c r="G763" s="85" t="n">
        <x:v>5461068.322836551</x:v>
      </x:c>
      <x:c r="H763" s="85" t="n">
        <x:v>11798664.26250039</x:v>
      </x:c>
      <x:c r="I763" s="85" t="n">
        <x:v>20005124.47589041</x:v>
      </x:c>
      <x:c r="J763" s="85" t="n">
        <x:v>15608320.000000002</x:v>
      </x:c>
      <x:c r="K763" s="85" t="n">
        <x:v>7329.693698630064</x:v>
      </x:c>
      <x:c r="L763" s="28" t="n">
        <x:v>44</x:v>
      </x:c>
      <x:c r="M763" s="28" t="n">
        <x:v>40</x:v>
      </x:c>
      <x:c r="N763" s="28" t="n">
        <x:v>2.3283064365386963e-10</x:v>
      </x:c>
      <x:c r="O763" s="28" t="n">
        <x:v>1.862645149230957e-9</x:v>
      </x:c>
      <x:c r="P763" s="28" t="n">
        <x:v>0</x:v>
      </x:c>
      <x:c r="Q763" s="62" t="b">
        <x:v>1</x:v>
      </x:c>
      <x:c r="R763" s="28" t="n">
        <x:v>4133679.1189382523</x:v>
      </x:c>
      <x:c r="S763" s="28" t="str">
        <x:v>4ac61a261c4c4833</x:v>
      </x:c>
    </x:row>
    <x:row r="764" ht="21" customHeight="1">
      <x:c r="A764" s="60" t="n">
        <x:v>0.63</x:v>
      </x:c>
      <x:c r="B764" s="28" t="str">
        <x:v>front_flat</x:v>
      </x:c>
      <x:c r="C764" s="60" t="n">
        <x:v>0</x:v>
      </x:c>
      <x:c r="D764" s="60" t="n">
        <x:v>0</x:v>
      </x:c>
      <x:c r="E764" s="62" t="b">
        <x:v>1</x:v>
      </x:c>
      <x:c r="F764" s="62" t="b">
        <x:v>1</x:v>
      </x:c>
      <x:c r="G764" s="85" t="n">
        <x:v>0</x:v>
      </x:c>
      <x:c r="H764" s="85" t="n">
        <x:v>0</x:v>
      </x:c>
      <x:c r="I764" s="85" t="n">
        <x:v>0</x:v>
      </x:c>
      <x:c r="J764" s="85" t="n">
        <x:v>0</x:v>
      </x:c>
      <x:c r="K764" s="85" t="n">
        <x:v>5928283.089972603</x:v>
      </x:c>
      <x:c r="L764" s="28" t="n">
        <x:v>0</x:v>
      </x:c>
      <x:c r="M764" s="28" t="n">
        <x:v>0</x:v>
      </x:c>
      <x:c r="N764" s="28" t="n">
        <x:v>2.3283064365386963e-10</x:v>
      </x:c>
      <x:c r="O764" s="28" t="n">
        <x:v>0</x:v>
      </x:c>
      <x:c r="P764" s="28" t="n">
        <x:v>0</x:v>
      </x:c>
      <x:c r="Q764" s="62" t="b">
        <x:v>1</x:v>
      </x:c>
      <x:c r="R764" s="28" t="n">
        <x:v>0</x:v>
      </x:c>
      <x:c r="S764" s="28" t="str">
        <x:v>902cb1a08fe8aae4</x:v>
      </x:c>
    </x:row>
    <x:row r="765" ht="21" customHeight="1">
      <x:c r="A765" s="60" t="n">
        <x:v>0.63</x:v>
      </x:c>
      <x:c r="B765" s="28" t="str">
        <x:v>front_flat</x:v>
      </x:c>
      <x:c r="C765" s="60" t="n">
        <x:v>0.05</x:v>
      </x:c>
      <x:c r="D765" s="60" t="n">
        <x:v>0.05</x:v>
      </x:c>
      <x:c r="E765" s="62" t="b">
        <x:v>1</x:v>
      </x:c>
      <x:c r="F765" s="62" t="b">
        <x:v>1</x:v>
      </x:c>
      <x:c r="G765" s="85" t="n">
        <x:v>0</x:v>
      </x:c>
      <x:c r="H765" s="85" t="n">
        <x:v>0</x:v>
      </x:c>
      <x:c r="I765" s="85" t="n">
        <x:v>0</x:v>
      </x:c>
      <x:c r="J765" s="85" t="n">
        <x:v>0</x:v>
      </x:c>
      <x:c r="K765" s="85" t="n">
        <x:v>3628886.2028277703</x:v>
      </x:c>
      <x:c r="L765" s="28" t="n">
        <x:v>0</x:v>
      </x:c>
      <x:c r="M765" s="28" t="n">
        <x:v>0</x:v>
      </x:c>
      <x:c r="N765" s="28" t="n">
        <x:v>9.313225746154785e-10</x:v>
      </x:c>
      <x:c r="O765" s="28" t="n">
        <x:v>7.450580596923828e-9</x:v>
      </x:c>
      <x:c r="P765" s="28" t="n">
        <x:v>0</x:v>
      </x:c>
      <x:c r="Q765" s="62" t="b">
        <x:v>1</x:v>
      </x:c>
      <x:c r="R765" s="28" t="n">
        <x:v>0</x:v>
      </x:c>
      <x:c r="S765" s="28" t="str">
        <x:v>4430dffdc5101d71</x:v>
      </x:c>
    </x:row>
    <x:row r="766" ht="21" customHeight="1">
      <x:c r="A766" s="60" t="n">
        <x:v>0.63</x:v>
      </x:c>
      <x:c r="B766" s="28" t="str">
        <x:v>front_flat</x:v>
      </x:c>
      <x:c r="C766" s="60" t="n">
        <x:v>0.1</x:v>
      </x:c>
      <x:c r="D766" s="60" t="n">
        <x:v>0.1</x:v>
      </x:c>
      <x:c r="E766" s="62" t="b">
        <x:v>1</x:v>
      </x:c>
      <x:c r="F766" s="62" t="b">
        <x:v>1</x:v>
      </x:c>
      <x:c r="G766" s="85" t="n">
        <x:v>0</x:v>
      </x:c>
      <x:c r="H766" s="85" t="n">
        <x:v>0</x:v>
      </x:c>
      <x:c r="I766" s="85" t="n">
        <x:v>0</x:v>
      </x:c>
      <x:c r="J766" s="85" t="n">
        <x:v>0</x:v>
      </x:c>
      <x:c r="K766" s="85" t="n">
        <x:v>1329034.4076508656</x:v>
      </x:c>
      <x:c r="L766" s="28" t="n">
        <x:v>0</x:v>
      </x:c>
      <x:c r="M766" s="28" t="n">
        <x:v>0</x:v>
      </x:c>
      <x:c r="N766" s="28" t="n">
        <x:v>2.3283064365386963e-10</x:v>
      </x:c>
      <x:c r="O766" s="28" t="n">
        <x:v>7.450580596923828e-9</x:v>
      </x:c>
      <x:c r="P766" s="28" t="n">
        <x:v>0</x:v>
      </x:c>
      <x:c r="Q766" s="62" t="b">
        <x:v>1</x:v>
      </x:c>
      <x:c r="R766" s="28" t="n">
        <x:v>0</x:v>
      </x:c>
      <x:c r="S766" s="28" t="str">
        <x:v>6aea1af384b436e4</x:v>
      </x:c>
    </x:row>
    <x:row r="767" ht="21" customHeight="1">
      <x:c r="A767" s="60" t="n">
        <x:v>0.63</x:v>
      </x:c>
      <x:c r="B767" s="28" t="str">
        <x:v>front_flat</x:v>
      </x:c>
      <x:c r="C767" s="60" t="n">
        <x:v>0.15</x:v>
      </x:c>
      <x:c r="D767" s="60" t="n">
        <x:v>0.15</x:v>
      </x:c>
      <x:c r="E767" s="62" t="b">
        <x:v>1</x:v>
      </x:c>
      <x:c r="F767" s="62" t="b">
        <x:v>1</x:v>
      </x:c>
      <x:c r="G767" s="85" t="n">
        <x:v>0</x:v>
      </x:c>
      <x:c r="H767" s="85" t="n">
        <x:v>0</x:v>
      </x:c>
      <x:c r="I767" s="85" t="n">
        <x:v>831119.2360151542</x:v>
      </x:c>
      <x:c r="J767" s="85" t="n">
        <x:v>0</x:v>
      </x:c>
      <x:c r="K767" s="85" t="n">
        <x:v>63731.132188355754</x:v>
      </x:c>
      <x:c r="L767" s="28" t="n">
        <x:v>0</x:v>
      </x:c>
      <x:c r="M767" s="28" t="n">
        <x:v>0</x:v>
      </x:c>
      <x:c r="N767" s="28" t="n">
        <x:v>4.656612873077393e-10</x:v>
      </x:c>
      <x:c r="O767" s="28" t="n">
        <x:v>7.450580596923828e-9</x:v>
      </x:c>
      <x:c r="P767" s="28" t="n">
        <x:v>0</x:v>
      </x:c>
      <x:c r="Q767" s="62" t="b">
        <x:v>1</x:v>
      </x:c>
      <x:c r="R767" s="28" t="n">
        <x:v>0</x:v>
      </x:c>
      <x:c r="S767" s="28" t="str">
        <x:v>33496b50b5046b5d</x:v>
      </x:c>
    </x:row>
    <x:row r="768" ht="21" customHeight="1">
      <x:c r="A768" s="60" t="n">
        <x:v>0.63</x:v>
      </x:c>
      <x:c r="B768" s="28" t="str">
        <x:v>front_flat</x:v>
      </x:c>
      <x:c r="C768" s="60" t="n">
        <x:v>0.2</x:v>
      </x:c>
      <x:c r="D768" s="60" t="n">
        <x:v>0.2</x:v>
      </x:c>
      <x:c r="E768" s="62" t="b">
        <x:v>1</x:v>
      </x:c>
      <x:c r="F768" s="62" t="b">
        <x:v>1</x:v>
      </x:c>
      <x:c r="G768" s="85" t="n">
        <x:v>0</x:v>
      </x:c>
      <x:c r="H768" s="85" t="n">
        <x:v>0</x:v>
      </x:c>
      <x:c r="I768" s="85" t="n">
        <x:v>2399384.107643895</x:v>
      </x:c>
      <x:c r="J768" s="85" t="n">
        <x:v>1254093.4388721196</x:v>
      </x:c>
      <x:c r="K768" s="85" t="n">
        <x:v>41912.964945205684</x:v>
      </x:c>
      <x:c r="L768" s="28" t="n">
        <x:v>0</x:v>
      </x:c>
      <x:c r="M768" s="28" t="n">
        <x:v>0</x:v>
      </x:c>
      <x:c r="N768" s="28" t="n">
        <x:v>4.656612873077393e-10</x:v>
      </x:c>
      <x:c r="O768" s="28" t="n">
        <x:v>7.450580596923828e-9</x:v>
      </x:c>
      <x:c r="P768" s="28" t="n">
        <x:v>0</x:v>
      </x:c>
      <x:c r="Q768" s="62" t="b">
        <x:v>1</x:v>
      </x:c>
      <x:c r="R768" s="28" t="n">
        <x:v>0</x:v>
      </x:c>
      <x:c r="S768" s="28" t="str">
        <x:v>8955ba058fc1e4e5</x:v>
      </x:c>
    </x:row>
    <x:row r="769" ht="21" customHeight="1">
      <x:c r="A769" s="60" t="n">
        <x:v>0.63</x:v>
      </x:c>
      <x:c r="B769" s="28" t="str">
        <x:v>front_flat</x:v>
      </x:c>
      <x:c r="C769" s="60" t="n">
        <x:v>0.25</x:v>
      </x:c>
      <x:c r="D769" s="60" t="n">
        <x:v>0.25</x:v>
      </x:c>
      <x:c r="E769" s="62" t="b">
        <x:v>1</x:v>
      </x:c>
      <x:c r="F769" s="62" t="b">
        <x:v>1</x:v>
      </x:c>
      <x:c r="G769" s="85" t="n">
        <x:v>0</x:v>
      </x:c>
      <x:c r="H769" s="85" t="n">
        <x:v>0</x:v>
      </x:c>
      <x:c r="I769" s="85" t="n">
        <x:v>3681251.655541155</x:v>
      </x:c>
      <x:c r="J769" s="85" t="n">
        <x:v>2961216.798590132</x:v>
      </x:c>
      <x:c r="K769" s="85" t="n">
        <x:v>30296.00061986288</x:v>
      </x:c>
      <x:c r="L769" s="28" t="n">
        <x:v>0</x:v>
      </x:c>
      <x:c r="M769" s="28" t="n">
        <x:v>0</x:v>
      </x:c>
      <x:c r="N769" s="28" t="n">
        <x:v>9.313225746154785e-10</x:v>
      </x:c>
      <x:c r="O769" s="28" t="n">
        <x:v>3.725290298461914e-9</x:v>
      </x:c>
      <x:c r="P769" s="28" t="n">
        <x:v>0</x:v>
      </x:c>
      <x:c r="Q769" s="62" t="b">
        <x:v>1</x:v>
      </x:c>
      <x:c r="R769" s="28" t="n">
        <x:v>0</x:v>
      </x:c>
      <x:c r="S769" s="28" t="str">
        <x:v>16684977cfb02aa5</x:v>
      </x:c>
    </x:row>
    <x:row r="770" ht="21" customHeight="1">
      <x:c r="A770" s="60" t="n">
        <x:v>0.63</x:v>
      </x:c>
      <x:c r="B770" s="28" t="str">
        <x:v>front_flat</x:v>
      </x:c>
      <x:c r="C770" s="60" t="n">
        <x:v>0.3</x:v>
      </x:c>
      <x:c r="D770" s="60" t="n">
        <x:v>0.3</x:v>
      </x:c>
      <x:c r="E770" s="62" t="b">
        <x:v>1</x:v>
      </x:c>
      <x:c r="F770" s="62" t="b">
        <x:v>1</x:v>
      </x:c>
      <x:c r="G770" s="85" t="n">
        <x:v>0</x:v>
      </x:c>
      <x:c r="H770" s="85" t="n">
        <x:v>0</x:v>
      </x:c>
      <x:c r="I770" s="85" t="n">
        <x:v>4984436.322424738</x:v>
      </x:c>
      <x:c r="J770" s="85" t="n">
        <x:v>4668340.158308164</x:v>
      </x:c>
      <x:c r="K770" s="85" t="n">
        <x:v>18679.036294521124</x:v>
      </x:c>
      <x:c r="L770" s="28" t="n">
        <x:v>0</x:v>
      </x:c>
      <x:c r="M770" s="28" t="n">
        <x:v>0</x:v>
      </x:c>
      <x:c r="N770" s="28" t="n">
        <x:v>4.656612873077393e-10</x:v>
      </x:c>
      <x:c r="O770" s="28" t="n">
        <x:v>7.450580596923828e-9</x:v>
      </x:c>
      <x:c r="P770" s="28" t="n">
        <x:v>0</x:v>
      </x:c>
      <x:c r="Q770" s="62" t="b">
        <x:v>1</x:v>
      </x:c>
      <x:c r="R770" s="28" t="n">
        <x:v>0</x:v>
      </x:c>
      <x:c r="S770" s="28" t="str">
        <x:v>90ab2ac771f00261</x:v>
      </x:c>
    </x:row>
    <x:row r="771" ht="21" customHeight="1">
      <x:c r="A771" s="60" t="n">
        <x:v>0.63</x:v>
      </x:c>
      <x:c r="B771" s="28" t="str">
        <x:v>front_flat</x:v>
      </x:c>
      <x:c r="C771" s="60" t="n">
        <x:v>0.35</x:v>
      </x:c>
      <x:c r="D771" s="60" t="n">
        <x:v>0.35</x:v>
      </x:c>
      <x:c r="E771" s="62" t="b">
        <x:v>1</x:v>
      </x:c>
      <x:c r="F771" s="62" t="b">
        <x:v>1</x:v>
      </x:c>
      <x:c r="G771" s="85" t="n">
        <x:v>0</x:v>
      </x:c>
      <x:c r="H771" s="85" t="n">
        <x:v>0</x:v>
      </x:c>
      <x:c r="I771" s="85" t="n">
        <x:v>6286087.483071151</x:v>
      </x:c>
      <x:c r="J771" s="85" t="n">
        <x:v>6375463.518026188</x:v>
      </x:c>
      <x:c r="K771" s="85" t="n">
        <x:v>9507.623732876826</x:v>
      </x:c>
      <x:c r="L771" s="28" t="n">
        <x:v>0</x:v>
      </x:c>
      <x:c r="M771" s="28" t="n">
        <x:v>0</x:v>
      </x:c>
      <x:c r="N771" s="28" t="n">
        <x:v>9.313225746154785e-10</x:v>
      </x:c>
      <x:c r="O771" s="28" t="n">
        <x:v>7.450580596923828e-9</x:v>
      </x:c>
      <x:c r="P771" s="28" t="n">
        <x:v>0</x:v>
      </x:c>
      <x:c r="Q771" s="62" t="b">
        <x:v>1</x:v>
      </x:c>
      <x:c r="R771" s="28" t="n">
        <x:v>0</x:v>
      </x:c>
      <x:c r="S771" s="28" t="str">
        <x:v>ab7f5cfc165144e1</x:v>
      </x:c>
    </x:row>
    <x:row r="772" ht="21" customHeight="1">
      <x:c r="A772" s="60" t="n">
        <x:v>0.63</x:v>
      </x:c>
      <x:c r="B772" s="28" t="str">
        <x:v>front_flat</x:v>
      </x:c>
      <x:c r="C772" s="60" t="n">
        <x:v>0.4</x:v>
      </x:c>
      <x:c r="D772" s="60" t="n">
        <x:v>0.4</x:v>
      </x:c>
      <x:c r="E772" s="62" t="b">
        <x:v>1</x:v>
      </x:c>
      <x:c r="F772" s="62" t="b">
        <x:v>1</x:v>
      </x:c>
      <x:c r="G772" s="85" t="n">
        <x:v>0</x:v>
      </x:c>
      <x:c r="H772" s="85" t="n">
        <x:v>0</x:v>
      </x:c>
      <x:c r="I772" s="85" t="n">
        <x:v>7580803.511705589</x:v>
      </x:c>
      <x:c r="J772" s="85" t="n">
        <x:v>8082586.877744222</x:v>
      </x:c>
      <x:c r="K772" s="85" t="n">
        <x:v>5597.543835616532</x:v>
      </x:c>
      <x:c r="L772" s="28" t="n">
        <x:v>0</x:v>
      </x:c>
      <x:c r="M772" s="28" t="n">
        <x:v>0</x:v>
      </x:c>
      <x:c r="N772" s="28" t="n">
        <x:v>4.656612873077393e-10</x:v>
      </x:c>
      <x:c r="O772" s="28" t="n">
        <x:v>7.450580596923828e-9</x:v>
      </x:c>
      <x:c r="P772" s="28" t="n">
        <x:v>0</x:v>
      </x:c>
      <x:c r="Q772" s="62" t="b">
        <x:v>1</x:v>
      </x:c>
      <x:c r="R772" s="28" t="n">
        <x:v>0</x:v>
      </x:c>
      <x:c r="S772" s="28" t="str">
        <x:v>aa38668ab921bd19</x:v>
      </x:c>
    </x:row>
    <x:row r="773" ht="21" customHeight="1">
      <x:c r="A773" s="60" t="n">
        <x:v>0.63</x:v>
      </x:c>
      <x:c r="B773" s="28" t="str">
        <x:v>front_flat</x:v>
      </x:c>
      <x:c r="C773" s="60" t="n">
        <x:v>0.45</x:v>
      </x:c>
      <x:c r="D773" s="60" t="n">
        <x:v>0.45</x:v>
      </x:c>
      <x:c r="E773" s="62" t="b">
        <x:v>1</x:v>
      </x:c>
      <x:c r="F773" s="62" t="b">
        <x:v>1</x:v>
      </x:c>
      <x:c r="G773" s="85" t="n">
        <x:v>0</x:v>
      </x:c>
      <x:c r="H773" s="85" t="n">
        <x:v>0</x:v>
      </x:c>
      <x:c r="I773" s="85" t="n">
        <x:v>8987148.61049568</x:v>
      </x:c>
      <x:c r="J773" s="85" t="n">
        <x:v>9520426.078375552</x:v>
      </x:c>
      <x:c r="K773" s="85" t="n">
        <x:v>1687.463938356006</x:v>
      </x:c>
      <x:c r="L773" s="28" t="n">
        <x:v>2</x:v>
      </x:c>
      <x:c r="M773" s="28" t="n">
        <x:v>0</x:v>
      </x:c>
      <x:c r="N773" s="28" t="n">
        <x:v>4.656612873077393e-10</x:v>
      </x:c>
      <x:c r="O773" s="28" t="n">
        <x:v>3.725290298461914e-9</x:v>
      </x:c>
      <x:c r="P773" s="28" t="n">
        <x:v>0</x:v>
      </x:c>
      <x:c r="Q773" s="62" t="b">
        <x:v>1</x:v>
      </x:c>
      <x:c r="R773" s="28" t="n">
        <x:v>0</x:v>
      </x:c>
      <x:c r="S773" s="28" t="str">
        <x:v>f05e09ea0ef55c7e</x:v>
      </x:c>
    </x:row>
    <x:row r="774" ht="21" customHeight="1">
      <x:c r="A774" s="60" t="n">
        <x:v>0.63</x:v>
      </x:c>
      <x:c r="B774" s="28" t="str">
        <x:v>front_flat</x:v>
      </x:c>
      <x:c r="C774" s="60" t="n">
        <x:v>0.5</x:v>
      </x:c>
      <x:c r="D774" s="60" t="n">
        <x:v>0.5</x:v>
      </x:c>
      <x:c r="E774" s="62" t="b">
        <x:v>1</x:v>
      </x:c>
      <x:c r="F774" s="62" t="b">
        <x:v>1</x:v>
      </x:c>
      <x:c r="G774" s="85" t="n">
        <x:v>0</x:v>
      </x:c>
      <x:c r="H774" s="85" t="n">
        <x:v>0</x:v>
      </x:c>
      <x:c r="I774" s="85" t="n">
        <x:v>10685049.95589371</x:v>
      </x:c>
      <x:c r="J774" s="85" t="n">
        <x:v>10132793.051726308</x:v>
      </x:c>
      <x:c r="K774" s="85" t="n">
        <x:v>0</x:v>
      </x:c>
      <x:c r="L774" s="28" t="n">
        <x:v>9</x:v>
      </x:c>
      <x:c r="M774" s="28" t="n">
        <x:v>0</x:v>
      </x:c>
      <x:c r="N774" s="28" t="n">
        <x:v>4.656612873077393e-10</x:v>
      </x:c>
      <x:c r="O774" s="28" t="n">
        <x:v>7.450580596923828e-9</x:v>
      </x:c>
      <x:c r="P774" s="28" t="n">
        <x:v>0</x:v>
      </x:c>
      <x:c r="Q774" s="62" t="b">
        <x:v>1</x:v>
      </x:c>
      <x:c r="R774" s="28" t="n">
        <x:v>0</x:v>
      </x:c>
      <x:c r="S774" s="28" t="str">
        <x:v>7c3d0ba4d5e837a2</x:v>
      </x:c>
    </x:row>
    <x:row r="775" ht="21" customHeight="1">
      <x:c r="A775" s="60" t="n">
        <x:v>0.63</x:v>
      </x:c>
      <x:c r="B775" s="28" t="str">
        <x:v>front_flat</x:v>
      </x:c>
      <x:c r="C775" s="60" t="n">
        <x:v>0.55</x:v>
      </x:c>
      <x:c r="D775" s="60" t="n">
        <x:v>0.55</x:v>
      </x:c>
      <x:c r="E775" s="62" t="b">
        <x:v>1</x:v>
      </x:c>
      <x:c r="F775" s="62" t="b">
        <x:v>1</x:v>
      </x:c>
      <x:c r="G775" s="85" t="n">
        <x:v>0</x:v>
      </x:c>
      <x:c r="H775" s="85" t="n">
        <x:v>0</x:v>
      </x:c>
      <x:c r="I775" s="85" t="n">
        <x:v>12273900.547151646</x:v>
      </x:c>
      <x:c r="J775" s="85" t="n">
        <x:v>10962126.778361382</x:v>
      </x:c>
      <x:c r="K775" s="85" t="n">
        <x:v>0</x:v>
      </x:c>
      <x:c r="L775" s="28" t="n">
        <x:v>16</x:v>
      </x:c>
      <x:c r="M775" s="28" t="n">
        <x:v>0</x:v>
      </x:c>
      <x:c r="N775" s="28" t="n">
        <x:v>4.656612873077393e-10</x:v>
      </x:c>
      <x:c r="O775" s="28" t="n">
        <x:v>3.725290298461914e-9</x:v>
      </x:c>
      <x:c r="P775" s="28" t="n">
        <x:v>0</x:v>
      </x:c>
      <x:c r="Q775" s="62" t="b">
        <x:v>1</x:v>
      </x:c>
      <x:c r="R775" s="28" t="n">
        <x:v>0</x:v>
      </x:c>
      <x:c r="S775" s="28" t="str">
        <x:v>181ab28ac14f2395</x:v>
      </x:c>
    </x:row>
    <x:row r="776" ht="21" customHeight="1">
      <x:c r="A776" s="60" t="n">
        <x:v>0.63</x:v>
      </x:c>
      <x:c r="B776" s="28" t="str">
        <x:v>front_flat</x:v>
      </x:c>
      <x:c r="C776" s="60" t="n">
        <x:v>0.6</x:v>
      </x:c>
      <x:c r="D776" s="60" t="n">
        <x:v>0.6</x:v>
      </x:c>
      <x:c r="E776" s="62" t="b">
        <x:v>1</x:v>
      </x:c>
      <x:c r="F776" s="62" t="b">
        <x:v>1</x:v>
      </x:c>
      <x:c r="G776" s="85" t="n">
        <x:v>0</x:v>
      </x:c>
      <x:c r="H776" s="85" t="n">
        <x:v>0</x:v>
      </x:c>
      <x:c r="I776" s="85" t="n">
        <x:v>13476170.015252823</x:v>
      </x:c>
      <x:c r="J776" s="85" t="n">
        <x:v>12897471.088782182</x:v>
      </x:c>
      <x:c r="K776" s="85" t="n">
        <x:v>0</x:v>
      </x:c>
      <x:c r="L776" s="28" t="n">
        <x:v>20</x:v>
      </x:c>
      <x:c r="M776" s="28" t="n">
        <x:v>0</x:v>
      </x:c>
      <x:c r="N776" s="28" t="n">
        <x:v>4.656612873077393e-10</x:v>
      </x:c>
      <x:c r="O776" s="28" t="n">
        <x:v>3.725290298461914e-9</x:v>
      </x:c>
      <x:c r="P776" s="28" t="n">
        <x:v>0</x:v>
      </x:c>
      <x:c r="Q776" s="62" t="b">
        <x:v>1</x:v>
      </x:c>
      <x:c r="R776" s="28" t="n">
        <x:v>0</x:v>
      </x:c>
      <x:c r="S776" s="28" t="str">
        <x:v>a4e8734e181fdf71</x:v>
      </x:c>
    </x:row>
    <x:row r="777" ht="21" customHeight="1">
      <x:c r="A777" s="60" t="n">
        <x:v>0.63</x:v>
      </x:c>
      <x:c r="B777" s="28" t="str">
        <x:v>front_flat</x:v>
      </x:c>
      <x:c r="C777" s="60" t="n">
        <x:v>0.65</x:v>
      </x:c>
      <x:c r="D777" s="60" t="n">
        <x:v>0.65</x:v>
      </x:c>
      <x:c r="E777" s="62" t="b">
        <x:v>1</x:v>
      </x:c>
      <x:c r="F777" s="62" t="b">
        <x:v>0</x:v>
      </x:c>
      <x:c r="G777" s="85" t="n">
        <x:v>2724.9881578835657</x:v>
      </x:c>
      <x:c r="H777" s="85" t="n">
        <x:v>19027.790741266857</x:v>
      </x:c>
      <x:c r="I777" s="85" t="n">
        <x:v>14525584.207058223</x:v>
      </x:c>
      <x:c r="J777" s="85" t="n">
        <x:v>15050880.000000002</x:v>
      </x:c>
      <x:c r="K777" s="85" t="n">
        <x:v>0</x:v>
      </x:c>
      <x:c r="L777" s="28" t="n">
        <x:v>45</x:v>
      </x:c>
      <x:c r="M777" s="28" t="n">
        <x:v>28</x:v>
      </x:c>
      <x:c r="N777" s="28" t="n">
        <x:v>4.656612873077393e-10</x:v>
      </x:c>
      <x:c r="O777" s="28" t="n">
        <x:v>3.725290298461914e-9</x:v>
      </x:c>
      <x:c r="P777" s="28" t="n">
        <x:v>0</x:v>
      </x:c>
      <x:c r="Q777" s="62" t="b">
        <x:v>1</x:v>
      </x:c>
      <x:c r="R777" s="28" t="n">
        <x:v>0</x:v>
      </x:c>
      <x:c r="S777" s="28" t="str">
        <x:v>3885395f40414517</x:v>
      </x:c>
    </x:row>
    <x:row r="778" ht="21" customHeight="1">
      <x:c r="A778" s="60" t="n">
        <x:v>0.63</x:v>
      </x:c>
      <x:c r="B778" s="28" t="str">
        <x:v>front_flat</x:v>
      </x:c>
      <x:c r="C778" s="60" t="n">
        <x:v>0.7</x:v>
      </x:c>
      <x:c r="D778" s="60" t="n">
        <x:v>0.7</x:v>
      </x:c>
      <x:c r="E778" s="62" t="b">
        <x:v>1</x:v>
      </x:c>
      <x:c r="F778" s="62" t="b">
        <x:v>0</x:v>
      </x:c>
      <x:c r="G778" s="85" t="n">
        <x:v>468366.17560890294</x:v>
      </x:c>
      <x:c r="H778" s="85" t="n">
        <x:v>2521875.86922936</x:v>
      </x:c>
      <x:c r="I778" s="85" t="n">
        <x:v>14544904.156212332</x:v>
      </x:c>
      <x:c r="J778" s="85" t="n">
        <x:v>15050880.000000002</x:v>
      </x:c>
      <x:c r="K778" s="85" t="n">
        <x:v>0</x:v>
      </x:c>
      <x:c r="L778" s="28" t="n">
        <x:v>45</x:v>
      </x:c>
      <x:c r="M778" s="28" t="n">
        <x:v>36</x:v>
      </x:c>
      <x:c r="N778" s="28" t="n">
        <x:v>4.656612873077393e-10</x:v>
      </x:c>
      <x:c r="O778" s="28" t="n">
        <x:v>1.862645149230957e-9</x:v>
      </x:c>
      <x:c r="P778" s="28" t="n">
        <x:v>0</x:v>
      </x:c>
      <x:c r="Q778" s="62" t="b">
        <x:v>1</x:v>
      </x:c>
      <x:c r="R778" s="28" t="n">
        <x:v>0</x:v>
      </x:c>
      <x:c r="S778" s="28" t="str">
        <x:v>03203d450379e848</x:v>
      </x:c>
    </x:row>
    <x:row r="779" ht="21" customHeight="1">
      <x:c r="A779" s="60" t="n">
        <x:v>0.63</x:v>
      </x:c>
      <x:c r="B779" s="28" t="str">
        <x:v>front_flat</x:v>
      </x:c>
      <x:c r="C779" s="60" t="n">
        <x:v>0.75</x:v>
      </x:c>
      <x:c r="D779" s="60" t="n">
        <x:v>0.75</x:v>
      </x:c>
      <x:c r="E779" s="62" t="b">
        <x:v>1</x:v>
      </x:c>
      <x:c r="F779" s="62" t="b">
        <x:v>0</x:v>
      </x:c>
      <x:c r="G779" s="85" t="n">
        <x:v>917902.5300540497</x:v>
      </x:c>
      <x:c r="H779" s="85" t="n">
        <x:v>4658488.446108656</x:v>
      </x:c>
      <x:c r="I779" s="85" t="n">
        <x:v>14773941.384606168</x:v>
      </x:c>
      <x:c r="J779" s="85" t="n">
        <x:v>15050880.000000002</x:v>
      </x:c>
      <x:c r="K779" s="85" t="n">
        <x:v>0</x:v>
      </x:c>
      <x:c r="L779" s="28" t="n">
        <x:v>46</x:v>
      </x:c>
      <x:c r="M779" s="28" t="n">
        <x:v>38</x:v>
      </x:c>
      <x:c r="N779" s="28" t="n">
        <x:v>2.3283064365386963e-10</x:v>
      </x:c>
      <x:c r="O779" s="28" t="n">
        <x:v>3.725290298461914e-9</x:v>
      </x:c>
      <x:c r="P779" s="28" t="n">
        <x:v>0</x:v>
      </x:c>
      <x:c r="Q779" s="62" t="b">
        <x:v>1</x:v>
      </x:c>
      <x:c r="R779" s="28" t="n">
        <x:v>0</x:v>
      </x:c>
      <x:c r="S779" s="28" t="str">
        <x:v>e0de07e0eff2a805</x:v>
      </x:c>
    </x:row>
    <x:row r="780" ht="21" customHeight="1">
      <x:c r="A780" s="60" t="n">
        <x:v>0.63</x:v>
      </x:c>
      <x:c r="B780" s="28" t="str">
        <x:v>front_flat</x:v>
      </x:c>
      <x:c r="C780" s="60" t="n">
        <x:v>0.8</x:v>
      </x:c>
      <x:c r="D780" s="60" t="n">
        <x:v>0.8</x:v>
      </x:c>
      <x:c r="E780" s="62" t="b">
        <x:v>1</x:v>
      </x:c>
      <x:c r="F780" s="62" t="b">
        <x:v>0</x:v>
      </x:c>
      <x:c r="G780" s="85" t="n">
        <x:v>1389886.6386570719</x:v>
      </x:c>
      <x:c r="H780" s="85" t="n">
        <x:v>7037275.290815593</x:v>
      </x:c>
      <x:c r="I780" s="85" t="n">
        <x:v>14785659.97673425</x:v>
      </x:c>
      <x:c r="J780" s="85" t="n">
        <x:v>15050880.000000002</x:v>
      </x:c>
      <x:c r="K780" s="85" t="n">
        <x:v>0</x:v>
      </x:c>
      <x:c r="L780" s="28" t="n">
        <x:v>46</x:v>
      </x:c>
      <x:c r="M780" s="28" t="n">
        <x:v>40</x:v>
      </x:c>
      <x:c r="N780" s="28" t="n">
        <x:v>4.656612873077393e-10</x:v>
      </x:c>
      <x:c r="O780" s="28" t="n">
        <x:v>3.725290298461914e-9</x:v>
      </x:c>
      <x:c r="P780" s="28" t="n">
        <x:v>0</x:v>
      </x:c>
      <x:c r="Q780" s="62" t="b">
        <x:v>1</x:v>
      </x:c>
      <x:c r="R780" s="28" t="n">
        <x:v>0</x:v>
      </x:c>
      <x:c r="S780" s="28" t="str">
        <x:v>4c709a63833c1743</x:v>
      </x:c>
    </x:row>
    <x:row r="781" ht="21" customHeight="1">
      <x:c r="A781" s="60" t="n">
        <x:v>0.63</x:v>
      </x:c>
      <x:c r="B781" s="28" t="str">
        <x:v>front_flat</x:v>
      </x:c>
      <x:c r="C781" s="60" t="n">
        <x:v>0.85</x:v>
      </x:c>
      <x:c r="D781" s="60" t="n">
        <x:v>0.85</x:v>
      </x:c>
      <x:c r="E781" s="62" t="b">
        <x:v>1</x:v>
      </x:c>
      <x:c r="F781" s="62" t="b">
        <x:v>0</x:v>
      </x:c>
      <x:c r="G781" s="85" t="n">
        <x:v>1982048.8793767714</x:v>
      </x:c>
      <x:c r="H781" s="85" t="n">
        <x:v>9286803.916994622</x:v>
      </x:c>
      <x:c r="I781" s="85" t="n">
        <x:v>14797378.568862332</x:v>
      </x:c>
      <x:c r="J781" s="85" t="n">
        <x:v>15050880.000000002</x:v>
      </x:c>
      <x:c r="K781" s="85" t="n">
        <x:v>0</x:v>
      </x:c>
      <x:c r="L781" s="28" t="n">
        <x:v>46</x:v>
      </x:c>
      <x:c r="M781" s="28" t="n">
        <x:v>42</x:v>
      </x:c>
      <x:c r="N781" s="28" t="n">
        <x:v>2.3283064365386963e-10</x:v>
      </x:c>
      <x:c r="O781" s="28" t="n">
        <x:v>1.862645149230957e-9</x:v>
      </x:c>
      <x:c r="P781" s="28" t="n">
        <x:v>0</x:v>
      </x:c>
      <x:c r="Q781" s="62" t="b">
        <x:v>1</x:v>
      </x:c>
      <x:c r="R781" s="28" t="n">
        <x:v>0</x:v>
      </x:c>
      <x:c r="S781" s="28" t="str">
        <x:v>5e783a7bde1ed17e</x:v>
      </x:c>
    </x:row>
    <x:row r="782" ht="21" customHeight="1">
      <x:c r="A782" s="60" t="n">
        <x:v>0.63</x:v>
      </x:c>
      <x:c r="B782" s="28" t="str">
        <x:v>front_flat</x:v>
      </x:c>
      <x:c r="C782" s="60" t="n">
        <x:v>0.9</x:v>
      </x:c>
      <x:c r="D782" s="60" t="n">
        <x:v>0.9</x:v>
      </x:c>
      <x:c r="E782" s="62" t="b">
        <x:v>1</x:v>
      </x:c>
      <x:c r="F782" s="62" t="b">
        <x:v>0</x:v>
      </x:c>
      <x:c r="G782" s="85" t="n">
        <x:v>2576200.3179139835</x:v>
      </x:c>
      <x:c r="H782" s="85" t="n">
        <x:v>11491026.415389303</x:v>
      </x:c>
      <x:c r="I782" s="85" t="n">
        <x:v>14809097.160990415</x:v>
      </x:c>
      <x:c r="J782" s="85" t="n">
        <x:v>15050880.000000002</x:v>
      </x:c>
      <x:c r="K782" s="85" t="n">
        <x:v>0</x:v>
      </x:c>
      <x:c r="L782" s="28" t="n">
        <x:v>46</x:v>
      </x:c>
      <x:c r="M782" s="28" t="n">
        <x:v>44</x:v>
      </x:c>
      <x:c r="N782" s="28" t="n">
        <x:v>2.3283064365386963e-10</x:v>
      </x:c>
      <x:c r="O782" s="28" t="n">
        <x:v>3.725290298461914e-9</x:v>
      </x:c>
      <x:c r="P782" s="28" t="n">
        <x:v>0</x:v>
      </x:c>
      <x:c r="Q782" s="62" t="b">
        <x:v>1</x:v>
      </x:c>
      <x:c r="R782" s="28" t="n">
        <x:v>0</x:v>
      </x:c>
      <x:c r="S782" s="28" t="str">
        <x:v>58a9e1de1a663ed5</x:v>
      </x:c>
    </x:row>
    <x:row r="783" ht="21" customHeight="1">
      <x:c r="A783" s="60" t="n">
        <x:v>0.63</x:v>
      </x:c>
      <x:c r="B783" s="28" t="str">
        <x:v>front_flat</x:v>
      </x:c>
      <x:c r="C783" s="60" t="n">
        <x:v>0.95</x:v>
      </x:c>
      <x:c r="D783" s="60" t="n">
        <x:v>0.9427119459478259</x:v>
      </x:c>
      <x:c r="E783" s="62" t="b">
        <x:v>0</x:v>
      </x:c>
      <x:c r="F783" s="62" t="b">
        <x:v>0</x:v>
      </x:c>
      <x:c r="G783" s="85" t="n">
        <x:v>3398964.337864431</x:v>
      </x:c>
      <x:c r="H783" s="85" t="n">
        <x:v>12868988.6656209</x:v>
      </x:c>
      <x:c r="I783" s="85" t="n">
        <x:v>14820815.753118496</x:v>
      </x:c>
      <x:c r="J783" s="85" t="n">
        <x:v>15050880.000000002</x:v>
      </x:c>
      <x:c r="K783" s="85" t="n">
        <x:v>0</x:v>
      </x:c>
      <x:c r="L783" s="28" t="n">
        <x:v>46</x:v>
      </x:c>
      <x:c r="M783" s="28" t="n">
        <x:v>44</x:v>
      </x:c>
      <x:c r="N783" s="28" t="n">
        <x:v>2.3283064365386963e-10</x:v>
      </x:c>
      <x:c r="O783" s="28" t="n">
        <x:v>1.862645149230957e-9</x:v>
      </x:c>
      <x:c r="P783" s="28" t="n">
        <x:v>0</x:v>
      </x:c>
      <x:c r="Q783" s="62" t="b">
        <x:v>1</x:v>
      </x:c>
      <x:c r="R783" s="28" t="n">
        <x:v>406265.28508438915</x:v>
      </x:c>
      <x:c r="S783" s="28" t="str">
        <x:v>3e0d80cc9f69a0ff</x:v>
      </x:c>
    </x:row>
    <x:row r="784" ht="21" customHeight="1">
      <x:c r="A784" s="60" t="n">
        <x:v>0.63</x:v>
      </x:c>
      <x:c r="B784" s="28" t="str">
        <x:v>front_flat</x:v>
      </x:c>
      <x:c r="C784" s="60" t="n">
        <x:v>1</x:v>
      </x:c>
      <x:c r="D784" s="60" t="n">
        <x:v>0.9596721012870685</x:v>
      </x:c>
      <x:c r="E784" s="62" t="b">
        <x:v>0</x:v>
      </x:c>
      <x:c r="F784" s="62" t="b">
        <x:v>0</x:v>
      </x:c>
      <x:c r="G784" s="85" t="n">
        <x:v>3774508.692830745</x:v>
      </x:c>
      <x:c r="H784" s="85" t="n">
        <x:v>13714965.086640608</x:v>
      </x:c>
      <x:c r="I784" s="85" t="n">
        <x:v>14832534.34524658</x:v>
      </x:c>
      <x:c r="J784" s="85" t="n">
        <x:v>15050880.000000002</x:v>
      </x:c>
      <x:c r="K784" s="85" t="n">
        <x:v>0</x:v>
      </x:c>
      <x:c r="L784" s="28" t="n">
        <x:v>46</x:v>
      </x:c>
      <x:c r="M784" s="28" t="n">
        <x:v>44</x:v>
      </x:c>
      <x:c r="N784" s="28" t="n">
        <x:v>2.3283064365386963e-10</x:v>
      </x:c>
      <x:c r="O784" s="28" t="n">
        <x:v>1.862645149230957e-9</x:v>
      </x:c>
      <x:c r="P784" s="28" t="n">
        <x:v>0</x:v>
      </x:c>
      <x:c r="Q784" s="62" t="b">
        <x:v>1</x:v>
      </x:c>
      <x:c r="R784" s="28" t="n">
        <x:v>2248038.3858536556</x:v>
      </x:c>
      <x:c r="S784" s="28" t="str">
        <x:v>1e0055ec9c536075</x:v>
      </x:c>
    </x:row>
    <x:row r="785" ht="21" customHeight="1">
      <x:c r="A785" s="60" t="n">
        <x:v>0.63</x:v>
      </x:c>
      <x:c r="B785" s="28" t="str">
        <x:v>front_low</x:v>
      </x:c>
      <x:c r="C785" s="60" t="n">
        <x:v>0</x:v>
      </x:c>
      <x:c r="D785" s="60" t="n">
        <x:v>0</x:v>
      </x:c>
      <x:c r="E785" s="62" t="b">
        <x:v>1</x:v>
      </x:c>
      <x:c r="F785" s="62" t="b">
        <x:v>1</x:v>
      </x:c>
      <x:c r="G785" s="85" t="n">
        <x:v>0</x:v>
      </x:c>
      <x:c r="H785" s="85" t="n">
        <x:v>0</x:v>
      </x:c>
      <x:c r="I785" s="85" t="n">
        <x:v>0</x:v>
      </x:c>
      <x:c r="J785" s="85" t="n">
        <x:v>0</x:v>
      </x:c>
      <x:c r="K785" s="85" t="n">
        <x:v>5160420.980383561</x:v>
      </x:c>
      <x:c r="L785" s="28" t="n">
        <x:v>0</x:v>
      </x:c>
      <x:c r="M785" s="28" t="n">
        <x:v>0</x:v>
      </x:c>
      <x:c r="N785" s="28" t="n">
        <x:v>4.656612873077393e-10</x:v>
      </x:c>
      <x:c r="O785" s="28" t="n">
        <x:v>0</x:v>
      </x:c>
      <x:c r="P785" s="28" t="n">
        <x:v>0</x:v>
      </x:c>
      <x:c r="Q785" s="62" t="b">
        <x:v>1</x:v>
      </x:c>
      <x:c r="R785" s="28" t="n">
        <x:v>0</x:v>
      </x:c>
      <x:c r="S785" s="28" t="str">
        <x:v>fb4d343ed97245f6</x:v>
      </x:c>
    </x:row>
    <x:row r="786" ht="21" customHeight="1">
      <x:c r="A786" s="60" t="n">
        <x:v>0.63</x:v>
      </x:c>
      <x:c r="B786" s="28" t="str">
        <x:v>front_low</x:v>
      </x:c>
      <x:c r="C786" s="60" t="n">
        <x:v>0.05</x:v>
      </x:c>
      <x:c r="D786" s="60" t="n">
        <x:v>0.05</x:v>
      </x:c>
      <x:c r="E786" s="62" t="b">
        <x:v>1</x:v>
      </x:c>
      <x:c r="F786" s="62" t="b">
        <x:v>1</x:v>
      </x:c>
      <x:c r="G786" s="85" t="n">
        <x:v>0</x:v>
      </x:c>
      <x:c r="H786" s="85" t="n">
        <x:v>0</x:v>
      </x:c>
      <x:c r="I786" s="85" t="n">
        <x:v>0</x:v>
      </x:c>
      <x:c r="J786" s="85" t="n">
        <x:v>0</x:v>
      </x:c>
      <x:c r="K786" s="85" t="n">
        <x:v>3112138.037592374</x:v>
      </x:c>
      <x:c r="L786" s="28" t="n">
        <x:v>0</x:v>
      </x:c>
      <x:c r="M786" s="28" t="n">
        <x:v>0</x:v>
      </x:c>
      <x:c r="N786" s="28" t="n">
        <x:v>9.313225746154785e-10</x:v>
      </x:c>
      <x:c r="O786" s="28" t="n">
        <x:v>7.450580596923828e-9</x:v>
      </x:c>
      <x:c r="P786" s="28" t="n">
        <x:v>0</x:v>
      </x:c>
      <x:c r="Q786" s="62" t="b">
        <x:v>1</x:v>
      </x:c>
      <x:c r="R786" s="28" t="n">
        <x:v>0</x:v>
      </x:c>
      <x:c r="S786" s="28" t="str">
        <x:v>fd49299ed509fa0e</x:v>
      </x:c>
    </x:row>
    <x:row r="787" ht="21" customHeight="1">
      <x:c r="A787" s="60" t="n">
        <x:v>0.63</x:v>
      </x:c>
      <x:c r="B787" s="28" t="str">
        <x:v>front_low</x:v>
      </x:c>
      <x:c r="C787" s="60" t="n">
        <x:v>0.1</x:v>
      </x:c>
      <x:c r="D787" s="60" t="n">
        <x:v>0.1</x:v>
      </x:c>
      <x:c r="E787" s="62" t="b">
        <x:v>1</x:v>
      </x:c>
      <x:c r="F787" s="62" t="b">
        <x:v>1</x:v>
      </x:c>
      <x:c r="G787" s="85" t="n">
        <x:v>0</x:v>
      </x:c>
      <x:c r="H787" s="85" t="n">
        <x:v>0</x:v>
      </x:c>
      <x:c r="I787" s="85" t="n">
        <x:v>0</x:v>
      </x:c>
      <x:c r="J787" s="85" t="n">
        <x:v>0</x:v>
      </x:c>
      <x:c r="K787" s="85" t="n">
        <x:v>1063533.9832491342</x:v>
      </x:c>
      <x:c r="L787" s="28" t="n">
        <x:v>0</x:v>
      </x:c>
      <x:c r="M787" s="28" t="n">
        <x:v>0</x:v>
      </x:c>
      <x:c r="N787" s="28" t="n">
        <x:v>2.3283064365386963e-10</x:v>
      </x:c>
      <x:c r="O787" s="28" t="n">
        <x:v>7.450580596923828e-9</x:v>
      </x:c>
      <x:c r="P787" s="28" t="n">
        <x:v>0</x:v>
      </x:c>
      <x:c r="Q787" s="62" t="b">
        <x:v>1</x:v>
      </x:c>
      <x:c r="R787" s="28" t="n">
        <x:v>0</x:v>
      </x:c>
      <x:c r="S787" s="28" t="str">
        <x:v>166aef8deee1d6b9</x:v>
      </x:c>
    </x:row>
    <x:row r="788" ht="21" customHeight="1">
      <x:c r="A788" s="60" t="n">
        <x:v>0.63</x:v>
      </x:c>
      <x:c r="B788" s="28" t="str">
        <x:v>front_low</x:v>
      </x:c>
      <x:c r="C788" s="60" t="n">
        <x:v>0.15</x:v>
      </x:c>
      <x:c r="D788" s="60" t="n">
        <x:v>0.15</x:v>
      </x:c>
      <x:c r="E788" s="62" t="b">
        <x:v>1</x:v>
      </x:c>
      <x:c r="F788" s="62" t="b">
        <x:v>1</x:v>
      </x:c>
      <x:c r="G788" s="85" t="n">
        <x:v>0</x:v>
      </x:c>
      <x:c r="H788" s="85" t="n">
        <x:v>0</x:v>
      </x:c>
      <x:c r="I788" s="85" t="n">
        <x:v>720957.5385748168</x:v>
      </x:c>
      <x:c r="J788" s="85" t="n">
        <x:v>0</x:v>
      </x:c>
      <x:c r="K788" s="85" t="n">
        <x:v>7249.593106164481</x:v>
      </x:c>
      <x:c r="L788" s="28" t="n">
        <x:v>0</x:v>
      </x:c>
      <x:c r="M788" s="28" t="n">
        <x:v>0</x:v>
      </x:c>
      <x:c r="N788" s="28" t="n">
        <x:v>4.656612873077393e-10</x:v>
      </x:c>
      <x:c r="O788" s="28" t="n">
        <x:v>7.450580596923828e-9</x:v>
      </x:c>
      <x:c r="P788" s="28" t="n">
        <x:v>0</x:v>
      </x:c>
      <x:c r="Q788" s="62" t="b">
        <x:v>1</x:v>
      </x:c>
      <x:c r="R788" s="28" t="n">
        <x:v>0</x:v>
      </x:c>
      <x:c r="S788" s="28" t="str">
        <x:v>d45b1d628f986123</x:v>
      </x:c>
    </x:row>
    <x:row r="789" ht="21" customHeight="1">
      <x:c r="A789" s="60" t="n">
        <x:v>0.63</x:v>
      </x:c>
      <x:c r="B789" s="28" t="str">
        <x:v>front_low</x:v>
      </x:c>
      <x:c r="C789" s="60" t="n">
        <x:v>0.2</x:v>
      </x:c>
      <x:c r="D789" s="60" t="n">
        <x:v>0.2</x:v>
      </x:c>
      <x:c r="E789" s="62" t="b">
        <x:v>1</x:v>
      </x:c>
      <x:c r="F789" s="62" t="b">
        <x:v>1</x:v>
      </x:c>
      <x:c r="G789" s="85" t="n">
        <x:v>0</x:v>
      </x:c>
      <x:c r="H789" s="85" t="n">
        <x:v>0</x:v>
      </x:c>
      <x:c r="I789" s="85" t="n">
        <x:v>1907647.029731996</x:v>
      </x:c>
      <x:c r="J789" s="85" t="n">
        <x:v>1254093.4388721196</x:v>
      </x:c>
      <x:c r="K789" s="85" t="n">
        <x:v>638.1879589041855</x:v>
      </x:c>
      <x:c r="L789" s="28" t="n">
        <x:v>0</x:v>
      </x:c>
      <x:c r="M789" s="28" t="n">
        <x:v>0</x:v>
      </x:c>
      <x:c r="N789" s="28" t="n">
        <x:v>4.656612873077393e-10</x:v>
      </x:c>
      <x:c r="O789" s="28" t="n">
        <x:v>7.450580596923828e-9</x:v>
      </x:c>
      <x:c r="P789" s="28" t="n">
        <x:v>0</x:v>
      </x:c>
      <x:c r="Q789" s="62" t="b">
        <x:v>1</x:v>
      </x:c>
      <x:c r="R789" s="28" t="n">
        <x:v>0</x:v>
      </x:c>
      <x:c r="S789" s="28" t="str">
        <x:v>6cf6b98a7252f5b6</x:v>
      </x:c>
    </x:row>
    <x:row r="790" ht="21" customHeight="1">
      <x:c r="A790" s="60" t="n">
        <x:v>0.63</x:v>
      </x:c>
      <x:c r="B790" s="28" t="str">
        <x:v>front_low</x:v>
      </x:c>
      <x:c r="C790" s="60" t="n">
        <x:v>0.25</x:v>
      </x:c>
      <x:c r="D790" s="60" t="n">
        <x:v>0.25</x:v>
      </x:c>
      <x:c r="E790" s="62" t="b">
        <x:v>1</x:v>
      </x:c>
      <x:c r="F790" s="62" t="b">
        <x:v>1</x:v>
      </x:c>
      <x:c r="G790" s="85" t="n">
        <x:v>0</x:v>
      </x:c>
      <x:c r="H790" s="85" t="n">
        <x:v>0</x:v>
      </x:c>
      <x:c r="I790" s="85" t="n">
        <x:v>2746440.370260878</x:v>
      </x:c>
      <x:c r="J790" s="85" t="n">
        <x:v>2961216.798590132</x:v>
      </x:c>
      <x:c r="K790" s="85" t="n">
        <x:v>0</x:v>
      </x:c>
      <x:c r="L790" s="28" t="n">
        <x:v>0</x:v>
      </x:c>
      <x:c r="M790" s="28" t="n">
        <x:v>0</x:v>
      </x:c>
      <x:c r="N790" s="28" t="n">
        <x:v>4.656612873077393e-10</x:v>
      </x:c>
      <x:c r="O790" s="28" t="n">
        <x:v>3.725290298461914e-9</x:v>
      </x:c>
      <x:c r="P790" s="28" t="n">
        <x:v>0</x:v>
      </x:c>
      <x:c r="Q790" s="62" t="b">
        <x:v>1</x:v>
      </x:c>
      <x:c r="R790" s="28" t="n">
        <x:v>0</x:v>
      </x:c>
      <x:c r="S790" s="28" t="str">
        <x:v>f1f3ee3af9802381</x:v>
      </x:c>
    </x:row>
    <x:row r="791" ht="21" customHeight="1">
      <x:c r="A791" s="60" t="n">
        <x:v>0.63</x:v>
      </x:c>
      <x:c r="B791" s="28" t="str">
        <x:v>front_low</x:v>
      </x:c>
      <x:c r="C791" s="60" t="n">
        <x:v>0.3</x:v>
      </x:c>
      <x:c r="D791" s="60" t="n">
        <x:v>0.3</x:v>
      </x:c>
      <x:c r="E791" s="62" t="b">
        <x:v>1</x:v>
      </x:c>
      <x:c r="F791" s="62" t="b">
        <x:v>1</x:v>
      </x:c>
      <x:c r="G791" s="85" t="n">
        <x:v>0</x:v>
      </x:c>
      <x:c r="H791" s="85" t="n">
        <x:v>0</x:v>
      </x:c>
      <x:c r="I791" s="85" t="n">
        <x:v>3594076.0878856587</x:v>
      </x:c>
      <x:c r="J791" s="85" t="n">
        <x:v>4668340.158308164</x:v>
      </x:c>
      <x:c r="K791" s="85" t="n">
        <x:v>0</x:v>
      </x:c>
      <x:c r="L791" s="28" t="n">
        <x:v>0</x:v>
      </x:c>
      <x:c r="M791" s="28" t="n">
        <x:v>0</x:v>
      </x:c>
      <x:c r="N791" s="28" t="n">
        <x:v>4.656612873077393e-10</x:v>
      </x:c>
      <x:c r="O791" s="28" t="n">
        <x:v>7.450580596923828e-9</x:v>
      </x:c>
      <x:c r="P791" s="28" t="n">
        <x:v>0</x:v>
      </x:c>
      <x:c r="Q791" s="62" t="b">
        <x:v>1</x:v>
      </x:c>
      <x:c r="R791" s="28" t="n">
        <x:v>0</x:v>
      </x:c>
      <x:c r="S791" s="28" t="str">
        <x:v>9983a5a47c1a9b54</x:v>
      </x:c>
    </x:row>
    <x:row r="792" ht="21" customHeight="1">
      <x:c r="A792" s="60" t="n">
        <x:v>0.63</x:v>
      </x:c>
      <x:c r="B792" s="28" t="str">
        <x:v>front_low</x:v>
      </x:c>
      <x:c r="C792" s="60" t="n">
        <x:v>0.35</x:v>
      </x:c>
      <x:c r="D792" s="60" t="n">
        <x:v>0.35</x:v>
      </x:c>
      <x:c r="E792" s="62" t="b">
        <x:v>1</x:v>
      </x:c>
      <x:c r="F792" s="62" t="b">
        <x:v>1</x:v>
      </x:c>
      <x:c r="G792" s="85" t="n">
        <x:v>0</x:v>
      </x:c>
      <x:c r="H792" s="85" t="n">
        <x:v>0</x:v>
      </x:c>
      <x:c r="I792" s="85" t="n">
        <x:v>4438961.971999305</x:v>
      </x:c>
      <x:c r="J792" s="85" t="n">
        <x:v>6375463.518026188</x:v>
      </x:c>
      <x:c r="K792" s="85" t="n">
        <x:v>0</x:v>
      </x:c>
      <x:c r="L792" s="28" t="n">
        <x:v>0</x:v>
      </x:c>
      <x:c r="M792" s="28" t="n">
        <x:v>0</x:v>
      </x:c>
      <x:c r="N792" s="28" t="n">
        <x:v>2.3283064365386963e-10</x:v>
      </x:c>
      <x:c r="O792" s="28" t="n">
        <x:v>7.450580596923828e-9</x:v>
      </x:c>
      <x:c r="P792" s="28" t="n">
        <x:v>0</x:v>
      </x:c>
      <x:c r="Q792" s="62" t="b">
        <x:v>1</x:v>
      </x:c>
      <x:c r="R792" s="28" t="n">
        <x:v>0</x:v>
      </x:c>
      <x:c r="S792" s="28" t="str">
        <x:v>0620e66782b78176</x:v>
      </x:c>
    </x:row>
    <x:row r="793" ht="21" customHeight="1">
      <x:c r="A793" s="60" t="n">
        <x:v>0.63</x:v>
      </x:c>
      <x:c r="B793" s="28" t="str">
        <x:v>front_low</x:v>
      </x:c>
      <x:c r="C793" s="60" t="n">
        <x:v>0.4</x:v>
      </x:c>
      <x:c r="D793" s="60" t="n">
        <x:v>0.4</x:v>
      </x:c>
      <x:c r="E793" s="62" t="b">
        <x:v>1</x:v>
      </x:c>
      <x:c r="F793" s="62" t="b">
        <x:v>1</x:v>
      </x:c>
      <x:c r="G793" s="85" t="n">
        <x:v>0</x:v>
      </x:c>
      <x:c r="H793" s="85" t="n">
        <x:v>0</x:v>
      </x:c>
      <x:c r="I793" s="85" t="n">
        <x:v>5276912.724100973</x:v>
      </x:c>
      <x:c r="J793" s="85" t="n">
        <x:v>8082586.877744222</x:v>
      </x:c>
      <x:c r="K793" s="85" t="n">
        <x:v>0</x:v>
      </x:c>
      <x:c r="L793" s="28" t="n">
        <x:v>0</x:v>
      </x:c>
      <x:c r="M793" s="28" t="n">
        <x:v>0</x:v>
      </x:c>
      <x:c r="N793" s="28" t="n">
        <x:v>4.656612873077393e-10</x:v>
      </x:c>
      <x:c r="O793" s="28" t="n">
        <x:v>7.450580596923828e-9</x:v>
      </x:c>
      <x:c r="P793" s="28" t="n">
        <x:v>0</x:v>
      </x:c>
      <x:c r="Q793" s="62" t="b">
        <x:v>1</x:v>
      </x:c>
      <x:c r="R793" s="28" t="n">
        <x:v>0</x:v>
      </x:c>
      <x:c r="S793" s="28" t="str">
        <x:v>0210e82a61ae342c</x:v>
      </x:c>
    </x:row>
    <x:row r="794" ht="21" customHeight="1">
      <x:c r="A794" s="60" t="n">
        <x:v>0.63</x:v>
      </x:c>
      <x:c r="B794" s="28" t="str">
        <x:v>front_low</x:v>
      </x:c>
      <x:c r="C794" s="60" t="n">
        <x:v>0.45</x:v>
      </x:c>
      <x:c r="D794" s="60" t="n">
        <x:v>0.45</x:v>
      </x:c>
      <x:c r="E794" s="62" t="b">
        <x:v>1</x:v>
      </x:c>
      <x:c r="F794" s="62" t="b">
        <x:v>1</x:v>
      </x:c>
      <x:c r="G794" s="85" t="n">
        <x:v>0</x:v>
      </x:c>
      <x:c r="H794" s="85" t="n">
        <x:v>0</x:v>
      </x:c>
      <x:c r="I794" s="85" t="n">
        <x:v>6244689.781181768</x:v>
      </x:c>
      <x:c r="J794" s="85" t="n">
        <x:v>9578446.418825332</x:v>
      </x:c>
      <x:c r="K794" s="85" t="n">
        <x:v>0</x:v>
      </x:c>
      <x:c r="L794" s="28" t="n">
        <x:v>2</x:v>
      </x:c>
      <x:c r="M794" s="28" t="n">
        <x:v>0</x:v>
      </x:c>
      <x:c r="N794" s="28" t="n">
        <x:v>4.656612873077393e-10</x:v>
      </x:c>
      <x:c r="O794" s="28" t="n">
        <x:v>3.725290298461914e-9</x:v>
      </x:c>
      <x:c r="P794" s="28" t="n">
        <x:v>0</x:v>
      </x:c>
      <x:c r="Q794" s="62" t="b">
        <x:v>1</x:v>
      </x:c>
      <x:c r="R794" s="28" t="n">
        <x:v>0</x:v>
      </x:c>
      <x:c r="S794" s="28" t="str">
        <x:v>2a28dea3ea8c36b5</x:v>
      </x:c>
    </x:row>
    <x:row r="795" ht="21" customHeight="1">
      <x:c r="A795" s="60" t="n">
        <x:v>0.63</x:v>
      </x:c>
      <x:c r="B795" s="28" t="str">
        <x:v>front_low</x:v>
      </x:c>
      <x:c r="C795" s="60" t="n">
        <x:v>0.5</x:v>
      </x:c>
      <x:c r="D795" s="60" t="n">
        <x:v>0.5</x:v>
      </x:c>
      <x:c r="E795" s="62" t="b">
        <x:v>1</x:v>
      </x:c>
      <x:c r="F795" s="62" t="b">
        <x:v>1</x:v>
      </x:c>
      <x:c r="G795" s="85" t="n">
        <x:v>0</x:v>
      </x:c>
      <x:c r="H795" s="85" t="n">
        <x:v>0</x:v>
      </x:c>
      <x:c r="I795" s="85" t="n">
        <x:v>7690340.510662324</x:v>
      </x:c>
      <x:c r="J795" s="85" t="n">
        <x:v>10278331.545087527</x:v>
      </x:c>
      <x:c r="K795" s="85" t="n">
        <x:v>0</x:v>
      </x:c>
      <x:c r="L795" s="28" t="n">
        <x:v>11</x:v>
      </x:c>
      <x:c r="M795" s="28" t="n">
        <x:v>0</x:v>
      </x:c>
      <x:c r="N795" s="28" t="n">
        <x:v>4.656612873077393e-10</x:v>
      </x:c>
      <x:c r="O795" s="28" t="n">
        <x:v>7.450580596923828e-9</x:v>
      </x:c>
      <x:c r="P795" s="28" t="n">
        <x:v>0</x:v>
      </x:c>
      <x:c r="Q795" s="62" t="b">
        <x:v>1</x:v>
      </x:c>
      <x:c r="R795" s="28" t="n">
        <x:v>0</x:v>
      </x:c>
      <x:c r="S795" s="28" t="str">
        <x:v>2fa57ee0bc7ff1a7</x:v>
      </x:c>
    </x:row>
    <x:row r="796" ht="21" customHeight="1">
      <x:c r="A796" s="60" t="n">
        <x:v>0.63</x:v>
      </x:c>
      <x:c r="B796" s="28" t="str">
        <x:v>front_low</x:v>
      </x:c>
      <x:c r="C796" s="60" t="n">
        <x:v>0.55</x:v>
      </x:c>
      <x:c r="D796" s="60" t="n">
        <x:v>0.55</x:v>
      </x:c>
      <x:c r="E796" s="62" t="b">
        <x:v>1</x:v>
      </x:c>
      <x:c r="F796" s="62" t="b">
        <x:v>1</x:v>
      </x:c>
      <x:c r="G796" s="85" t="n">
        <x:v>0</x:v>
      </x:c>
      <x:c r="H796" s="85" t="n">
        <x:v>0</x:v>
      </x:c>
      <x:c r="I796" s="85" t="n">
        <x:v>8865315.81870576</x:v>
      </x:c>
      <x:c r="J796" s="85" t="n">
        <x:v>11392374.342775583</x:v>
      </x:c>
      <x:c r="K796" s="85" t="n">
        <x:v>0</x:v>
      </x:c>
      <x:c r="L796" s="28" t="n">
        <x:v>17</x:v>
      </x:c>
      <x:c r="M796" s="28" t="n">
        <x:v>0</x:v>
      </x:c>
      <x:c r="N796" s="28" t="n">
        <x:v>4.656612873077393e-10</x:v>
      </x:c>
      <x:c r="O796" s="28" t="n">
        <x:v>3.725290298461914e-9</x:v>
      </x:c>
      <x:c r="P796" s="28" t="n">
        <x:v>0</x:v>
      </x:c>
      <x:c r="Q796" s="62" t="b">
        <x:v>1</x:v>
      </x:c>
      <x:c r="R796" s="28" t="n">
        <x:v>0</x:v>
      </x:c>
      <x:c r="S796" s="28" t="str">
        <x:v>da8931d786228365</x:v>
      </x:c>
    </x:row>
    <x:row r="797" ht="21" customHeight="1">
      <x:c r="A797" s="60" t="n">
        <x:v>0.63</x:v>
      </x:c>
      <x:c r="B797" s="28" t="str">
        <x:v>front_low</x:v>
      </x:c>
      <x:c r="C797" s="60" t="n">
        <x:v>0.6</x:v>
      </x:c>
      <x:c r="D797" s="60" t="n">
        <x:v>0.6</x:v>
      </x:c>
      <x:c r="E797" s="62" t="b">
        <x:v>1</x:v>
      </x:c>
      <x:c r="F797" s="62" t="b">
        <x:v>1</x:v>
      </x:c>
      <x:c r="G797" s="85" t="n">
        <x:v>0</x:v>
      </x:c>
      <x:c r="H797" s="85" t="n">
        <x:v>0</x:v>
      </x:c>
      <x:c r="I797" s="85" t="n">
        <x:v>9627239.156716814</x:v>
      </x:c>
      <x:c r="J797" s="85" t="n">
        <x:v>13198394.947263645</x:v>
      </x:c>
      <x:c r="K797" s="85" t="n">
        <x:v>0</x:v>
      </x:c>
      <x:c r="L797" s="28" t="n">
        <x:v>21</x:v>
      </x:c>
      <x:c r="M797" s="28" t="n">
        <x:v>0</x:v>
      </x:c>
      <x:c r="N797" s="28" t="n">
        <x:v>2.3283064365386963e-10</x:v>
      </x:c>
      <x:c r="O797" s="28" t="n">
        <x:v>3.725290298461914e-9</x:v>
      </x:c>
      <x:c r="P797" s="28" t="n">
        <x:v>0</x:v>
      </x:c>
      <x:c r="Q797" s="62" t="b">
        <x:v>1</x:v>
      </x:c>
      <x:c r="R797" s="28" t="n">
        <x:v>0</x:v>
      </x:c>
      <x:c r="S797" s="28" t="str">
        <x:v>aa3b4c884e716926</x:v>
      </x:c>
    </x:row>
    <x:row r="798" ht="21" customHeight="1">
      <x:c r="A798" s="60" t="n">
        <x:v>0.63</x:v>
      </x:c>
      <x:c r="B798" s="28" t="str">
        <x:v>front_low</x:v>
      </x:c>
      <x:c r="C798" s="60" t="n">
        <x:v>0.65</x:v>
      </x:c>
      <x:c r="D798" s="60" t="n">
        <x:v>0.65</x:v>
      </x:c>
      <x:c r="E798" s="62" t="b">
        <x:v>1</x:v>
      </x:c>
      <x:c r="F798" s="62" t="b">
        <x:v>0</x:v>
      </x:c>
      <x:c r="G798" s="85" t="n">
        <x:v>5941.615579612586</x:v>
      </x:c>
      <x:c r="H798" s="85" t="n">
        <x:v>96078.7562714245</x:v>
      </x:c>
      <x:c r="I798" s="85" t="n">
        <x:v>10243345.633736301</x:v>
      </x:c>
      <x:c r="J798" s="85" t="n">
        <x:v>15050880.000000002</x:v>
      </x:c>
      <x:c r="K798" s="85" t="n">
        <x:v>0</x:v>
      </x:c>
      <x:c r="L798" s="28" t="n">
        <x:v>45</x:v>
      </x:c>
      <x:c r="M798" s="28" t="n">
        <x:v>15</x:v>
      </x:c>
      <x:c r="N798" s="28" t="n">
        <x:v>4.656612873077393e-10</x:v>
      </x:c>
      <x:c r="O798" s="28" t="n">
        <x:v>3.725290298461914e-9</x:v>
      </x:c>
      <x:c r="P798" s="28" t="n">
        <x:v>0</x:v>
      </x:c>
      <x:c r="Q798" s="62" t="b">
        <x:v>1</x:v>
      </x:c>
      <x:c r="R798" s="28" t="n">
        <x:v>0</x:v>
      </x:c>
      <x:c r="S798" s="28" t="str">
        <x:v>3920c299204335dc</x:v>
      </x:c>
    </x:row>
    <x:row r="799" ht="21" customHeight="1">
      <x:c r="A799" s="60" t="n">
        <x:v>0.63</x:v>
      </x:c>
      <x:c r="B799" s="28" t="str">
        <x:v>front_low</x:v>
      </x:c>
      <x:c r="C799" s="60" t="n">
        <x:v>0.7</x:v>
      </x:c>
      <x:c r="D799" s="60" t="n">
        <x:v>0.7</x:v>
      </x:c>
      <x:c r="E799" s="62" t="b">
        <x:v>1</x:v>
      </x:c>
      <x:c r="F799" s="62" t="b">
        <x:v>0</x:v>
      </x:c>
      <x:c r="G799" s="85" t="n">
        <x:v>175674.3326571029</x:v>
      </x:c>
      <x:c r="H799" s="85" t="n">
        <x:v>2188438.0175394006</x:v>
      </x:c>
      <x:c r="I799" s="85" t="n">
        <x:v>10256490.933267124</x:v>
      </x:c>
      <x:c r="J799" s="85" t="n">
        <x:v>15050880.000000002</x:v>
      </x:c>
      <x:c r="K799" s="85" t="n">
        <x:v>0</x:v>
      </x:c>
      <x:c r="L799" s="28" t="n">
        <x:v>45</x:v>
      </x:c>
      <x:c r="M799" s="28" t="n">
        <x:v>30</x:v>
      </x:c>
      <x:c r="N799" s="28" t="n">
        <x:v>4.656612873077393e-10</x:v>
      </x:c>
      <x:c r="O799" s="28" t="n">
        <x:v>1.862645149230957e-9</x:v>
      </x:c>
      <x:c r="P799" s="28" t="n">
        <x:v>0</x:v>
      </x:c>
      <x:c r="Q799" s="62" t="b">
        <x:v>1</x:v>
      </x:c>
      <x:c r="R799" s="28" t="n">
        <x:v>0</x:v>
      </x:c>
      <x:c r="S799" s="28" t="str">
        <x:v>9d8129c6d39f34f4</x:v>
      </x:c>
    </x:row>
    <x:row r="800" ht="21" customHeight="1">
      <x:c r="A800" s="60" t="n">
        <x:v>0.63</x:v>
      </x:c>
      <x:c r="B800" s="28" t="str">
        <x:v>front_low</x:v>
      </x:c>
      <x:c r="C800" s="60" t="n">
        <x:v>0.75</x:v>
      </x:c>
      <x:c r="D800" s="60" t="n">
        <x:v>0.75</x:v>
      </x:c>
      <x:c r="E800" s="62" t="b">
        <x:v>1</x:v>
      </x:c>
      <x:c r="F800" s="62" t="b">
        <x:v>0</x:v>
      </x:c>
      <x:c r="G800" s="85" t="n">
        <x:v>329084.44987266895</x:v>
      </x:c>
      <x:c r="H800" s="85" t="n">
        <x:v>4096043.8486003517</x:v>
      </x:c>
      <x:c r="I800" s="85" t="n">
        <x:v>10428388.04077055</x:v>
      </x:c>
      <x:c r="J800" s="85" t="n">
        <x:v>15050880.000000002</x:v>
      </x:c>
      <x:c r="K800" s="85" t="n">
        <x:v>0</x:v>
      </x:c>
      <x:c r="L800" s="28" t="n">
        <x:v>46</x:v>
      </x:c>
      <x:c r="M800" s="28" t="n">
        <x:v>32</x:v>
      </x:c>
      <x:c r="N800" s="28" t="n">
        <x:v>2.3283064365386963e-10</x:v>
      </x:c>
      <x:c r="O800" s="28" t="n">
        <x:v>3.725290298461914e-9</x:v>
      </x:c>
      <x:c r="P800" s="28" t="n">
        <x:v>0</x:v>
      </x:c>
      <x:c r="Q800" s="62" t="b">
        <x:v>1</x:v>
      </x:c>
      <x:c r="R800" s="28" t="n">
        <x:v>0</x:v>
      </x:c>
      <x:c r="S800" s="28" t="str">
        <x:v>94c1e6e0a890e419</x:v>
      </x:c>
    </x:row>
    <x:row r="801" ht="21" customHeight="1">
      <x:c r="A801" s="60" t="n">
        <x:v>0.63</x:v>
      </x:c>
      <x:c r="B801" s="28" t="str">
        <x:v>front_low</x:v>
      </x:c>
      <x:c r="C801" s="60" t="n">
        <x:v>0.8</x:v>
      </x:c>
      <x:c r="D801" s="60" t="n">
        <x:v>0.8</x:v>
      </x:c>
      <x:c r="E801" s="62" t="b">
        <x:v>1</x:v>
      </x:c>
      <x:c r="F801" s="62" t="b">
        <x:v>0</x:v>
      </x:c>
      <x:c r="G801" s="85" t="n">
        <x:v>517370.67728700174</x:v>
      </x:c>
      <x:c r="H801" s="85" t="n">
        <x:v>6175167.81828554</x:v>
      </x:c>
      <x:c r="I801" s="85" t="n">
        <x:v>10435101.073720548</x:v>
      </x:c>
      <x:c r="J801" s="85" t="n">
        <x:v>15050880.000000002</x:v>
      </x:c>
      <x:c r="K801" s="85" t="n">
        <x:v>0</x:v>
      </x:c>
      <x:c r="L801" s="28" t="n">
        <x:v>46</x:v>
      </x:c>
      <x:c r="M801" s="28" t="n">
        <x:v>34</x:v>
      </x:c>
      <x:c r="N801" s="28" t="n">
        <x:v>2.3283064365386963e-10</x:v>
      </x:c>
      <x:c r="O801" s="28" t="n">
        <x:v>3.725290298461914e-9</x:v>
      </x:c>
      <x:c r="P801" s="28" t="n">
        <x:v>0</x:v>
      </x:c>
      <x:c r="Q801" s="62" t="b">
        <x:v>1</x:v>
      </x:c>
      <x:c r="R801" s="28" t="n">
        <x:v>0</x:v>
      </x:c>
      <x:c r="S801" s="28" t="str">
        <x:v>30c7cd33507b8099</x:v>
      </x:c>
    </x:row>
    <x:row r="802" ht="21" customHeight="1">
      <x:c r="A802" s="60" t="n">
        <x:v>0.63</x:v>
      </x:c>
      <x:c r="B802" s="28" t="str">
        <x:v>front_low</x:v>
      </x:c>
      <x:c r="C802" s="60" t="n">
        <x:v>0.85</x:v>
      </x:c>
      <x:c r="D802" s="60" t="n">
        <x:v>0.85</x:v>
      </x:c>
      <x:c r="E802" s="62" t="b">
        <x:v>1</x:v>
      </x:c>
      <x:c r="F802" s="62" t="b">
        <x:v>0</x:v>
      </x:c>
      <x:c r="G802" s="85" t="n">
        <x:v>700273.6895537133</x:v>
      </x:c>
      <x:c r="H802" s="85" t="n">
        <x:v>8201664.0186401615</x:v>
      </x:c>
      <x:c r="I802" s="85" t="n">
        <x:v>10441814.10667055</x:v>
      </x:c>
      <x:c r="J802" s="85" t="n">
        <x:v>15050880.000000002</x:v>
      </x:c>
      <x:c r="K802" s="85" t="n">
        <x:v>0</x:v>
      </x:c>
      <x:c r="L802" s="28" t="n">
        <x:v>46</x:v>
      </x:c>
      <x:c r="M802" s="28" t="n">
        <x:v>36</x:v>
      </x:c>
      <x:c r="N802" s="28" t="n">
        <x:v>2.3283064365386963e-10</x:v>
      </x:c>
      <x:c r="O802" s="28" t="n">
        <x:v>1.862645149230957e-9</x:v>
      </x:c>
      <x:c r="P802" s="28" t="n">
        <x:v>0</x:v>
      </x:c>
      <x:c r="Q802" s="62" t="b">
        <x:v>1</x:v>
      </x:c>
      <x:c r="R802" s="28" t="n">
        <x:v>0</x:v>
      </x:c>
      <x:c r="S802" s="28" t="str">
        <x:v>585f56b21159f5c6</x:v>
      </x:c>
    </x:row>
    <x:row r="803" ht="21" customHeight="1">
      <x:c r="A803" s="60" t="n">
        <x:v>0.63</x:v>
      </x:c>
      <x:c r="B803" s="28" t="str">
        <x:v>front_low</x:v>
      </x:c>
      <x:c r="C803" s="60" t="n">
        <x:v>0.9</x:v>
      </x:c>
      <x:c r="D803" s="60" t="n">
        <x:v>0.9</x:v>
      </x:c>
      <x:c r="E803" s="62" t="b">
        <x:v>1</x:v>
      </x:c>
      <x:c r="F803" s="62" t="b">
        <x:v>0</x:v>
      </x:c>
      <x:c r="G803" s="85" t="n">
        <x:v>939038.1058929197</x:v>
      </x:c>
      <x:c r="H803" s="85" t="n">
        <x:v>10159784.656264322</x:v>
      </x:c>
      <x:c r="I803" s="85" t="n">
        <x:v>10448527.139620548</x:v>
      </x:c>
      <x:c r="J803" s="85" t="n">
        <x:v>15050880.000000002</x:v>
      </x:c>
      <x:c r="K803" s="85" t="n">
        <x:v>0</x:v>
      </x:c>
      <x:c r="L803" s="28" t="n">
        <x:v>46</x:v>
      </x:c>
      <x:c r="M803" s="28" t="n">
        <x:v>38</x:v>
      </x:c>
      <x:c r="N803" s="28" t="n">
        <x:v>2.3283064365386963e-10</x:v>
      </x:c>
      <x:c r="O803" s="28" t="n">
        <x:v>3.725290298461914e-9</x:v>
      </x:c>
      <x:c r="P803" s="28" t="n">
        <x:v>0</x:v>
      </x:c>
      <x:c r="Q803" s="62" t="b">
        <x:v>1</x:v>
      </x:c>
      <x:c r="R803" s="28" t="n">
        <x:v>0</x:v>
      </x:c>
      <x:c r="S803" s="28" t="str">
        <x:v>3074b062d1196ce8</x:v>
      </x:c>
    </x:row>
    <x:row r="804" ht="21" customHeight="1">
      <x:c r="A804" s="60" t="n">
        <x:v>0.63</x:v>
      </x:c>
      <x:c r="B804" s="28" t="str">
        <x:v>front_low</x:v>
      </x:c>
      <x:c r="C804" s="60" t="n">
        <x:v>0.95</x:v>
      </x:c>
      <x:c r="D804" s="60" t="n">
        <x:v>0.9427119459478259</x:v>
      </x:c>
      <x:c r="E804" s="62" t="b">
        <x:v>0</x:v>
      </x:c>
      <x:c r="F804" s="62" t="b">
        <x:v>0</x:v>
      </x:c>
      <x:c r="G804" s="85" t="n">
        <x:v>1323574.7573664743</x:v>
      </x:c>
      <x:c r="H804" s="85" t="n">
        <x:v>11605005.799773304</x:v>
      </x:c>
      <x:c r="I804" s="85" t="n">
        <x:v>10455240.172570549</x:v>
      </x:c>
      <x:c r="J804" s="85" t="n">
        <x:v>15050880.000000002</x:v>
      </x:c>
      <x:c r="K804" s="85" t="n">
        <x:v>0</x:v>
      </x:c>
      <x:c r="L804" s="28" t="n">
        <x:v>46</x:v>
      </x:c>
      <x:c r="M804" s="28" t="n">
        <x:v>38</x:v>
      </x:c>
      <x:c r="N804" s="28" t="n">
        <x:v>2.3283064365386963e-10</x:v>
      </x:c>
      <x:c r="O804" s="28" t="n">
        <x:v>1.862645149230957e-9</x:v>
      </x:c>
      <x:c r="P804" s="28" t="n">
        <x:v>0</x:v>
      </x:c>
      <x:c r="Q804" s="62" t="b">
        <x:v>1</x:v>
      </x:c>
      <x:c r="R804" s="28" t="n">
        <x:v>406265.28508438915</x:v>
      </x:c>
      <x:c r="S804" s="28" t="str">
        <x:v>49a47b8d47b2d772</x:v>
      </x:c>
    </x:row>
    <x:row r="805" ht="21" customHeight="1">
      <x:c r="A805" s="60" t="n">
        <x:v>0.63</x:v>
      </x:c>
      <x:c r="B805" s="28" t="str">
        <x:v>front_low</x:v>
      </x:c>
      <x:c r="C805" s="60" t="n">
        <x:v>1</x:v>
      </x:c>
      <x:c r="D805" s="60" t="n">
        <x:v>0.9596721012870685</x:v>
      </x:c>
      <x:c r="E805" s="62" t="b">
        <x:v>0</x:v>
      </x:c>
      <x:c r="F805" s="62" t="b">
        <x:v>0</x:v>
      </x:c>
      <x:c r="G805" s="85" t="n">
        <x:v>1468675.0178864775</x:v>
      </x:c>
      <x:c r="H805" s="85" t="n">
        <x:v>12358309.277464189</x:v>
      </x:c>
      <x:c r="I805" s="85" t="n">
        <x:v>10461953.205520548</x:v>
      </x:c>
      <x:c r="J805" s="85" t="n">
        <x:v>15050880.000000002</x:v>
      </x:c>
      <x:c r="K805" s="85" t="n">
        <x:v>0</x:v>
      </x:c>
      <x:c r="L805" s="28" t="n">
        <x:v>46</x:v>
      </x:c>
      <x:c r="M805" s="28" t="n">
        <x:v>40</x:v>
      </x:c>
      <x:c r="N805" s="28" t="n">
        <x:v>2.3283064365386963e-10</x:v>
      </x:c>
      <x:c r="O805" s="28" t="n">
        <x:v>1.862645149230957e-9</x:v>
      </x:c>
      <x:c r="P805" s="28" t="n">
        <x:v>0</x:v>
      </x:c>
      <x:c r="Q805" s="62" t="b">
        <x:v>1</x:v>
      </x:c>
      <x:c r="R805" s="28" t="n">
        <x:v>2248038.3858536556</x:v>
      </x:c>
      <x:c r="S805" s="28" t="str">
        <x:v>d1ea0416d79189a3</x:v>
      </x:c>
    </x:row>
    <x:row r="806" ht="21" customHeight="1">
      <x:c r="A806" s="60" t="n">
        <x:v>0.63</x:v>
      </x:c>
      <x:c r="B806" s="28" t="str">
        <x:v>front_high</x:v>
      </x:c>
      <x:c r="C806" s="60" t="n">
        <x:v>0</x:v>
      </x:c>
      <x:c r="D806" s="60" t="n">
        <x:v>0</x:v>
      </x:c>
      <x:c r="E806" s="62" t="b">
        <x:v>1</x:v>
      </x:c>
      <x:c r="F806" s="62" t="b">
        <x:v>1</x:v>
      </x:c>
      <x:c r="G806" s="85" t="n">
        <x:v>0</x:v>
      </x:c>
      <x:c r="H806" s="85" t="n">
        <x:v>0</x:v>
      </x:c>
      <x:c r="I806" s="85" t="n">
        <x:v>0</x:v>
      </x:c>
      <x:c r="J806" s="85" t="n">
        <x:v>0</x:v>
      </x:c>
      <x:c r="K806" s="85" t="n">
        <x:v>6849717.621479447</x:v>
      </x:c>
      <x:c r="L806" s="28" t="n">
        <x:v>0</x:v>
      </x:c>
      <x:c r="M806" s="28" t="n">
        <x:v>0</x:v>
      </x:c>
      <x:c r="N806" s="28" t="n">
        <x:v>9.313225746154785e-10</x:v>
      </x:c>
      <x:c r="O806" s="28" t="n">
        <x:v>0</x:v>
      </x:c>
      <x:c r="P806" s="28" t="n">
        <x:v>0</x:v>
      </x:c>
      <x:c r="Q806" s="62" t="b">
        <x:v>1</x:v>
      </x:c>
      <x:c r="R806" s="28" t="n">
        <x:v>0</x:v>
      </x:c>
      <x:c r="S806" s="28" t="str">
        <x:v>8e4fc0ff1beeea52</x:v>
      </x:c>
    </x:row>
    <x:row r="807" ht="21" customHeight="1">
      <x:c r="A807" s="60" t="n">
        <x:v>0.63</x:v>
      </x:c>
      <x:c r="B807" s="28" t="str">
        <x:v>front_high</x:v>
      </x:c>
      <x:c r="C807" s="60" t="n">
        <x:v>0.05</x:v>
      </x:c>
      <x:c r="D807" s="60" t="n">
        <x:v>0.05</x:v>
      </x:c>
      <x:c r="E807" s="62" t="b">
        <x:v>1</x:v>
      </x:c>
      <x:c r="F807" s="62" t="b">
        <x:v>1</x:v>
      </x:c>
      <x:c r="G807" s="85" t="n">
        <x:v>0</x:v>
      </x:c>
      <x:c r="H807" s="85" t="n">
        <x:v>0</x:v>
      </x:c>
      <x:c r="I807" s="85" t="n">
        <x:v>0</x:v>
      </x:c>
      <x:c r="J807" s="85" t="n">
        <x:v>0</x:v>
      </x:c>
      <x:c r="K807" s="85" t="n">
        <x:v>4248984.0011102455</x:v>
      </x:c>
      <x:c r="L807" s="28" t="n">
        <x:v>0</x:v>
      </x:c>
      <x:c r="M807" s="28" t="n">
        <x:v>0</x:v>
      </x:c>
      <x:c r="N807" s="28" t="n">
        <x:v>9.313225746154785e-10</x:v>
      </x:c>
      <x:c r="O807" s="28" t="n">
        <x:v>7.450580596923828e-9</x:v>
      </x:c>
      <x:c r="P807" s="28" t="n">
        <x:v>0</x:v>
      </x:c>
      <x:c r="Q807" s="62" t="b">
        <x:v>1</x:v>
      </x:c>
      <x:c r="R807" s="28" t="n">
        <x:v>0</x:v>
      </x:c>
      <x:c r="S807" s="28" t="str">
        <x:v>9b0195410cc57c96</x:v>
      </x:c>
    </x:row>
    <x:row r="808" ht="21" customHeight="1">
      <x:c r="A808" s="60" t="n">
        <x:v>0.63</x:v>
      </x:c>
      <x:c r="B808" s="28" t="str">
        <x:v>front_high</x:v>
      </x:c>
      <x:c r="C808" s="60" t="n">
        <x:v>0.1</x:v>
      </x:c>
      <x:c r="D808" s="60" t="n">
        <x:v>0.1</x:v>
      </x:c>
      <x:c r="E808" s="62" t="b">
        <x:v>1</x:v>
      </x:c>
      <x:c r="F808" s="62" t="b">
        <x:v>1</x:v>
      </x:c>
      <x:c r="G808" s="85" t="n">
        <x:v>0</x:v>
      </x:c>
      <x:c r="H808" s="85" t="n">
        <x:v>0</x:v>
      </x:c>
      <x:c r="I808" s="85" t="n">
        <x:v>0</x:v>
      </x:c>
      <x:c r="J808" s="85" t="n">
        <x:v>0</x:v>
      </x:c>
      <x:c r="K808" s="85" t="n">
        <x:v>1647634.91693294</x:v>
      </x:c>
      <x:c r="L808" s="28" t="n">
        <x:v>0</x:v>
      </x:c>
      <x:c r="M808" s="28" t="n">
        <x:v>0</x:v>
      </x:c>
      <x:c r="N808" s="28" t="n">
        <x:v>4.656612873077393e-10</x:v>
      </x:c>
      <x:c r="O808" s="28" t="n">
        <x:v>7.450580596923828e-9</x:v>
      </x:c>
      <x:c r="P808" s="28" t="n">
        <x:v>0</x:v>
      </x:c>
      <x:c r="Q808" s="62" t="b">
        <x:v>1</x:v>
      </x:c>
      <x:c r="R808" s="28" t="n">
        <x:v>0</x:v>
      </x:c>
      <x:c r="S808" s="28" t="str">
        <x:v>35a535f3a08614fc</x:v>
      </x:c>
    </x:row>
    <x:row r="809" ht="21" customHeight="1">
      <x:c r="A809" s="60" t="n">
        <x:v>0.63</x:v>
      </x:c>
      <x:c r="B809" s="28" t="str">
        <x:v>front_high</x:v>
      </x:c>
      <x:c r="C809" s="60" t="n">
        <x:v>0.15</x:v>
      </x:c>
      <x:c r="D809" s="60" t="n">
        <x:v>0.15</x:v>
      </x:c>
      <x:c r="E809" s="62" t="b">
        <x:v>1</x:v>
      </x:c>
      <x:c r="F809" s="62" t="b">
        <x:v>1</x:v>
      </x:c>
      <x:c r="G809" s="85" t="n">
        <x:v>0</x:v>
      </x:c>
      <x:c r="H809" s="85" t="n">
        <x:v>0</x:v>
      </x:c>
      <x:c r="I809" s="85" t="n">
        <x:v>963313.2729435611</x:v>
      </x:c>
      <x:c r="J809" s="85" t="n">
        <x:v>0</x:v>
      </x:c>
      <x:c r="K809" s="85" t="n">
        <x:v>154275.0220992532</x:v>
      </x:c>
      <x:c r="L809" s="28" t="n">
        <x:v>0</x:v>
      </x:c>
      <x:c r="M809" s="28" t="n">
        <x:v>0</x:v>
      </x:c>
      <x:c r="N809" s="28" t="n">
        <x:v>9.313225746154785e-10</x:v>
      </x:c>
      <x:c r="O809" s="28" t="n">
        <x:v>7.450580596923828e-9</x:v>
      </x:c>
      <x:c r="P809" s="28" t="n">
        <x:v>0</x:v>
      </x:c>
      <x:c r="Q809" s="62" t="b">
        <x:v>1</x:v>
      </x:c>
      <x:c r="R809" s="28" t="n">
        <x:v>0</x:v>
      </x:c>
      <x:c r="S809" s="28" t="str">
        <x:v>6e32f58d842efe5f</x:v>
      </x:c>
    </x:row>
    <x:row r="810" ht="21" customHeight="1">
      <x:c r="A810" s="60" t="n">
        <x:v>0.63</x:v>
      </x:c>
      <x:c r="B810" s="28" t="str">
        <x:v>front_high</x:v>
      </x:c>
      <x:c r="C810" s="60" t="n">
        <x:v>0.2</x:v>
      </x:c>
      <x:c r="D810" s="60" t="n">
        <x:v>0.2</x:v>
      </x:c>
      <x:c r="E810" s="62" t="b">
        <x:v>1</x:v>
      </x:c>
      <x:c r="F810" s="62" t="b">
        <x:v>1</x:v>
      </x:c>
      <x:c r="G810" s="85" t="n">
        <x:v>0</x:v>
      </x:c>
      <x:c r="H810" s="85" t="n">
        <x:v>0</x:v>
      </x:c>
      <x:c r="I810" s="85" t="n">
        <x:v>2989468.601138173</x:v>
      </x:c>
      <x:c r="J810" s="85" t="n">
        <x:v>1254093.4388721196</x:v>
      </x:c>
      <x:c r="K810" s="85" t="n">
        <x:v>96924.37869863029</x:v>
      </x:c>
      <x:c r="L810" s="28" t="n">
        <x:v>0</x:v>
      </x:c>
      <x:c r="M810" s="28" t="n">
        <x:v>0</x:v>
      </x:c>
      <x:c r="N810" s="28" t="n">
        <x:v>4.656612873077393e-10</x:v>
      </x:c>
      <x:c r="O810" s="28" t="n">
        <x:v>7.450580596923828e-9</x:v>
      </x:c>
      <x:c r="P810" s="28" t="n">
        <x:v>0</x:v>
      </x:c>
      <x:c r="Q810" s="62" t="b">
        <x:v>1</x:v>
      </x:c>
      <x:c r="R810" s="28" t="n">
        <x:v>0</x:v>
      </x:c>
      <x:c r="S810" s="28" t="str">
        <x:v>6d75bb9d672b77ed</x:v>
      </x:c>
    </x:row>
    <x:row r="811" ht="21" customHeight="1">
      <x:c r="A811" s="60" t="n">
        <x:v>0.63</x:v>
      </x:c>
      <x:c r="B811" s="28" t="str">
        <x:v>front_high</x:v>
      </x:c>
      <x:c r="C811" s="60" t="n">
        <x:v>0.25</x:v>
      </x:c>
      <x:c r="D811" s="60" t="n">
        <x:v>0.25</x:v>
      </x:c>
      <x:c r="E811" s="62" t="b">
        <x:v>1</x:v>
      </x:c>
      <x:c r="F811" s="62" t="b">
        <x:v>1</x:v>
      </x:c>
      <x:c r="G811" s="85" t="n">
        <x:v>0</x:v>
      </x:c>
      <x:c r="H811" s="85" t="n">
        <x:v>0</x:v>
      </x:c>
      <x:c r="I811" s="85" t="n">
        <x:v>4808478.374874757</x:v>
      </x:c>
      <x:c r="J811" s="85" t="n">
        <x:v>2961216.798590132</x:v>
      </x:c>
      <x:c r="K811" s="85" t="n">
        <x:v>73819.06198972616</x:v>
      </x:c>
      <x:c r="L811" s="28" t="n">
        <x:v>0</x:v>
      </x:c>
      <x:c r="M811" s="28" t="n">
        <x:v>0</x:v>
      </x:c>
      <x:c r="N811" s="28" t="n">
        <x:v>9.313225746154785e-10</x:v>
      </x:c>
      <x:c r="O811" s="28" t="n">
        <x:v>3.725290298461914e-9</x:v>
      </x:c>
      <x:c r="P811" s="28" t="n">
        <x:v>0</x:v>
      </x:c>
      <x:c r="Q811" s="62" t="b">
        <x:v>1</x:v>
      </x:c>
      <x:c r="R811" s="28" t="n">
        <x:v>0</x:v>
      </x:c>
      <x:c r="S811" s="28" t="str">
        <x:v>cabb3d3f3130ccd7</x:v>
      </x:c>
    </x:row>
    <x:row r="812" ht="21" customHeight="1">
      <x:c r="A812" s="60" t="n">
        <x:v>0.63</x:v>
      </x:c>
      <x:c r="B812" s="28" t="str">
        <x:v>front_high</x:v>
      </x:c>
      <x:c r="C812" s="60" t="n">
        <x:v>0.3</x:v>
      </x:c>
      <x:c r="D812" s="60" t="n">
        <x:v>0.3</x:v>
      </x:c>
      <x:c r="E812" s="62" t="b">
        <x:v>1</x:v>
      </x:c>
      <x:c r="F812" s="62" t="b">
        <x:v>1</x:v>
      </x:c>
      <x:c r="G812" s="85" t="n">
        <x:v>0</x:v>
      </x:c>
      <x:c r="H812" s="85" t="n">
        <x:v>0</x:v>
      </x:c>
      <x:c r="I812" s="85" t="n">
        <x:v>6652868.60387163</x:v>
      </x:c>
      <x:c r="J812" s="85" t="n">
        <x:v>4668340.158308164</x:v>
      </x:c>
      <x:c r="K812" s="85" t="n">
        <x:v>56195.42665068526</x:v>
      </x:c>
      <x:c r="L812" s="28" t="n">
        <x:v>0</x:v>
      </x:c>
      <x:c r="M812" s="28" t="n">
        <x:v>0</x:v>
      </x:c>
      <x:c r="N812" s="28" t="n">
        <x:v>4.656612873077393e-10</x:v>
      </x:c>
      <x:c r="O812" s="28" t="n">
        <x:v>7.450580596923828e-9</x:v>
      </x:c>
      <x:c r="P812" s="28" t="n">
        <x:v>0</x:v>
      </x:c>
      <x:c r="Q812" s="62" t="b">
        <x:v>1</x:v>
      </x:c>
      <x:c r="R812" s="28" t="n">
        <x:v>0</x:v>
      </x:c>
      <x:c r="S812" s="28" t="str">
        <x:v>2821f8e907fcbd15</x:v>
      </x:c>
    </x:row>
    <x:row r="813" ht="21" customHeight="1">
      <x:c r="A813" s="60" t="n">
        <x:v>0.63</x:v>
      </x:c>
      <x:c r="B813" s="28" t="str">
        <x:v>front_high</x:v>
      </x:c>
      <x:c r="C813" s="60" t="n">
        <x:v>0.35</x:v>
      </x:c>
      <x:c r="D813" s="60" t="n">
        <x:v>0.35</x:v>
      </x:c>
      <x:c r="E813" s="62" t="b">
        <x:v>1</x:v>
      </x:c>
      <x:c r="F813" s="62" t="b">
        <x:v>1</x:v>
      </x:c>
      <x:c r="G813" s="85" t="n">
        <x:v>0</x:v>
      </x:c>
      <x:c r="H813" s="85" t="n">
        <x:v>0</x:v>
      </x:c>
      <x:c r="I813" s="85" t="n">
        <x:v>8502638.096357368</x:v>
      </x:c>
      <x:c r="J813" s="85" t="n">
        <x:v>6375463.518026188</x:v>
      </x:c>
      <x:c r="K813" s="85" t="n">
        <x:v>38571.79131164413</x:v>
      </x:c>
      <x:c r="L813" s="28" t="n">
        <x:v>0</x:v>
      </x:c>
      <x:c r="M813" s="28" t="n">
        <x:v>0</x:v>
      </x:c>
      <x:c r="N813" s="28" t="n">
        <x:v>2.3283064365386963e-10</x:v>
      </x:c>
      <x:c r="O813" s="28" t="n">
        <x:v>7.450580596923828e-9</x:v>
      </x:c>
      <x:c r="P813" s="28" t="n">
        <x:v>0</x:v>
      </x:c>
      <x:c r="Q813" s="62" t="b">
        <x:v>1</x:v>
      </x:c>
      <x:c r="R813" s="28" t="n">
        <x:v>0</x:v>
      </x:c>
      <x:c r="S813" s="28" t="str">
        <x:v>1fb82c6c4dad4c91</x:v>
      </x:c>
    </x:row>
    <x:row r="814" ht="21" customHeight="1">
      <x:c r="A814" s="60" t="n">
        <x:v>0.63</x:v>
      </x:c>
      <x:c r="B814" s="28" t="str">
        <x:v>front_high</x:v>
      </x:c>
      <x:c r="C814" s="60" t="n">
        <x:v>0.4</x:v>
      </x:c>
      <x:c r="D814" s="60" t="n">
        <x:v>0.4</x:v>
      </x:c>
      <x:c r="E814" s="62" t="b">
        <x:v>1</x:v>
      </x:c>
      <x:c r="F814" s="62" t="b">
        <x:v>1</x:v>
      </x:c>
      <x:c r="G814" s="85" t="n">
        <x:v>0</x:v>
      </x:c>
      <x:c r="H814" s="85" t="n">
        <x:v>0</x:v>
      </x:c>
      <x:c r="I814" s="85" t="n">
        <x:v>10345472.456831126</x:v>
      </x:c>
      <x:c r="J814" s="85" t="n">
        <x:v>8082586.877744222</x:v>
      </x:c>
      <x:c r="K814" s="85" t="n">
        <x:v>26272.546027397308</x:v>
      </x:c>
      <x:c r="L814" s="28" t="n">
        <x:v>0</x:v>
      </x:c>
      <x:c r="M814" s="28" t="n">
        <x:v>0</x:v>
      </x:c>
      <x:c r="N814" s="28" t="n">
        <x:v>4.656612873077393e-10</x:v>
      </x:c>
      <x:c r="O814" s="28" t="n">
        <x:v>7.450580596923828e-9</x:v>
      </x:c>
      <x:c r="P814" s="28" t="n">
        <x:v>0</x:v>
      </x:c>
      <x:c r="Q814" s="62" t="b">
        <x:v>1</x:v>
      </x:c>
      <x:c r="R814" s="28" t="n">
        <x:v>0</x:v>
      </x:c>
      <x:c r="S814" s="28" t="str">
        <x:v>cc031263b561a795</x:v>
      </x:c>
    </x:row>
    <x:row r="815" ht="21" customHeight="1">
      <x:c r="A815" s="60" t="n">
        <x:v>0.63</x:v>
      </x:c>
      <x:c r="B815" s="28" t="str">
        <x:v>front_high</x:v>
      </x:c>
      <x:c r="C815" s="60" t="n">
        <x:v>0.45</x:v>
      </x:c>
      <x:c r="D815" s="60" t="n">
        <x:v>0.45</x:v>
      </x:c>
      <x:c r="E815" s="62" t="b">
        <x:v>1</x:v>
      </x:c>
      <x:c r="F815" s="62" t="b">
        <x:v>1</x:v>
      </x:c>
      <x:c r="G815" s="85" t="n">
        <x:v>0</x:v>
      </x:c>
      <x:c r="H815" s="85" t="n">
        <x:v>0</x:v>
      </x:c>
      <x:c r="I815" s="85" t="n">
        <x:v>12246812.288962984</x:v>
      </x:c>
      <x:c r="J815" s="85" t="n">
        <x:v>9450296.50724672</x:v>
      </x:c>
      <x:c r="K815" s="85" t="n">
        <x:v>20374.96469178101</x:v>
      </x:c>
      <x:c r="L815" s="28" t="n">
        <x:v>2</x:v>
      </x:c>
      <x:c r="M815" s="28" t="n">
        <x:v>0</x:v>
      </x:c>
      <x:c r="N815" s="28" t="n">
        <x:v>2.3283064365386963e-10</x:v>
      </x:c>
      <x:c r="O815" s="28" t="n">
        <x:v>3.725290298461914e-9</x:v>
      </x:c>
      <x:c r="P815" s="28" t="n">
        <x:v>0</x:v>
      </x:c>
      <x:c r="Q815" s="62" t="b">
        <x:v>1</x:v>
      </x:c>
      <x:c r="R815" s="28" t="n">
        <x:v>0</x:v>
      </x:c>
      <x:c r="S815" s="28" t="str">
        <x:v>0e497c5a56cb61ba</x:v>
      </x:c>
    </x:row>
    <x:row r="816" ht="21" customHeight="1">
      <x:c r="A816" s="60" t="n">
        <x:v>0.63</x:v>
      </x:c>
      <x:c r="B816" s="28" t="str">
        <x:v>front_high</x:v>
      </x:c>
      <x:c r="C816" s="60" t="n">
        <x:v>0.5</x:v>
      </x:c>
      <x:c r="D816" s="60" t="n">
        <x:v>0.5</x:v>
      </x:c>
      <x:c r="E816" s="62" t="b">
        <x:v>1</x:v>
      </x:c>
      <x:c r="F816" s="62" t="b">
        <x:v>1</x:v>
      </x:c>
      <x:c r="G816" s="85" t="n">
        <x:v>0</x:v>
      </x:c>
      <x:c r="H816" s="85" t="n">
        <x:v>0</x:v>
      </x:c>
      <x:c r="I816" s="85" t="n">
        <x:v>14165683.46789229</x:v>
      </x:c>
      <x:c r="J816" s="85" t="n">
        <x:v>10123466.10452883</x:v>
      </x:c>
      <x:c r="K816" s="85" t="n">
        <x:v>14477.383356164013</x:v>
      </x:c>
      <x:c r="L816" s="28" t="n">
        <x:v>7</x:v>
      </x:c>
      <x:c r="M816" s="28" t="n">
        <x:v>0</x:v>
      </x:c>
      <x:c r="N816" s="28" t="n">
        <x:v>4.656612873077393e-10</x:v>
      </x:c>
      <x:c r="O816" s="28" t="n">
        <x:v>7.450580596923828e-9</x:v>
      </x:c>
      <x:c r="P816" s="28" t="n">
        <x:v>0</x:v>
      </x:c>
      <x:c r="Q816" s="62" t="b">
        <x:v>1</x:v>
      </x:c>
      <x:c r="R816" s="28" t="n">
        <x:v>0</x:v>
      </x:c>
      <x:c r="S816" s="28" t="str">
        <x:v>f51d83937b42be29</x:v>
      </x:c>
    </x:row>
    <x:row r="817" ht="21" customHeight="1">
      <x:c r="A817" s="60" t="n">
        <x:v>0.63</x:v>
      </x:c>
      <x:c r="B817" s="28" t="str">
        <x:v>front_high</x:v>
      </x:c>
      <x:c r="C817" s="60" t="n">
        <x:v>0.55</x:v>
      </x:c>
      <x:c r="D817" s="60" t="n">
        <x:v>0.55</x:v>
      </x:c>
      <x:c r="E817" s="62" t="b">
        <x:v>1</x:v>
      </x:c>
      <x:c r="F817" s="62" t="b">
        <x:v>1</x:v>
      </x:c>
      <x:c r="G817" s="85" t="n">
        <x:v>0</x:v>
      </x:c>
      <x:c r="H817" s="85" t="n">
        <x:v>0</x:v>
      </x:c>
      <x:c r="I817" s="85" t="n">
        <x:v>16040315.15506892</x:v>
      </x:c>
      <x:c r="J817" s="85" t="n">
        <x:v>10608102.407406222</x:v>
      </x:c>
      <x:c r="K817" s="85" t="n">
        <x:v>8579.802020547715</x:v>
      </x:c>
      <x:c r="L817" s="28" t="n">
        <x:v>13</x:v>
      </x:c>
      <x:c r="M817" s="28" t="n">
        <x:v>0</x:v>
      </x:c>
      <x:c r="N817" s="28" t="n">
        <x:v>4.656612873077393e-10</x:v>
      </x:c>
      <x:c r="O817" s="28" t="n">
        <x:v>3.725290298461914e-9</x:v>
      </x:c>
      <x:c r="P817" s="28" t="n">
        <x:v>0</x:v>
      </x:c>
      <x:c r="Q817" s="62" t="b">
        <x:v>1</x:v>
      </x:c>
      <x:c r="R817" s="28" t="n">
        <x:v>0</x:v>
      </x:c>
      <x:c r="S817" s="28" t="str">
        <x:v>6361ebd788d7f45b</x:v>
      </x:c>
    </x:row>
    <x:row r="818" ht="21" customHeight="1">
      <x:c r="A818" s="60" t="n">
        <x:v>0.63</x:v>
      </x:c>
      <x:c r="B818" s="28" t="str">
        <x:v>front_high</x:v>
      </x:c>
      <x:c r="C818" s="60" t="n">
        <x:v>0.6</x:v>
      </x:c>
      <x:c r="D818" s="60" t="n">
        <x:v>0.6</x:v>
      </x:c>
      <x:c r="E818" s="62" t="b">
        <x:v>1</x:v>
      </x:c>
      <x:c r="F818" s="62" t="b">
        <x:v>1</x:v>
      </x:c>
      <x:c r="G818" s="85" t="n">
        <x:v>0</x:v>
      </x:c>
      <x:c r="H818" s="85" t="n">
        <x:v>0</x:v>
      </x:c>
      <x:c r="I818" s="85" t="n">
        <x:v>17906247.428221926</x:v>
      </x:c>
      <x:c r="J818" s="85" t="n">
        <x:v>12473936.617540114</x:v>
      </x:c>
      <x:c r="K818" s="85" t="n">
        <x:v>2682.22068493165</x:v>
      </x:c>
      <x:c r="L818" s="28" t="n">
        <x:v>19</x:v>
      </x:c>
      <x:c r="M818" s="28" t="n">
        <x:v>3</x:v>
      </x:c>
      <x:c r="N818" s="28" t="n">
        <x:v>4.656612873077393e-10</x:v>
      </x:c>
      <x:c r="O818" s="28" t="n">
        <x:v>3.725290298461914e-9</x:v>
      </x:c>
      <x:c r="P818" s="28" t="n">
        <x:v>0</x:v>
      </x:c>
      <x:c r="Q818" s="62" t="b">
        <x:v>1</x:v>
      </x:c>
      <x:c r="R818" s="28" t="n">
        <x:v>0</x:v>
      </x:c>
      <x:c r="S818" s="28" t="str">
        <x:v>2befb872ba47fc92</x:v>
      </x:c>
    </x:row>
    <x:row r="819" ht="21" customHeight="1">
      <x:c r="A819" s="60" t="n">
        <x:v>0.63</x:v>
      </x:c>
      <x:c r="B819" s="28" t="str">
        <x:v>front_high</x:v>
      </x:c>
      <x:c r="C819" s="60" t="n">
        <x:v>0.65</x:v>
      </x:c>
      <x:c r="D819" s="60" t="n">
        <x:v>0.65</x:v>
      </x:c>
      <x:c r="E819" s="62" t="b">
        <x:v>1</x:v>
      </x:c>
      <x:c r="F819" s="62" t="b">
        <x:v>1</x:v>
      </x:c>
      <x:c r="G819" s="85" t="n">
        <x:v>0</x:v>
      </x:c>
      <x:c r="H819" s="85" t="n">
        <x:v>0</x:v>
      </x:c>
      <x:c r="I819" s="85" t="n">
        <x:v>19597982.77693864</x:v>
      </x:c>
      <x:c r="J819" s="85" t="n">
        <x:v>14913607.89366576</x:v>
      </x:c>
      <x:c r="K819" s="85" t="n">
        <x:v>0</x:v>
      </x:c>
      <x:c r="L819" s="28" t="n">
        <x:v>26</x:v>
      </x:c>
      <x:c r="M819" s="28" t="n">
        <x:v>18</x:v>
      </x:c>
      <x:c r="N819" s="28" t="n">
        <x:v>2.3283064365386963e-10</x:v>
      </x:c>
      <x:c r="O819" s="28" t="n">
        <x:v>3.725290298461914e-9</x:v>
      </x:c>
      <x:c r="P819" s="28" t="n">
        <x:v>0</x:v>
      </x:c>
      <x:c r="Q819" s="62" t="b">
        <x:v>1</x:v>
      </x:c>
      <x:c r="R819" s="28" t="n">
        <x:v>0</x:v>
      </x:c>
      <x:c r="S819" s="28" t="str">
        <x:v>bbe38cca5d28d28c</x:v>
      </x:c>
    </x:row>
    <x:row r="820" ht="21" customHeight="1">
      <x:c r="A820" s="60" t="n">
        <x:v>0.63</x:v>
      </x:c>
      <x:c r="B820" s="28" t="str">
        <x:v>front_high</x:v>
      </x:c>
      <x:c r="C820" s="60" t="n">
        <x:v>0.7</x:v>
      </x:c>
      <x:c r="D820" s="60" t="n">
        <x:v>0.7</x:v>
      </x:c>
      <x:c r="E820" s="62" t="b">
        <x:v>1</x:v>
      </x:c>
      <x:c r="F820" s="62" t="b">
        <x:v>0</x:v>
      </x:c>
      <x:c r="G820" s="85" t="n">
        <x:v>944830.5095616138</x:v>
      </x:c>
      <x:c r="H820" s="85" t="n">
        <x:v>2906290.68365899</x:v>
      </x:c>
      <x:c r="I820" s="85" t="n">
        <x:v>19696444.367363025</x:v>
      </x:c>
      <x:c r="J820" s="85" t="n">
        <x:v>15050880.000000002</x:v>
      </x:c>
      <x:c r="K820" s="85" t="n">
        <x:v>0</x:v>
      </x:c>
      <x:c r="L820" s="28" t="n">
        <x:v>45</x:v>
      </x:c>
      <x:c r="M820" s="28" t="n">
        <x:v>39</x:v>
      </x:c>
      <x:c r="N820" s="28" t="n">
        <x:v>4.656612873077393e-10</x:v>
      </x:c>
      <x:c r="O820" s="28" t="n">
        <x:v>1.862645149230957e-9</x:v>
      </x:c>
      <x:c r="P820" s="28" t="n">
        <x:v>0</x:v>
      </x:c>
      <x:c r="Q820" s="62" t="b">
        <x:v>1</x:v>
      </x:c>
      <x:c r="R820" s="28" t="n">
        <x:v>0</x:v>
      </x:c>
      <x:c r="S820" s="28" t="str">
        <x:v>2129c47f60767c71</x:v>
      </x:c>
    </x:row>
    <x:row r="821" ht="21" customHeight="1">
      <x:c r="A821" s="60" t="n">
        <x:v>0.63</x:v>
      </x:c>
      <x:c r="B821" s="28" t="str">
        <x:v>front_high</x:v>
      </x:c>
      <x:c r="C821" s="60" t="n">
        <x:v>0.75</x:v>
      </x:c>
      <x:c r="D821" s="60" t="n">
        <x:v>0.75</x:v>
      </x:c>
      <x:c r="E821" s="62" t="b">
        <x:v>1</x:v>
      </x:c>
      <x:c r="F821" s="62" t="b">
        <x:v>0</x:v>
      </x:c>
      <x:c r="G821" s="85" t="n">
        <x:v>1760769.2618335132</x:v>
      </x:c>
      <x:c r="H821" s="85" t="n">
        <x:v>5311598.394819594</x:v>
      </x:c>
      <x:c r="I821" s="85" t="n">
        <x:v>19994212.517722614</x:v>
      </x:c>
      <x:c r="J821" s="85" t="n">
        <x:v>15050880.000000002</x:v>
      </x:c>
      <x:c r="K821" s="85" t="n">
        <x:v>0</x:v>
      </x:c>
      <x:c r="L821" s="28" t="n">
        <x:v>46</x:v>
      </x:c>
      <x:c r="M821" s="28" t="n">
        <x:v>42</x:v>
      </x:c>
      <x:c r="N821" s="28" t="n">
        <x:v>4.656612873077393e-10</x:v>
      </x:c>
      <x:c r="O821" s="28" t="n">
        <x:v>3.725290298461914e-9</x:v>
      </x:c>
      <x:c r="P821" s="28" t="n">
        <x:v>0</x:v>
      </x:c>
      <x:c r="Q821" s="62" t="b">
        <x:v>1</x:v>
      </x:c>
      <x:c r="R821" s="28" t="n">
        <x:v>0</x:v>
      </x:c>
      <x:c r="S821" s="28" t="str">
        <x:v>115181239b63541a</x:v>
      </x:c>
    </x:row>
    <x:row r="822" ht="21" customHeight="1">
      <x:c r="A822" s="60" t="n">
        <x:v>0.63</x:v>
      </x:c>
      <x:c r="B822" s="28" t="str">
        <x:v>front_high</x:v>
      </x:c>
      <x:c r="C822" s="60" t="n">
        <x:v>0.8</x:v>
      </x:c>
      <x:c r="D822" s="60" t="n">
        <x:v>0.8</x:v>
      </x:c>
      <x:c r="E822" s="62" t="b">
        <x:v>1</x:v>
      </x:c>
      <x:c r="F822" s="62" t="b">
        <x:v>0</x:v>
      </x:c>
      <x:c r="G822" s="85" t="n">
        <x:v>2873702.077574231</x:v>
      </x:c>
      <x:c r="H822" s="85" t="n">
        <x:v>8030428.899339443</x:v>
      </x:c>
      <x:c r="I822" s="85" t="n">
        <x:v>20006330.660350695</x:v>
      </x:c>
      <x:c r="J822" s="85" t="n">
        <x:v>15050880.000000002</x:v>
      </x:c>
      <x:c r="K822" s="85" t="n">
        <x:v>0</x:v>
      </x:c>
      <x:c r="L822" s="28" t="n">
        <x:v>46</x:v>
      </x:c>
      <x:c r="M822" s="28" t="n">
        <x:v>44</x:v>
      </x:c>
      <x:c r="N822" s="28" t="n">
        <x:v>4.656612873077393e-10</x:v>
      </x:c>
      <x:c r="O822" s="28" t="n">
        <x:v>3.725290298461914e-9</x:v>
      </x:c>
      <x:c r="P822" s="28" t="n">
        <x:v>0</x:v>
      </x:c>
      <x:c r="Q822" s="62" t="b">
        <x:v>1</x:v>
      </x:c>
      <x:c r="R822" s="28" t="n">
        <x:v>0</x:v>
      </x:c>
      <x:c r="S822" s="28" t="str">
        <x:v>366452e7a68644c9</x:v>
      </x:c>
    </x:row>
    <x:row r="823" ht="21" customHeight="1">
      <x:c r="A823" s="60" t="n">
        <x:v>0.63</x:v>
      </x:c>
      <x:c r="B823" s="28" t="str">
        <x:v>front_high</x:v>
      </x:c>
      <x:c r="C823" s="60" t="n">
        <x:v>0.85</x:v>
      </x:c>
      <x:c r="D823" s="60" t="n">
        <x:v>0.85</x:v>
      </x:c>
      <x:c r="E823" s="62" t="b">
        <x:v>1</x:v>
      </x:c>
      <x:c r="F823" s="62" t="b">
        <x:v>0</x:v>
      </x:c>
      <x:c r="G823" s="85" t="n">
        <x:v>3957684.2624610076</x:v>
      </x:c>
      <x:c r="H823" s="85" t="n">
        <x:v>10661660.26272452</x:v>
      </x:c>
      <x:c r="I823" s="85" t="n">
        <x:v>20024055.923492476</x:v>
      </x:c>
      <x:c r="J823" s="85" t="n">
        <x:v>15050880.000000002</x:v>
      </x:c>
      <x:c r="K823" s="85" t="n">
        <x:v>0</x:v>
      </x:c>
      <x:c r="L823" s="28" t="n">
        <x:v>46</x:v>
      </x:c>
      <x:c r="M823" s="28" t="n">
        <x:v>44</x:v>
      </x:c>
      <x:c r="N823" s="28" t="n">
        <x:v>2.3283064365386963e-10</x:v>
      </x:c>
      <x:c r="O823" s="28" t="n">
        <x:v>1.862645149230957e-9</x:v>
      </x:c>
      <x:c r="P823" s="28" t="n">
        <x:v>0</x:v>
      </x:c>
      <x:c r="Q823" s="62" t="b">
        <x:v>1</x:v>
      </x:c>
      <x:c r="R823" s="28" t="n">
        <x:v>0</x:v>
      </x:c>
      <x:c r="S823" s="28" t="str">
        <x:v>21b69a56ff0f8735</x:v>
      </x:c>
    </x:row>
    <x:row r="824" ht="21" customHeight="1">
      <x:c r="A824" s="60" t="n">
        <x:v>0.63</x:v>
      </x:c>
      <x:c r="B824" s="28" t="str">
        <x:v>front_high</x:v>
      </x:c>
      <x:c r="C824" s="60" t="n">
        <x:v>0.9</x:v>
      </x:c>
      <x:c r="D824" s="60" t="n">
        <x:v>0.9</x:v>
      </x:c>
      <x:c r="E824" s="62" t="b">
        <x:v>1</x:v>
      </x:c>
      <x:c r="F824" s="62" t="b">
        <x:v>0</x:v>
      </x:c>
      <x:c r="G824" s="85" t="n">
        <x:v>5457037.823007888</x:v>
      </x:c>
      <x:c r="H824" s="85" t="n">
        <x:v>13044187.681873161</x:v>
      </x:c>
      <x:c r="I824" s="85" t="n">
        <x:v>20041781.186634257</x:v>
      </x:c>
      <x:c r="J824" s="85" t="n">
        <x:v>15050880.000000002</x:v>
      </x:c>
      <x:c r="K824" s="85" t="n">
        <x:v>0</x:v>
      </x:c>
      <x:c r="L824" s="28" t="n">
        <x:v>46</x:v>
      </x:c>
      <x:c r="M824" s="28" t="n">
        <x:v>45</x:v>
      </x:c>
      <x:c r="N824" s="28" t="n">
        <x:v>4.656612873077393e-10</x:v>
      </x:c>
      <x:c r="O824" s="28" t="n">
        <x:v>3.725290298461914e-9</x:v>
      </x:c>
      <x:c r="P824" s="28" t="n">
        <x:v>0</x:v>
      </x:c>
      <x:c r="Q824" s="62" t="b">
        <x:v>1</x:v>
      </x:c>
      <x:c r="R824" s="28" t="n">
        <x:v>0</x:v>
      </x:c>
      <x:c r="S824" s="28" t="str">
        <x:v>3c275831f9c48efe</x:v>
      </x:c>
    </x:row>
    <x:row r="825" ht="21" customHeight="1">
      <x:c r="A825" s="60" t="n">
        <x:v>0.63</x:v>
      </x:c>
      <x:c r="B825" s="28" t="str">
        <x:v>front_high</x:v>
      </x:c>
      <x:c r="C825" s="60" t="n">
        <x:v>0.95</x:v>
      </x:c>
      <x:c r="D825" s="60" t="n">
        <x:v>0.9427119459478259</x:v>
      </x:c>
      <x:c r="E825" s="62" t="b">
        <x:v>0</x:v>
      </x:c>
      <x:c r="F825" s="62" t="b">
        <x:v>0</x:v>
      </x:c>
      <x:c r="G825" s="85" t="n">
        <x:v>6461069.6259873435</x:v>
      </x:c>
      <x:c r="H825" s="85" t="n">
        <x:v>14545316.919864934</x:v>
      </x:c>
      <x:c r="I825" s="85" t="n">
        <x:v>20059506.44977604</x:v>
      </x:c>
      <x:c r="J825" s="85" t="n">
        <x:v>15050880.000000002</x:v>
      </x:c>
      <x:c r="K825" s="85" t="n">
        <x:v>0</x:v>
      </x:c>
      <x:c r="L825" s="28" t="n">
        <x:v>46</x:v>
      </x:c>
      <x:c r="M825" s="28" t="n">
        <x:v>45</x:v>
      </x:c>
      <x:c r="N825" s="28" t="n">
        <x:v>4.656612873077393e-10</x:v>
      </x:c>
      <x:c r="O825" s="28" t="n">
        <x:v>1.862645149230957e-9</x:v>
      </x:c>
      <x:c r="P825" s="28" t="n">
        <x:v>0</x:v>
      </x:c>
      <x:c r="Q825" s="62" t="b">
        <x:v>1</x:v>
      </x:c>
      <x:c r="R825" s="28" t="n">
        <x:v>406265.28508438915</x:v>
      </x:c>
      <x:c r="S825" s="28" t="str">
        <x:v>0307597437c7c56d</x:v>
      </x:c>
    </x:row>
    <x:row r="826" ht="21" customHeight="1">
      <x:c r="A826" s="60" t="n">
        <x:v>0.63</x:v>
      </x:c>
      <x:c r="B826" s="28" t="str">
        <x:v>front_high</x:v>
      </x:c>
      <x:c r="C826" s="60" t="n">
        <x:v>1</x:v>
      </x:c>
      <x:c r="D826" s="60" t="n">
        <x:v>0.9596721012870685</x:v>
      </x:c>
      <x:c r="E826" s="62" t="b">
        <x:v>0</x:v>
      </x:c>
      <x:c r="F826" s="62" t="b">
        <x:v>0</x:v>
      </x:c>
      <x:c r="G826" s="85" t="n">
        <x:v>7221393.351311181</x:v>
      </x:c>
      <x:c r="H826" s="85" t="n">
        <x:v>15440968.399424808</x:v>
      </x:c>
      <x:c r="I826" s="85" t="n">
        <x:v>20077231.71291782</x:v>
      </x:c>
      <x:c r="J826" s="85" t="n">
        <x:v>15050880.000000002</x:v>
      </x:c>
      <x:c r="K826" s="85" t="n">
        <x:v>0</x:v>
      </x:c>
      <x:c r="L826" s="28" t="n">
        <x:v>46</x:v>
      </x:c>
      <x:c r="M826" s="28" t="n">
        <x:v>45</x:v>
      </x:c>
      <x:c r="N826" s="28" t="n">
        <x:v>2.3283064365386963e-10</x:v>
      </x:c>
      <x:c r="O826" s="28" t="n">
        <x:v>1.862645149230957e-9</x:v>
      </x:c>
      <x:c r="P826" s="28" t="n">
        <x:v>0</x:v>
      </x:c>
      <x:c r="Q826" s="62" t="b">
        <x:v>1</x:v>
      </x:c>
      <x:c r="R826" s="28" t="n">
        <x:v>2248038.3858536556</x:v>
      </x:c>
      <x:c r="S826" s="28" t="str">
        <x:v>1fb3b001554b8c48</x:v>
      </x:c>
    </x:row>
    <x:row r="827" ht="21" customHeight="1">
      <x:c r="A827" s="60" t="n">
        <x:v>0.63</x:v>
      </x:c>
      <x:c r="B827" s="28" t="str">
        <x:v>middle_flat</x:v>
      </x:c>
      <x:c r="C827" s="60" t="n">
        <x:v>0</x:v>
      </x:c>
      <x:c r="D827" s="60" t="n">
        <x:v>0</x:v>
      </x:c>
      <x:c r="E827" s="62" t="b">
        <x:v>1</x:v>
      </x:c>
      <x:c r="F827" s="62" t="b">
        <x:v>1</x:v>
      </x:c>
      <x:c r="G827" s="85" t="n">
        <x:v>0</x:v>
      </x:c>
      <x:c r="H827" s="85" t="n">
        <x:v>0</x:v>
      </x:c>
      <x:c r="I827" s="85" t="n">
        <x:v>0</x:v>
      </x:c>
      <x:c r="J827" s="85" t="n">
        <x:v>0</x:v>
      </x:c>
      <x:c r="K827" s="85" t="n">
        <x:v>5928283.089972603</x:v>
      </x:c>
      <x:c r="L827" s="28" t="n">
        <x:v>0</x:v>
      </x:c>
      <x:c r="M827" s="28" t="n">
        <x:v>0</x:v>
      </x:c>
      <x:c r="N827" s="28" t="n">
        <x:v>2.3283064365386963e-10</x:v>
      </x:c>
      <x:c r="O827" s="28" t="n">
        <x:v>0</x:v>
      </x:c>
      <x:c r="P827" s="28" t="n">
        <x:v>0</x:v>
      </x:c>
      <x:c r="Q827" s="62" t="b">
        <x:v>1</x:v>
      </x:c>
      <x:c r="R827" s="28" t="n">
        <x:v>0</x:v>
      </x:c>
      <x:c r="S827" s="28" t="str">
        <x:v>225399cc3cab1106</x:v>
      </x:c>
    </x:row>
    <x:row r="828" ht="21" customHeight="1">
      <x:c r="A828" s="60" t="n">
        <x:v>0.63</x:v>
      </x:c>
      <x:c r="B828" s="28" t="str">
        <x:v>middle_flat</x:v>
      </x:c>
      <x:c r="C828" s="60" t="n">
        <x:v>0.05</x:v>
      </x:c>
      <x:c r="D828" s="60" t="n">
        <x:v>0.05</x:v>
      </x:c>
      <x:c r="E828" s="62" t="b">
        <x:v>1</x:v>
      </x:c>
      <x:c r="F828" s="62" t="b">
        <x:v>1</x:v>
      </x:c>
      <x:c r="G828" s="85" t="n">
        <x:v>0</x:v>
      </x:c>
      <x:c r="H828" s="85" t="n">
        <x:v>0</x:v>
      </x:c>
      <x:c r="I828" s="85" t="n">
        <x:v>0</x:v>
      </x:c>
      <x:c r="J828" s="85" t="n">
        <x:v>0</x:v>
      </x:c>
      <x:c r="K828" s="85" t="n">
        <x:v>3689835.8517321404</x:v>
      </x:c>
      <x:c r="L828" s="28" t="n">
        <x:v>0</x:v>
      </x:c>
      <x:c r="M828" s="28" t="n">
        <x:v>0</x:v>
      </x:c>
      <x:c r="N828" s="28" t="n">
        <x:v>9.313225746154785e-10</x:v>
      </x:c>
      <x:c r="O828" s="28" t="n">
        <x:v>7.450580596923828e-9</x:v>
      </x:c>
      <x:c r="P828" s="28" t="n">
        <x:v>0</x:v>
      </x:c>
      <x:c r="Q828" s="62" t="b">
        <x:v>1</x:v>
      </x:c>
      <x:c r="R828" s="28" t="n">
        <x:v>0</x:v>
      </x:c>
      <x:c r="S828" s="28" t="str">
        <x:v>cb29c08ded5f578f</x:v>
      </x:c>
    </x:row>
    <x:row r="829" ht="21" customHeight="1">
      <x:c r="A829" s="60" t="n">
        <x:v>0.63</x:v>
      </x:c>
      <x:c r="B829" s="28" t="str">
        <x:v>middle_flat</x:v>
      </x:c>
      <x:c r="C829" s="60" t="n">
        <x:v>0.1</x:v>
      </x:c>
      <x:c r="D829" s="60" t="n">
        <x:v>0.1</x:v>
      </x:c>
      <x:c r="E829" s="62" t="b">
        <x:v>1</x:v>
      </x:c>
      <x:c r="F829" s="62" t="b">
        <x:v>1</x:v>
      </x:c>
      <x:c r="G829" s="85" t="n">
        <x:v>0</x:v>
      </x:c>
      <x:c r="H829" s="85" t="n">
        <x:v>0</x:v>
      </x:c>
      <x:c r="I829" s="85" t="n">
        <x:v>0</x:v>
      </x:c>
      <x:c r="J829" s="85" t="n">
        <x:v>0</x:v>
      </x:c>
      <x:c r="K829" s="85" t="n">
        <x:v>1451082.5369132783</x:v>
      </x:c>
      <x:c r="L829" s="28" t="n">
        <x:v>0</x:v>
      </x:c>
      <x:c r="M829" s="28" t="n">
        <x:v>0</x:v>
      </x:c>
      <x:c r="N829" s="28" t="n">
        <x:v>9.313225746154785e-10</x:v>
      </x:c>
      <x:c r="O829" s="28" t="n">
        <x:v>7.450580596923828e-9</x:v>
      </x:c>
      <x:c r="P829" s="28" t="n">
        <x:v>0</x:v>
      </x:c>
      <x:c r="Q829" s="62" t="b">
        <x:v>1</x:v>
      </x:c>
      <x:c r="R829" s="28" t="n">
        <x:v>0</x:v>
      </x:c>
      <x:c r="S829" s="28" t="str">
        <x:v>06fa84569c10703c</x:v>
      </x:c>
    </x:row>
    <x:row r="830" ht="21" customHeight="1">
      <x:c r="A830" s="60" t="n">
        <x:v>0.63</x:v>
      </x:c>
      <x:c r="B830" s="28" t="str">
        <x:v>middle_flat</x:v>
      </x:c>
      <x:c r="C830" s="60" t="n">
        <x:v>0.15</x:v>
      </x:c>
      <x:c r="D830" s="60" t="n">
        <x:v>0.15</x:v>
      </x:c>
      <x:c r="E830" s="62" t="b">
        <x:v>1</x:v>
      </x:c>
      <x:c r="F830" s="62" t="b">
        <x:v>1</x:v>
      </x:c>
      <x:c r="G830" s="85" t="n">
        <x:v>0</x:v>
      </x:c>
      <x:c r="H830" s="85" t="n">
        <x:v>0</x:v>
      </x:c>
      <x:c r="I830" s="85" t="n">
        <x:v>814944.0611484395</x:v>
      </x:c>
      <x:c r="J830" s="85" t="n">
        <x:v>0</x:v>
      </x:c>
      <x:c r="K830" s="85" t="n">
        <x:v>178703.46959153414</x:v>
      </x:c>
      <x:c r="L830" s="28" t="n">
        <x:v>0</x:v>
      </x:c>
      <x:c r="M830" s="28" t="n">
        <x:v>0</x:v>
      </x:c>
      <x:c r="N830" s="28" t="n">
        <x:v>4.656612873077393e-10</x:v>
      </x:c>
      <x:c r="O830" s="28" t="n">
        <x:v>7.450580596923828e-9</x:v>
      </x:c>
      <x:c r="P830" s="28" t="n">
        <x:v>0</x:v>
      </x:c>
      <x:c r="Q830" s="62" t="b">
        <x:v>1</x:v>
      </x:c>
      <x:c r="R830" s="28" t="n">
        <x:v>0</x:v>
      </x:c>
      <x:c r="S830" s="28" t="str">
        <x:v>9778831da94f8763</x:v>
      </x:c>
    </x:row>
    <x:row r="831" ht="21" customHeight="1">
      <x:c r="A831" s="60" t="n">
        <x:v>0.63</x:v>
      </x:c>
      <x:c r="B831" s="28" t="str">
        <x:v>middle_flat</x:v>
      </x:c>
      <x:c r="C831" s="60" t="n">
        <x:v>0.2</x:v>
      </x:c>
      <x:c r="D831" s="60" t="n">
        <x:v>0.2</x:v>
      </x:c>
      <x:c r="E831" s="62" t="b">
        <x:v>1</x:v>
      </x:c>
      <x:c r="F831" s="62" t="b">
        <x:v>1</x:v>
      </x:c>
      <x:c r="G831" s="85" t="n">
        <x:v>0</x:v>
      </x:c>
      <x:c r="H831" s="85" t="n">
        <x:v>0</x:v>
      </x:c>
      <x:c r="I831" s="85" t="n">
        <x:v>2321966.219151213</x:v>
      </x:c>
      <x:c r="J831" s="85" t="n">
        <x:v>1253157.2790409115</x:v>
      </x:c>
      <x:c r="K831" s="85" t="n">
        <x:v>130938.21535090428</x:v>
      </x:c>
      <x:c r="L831" s="28" t="n">
        <x:v>0</x:v>
      </x:c>
      <x:c r="M831" s="28" t="n">
        <x:v>0</x:v>
      </x:c>
      <x:c r="N831" s="28" t="n">
        <x:v>2.3283064365386963e-10</x:v>
      </x:c>
      <x:c r="O831" s="28" t="n">
        <x:v>7.450580596923828e-9</x:v>
      </x:c>
      <x:c r="P831" s="28" t="n">
        <x:v>0</x:v>
      </x:c>
      <x:c r="Q831" s="62" t="b">
        <x:v>1</x:v>
      </x:c>
      <x:c r="R831" s="28" t="n">
        <x:v>0</x:v>
      </x:c>
      <x:c r="S831" s="28" t="str">
        <x:v>eeedd37c2b336220</x:v>
      </x:c>
    </x:row>
    <x:row r="832" ht="21" customHeight="1">
      <x:c r="A832" s="60" t="n">
        <x:v>0.63</x:v>
      </x:c>
      <x:c r="B832" s="28" t="str">
        <x:v>middle_flat</x:v>
      </x:c>
      <x:c r="C832" s="60" t="n">
        <x:v>0.25</x:v>
      </x:c>
      <x:c r="D832" s="60" t="n">
        <x:v>0.25</x:v>
      </x:c>
      <x:c r="E832" s="62" t="b">
        <x:v>1</x:v>
      </x:c>
      <x:c r="F832" s="62" t="b">
        <x:v>1</x:v>
      </x:c>
      <x:c r="G832" s="85" t="n">
        <x:v>0</x:v>
      </x:c>
      <x:c r="H832" s="85" t="n">
        <x:v>0</x:v>
      </x:c>
      <x:c r="I832" s="85" t="n">
        <x:v>3514310.8790897117</x:v>
      </x:c>
      <x:c r="J832" s="85" t="n">
        <x:v>2960046.598801156</x:v>
      </x:c>
      <x:c r="K832" s="85" t="n">
        <x:v>99939.07534246577</x:v>
      </x:c>
      <x:c r="L832" s="28" t="n">
        <x:v>0</x:v>
      </x:c>
      <x:c r="M832" s="28" t="n">
        <x:v>0</x:v>
      </x:c>
      <x:c r="N832" s="28" t="n">
        <x:v>2.3283064365386963e-10</x:v>
      </x:c>
      <x:c r="O832" s="28" t="n">
        <x:v>7.450580596923828e-9</x:v>
      </x:c>
      <x:c r="P832" s="28" t="n">
        <x:v>0</x:v>
      </x:c>
      <x:c r="Q832" s="62" t="b">
        <x:v>1</x:v>
      </x:c>
      <x:c r="R832" s="28" t="n">
        <x:v>0</x:v>
      </x:c>
      <x:c r="S832" s="28" t="str">
        <x:v>c46497d6fd3474fe</x:v>
      </x:c>
    </x:row>
    <x:row r="833" ht="21" customHeight="1">
      <x:c r="A833" s="60" t="n">
        <x:v>0.63</x:v>
      </x:c>
      <x:c r="B833" s="28" t="str">
        <x:v>middle_flat</x:v>
      </x:c>
      <x:c r="C833" s="60" t="n">
        <x:v>0.3</x:v>
      </x:c>
      <x:c r="D833" s="60" t="n">
        <x:v>0.3</x:v>
      </x:c>
      <x:c r="E833" s="62" t="b">
        <x:v>1</x:v>
      </x:c>
      <x:c r="F833" s="62" t="b">
        <x:v>1</x:v>
      </x:c>
      <x:c r="G833" s="85" t="n">
        <x:v>0</x:v>
      </x:c>
      <x:c r="H833" s="85" t="n">
        <x:v>0</x:v>
      </x:c>
      <x:c r="I833" s="85" t="n">
        <x:v>4730738.877315318</x:v>
      </x:c>
      <x:c r="J833" s="85" t="n">
        <x:v>4666935.918561378</x:v>
      </x:c>
      <x:c r="K833" s="85" t="n">
        <x:v>84281.58641095969</x:v>
      </x:c>
      <x:c r="L833" s="28" t="n">
        <x:v>0</x:v>
      </x:c>
      <x:c r="M833" s="28" t="n">
        <x:v>0</x:v>
      </x:c>
      <x:c r="N833" s="28" t="n">
        <x:v>4.656612873077393e-10</x:v>
      </x:c>
      <x:c r="O833" s="28" t="n">
        <x:v>7.450580596923828e-9</x:v>
      </x:c>
      <x:c r="P833" s="28" t="n">
        <x:v>0</x:v>
      </x:c>
      <x:c r="Q833" s="62" t="b">
        <x:v>1</x:v>
      </x:c>
      <x:c r="R833" s="28" t="n">
        <x:v>0</x:v>
      </x:c>
      <x:c r="S833" s="28" t="str">
        <x:v>8ba10ad457398024</x:v>
      </x:c>
    </x:row>
    <x:row r="834" ht="21" customHeight="1">
      <x:c r="A834" s="60" t="n">
        <x:v>0.63</x:v>
      </x:c>
      <x:c r="B834" s="28" t="str">
        <x:v>middle_flat</x:v>
      </x:c>
      <x:c r="C834" s="60" t="n">
        <x:v>0.35</x:v>
      </x:c>
      <x:c r="D834" s="60" t="n">
        <x:v>0.35</x:v>
      </x:c>
      <x:c r="E834" s="62" t="b">
        <x:v>1</x:v>
      </x:c>
      <x:c r="F834" s="62" t="b">
        <x:v>1</x:v>
      </x:c>
      <x:c r="G834" s="85" t="n">
        <x:v>0</x:v>
      </x:c>
      <x:c r="H834" s="85" t="n">
        <x:v>0</x:v>
      </x:c>
      <x:c r="I834" s="85" t="n">
        <x:v>5948614.705134798</x:v>
      </x:c>
      <x:c r="J834" s="85" t="n">
        <x:v>6373825.238321626</x:v>
      </x:c>
      <x:c r="K834" s="85" t="n">
        <x:v>68624.0974794516</x:v>
      </x:c>
      <x:c r="L834" s="28" t="n">
        <x:v>0</x:v>
      </x:c>
      <x:c r="M834" s="28" t="n">
        <x:v>0</x:v>
      </x:c>
      <x:c r="N834" s="28" t="n">
        <x:v>9.313225746154785e-10</x:v>
      </x:c>
      <x:c r="O834" s="28" t="n">
        <x:v>7.450580596923828e-9</x:v>
      </x:c>
      <x:c r="P834" s="28" t="n">
        <x:v>0</x:v>
      </x:c>
      <x:c r="Q834" s="62" t="b">
        <x:v>1</x:v>
      </x:c>
      <x:c r="R834" s="28" t="n">
        <x:v>0</x:v>
      </x:c>
      <x:c r="S834" s="28" t="str">
        <x:v>f8f0f9eb045d5fab</x:v>
      </x:c>
    </x:row>
    <x:row r="835" ht="21" customHeight="1">
      <x:c r="A835" s="60" t="n">
        <x:v>0.63</x:v>
      </x:c>
      <x:c r="B835" s="28" t="str">
        <x:v>middle_flat</x:v>
      </x:c>
      <x:c r="C835" s="60" t="n">
        <x:v>0.4</x:v>
      </x:c>
      <x:c r="D835" s="60" t="n">
        <x:v>0.4</x:v>
      </x:c>
      <x:c r="E835" s="62" t="b">
        <x:v>1</x:v>
      </x:c>
      <x:c r="F835" s="62" t="b">
        <x:v>1</x:v>
      </x:c>
      <x:c r="G835" s="85" t="n">
        <x:v>0</x:v>
      </x:c>
      <x:c r="H835" s="85" t="n">
        <x:v>0</x:v>
      </x:c>
      <x:c r="I835" s="85" t="n">
        <x:v>7176263.576185355</x:v>
      </x:c>
      <x:c r="J835" s="85" t="n">
        <x:v>8080714.55808184</x:v>
      </x:c>
      <x:c r="K835" s="85" t="n">
        <x:v>52966.608547945725</x:v>
      </x:c>
      <x:c r="L835" s="28" t="n">
        <x:v>0</x:v>
      </x:c>
      <x:c r="M835" s="28" t="n">
        <x:v>0</x:v>
      </x:c>
      <x:c r="N835" s="28" t="n">
        <x:v>4.656612873077393e-10</x:v>
      </x:c>
      <x:c r="O835" s="28" t="n">
        <x:v>3.725290298461914e-9</x:v>
      </x:c>
      <x:c r="P835" s="28" t="n">
        <x:v>0</x:v>
      </x:c>
      <x:c r="Q835" s="62" t="b">
        <x:v>1</x:v>
      </x:c>
      <x:c r="R835" s="28" t="n">
        <x:v>0</x:v>
      </x:c>
      <x:c r="S835" s="28" t="str">
        <x:v>a7f936ec3ca99fb1</x:v>
      </x:c>
    </x:row>
    <x:row r="836" ht="21" customHeight="1">
      <x:c r="A836" s="60" t="n">
        <x:v>0.63</x:v>
      </x:c>
      <x:c r="B836" s="28" t="str">
        <x:v>middle_flat</x:v>
      </x:c>
      <x:c r="C836" s="60" t="n">
        <x:v>0.45</x:v>
      </x:c>
      <x:c r="D836" s="60" t="n">
        <x:v>0.45</x:v>
      </x:c>
      <x:c r="E836" s="62" t="b">
        <x:v>1</x:v>
      </x:c>
      <x:c r="F836" s="62" t="b">
        <x:v>1</x:v>
      </x:c>
      <x:c r="G836" s="85" t="n">
        <x:v>0</x:v>
      </x:c>
      <x:c r="H836" s="85" t="n">
        <x:v>0</x:v>
      </x:c>
      <x:c r="I836" s="85" t="n">
        <x:v>8560734.541803535</x:v>
      </x:c>
      <x:c r="J836" s="85" t="n">
        <x:v>9415330.363084126</x:v>
      </x:c>
      <x:c r="K836" s="85" t="n">
        <x:v>45487.41550684947</x:v>
      </x:c>
      <x:c r="L836" s="28" t="n">
        <x:v>3</x:v>
      </x:c>
      <x:c r="M836" s="28" t="n">
        <x:v>0</x:v>
      </x:c>
      <x:c r="N836" s="28" t="n">
        <x:v>9.313225746154785e-10</x:v>
      </x:c>
      <x:c r="O836" s="28" t="n">
        <x:v>1.862645149230957e-9</x:v>
      </x:c>
      <x:c r="P836" s="28" t="n">
        <x:v>0</x:v>
      </x:c>
      <x:c r="Q836" s="62" t="b">
        <x:v>1</x:v>
      </x:c>
      <x:c r="R836" s="28" t="n">
        <x:v>0</x:v>
      </x:c>
      <x:c r="S836" s="28" t="str">
        <x:v>fa4d173699f3a2d9</x:v>
      </x:c>
    </x:row>
    <x:row r="837" ht="21" customHeight="1">
      <x:c r="A837" s="60" t="n">
        <x:v>0.63</x:v>
      </x:c>
      <x:c r="B837" s="28" t="str">
        <x:v>middle_flat</x:v>
      </x:c>
      <x:c r="C837" s="60" t="n">
        <x:v>0.5</x:v>
      </x:c>
      <x:c r="D837" s="60" t="n">
        <x:v>0.5</x:v>
      </x:c>
      <x:c r="E837" s="62" t="b">
        <x:v>1</x:v>
      </x:c>
      <x:c r="F837" s="62" t="b">
        <x:v>1</x:v>
      </x:c>
      <x:c r="G837" s="85" t="n">
        <x:v>0</x:v>
      </x:c>
      <x:c r="H837" s="85" t="n">
        <x:v>0</x:v>
      </x:c>
      <x:c r="I837" s="85" t="n">
        <x:v>10021557.936502395</x:v>
      </x:c>
      <x:c r="J837" s="85" t="n">
        <x:v>10540919.708487187</x:v>
      </x:c>
      <x:c r="K837" s="85" t="n">
        <x:v>40721.481424657984</x:v>
      </x:c>
      <x:c r="L837" s="28" t="n">
        <x:v>9</x:v>
      </x:c>
      <x:c r="M837" s="28" t="n">
        <x:v>0</x:v>
      </x:c>
      <x:c r="N837" s="28" t="n">
        <x:v>4.656612873077393e-10</x:v>
      </x:c>
      <x:c r="O837" s="28" t="n">
        <x:v>7.450580596923828e-9</x:v>
      </x:c>
      <x:c r="P837" s="28" t="n">
        <x:v>0</x:v>
      </x:c>
      <x:c r="Q837" s="62" t="b">
        <x:v>1</x:v>
      </x:c>
      <x:c r="R837" s="28" t="n">
        <x:v>0</x:v>
      </x:c>
      <x:c r="S837" s="28" t="str">
        <x:v>bf2fbdba2b664323</x:v>
      </x:c>
    </x:row>
    <x:row r="838" ht="21" customHeight="1">
      <x:c r="A838" s="60" t="n">
        <x:v>0.63</x:v>
      </x:c>
      <x:c r="B838" s="28" t="str">
        <x:v>middle_flat</x:v>
      </x:c>
      <x:c r="C838" s="60" t="n">
        <x:v>0.55</x:v>
      </x:c>
      <x:c r="D838" s="60" t="n">
        <x:v>0.55</x:v>
      </x:c>
      <x:c r="E838" s="62" t="b">
        <x:v>1</x:v>
      </x:c>
      <x:c r="F838" s="62" t="b">
        <x:v>1</x:v>
      </x:c>
      <x:c r="G838" s="85" t="n">
        <x:v>0</x:v>
      </x:c>
      <x:c r="H838" s="85" t="n">
        <x:v>0</x:v>
      </x:c>
      <x:c r="I838" s="85" t="n">
        <x:v>11238332.149164079</x:v>
      </x:c>
      <x:c r="J838" s="85" t="n">
        <x:v>12213506.977756228</x:v>
      </x:c>
      <x:c r="K838" s="85" t="n">
        <x:v>35955.54734246578</x:v>
      </x:c>
      <x:c r="L838" s="28" t="n">
        <x:v>12</x:v>
      </x:c>
      <x:c r="M838" s="28" t="n">
        <x:v>0</x:v>
      </x:c>
      <x:c r="N838" s="28" t="n">
        <x:v>4.656612873077393e-10</x:v>
      </x:c>
      <x:c r="O838" s="28" t="n">
        <x:v>7.450580596923828e-9</x:v>
      </x:c>
      <x:c r="P838" s="28" t="n">
        <x:v>0</x:v>
      </x:c>
      <x:c r="Q838" s="62" t="b">
        <x:v>1</x:v>
      </x:c>
      <x:c r="R838" s="28" t="n">
        <x:v>0</x:v>
      </x:c>
      <x:c r="S838" s="28" t="str">
        <x:v>c70141bbdfd31b2f</x:v>
      </x:c>
    </x:row>
    <x:row r="839" ht="21" customHeight="1">
      <x:c r="A839" s="60" t="n">
        <x:v>0.63</x:v>
      </x:c>
      <x:c r="B839" s="28" t="str">
        <x:v>middle_flat</x:v>
      </x:c>
      <x:c r="C839" s="60" t="n">
        <x:v>0.6</x:v>
      </x:c>
      <x:c r="D839" s="60" t="n">
        <x:v>0.6</x:v>
      </x:c>
      <x:c r="E839" s="62" t="b">
        <x:v>1</x:v>
      </x:c>
      <x:c r="F839" s="62" t="b">
        <x:v>1</x:v>
      </x:c>
      <x:c r="G839" s="85" t="n">
        <x:v>0</x:v>
      </x:c>
      <x:c r="H839" s="85" t="n">
        <x:v>0</x:v>
      </x:c>
      <x:c r="I839" s="85" t="n">
        <x:v>12498139.051184263</x:v>
      </x:c>
      <x:c r="J839" s="85" t="n">
        <x:v>13751308.648033533</x:v>
      </x:c>
      <x:c r="K839" s="85" t="n">
        <x:v>31189.613260273945</x:v>
      </x:c>
      <x:c r="L839" s="28" t="n">
        <x:v>17</x:v>
      </x:c>
      <x:c r="M839" s="28" t="n">
        <x:v>5</x:v>
      </x:c>
      <x:c r="N839" s="28" t="n">
        <x:v>4.656612873077393e-10</x:v>
      </x:c>
      <x:c r="O839" s="28" t="n">
        <x:v>3.725290298461914e-9</x:v>
      </x:c>
      <x:c r="P839" s="28" t="n">
        <x:v>0</x:v>
      </x:c>
      <x:c r="Q839" s="62" t="b">
        <x:v>1</x:v>
      </x:c>
      <x:c r="R839" s="28" t="n">
        <x:v>0</x:v>
      </x:c>
      <x:c r="S839" s="28" t="str">
        <x:v>0a54305c4b60608f</x:v>
      </x:c>
    </x:row>
    <x:row r="840" ht="21" customHeight="1">
      <x:c r="A840" s="60" t="n">
        <x:v>0.63</x:v>
      </x:c>
      <x:c r="B840" s="28" t="str">
        <x:v>middle_flat</x:v>
      </x:c>
      <x:c r="C840" s="60" t="n">
        <x:v>0.65</x:v>
      </x:c>
      <x:c r="D840" s="60" t="n">
        <x:v>0.65</x:v>
      </x:c>
      <x:c r="E840" s="62" t="b">
        <x:v>1</x:v>
      </x:c>
      <x:c r="F840" s="62" t="b">
        <x:v>0</x:v>
      </x:c>
      <x:c r="G840" s="85" t="n">
        <x:v>168696.75504145608</x:v>
      </x:c>
      <x:c r="H840" s="85" t="n">
        <x:v>900816.7606623254</x:v>
      </x:c>
      <x:c r="I840" s="85" t="n">
        <x:v>13132285.137428468</x:v>
      </x:c>
      <x:c r="J840" s="85" t="n">
        <x:v>15050880.000000002</x:v>
      </x:c>
      <x:c r="K840" s="85" t="n">
        <x:v>26423.6791780828</x:v>
      </x:c>
      <x:c r="L840" s="28" t="n">
        <x:v>40</x:v>
      </x:c>
      <x:c r="M840" s="28" t="n">
        <x:v>34</x:v>
      </x:c>
      <x:c r="N840" s="28" t="n">
        <x:v>4.656612873077393e-10</x:v>
      </x:c>
      <x:c r="O840" s="28" t="n">
        <x:v>1.862645149230957e-9</x:v>
      </x:c>
      <x:c r="P840" s="28" t="n">
        <x:v>0</x:v>
      </x:c>
      <x:c r="Q840" s="62" t="b">
        <x:v>1</x:v>
      </x:c>
      <x:c r="R840" s="28" t="n">
        <x:v>0</x:v>
      </x:c>
      <x:c r="S840" s="28" t="str">
        <x:v>40d64ff77f1693e1</x:v>
      </x:c>
    </x:row>
    <x:row r="841" ht="21" customHeight="1">
      <x:c r="A841" s="60" t="n">
        <x:v>0.63</x:v>
      </x:c>
      <x:c r="B841" s="28" t="str">
        <x:v>middle_flat</x:v>
      </x:c>
      <x:c r="C841" s="60" t="n">
        <x:v>0.7</x:v>
      </x:c>
      <x:c r="D841" s="60" t="n">
        <x:v>0.7</x:v>
      </x:c>
      <x:c r="E841" s="62" t="b">
        <x:v>1</x:v>
      </x:c>
      <x:c r="F841" s="62" t="b">
        <x:v>0</x:v>
      </x:c>
      <x:c r="G841" s="85" t="n">
        <x:v>556453.2837629236</x:v>
      </x:c>
      <x:c r="H841" s="85" t="n">
        <x:v>2998706.209586329</x:v>
      </x:c>
      <x:c r="I841" s="85" t="n">
        <x:v>13387633.233721921</x:v>
      </x:c>
      <x:c r="J841" s="85" t="n">
        <x:v>15050880.000000002</x:v>
      </x:c>
      <x:c r="K841" s="85" t="n">
        <x:v>21657.745095890143</x:v>
      </x:c>
      <x:c r="L841" s="28" t="n">
        <x:v>41</x:v>
      </x:c>
      <x:c r="M841" s="28" t="n">
        <x:v>35</x:v>
      </x:c>
      <x:c r="N841" s="28" t="n">
        <x:v>4.656612873077393e-10</x:v>
      </x:c>
      <x:c r="O841" s="28" t="n">
        <x:v>3.725290298461914e-9</x:v>
      </x:c>
      <x:c r="P841" s="28" t="n">
        <x:v>0</x:v>
      </x:c>
      <x:c r="Q841" s="62" t="b">
        <x:v>1</x:v>
      </x:c>
      <x:c r="R841" s="28" t="n">
        <x:v>0</x:v>
      </x:c>
      <x:c r="S841" s="28" t="str">
        <x:v>27a2c8857366e991</x:v>
      </x:c>
    </x:row>
    <x:row r="842" ht="21" customHeight="1">
      <x:c r="A842" s="60" t="n">
        <x:v>0.63</x:v>
      </x:c>
      <x:c r="B842" s="28" t="str">
        <x:v>middle_flat</x:v>
      </x:c>
      <x:c r="C842" s="60" t="n">
        <x:v>0.75</x:v>
      </x:c>
      <x:c r="D842" s="60" t="n">
        <x:v>0.75</x:v>
      </x:c>
      <x:c r="E842" s="62" t="b">
        <x:v>1</x:v>
      </x:c>
      <x:c r="F842" s="62" t="b">
        <x:v>0</x:v>
      </x:c>
      <x:c r="G842" s="85" t="n">
        <x:v>1039808.9843246521</x:v>
      </x:c>
      <x:c r="H842" s="85" t="n">
        <x:v>5272192.588847608</x:v>
      </x:c>
      <x:c r="I842" s="85" t="n">
        <x:v>13429508.140428085</x:v>
      </x:c>
      <x:c r="J842" s="85" t="n">
        <x:v>15050880.000000002</x:v>
      </x:c>
      <x:c r="K842" s="85" t="n">
        <x:v>16891.81101369841</x:v>
      </x:c>
      <x:c r="L842" s="28" t="n">
        <x:v>41</x:v>
      </x:c>
      <x:c r="M842" s="28" t="n">
        <x:v>36</x:v>
      </x:c>
      <x:c r="N842" s="28" t="n">
        <x:v>2.3283064365386963e-10</x:v>
      </x:c>
      <x:c r="O842" s="28" t="n">
        <x:v>3.725290298461914e-9</x:v>
      </x:c>
      <x:c r="P842" s="28" t="n">
        <x:v>0</x:v>
      </x:c>
      <x:c r="Q842" s="62" t="b">
        <x:v>1</x:v>
      </x:c>
      <x:c r="R842" s="28" t="n">
        <x:v>0</x:v>
      </x:c>
      <x:c r="S842" s="28" t="str">
        <x:v>690f882f577a1122</x:v>
      </x:c>
    </x:row>
    <x:row r="843" ht="21" customHeight="1">
      <x:c r="A843" s="60" t="n">
        <x:v>0.63</x:v>
      </x:c>
      <x:c r="B843" s="28" t="str">
        <x:v>middle_flat</x:v>
      </x:c>
      <x:c r="C843" s="60" t="n">
        <x:v>0.8</x:v>
      </x:c>
      <x:c r="D843" s="60" t="n">
        <x:v>0.8</x:v>
      </x:c>
      <x:c r="E843" s="62" t="b">
        <x:v>1</x:v>
      </x:c>
      <x:c r="F843" s="62" t="b">
        <x:v>0</x:v>
      </x:c>
      <x:c r="G843" s="85" t="n">
        <x:v>1444276.8047867995</x:v>
      </x:c>
      <x:c r="H843" s="85" t="n">
        <x:v>7268149.788129876</x:v>
      </x:c>
      <x:c r="I843" s="85" t="n">
        <x:v>13660660.573204605</x:v>
      </x:c>
      <x:c r="J843" s="85" t="n">
        <x:v>15050880.000000002</x:v>
      </x:c>
      <x:c r="K843" s="85" t="n">
        <x:v>12125.876931507035</x:v>
      </x:c>
      <x:c r="L843" s="28" t="n">
        <x:v>42</x:v>
      </x:c>
      <x:c r="M843" s="28" t="n">
        <x:v>37</x:v>
      </x:c>
      <x:c r="N843" s="28" t="n">
        <x:v>2.3283064365386963e-10</x:v>
      </x:c>
      <x:c r="O843" s="28" t="n">
        <x:v>1.862645149230957e-9</x:v>
      </x:c>
      <x:c r="P843" s="28" t="n">
        <x:v>0</x:v>
      </x:c>
      <x:c r="Q843" s="62" t="b">
        <x:v>1</x:v>
      </x:c>
      <x:c r="R843" s="28" t="n">
        <x:v>0</x:v>
      </x:c>
      <x:c r="S843" s="28" t="str">
        <x:v>fad670d1c4aa4b80</x:v>
      </x:c>
    </x:row>
    <x:row r="844" ht="21" customHeight="1">
      <x:c r="A844" s="60" t="n">
        <x:v>0.63</x:v>
      </x:c>
      <x:c r="B844" s="28" t="str">
        <x:v>middle_flat</x:v>
      </x:c>
      <x:c r="C844" s="60" t="n">
        <x:v>0.85</x:v>
      </x:c>
      <x:c r="D844" s="60" t="n">
        <x:v>0.85</x:v>
      </x:c>
      <x:c r="E844" s="62" t="b">
        <x:v>1</x:v>
      </x:c>
      <x:c r="F844" s="62" t="b">
        <x:v>0</x:v>
      </x:c>
      <x:c r="G844" s="85" t="n">
        <x:v>2027940.4788852371</x:v>
      </x:c>
      <x:c r="H844" s="85" t="n">
        <x:v>9364010.787356053</x:v>
      </x:c>
      <x:c r="I844" s="85" t="n">
        <x:v>13690538.233947702</x:v>
      </x:c>
      <x:c r="J844" s="85" t="n">
        <x:v>15050880.000000002</x:v>
      </x:c>
      <x:c r="K844" s="85" t="n">
        <x:v>9607.88219178105</x:v>
      </x:c>
      <x:c r="L844" s="28" t="n">
        <x:v>42</x:v>
      </x:c>
      <x:c r="M844" s="28" t="n">
        <x:v>38</x:v>
      </x:c>
      <x:c r="N844" s="28" t="n">
        <x:v>4.656612873077393e-10</x:v>
      </x:c>
      <x:c r="O844" s="28" t="n">
        <x:v>3.725290298461914e-9</x:v>
      </x:c>
      <x:c r="P844" s="28" t="n">
        <x:v>0</x:v>
      </x:c>
      <x:c r="Q844" s="62" t="b">
        <x:v>1</x:v>
      </x:c>
      <x:c r="R844" s="28" t="n">
        <x:v>0</x:v>
      </x:c>
      <x:c r="S844" s="28" t="str">
        <x:v>2fc85a5dc3f26d24</x:v>
      </x:c>
    </x:row>
    <x:row r="845" ht="21" customHeight="1">
      <x:c r="A845" s="60" t="n">
        <x:v>0.63</x:v>
      </x:c>
      <x:c r="B845" s="28" t="str">
        <x:v>middle_flat</x:v>
      </x:c>
      <x:c r="C845" s="60" t="n">
        <x:v>0.9</x:v>
      </x:c>
      <x:c r="D845" s="60" t="n">
        <x:v>0.9</x:v>
      </x:c>
      <x:c r="E845" s="62" t="b">
        <x:v>1</x:v>
      </x:c>
      <x:c r="F845" s="62" t="b">
        <x:v>0</x:v>
      </x:c>
      <x:c r="G845" s="85" t="n">
        <x:v>2794863.741917194</x:v>
      </x:c>
      <x:c r="H845" s="85" t="n">
        <x:v>10996208.888132831</x:v>
      </x:c>
      <x:c r="I845" s="85" t="n">
        <x:v>13925587.230415072</x:v>
      </x:c>
      <x:c r="J845" s="85" t="n">
        <x:v>15050880.000000002</x:v>
      </x:c>
      <x:c r="K845" s="85" t="n">
        <x:v>8003.746849315336</x:v>
      </x:c>
      <x:c r="L845" s="28" t="n">
        <x:v>43</x:v>
      </x:c>
      <x:c r="M845" s="28" t="n">
        <x:v>38</x:v>
      </x:c>
      <x:c r="N845" s="28" t="n">
        <x:v>2.3283064365386963e-10</x:v>
      </x:c>
      <x:c r="O845" s="28" t="n">
        <x:v>3.725290298461914e-9</x:v>
      </x:c>
      <x:c r="P845" s="28" t="n">
        <x:v>0</x:v>
      </x:c>
      <x:c r="Q845" s="62" t="b">
        <x:v>1</x:v>
      </x:c>
      <x:c r="R845" s="28" t="n">
        <x:v>0</x:v>
      </x:c>
      <x:c r="S845" s="28" t="str">
        <x:v>e3d35523768bc65e</x:v>
      </x:c>
    </x:row>
    <x:row r="846" ht="21" customHeight="1">
      <x:c r="A846" s="60" t="n">
        <x:v>0.63</x:v>
      </x:c>
      <x:c r="B846" s="28" t="str">
        <x:v>middle_flat</x:v>
      </x:c>
      <x:c r="C846" s="60" t="n">
        <x:v>0.95</x:v>
      </x:c>
      <x:c r="D846" s="60" t="n">
        <x:v>0.9270639118581285</x:v>
      </x:c>
      <x:c r="E846" s="62" t="b">
        <x:v>0</x:v>
      </x:c>
      <x:c r="F846" s="62" t="b">
        <x:v>0</x:v>
      </x:c>
      <x:c r="G846" s="85" t="n">
        <x:v>3161764.4278170997</x:v>
      </x:c>
      <x:c r="H846" s="85" t="n">
        <x:v>11970914.237513393</x:v>
      </x:c>
      <x:c r="I846" s="85" t="n">
        <x:v>13945119.80689932</x:v>
      </x:c>
      <x:c r="J846" s="85" t="n">
        <x:v>15050880.000000002</x:v>
      </x:c>
      <x:c r="K846" s="85" t="n">
        <x:v>6399.611506849389</x:v>
      </x:c>
      <x:c r="L846" s="28" t="n">
        <x:v>43</x:v>
      </x:c>
      <x:c r="M846" s="28" t="n">
        <x:v>39</x:v>
      </x:c>
      <x:c r="N846" s="28" t="n">
        <x:v>2.3283064365386963e-10</x:v>
      </x:c>
      <x:c r="O846" s="28" t="n">
        <x:v>3.725290298461914e-9</x:v>
      </x:c>
      <x:c r="P846" s="28" t="n">
        <x:v>0</x:v>
      </x:c>
      <x:c r="Q846" s="62" t="b">
        <x:v>1</x:v>
      </x:c>
      <x:c r="R846" s="28" t="n">
        <x:v>1278549.2973804846</x:v>
      </x:c>
      <x:c r="S846" s="28" t="str">
        <x:v>9c211ace8355a5ca</x:v>
      </x:c>
    </x:row>
    <x:row r="847" ht="21" customHeight="1">
      <x:c r="A847" s="60" t="n">
        <x:v>0.63</x:v>
      </x:c>
      <x:c r="B847" s="28" t="str">
        <x:v>middle_flat</x:v>
      </x:c>
      <x:c r="C847" s="60" t="n">
        <x:v>1</x:v>
      </x:c>
      <x:c r="D847" s="60" t="n">
        <x:v>0.9427455891708479</x:v>
      </x:c>
      <x:c r="E847" s="62" t="b">
        <x:v>0</x:v>
      </x:c>
      <x:c r="F847" s="62" t="b">
        <x:v>0</x:v>
      </x:c>
      <x:c r="G847" s="85" t="n">
        <x:v>3489505.3712356966</x:v>
      </x:c>
      <x:c r="H847" s="85" t="n">
        <x:v>12679383.790278234</x:v>
      </x:c>
      <x:c r="I847" s="85" t="n">
        <x:v>13964652.383383567</x:v>
      </x:c>
      <x:c r="J847" s="85" t="n">
        <x:v>15050880.000000002</x:v>
      </x:c>
      <x:c r="K847" s="85" t="n">
        <x:v>4795.476164383443</x:v>
      </x:c>
      <x:c r="L847" s="28" t="n">
        <x:v>43</x:v>
      </x:c>
      <x:c r="M847" s="28" t="n">
        <x:v>40</x:v>
      </x:c>
      <x:c r="N847" s="28" t="n">
        <x:v>2.3283064365386963e-10</x:v>
      </x:c>
      <x:c r="O847" s="28" t="n">
        <x:v>9.313225746154785e-10</x:v>
      </x:c>
      <x:c r="P847" s="28" t="n">
        <x:v>0</x:v>
      </x:c>
      <x:c r="Q847" s="62" t="b">
        <x:v>1</x:v>
      </x:c>
      <x:c r="R847" s="28" t="n">
        <x:v>3191589.877260253</x:v>
      </x:c>
      <x:c r="S847" s="28" t="str">
        <x:v>3d8262767db49b70</x:v>
      </x:c>
    </x:row>
    <x:row r="848" ht="21" customHeight="1">
      <x:c r="A848" s="60" t="n">
        <x:v>0.63</x:v>
      </x:c>
      <x:c r="B848" s="28" t="str">
        <x:v>middle_low</x:v>
      </x:c>
      <x:c r="C848" s="60" t="n">
        <x:v>0</x:v>
      </x:c>
      <x:c r="D848" s="60" t="n">
        <x:v>0</x:v>
      </x:c>
      <x:c r="E848" s="62" t="b">
        <x:v>1</x:v>
      </x:c>
      <x:c r="F848" s="62" t="b">
        <x:v>1</x:v>
      </x:c>
      <x:c r="G848" s="85" t="n">
        <x:v>0</x:v>
      </x:c>
      <x:c r="H848" s="85" t="n">
        <x:v>0</x:v>
      </x:c>
      <x:c r="I848" s="85" t="n">
        <x:v>0</x:v>
      </x:c>
      <x:c r="J848" s="85" t="n">
        <x:v>0</x:v>
      </x:c>
      <x:c r="K848" s="85" t="n">
        <x:v>5160420.980383561</x:v>
      </x:c>
      <x:c r="L848" s="28" t="n">
        <x:v>0</x:v>
      </x:c>
      <x:c r="M848" s="28" t="n">
        <x:v>0</x:v>
      </x:c>
      <x:c r="N848" s="28" t="n">
        <x:v>4.656612873077393e-10</x:v>
      </x:c>
      <x:c r="O848" s="28" t="n">
        <x:v>0</x:v>
      </x:c>
      <x:c r="P848" s="28" t="n">
        <x:v>0</x:v>
      </x:c>
      <x:c r="Q848" s="62" t="b">
        <x:v>1</x:v>
      </x:c>
      <x:c r="R848" s="28" t="n">
        <x:v>0</x:v>
      </x:c>
      <x:c r="S848" s="28" t="str">
        <x:v>c18f21f1eb3b3ce6</x:v>
      </x:c>
    </x:row>
    <x:row r="849" ht="21" customHeight="1">
      <x:c r="A849" s="60" t="n">
        <x:v>0.63</x:v>
      </x:c>
      <x:c r="B849" s="28" t="str">
        <x:v>middle_low</x:v>
      </x:c>
      <x:c r="C849" s="60" t="n">
        <x:v>0.05</x:v>
      </x:c>
      <x:c r="D849" s="60" t="n">
        <x:v>0.05</x:v>
      </x:c>
      <x:c r="E849" s="62" t="b">
        <x:v>1</x:v>
      </x:c>
      <x:c r="F849" s="62" t="b">
        <x:v>1</x:v>
      </x:c>
      <x:c r="G849" s="85" t="n">
        <x:v>0</x:v>
      </x:c>
      <x:c r="H849" s="85" t="n">
        <x:v>0</x:v>
      </x:c>
      <x:c r="I849" s="85" t="n">
        <x:v>0</x:v>
      </x:c>
      <x:c r="J849" s="85" t="n">
        <x:v>0</x:v>
      </x:c>
      <x:c r="K849" s="85" t="n">
        <x:v>3147928.2939259754</x:v>
      </x:c>
      <x:c r="L849" s="28" t="n">
        <x:v>0</x:v>
      </x:c>
      <x:c r="M849" s="28" t="n">
        <x:v>0</x:v>
      </x:c>
      <x:c r="N849" s="28" t="n">
        <x:v>9.313225746154785e-10</x:v>
      </x:c>
      <x:c r="O849" s="28" t="n">
        <x:v>7.450580596923828e-9</x:v>
      </x:c>
      <x:c r="P849" s="28" t="n">
        <x:v>0</x:v>
      </x:c>
      <x:c r="Q849" s="62" t="b">
        <x:v>1</x:v>
      </x:c>
      <x:c r="R849" s="28" t="n">
        <x:v>0</x:v>
      </x:c>
      <x:c r="S849" s="28" t="str">
        <x:v>5087687d72b4c049</x:v>
      </x:c>
    </x:row>
    <x:row r="850" ht="21" customHeight="1">
      <x:c r="A850" s="60" t="n">
        <x:v>0.63</x:v>
      </x:c>
      <x:c r="B850" s="28" t="str">
        <x:v>middle_low</x:v>
      </x:c>
      <x:c r="C850" s="60" t="n">
        <x:v>0.1</x:v>
      </x:c>
      <x:c r="D850" s="60" t="n">
        <x:v>0.1</x:v>
      </x:c>
      <x:c r="E850" s="62" t="b">
        <x:v>1</x:v>
      </x:c>
      <x:c r="F850" s="62" t="b">
        <x:v>1</x:v>
      </x:c>
      <x:c r="G850" s="85" t="n">
        <x:v>0</x:v>
      </x:c>
      <x:c r="H850" s="85" t="n">
        <x:v>0</x:v>
      </x:c>
      <x:c r="I850" s="85" t="n">
        <x:v>0</x:v>
      </x:c>
      <x:c r="J850" s="85" t="n">
        <x:v>0</x:v>
      </x:c>
      <x:c r="K850" s="85" t="n">
        <x:v>1135219.5534130365</x:v>
      </x:c>
      <x:c r="L850" s="28" t="n">
        <x:v>0</x:v>
      </x:c>
      <x:c r="M850" s="28" t="n">
        <x:v>0</x:v>
      </x:c>
      <x:c r="N850" s="28" t="n">
        <x:v>9.313225746154785e-10</x:v>
      </x:c>
      <x:c r="O850" s="28" t="n">
        <x:v>7.450580596923828e-9</x:v>
      </x:c>
      <x:c r="P850" s="28" t="n">
        <x:v>0</x:v>
      </x:c>
      <x:c r="Q850" s="62" t="b">
        <x:v>1</x:v>
      </x:c>
      <x:c r="R850" s="28" t="n">
        <x:v>0</x:v>
      </x:c>
      <x:c r="S850" s="28" t="str">
        <x:v>7652311abe13339e</x:v>
      </x:c>
    </x:row>
    <x:row r="851" ht="21" customHeight="1">
      <x:c r="A851" s="60" t="n">
        <x:v>0.63</x:v>
      </x:c>
      <x:c r="B851" s="28" t="str">
        <x:v>middle_low</x:v>
      </x:c>
      <x:c r="C851" s="60" t="n">
        <x:v>0.15</x:v>
      </x:c>
      <x:c r="D851" s="60" t="n">
        <x:v>0.15</x:v>
      </x:c>
      <x:c r="E851" s="62" t="b">
        <x:v>1</x:v>
      </x:c>
      <x:c r="F851" s="62" t="b">
        <x:v>1</x:v>
      </x:c>
      <x:c r="G851" s="85" t="n">
        <x:v>0</x:v>
      </x:c>
      <x:c r="H851" s="85" t="n">
        <x:v>0</x:v>
      </x:c>
      <x:c r="I851" s="85" t="n">
        <x:v>698178.0777610717</x:v>
      </x:c>
      <x:c r="J851" s="85" t="n">
        <x:v>0</x:v>
      </x:c>
      <x:c r="K851" s="85" t="n">
        <x:v>28391.0767671232</x:v>
      </x:c>
      <x:c r="L851" s="28" t="n">
        <x:v>0</x:v>
      </x:c>
      <x:c r="M851" s="28" t="n">
        <x:v>0</x:v>
      </x:c>
      <x:c r="N851" s="28" t="n">
        <x:v>4.656612873077393e-10</x:v>
      </x:c>
      <x:c r="O851" s="28" t="n">
        <x:v>7.450580596923828e-9</x:v>
      </x:c>
      <x:c r="P851" s="28" t="n">
        <x:v>0</x:v>
      </x:c>
      <x:c r="Q851" s="62" t="b">
        <x:v>1</x:v>
      </x:c>
      <x:c r="R851" s="28" t="n">
        <x:v>0</x:v>
      </x:c>
      <x:c r="S851" s="28" t="str">
        <x:v>4f181e2496a329cd</x:v>
      </x:c>
    </x:row>
    <x:row r="852" ht="21" customHeight="1">
      <x:c r="A852" s="60" t="n">
        <x:v>0.63</x:v>
      </x:c>
      <x:c r="B852" s="28" t="str">
        <x:v>middle_low</x:v>
      </x:c>
      <x:c r="C852" s="60" t="n">
        <x:v>0.2</x:v>
      </x:c>
      <x:c r="D852" s="60" t="n">
        <x:v>0.2</x:v>
      </x:c>
      <x:c r="E852" s="62" t="b">
        <x:v>1</x:v>
      </x:c>
      <x:c r="F852" s="62" t="b">
        <x:v>1</x:v>
      </x:c>
      <x:c r="G852" s="85" t="n">
        <x:v>0</x:v>
      </x:c>
      <x:c r="H852" s="85" t="n">
        <x:v>0</x:v>
      </x:c>
      <x:c r="I852" s="85" t="n">
        <x:v>1845066.2773014756</x:v>
      </x:c>
      <x:c r="J852" s="85" t="n">
        <x:v>1253157.2790409115</x:v>
      </x:c>
      <x:c r="K852" s="85" t="n">
        <x:v>19649.262356164363</x:v>
      </x:c>
      <x:c r="L852" s="28" t="n">
        <x:v>0</x:v>
      </x:c>
      <x:c r="M852" s="28" t="n">
        <x:v>0</x:v>
      </x:c>
      <x:c r="N852" s="28" t="n">
        <x:v>4.656612873077393e-10</x:v>
      </x:c>
      <x:c r="O852" s="28" t="n">
        <x:v>7.450580596923828e-9</x:v>
      </x:c>
      <x:c r="P852" s="28" t="n">
        <x:v>0</x:v>
      </x:c>
      <x:c r="Q852" s="62" t="b">
        <x:v>1</x:v>
      </x:c>
      <x:c r="R852" s="28" t="n">
        <x:v>0</x:v>
      </x:c>
      <x:c r="S852" s="28" t="str">
        <x:v>d901988a80771668</x:v>
      </x:c>
    </x:row>
    <x:row r="853" ht="21" customHeight="1">
      <x:c r="A853" s="60" t="n">
        <x:v>0.63</x:v>
      </x:c>
      <x:c r="B853" s="28" t="str">
        <x:v>middle_low</x:v>
      </x:c>
      <x:c r="C853" s="60" t="n">
        <x:v>0.25</x:v>
      </x:c>
      <x:c r="D853" s="60" t="n">
        <x:v>0.25</x:v>
      </x:c>
      <x:c r="E853" s="62" t="b">
        <x:v>1</x:v>
      </x:c>
      <x:c r="F853" s="62" t="b">
        <x:v>1</x:v>
      </x:c>
      <x:c r="G853" s="85" t="n">
        <x:v>0</x:v>
      </x:c>
      <x:c r="H853" s="85" t="n">
        <x:v>0</x:v>
      </x:c>
      <x:c r="I853" s="85" t="n">
        <x:v>2631645.2282816465</x:v>
      </x:c>
      <x:c r="J853" s="85" t="n">
        <x:v>2960046.598801156</x:v>
      </x:c>
      <x:c r="K853" s="85" t="n">
        <x:v>13521.95183561623</x:v>
      </x:c>
      <x:c r="L853" s="28" t="n">
        <x:v>0</x:v>
      </x:c>
      <x:c r="M853" s="28" t="n">
        <x:v>0</x:v>
      </x:c>
      <x:c r="N853" s="28" t="n">
        <x:v>4.656612873077393e-10</x:v>
      </x:c>
      <x:c r="O853" s="28" t="n">
        <x:v>7.450580596923828e-9</x:v>
      </x:c>
      <x:c r="P853" s="28" t="n">
        <x:v>0</x:v>
      </x:c>
      <x:c r="Q853" s="62" t="b">
        <x:v>1</x:v>
      </x:c>
      <x:c r="R853" s="28" t="n">
        <x:v>0</x:v>
      </x:c>
      <x:c r="S853" s="28" t="str">
        <x:v>bd546104db9dc03c</x:v>
      </x:c>
    </x:row>
    <x:row r="854" ht="21" customHeight="1">
      <x:c r="A854" s="60" t="n">
        <x:v>0.63</x:v>
      </x:c>
      <x:c r="B854" s="28" t="str">
        <x:v>middle_low</x:v>
      </x:c>
      <x:c r="C854" s="60" t="n">
        <x:v>0.3</x:v>
      </x:c>
      <x:c r="D854" s="60" t="n">
        <x:v>0.3</x:v>
      </x:c>
      <x:c r="E854" s="62" t="b">
        <x:v>1</x:v>
      </x:c>
      <x:c r="F854" s="62" t="b">
        <x:v>1</x:v>
      </x:c>
      <x:c r="G854" s="85" t="n">
        <x:v>0</x:v>
      </x:c>
      <x:c r="H854" s="85" t="n">
        <x:v>0</x:v>
      </x:c>
      <x:c r="I854" s="85" t="n">
        <x:v>3428599.669663997</x:v>
      </x:c>
      <x:c r="J854" s="85" t="n">
        <x:v>4666935.918561378</x:v>
      </x:c>
      <x:c r="K854" s="85" t="n">
        <x:v>10809.58049315072</x:v>
      </x:c>
      <x:c r="L854" s="28" t="n">
        <x:v>0</x:v>
      </x:c>
      <x:c r="M854" s="28" t="n">
        <x:v>0</x:v>
      </x:c>
      <x:c r="N854" s="28" t="n">
        <x:v>2.3283064365386963e-10</x:v>
      </x:c>
      <x:c r="O854" s="28" t="n">
        <x:v>7.450580596923828e-9</x:v>
      </x:c>
      <x:c r="P854" s="28" t="n">
        <x:v>0</x:v>
      </x:c>
      <x:c r="Q854" s="62" t="b">
        <x:v>1</x:v>
      </x:c>
      <x:c r="R854" s="28" t="n">
        <x:v>0</x:v>
      </x:c>
      <x:c r="S854" s="28" t="str">
        <x:v>d023fed565778a7f</x:v>
      </x:c>
    </x:row>
    <x:row r="855" ht="21" customHeight="1">
      <x:c r="A855" s="60" t="n">
        <x:v>0.63</x:v>
      </x:c>
      <x:c r="B855" s="28" t="str">
        <x:v>middle_low</x:v>
      </x:c>
      <x:c r="C855" s="60" t="n">
        <x:v>0.35</x:v>
      </x:c>
      <x:c r="D855" s="60" t="n">
        <x:v>0.35</x:v>
      </x:c>
      <x:c r="E855" s="62" t="b">
        <x:v>1</x:v>
      </x:c>
      <x:c r="F855" s="62" t="b">
        <x:v>1</x:v>
      </x:c>
      <x:c r="G855" s="85" t="n">
        <x:v>0</x:v>
      </x:c>
      <x:c r="H855" s="85" t="n">
        <x:v>0</x:v>
      </x:c>
      <x:c r="I855" s="85" t="n">
        <x:v>4229376.421172406</x:v>
      </x:c>
      <x:c r="J855" s="85" t="n">
        <x:v>6373825.238321626</x:v>
      </x:c>
      <x:c r="K855" s="85" t="n">
        <x:v>8097.209150684852</x:v>
      </x:c>
      <x:c r="L855" s="28" t="n">
        <x:v>0</x:v>
      </x:c>
      <x:c r="M855" s="28" t="n">
        <x:v>0</x:v>
      </x:c>
      <x:c r="N855" s="28" t="n">
        <x:v>4.656612873077393e-10</x:v>
      </x:c>
      <x:c r="O855" s="28" t="n">
        <x:v>7.450580596923828e-9</x:v>
      </x:c>
      <x:c r="P855" s="28" t="n">
        <x:v>0</x:v>
      </x:c>
      <x:c r="Q855" s="62" t="b">
        <x:v>1</x:v>
      </x:c>
      <x:c r="R855" s="28" t="n">
        <x:v>0</x:v>
      </x:c>
      <x:c r="S855" s="28" t="str">
        <x:v>f954fb076a913bf6</x:v>
      </x:c>
    </x:row>
    <x:row r="856" ht="21" customHeight="1">
      <x:c r="A856" s="60" t="n">
        <x:v>0.63</x:v>
      </x:c>
      <x:c r="B856" s="28" t="str">
        <x:v>middle_low</x:v>
      </x:c>
      <x:c r="C856" s="60" t="n">
        <x:v>0.4</x:v>
      </x:c>
      <x:c r="D856" s="60" t="n">
        <x:v>0.4</x:v>
      </x:c>
      <x:c r="E856" s="62" t="b">
        <x:v>1</x:v>
      </x:c>
      <x:c r="F856" s="62" t="b">
        <x:v>1</x:v>
      </x:c>
      <x:c r="G856" s="85" t="n">
        <x:v>0</x:v>
      </x:c>
      <x:c r="H856" s="85" t="n">
        <x:v>0</x:v>
      </x:c>
      <x:c r="I856" s="85" t="n">
        <x:v>5027431.474748885</x:v>
      </x:c>
      <x:c r="J856" s="85" t="n">
        <x:v>8080714.55808184</x:v>
      </x:c>
      <x:c r="K856" s="85" t="n">
        <x:v>5384.83780821905</x:v>
      </x:c>
      <x:c r="L856" s="28" t="n">
        <x:v>0</x:v>
      </x:c>
      <x:c r="M856" s="28" t="n">
        <x:v>0</x:v>
      </x:c>
      <x:c r="N856" s="28" t="n">
        <x:v>2.3283064365386963e-10</x:v>
      </x:c>
      <x:c r="O856" s="28" t="n">
        <x:v>3.725290298461914e-9</x:v>
      </x:c>
      <x:c r="P856" s="28" t="n">
        <x:v>0</x:v>
      </x:c>
      <x:c r="Q856" s="62" t="b">
        <x:v>1</x:v>
      </x:c>
      <x:c r="R856" s="28" t="n">
        <x:v>0</x:v>
      </x:c>
      <x:c r="S856" s="28" t="str">
        <x:v>e671bd5aa619da52</x:v>
      </x:c>
    </x:row>
    <x:row r="857" ht="21" customHeight="1">
      <x:c r="A857" s="60" t="n">
        <x:v>0.63</x:v>
      </x:c>
      <x:c r="B857" s="28" t="str">
        <x:v>middle_low</x:v>
      </x:c>
      <x:c r="C857" s="60" t="n">
        <x:v>0.45</x:v>
      </x:c>
      <x:c r="D857" s="60" t="n">
        <x:v>0.45</x:v>
      </x:c>
      <x:c r="E857" s="62" t="b">
        <x:v>1</x:v>
      </x:c>
      <x:c r="F857" s="62" t="b">
        <x:v>1</x:v>
      </x:c>
      <x:c r="G857" s="85" t="n">
        <x:v>0</x:v>
      </x:c>
      <x:c r="H857" s="85" t="n">
        <x:v>0</x:v>
      </x:c>
      <x:c r="I857" s="85" t="n">
        <x:v>6009408.937941636</x:v>
      </x:c>
      <x:c r="J857" s="85" t="n">
        <x:v>9491805.051184516</x:v>
      </x:c>
      <x:c r="K857" s="85" t="n">
        <x:v>2672.466465753245</x:v>
      </x:c>
      <x:c r="L857" s="28" t="n">
        <x:v>3</x:v>
      </x:c>
      <x:c r="M857" s="28" t="n">
        <x:v>0</x:v>
      </x:c>
      <x:c r="N857" s="28" t="n">
        <x:v>2.3283064365386963e-10</x:v>
      </x:c>
      <x:c r="O857" s="28" t="n">
        <x:v>1.862645149230957e-9</x:v>
      </x:c>
      <x:c r="P857" s="28" t="n">
        <x:v>0</x:v>
      </x:c>
      <x:c r="Q857" s="62" t="b">
        <x:v>1</x:v>
      </x:c>
      <x:c r="R857" s="28" t="n">
        <x:v>0</x:v>
      </x:c>
      <x:c r="S857" s="28" t="str">
        <x:v>3b8cc079451e1d5f</x:v>
      </x:c>
    </x:row>
    <x:row r="858" ht="21" customHeight="1">
      <x:c r="A858" s="60" t="n">
        <x:v>0.63</x:v>
      </x:c>
      <x:c r="B858" s="28" t="str">
        <x:v>middle_low</x:v>
      </x:c>
      <x:c r="C858" s="60" t="n">
        <x:v>0.5</x:v>
      </x:c>
      <x:c r="D858" s="60" t="n">
        <x:v>0.5</x:v>
      </x:c>
      <x:c r="E858" s="62" t="b">
        <x:v>1</x:v>
      </x:c>
      <x:c r="F858" s="62" t="b">
        <x:v>1</x:v>
      </x:c>
      <x:c r="G858" s="85" t="n">
        <x:v>0</x:v>
      </x:c>
      <x:c r="H858" s="85" t="n">
        <x:v>0</x:v>
      </x:c>
      <x:c r="I858" s="85" t="n">
        <x:v>7101972.616976224</x:v>
      </x:c>
      <x:c r="J858" s="85" t="n">
        <x:v>10712055.307737015</x:v>
      </x:c>
      <x:c r="K858" s="85" t="n">
        <x:v>0</x:v>
      </x:c>
      <x:c r="L858" s="28" t="n">
        <x:v>9</x:v>
      </x:c>
      <x:c r="M858" s="28" t="n">
        <x:v>0</x:v>
      </x:c>
      <x:c r="N858" s="28" t="n">
        <x:v>4.656612873077393e-10</x:v>
      </x:c>
      <x:c r="O858" s="28" t="n">
        <x:v>7.450580596923828e-9</x:v>
      </x:c>
      <x:c r="P858" s="28" t="n">
        <x:v>0</x:v>
      </x:c>
      <x:c r="Q858" s="62" t="b">
        <x:v>1</x:v>
      </x:c>
      <x:c r="R858" s="28" t="n">
        <x:v>0</x:v>
      </x:c>
      <x:c r="S858" s="28" t="str">
        <x:v>8854d678a76bef44</x:v>
      </x:c>
    </x:row>
    <x:row r="859" ht="21" customHeight="1">
      <x:c r="A859" s="60" t="n">
        <x:v>0.63</x:v>
      </x:c>
      <x:c r="B859" s="28" t="str">
        <x:v>middle_low</x:v>
      </x:c>
      <x:c r="C859" s="60" t="n">
        <x:v>0.55</x:v>
      </x:c>
      <x:c r="D859" s="60" t="n">
        <x:v>0.55</x:v>
      </x:c>
      <x:c r="E859" s="62" t="b">
        <x:v>1</x:v>
      </x:c>
      <x:c r="F859" s="62" t="b">
        <x:v>1</x:v>
      </x:c>
      <x:c r="G859" s="85" t="n">
        <x:v>0</x:v>
      </x:c>
      <x:c r="H859" s="85" t="n">
        <x:v>0</x:v>
      </x:c>
      <x:c r="I859" s="85" t="n">
        <x:v>7927753.7685190765</x:v>
      </x:c>
      <x:c r="J859" s="85" t="n">
        <x:v>12337080.030685341</x:v>
      </x:c>
      <x:c r="K859" s="85" t="n">
        <x:v>0</x:v>
      </x:c>
      <x:c r="L859" s="28" t="n">
        <x:v>12</x:v>
      </x:c>
      <x:c r="M859" s="28" t="n">
        <x:v>0</x:v>
      </x:c>
      <x:c r="N859" s="28" t="n">
        <x:v>4.656612873077393e-10</x:v>
      </x:c>
      <x:c r="O859" s="28" t="n">
        <x:v>7.450580596923828e-9</x:v>
      </x:c>
      <x:c r="P859" s="28" t="n">
        <x:v>0</x:v>
      </x:c>
      <x:c r="Q859" s="62" t="b">
        <x:v>1</x:v>
      </x:c>
      <x:c r="R859" s="28" t="n">
        <x:v>0</x:v>
      </x:c>
      <x:c r="S859" s="28" t="str">
        <x:v>926f27765be63952</x:v>
      </x:c>
    </x:row>
    <x:row r="860" ht="21" customHeight="1">
      <x:c r="A860" s="60" t="n">
        <x:v>0.63</x:v>
      </x:c>
      <x:c r="B860" s="28" t="str">
        <x:v>middle_low</x:v>
      </x:c>
      <x:c r="C860" s="60" t="n">
        <x:v>0.6</x:v>
      </x:c>
      <x:c r="D860" s="60" t="n">
        <x:v>0.6</x:v>
      </x:c>
      <x:c r="E860" s="62" t="b">
        <x:v>1</x:v>
      </x:c>
      <x:c r="F860" s="62" t="b">
        <x:v>1</x:v>
      </x:c>
      <x:c r="G860" s="85" t="n">
        <x:v>0</x:v>
      </x:c>
      <x:c r="H860" s="85" t="n">
        <x:v>0</x:v>
      </x:c>
      <x:c r="I860" s="85" t="n">
        <x:v>8826834.131008461</x:v>
      </x:c>
      <x:c r="J860" s="85" t="n">
        <x:v>13847320.741112001</x:v>
      </x:c>
      <x:c r="K860" s="85" t="n">
        <x:v>0</x:v>
      </x:c>
      <x:c r="L860" s="28" t="n">
        <x:v>17</x:v>
      </x:c>
      <x:c r="M860" s="28" t="n">
        <x:v>0</x:v>
      </x:c>
      <x:c r="N860" s="28" t="n">
        <x:v>4.656612873077393e-10</x:v>
      </x:c>
      <x:c r="O860" s="28" t="n">
        <x:v>3.725290298461914e-9</x:v>
      </x:c>
      <x:c r="P860" s="28" t="n">
        <x:v>0</x:v>
      </x:c>
      <x:c r="Q860" s="62" t="b">
        <x:v>1</x:v>
      </x:c>
      <x:c r="R860" s="28" t="n">
        <x:v>0</x:v>
      </x:c>
      <x:c r="S860" s="28" t="str">
        <x:v>69040c420654e97f</x:v>
      </x:c>
    </x:row>
    <x:row r="861" ht="21" customHeight="1">
      <x:c r="A861" s="60" t="n">
        <x:v>0.63</x:v>
      </x:c>
      <x:c r="B861" s="28" t="str">
        <x:v>middle_low</x:v>
      </x:c>
      <x:c r="C861" s="60" t="n">
        <x:v>0.65</x:v>
      </x:c>
      <x:c r="D861" s="60" t="n">
        <x:v>0.65</x:v>
      </x:c>
      <x:c r="E861" s="62" t="b">
        <x:v>1</x:v>
      </x:c>
      <x:c r="F861" s="62" t="b">
        <x:v>0</x:v>
      </x:c>
      <x:c r="G861" s="85" t="n">
        <x:v>58421.03376134357</x:v>
      </x:c>
      <x:c r="H861" s="85" t="n">
        <x:v>730366.2177966989</x:v>
      </x:c>
      <x:c r="I861" s="85" t="n">
        <x:v>9238664.535249699</x:v>
      </x:c>
      <x:c r="J861" s="85" t="n">
        <x:v>15050880.000000002</x:v>
      </x:c>
      <x:c r="K861" s="85" t="n">
        <x:v>0</x:v>
      </x:c>
      <x:c r="L861" s="28" t="n">
        <x:v>40</x:v>
      </x:c>
      <x:c r="M861" s="28" t="n">
        <x:v>25</x:v>
      </x:c>
      <x:c r="N861" s="28" t="n">
        <x:v>2.3283064365386963e-10</x:v>
      </x:c>
      <x:c r="O861" s="28" t="n">
        <x:v>1.862645149230957e-9</x:v>
      </x:c>
      <x:c r="P861" s="28" t="n">
        <x:v>0</x:v>
      </x:c>
      <x:c r="Q861" s="62" t="b">
        <x:v>1</x:v>
      </x:c>
      <x:c r="R861" s="28" t="n">
        <x:v>0</x:v>
      </x:c>
      <x:c r="S861" s="28" t="str">
        <x:v>33e4aeb09c6f888f</x:v>
      </x:c>
    </x:row>
    <x:row r="862" ht="21" customHeight="1">
      <x:c r="A862" s="60" t="n">
        <x:v>0.63</x:v>
      </x:c>
      <x:c r="B862" s="28" t="str">
        <x:v>middle_low</x:v>
      </x:c>
      <x:c r="C862" s="60" t="n">
        <x:v>0.7</x:v>
      </x:c>
      <x:c r="D862" s="60" t="n">
        <x:v>0.7</x:v>
      </x:c>
      <x:c r="E862" s="62" t="b">
        <x:v>1</x:v>
      </x:c>
      <x:c r="F862" s="62" t="b">
        <x:v>0</x:v>
      </x:c>
      <x:c r="G862" s="85" t="n">
        <x:v>206956.99726621193</x:v>
      </x:c>
      <x:c r="H862" s="85" t="n">
        <x:v>2577324.9614136806</x:v>
      </x:c>
      <x:c r="I862" s="85" t="n">
        <x:v>9427165.73211233</x:v>
      </x:c>
      <x:c r="J862" s="85" t="n">
        <x:v>15050880.000000002</x:v>
      </x:c>
      <x:c r="K862" s="85" t="n">
        <x:v>0</x:v>
      </x:c>
      <x:c r="L862" s="28" t="n">
        <x:v>41</x:v>
      </x:c>
      <x:c r="M862" s="28" t="n">
        <x:v>31</x:v>
      </x:c>
      <x:c r="N862" s="28" t="n">
        <x:v>4.656612873077393e-10</x:v>
      </x:c>
      <x:c r="O862" s="28" t="n">
        <x:v>3.725290298461914e-9</x:v>
      </x:c>
      <x:c r="P862" s="28" t="n">
        <x:v>0</x:v>
      </x:c>
      <x:c r="Q862" s="62" t="b">
        <x:v>1</x:v>
      </x:c>
      <x:c r="R862" s="28" t="n">
        <x:v>0</x:v>
      </x:c>
      <x:c r="S862" s="28" t="str">
        <x:v>9d65ca6179793221</x:v>
      </x:c>
    </x:row>
    <x:row r="863" ht="21" customHeight="1">
      <x:c r="A863" s="60" t="n">
        <x:v>0.63</x:v>
      </x:c>
      <x:c r="B863" s="28" t="str">
        <x:v>middle_low</x:v>
      </x:c>
      <x:c r="C863" s="60" t="n">
        <x:v>0.75</x:v>
      </x:c>
      <x:c r="D863" s="60" t="n">
        <x:v>0.75</x:v>
      </x:c>
      <x:c r="E863" s="62" t="b">
        <x:v>1</x:v>
      </x:c>
      <x:c r="F863" s="62" t="b">
        <x:v>0</x:v>
      </x:c>
      <x:c r="G863" s="85" t="n">
        <x:v>370557.62192678923</x:v>
      </x:c>
      <x:c r="H863" s="85" t="n">
        <x:v>4611674.044018175</x:v>
      </x:c>
      <x:c r="I863" s="85" t="n">
        <x:v>9450758.5155137</x:v>
      </x:c>
      <x:c r="J863" s="85" t="n">
        <x:v>15050880.000000002</x:v>
      </x:c>
      <x:c r="K863" s="85" t="n">
        <x:v>0</x:v>
      </x:c>
      <x:c r="L863" s="28" t="n">
        <x:v>41</x:v>
      </x:c>
      <x:c r="M863" s="28" t="n">
        <x:v>33</x:v>
      </x:c>
      <x:c r="N863" s="28" t="n">
        <x:v>2.3283064365386963e-10</x:v>
      </x:c>
      <x:c r="O863" s="28" t="n">
        <x:v>3.725290298461914e-9</x:v>
      </x:c>
      <x:c r="P863" s="28" t="n">
        <x:v>0</x:v>
      </x:c>
      <x:c r="Q863" s="62" t="b">
        <x:v>1</x:v>
      </x:c>
      <x:c r="R863" s="28" t="n">
        <x:v>0</x:v>
      </x:c>
      <x:c r="S863" s="28" t="str">
        <x:v>9f8474e82b611c80</x:v>
      </x:c>
    </x:row>
    <x:row r="864" ht="21" customHeight="1">
      <x:c r="A864" s="60" t="n">
        <x:v>0.63</x:v>
      </x:c>
      <x:c r="B864" s="28" t="str">
        <x:v>middle_low</x:v>
      </x:c>
      <x:c r="C864" s="60" t="n">
        <x:v>0.8</x:v>
      </x:c>
      <x:c r="D864" s="60" t="n">
        <x:v>0.8</x:v>
      </x:c>
      <x:c r="E864" s="62" t="b">
        <x:v>1</x:v>
      </x:c>
      <x:c r="F864" s="62" t="b">
        <x:v>0</x:v>
      </x:c>
      <x:c r="G864" s="85" t="n">
        <x:v>549034.3253343395</x:v>
      </x:c>
      <x:c r="H864" s="85" t="n">
        <x:v>6438319.420427154</x:v>
      </x:c>
      <x:c r="I864" s="85" t="n">
        <x:v>9621308.874388164</x:v>
      </x:c>
      <x:c r="J864" s="85" t="n">
        <x:v>15050880.000000002</x:v>
      </x:c>
      <x:c r="K864" s="85" t="n">
        <x:v>0</x:v>
      </x:c>
      <x:c r="L864" s="28" t="n">
        <x:v>42</x:v>
      </x:c>
      <x:c r="M864" s="28" t="n">
        <x:v>34</x:v>
      </x:c>
      <x:c r="N864" s="28" t="n">
        <x:v>4.656612873077393e-10</x:v>
      </x:c>
      <x:c r="O864" s="28" t="n">
        <x:v>1.862645149230957e-9</x:v>
      </x:c>
      <x:c r="P864" s="28" t="n">
        <x:v>0</x:v>
      </x:c>
      <x:c r="Q864" s="62" t="b">
        <x:v>1</x:v>
      </x:c>
      <x:c r="R864" s="28" t="n">
        <x:v>0</x:v>
      </x:c>
      <x:c r="S864" s="28" t="str">
        <x:v>1023b087593dd9eb</x:v>
      </x:c>
    </x:row>
    <x:row r="865" ht="21" customHeight="1">
      <x:c r="A865" s="60" t="n">
        <x:v>0.63</x:v>
      </x:c>
      <x:c r="B865" s="28" t="str">
        <x:v>middle_low</x:v>
      </x:c>
      <x:c r="C865" s="60" t="n">
        <x:v>0.85</x:v>
      </x:c>
      <x:c r="D865" s="60" t="n">
        <x:v>0.85</x:v>
      </x:c>
      <x:c r="E865" s="62" t="b">
        <x:v>1</x:v>
      </x:c>
      <x:c r="F865" s="62" t="b">
        <x:v>0</x:v>
      </x:c>
      <x:c r="G865" s="85" t="n">
        <x:v>718163.3262270952</x:v>
      </x:c>
      <x:c r="H865" s="85" t="n">
        <x:v>8407269.51455338</x:v>
      </x:c>
      <x:c r="I865" s="85" t="n">
        <x:v>9638134.268338794</x:v>
      </x:c>
      <x:c r="J865" s="85" t="n">
        <x:v>15050880.000000002</x:v>
      </x:c>
      <x:c r="K865" s="85" t="n">
        <x:v>0</x:v>
      </x:c>
      <x:c r="L865" s="28" t="n">
        <x:v>42</x:v>
      </x:c>
      <x:c r="M865" s="28" t="n">
        <x:v>35</x:v>
      </x:c>
      <x:c r="N865" s="28" t="n">
        <x:v>4.656612873077393e-10</x:v>
      </x:c>
      <x:c r="O865" s="28" t="n">
        <x:v>3.725290298461914e-9</x:v>
      </x:c>
      <x:c r="P865" s="28" t="n">
        <x:v>0</x:v>
      </x:c>
      <x:c r="Q865" s="62" t="b">
        <x:v>1</x:v>
      </x:c>
      <x:c r="R865" s="28" t="n">
        <x:v>0</x:v>
      </x:c>
      <x:c r="S865" s="28" t="str">
        <x:v>ae7c06883d8c6a6b</x:v>
      </x:c>
    </x:row>
    <x:row r="866" ht="21" customHeight="1">
      <x:c r="A866" s="60" t="n">
        <x:v>0.63</x:v>
      </x:c>
      <x:c r="B866" s="28" t="str">
        <x:v>middle_low</x:v>
      </x:c>
      <x:c r="C866" s="60" t="n">
        <x:v>0.9</x:v>
      </x:c>
      <x:c r="D866" s="60" t="n">
        <x:v>0.9</x:v>
      </x:c>
      <x:c r="E866" s="62" t="b">
        <x:v>1</x:v>
      </x:c>
      <x:c r="F866" s="62" t="b">
        <x:v>0</x:v>
      </x:c>
      <x:c r="G866" s="85" t="n">
        <x:v>974845.1512129075</x:v>
      </x:c>
      <x:c r="H866" s="85" t="n">
        <x:v>10082547.375958644</x:v>
      </x:c>
      <x:c r="I866" s="85" t="n">
        <x:v>9815681.87449041</x:v>
      </x:c>
      <x:c r="J866" s="85" t="n">
        <x:v>15050880.000000002</x:v>
      </x:c>
      <x:c r="K866" s="85" t="n">
        <x:v>0</x:v>
      </x:c>
      <x:c r="L866" s="28" t="n">
        <x:v>43</x:v>
      </x:c>
      <x:c r="M866" s="28" t="n">
        <x:v>36</x:v>
      </x:c>
      <x:c r="N866" s="28" t="n">
        <x:v>2.3283064365386963e-10</x:v>
      </x:c>
      <x:c r="O866" s="28" t="n">
        <x:v>3.725290298461914e-9</x:v>
      </x:c>
      <x:c r="P866" s="28" t="n">
        <x:v>0</x:v>
      </x:c>
      <x:c r="Q866" s="62" t="b">
        <x:v>1</x:v>
      </x:c>
      <x:c r="R866" s="28" t="n">
        <x:v>0</x:v>
      </x:c>
      <x:c r="S866" s="28" t="str">
        <x:v>16ee26bb2c6df4d1</x:v>
      </x:c>
    </x:row>
    <x:row r="867" ht="21" customHeight="1">
      <x:c r="A867" s="60" t="n">
        <x:v>0.63</x:v>
      </x:c>
      <x:c r="B867" s="28" t="str">
        <x:v>middle_low</x:v>
      </x:c>
      <x:c r="C867" s="60" t="n">
        <x:v>0.95</x:v>
      </x:c>
      <x:c r="D867" s="60" t="n">
        <x:v>0.9270639118581285</x:v>
      </x:c>
      <x:c r="E867" s="62" t="b">
        <x:v>0</x:v>
      </x:c>
      <x:c r="F867" s="62" t="b">
        <x:v>0</x:v>
      </x:c>
      <x:c r="G867" s="85" t="n">
        <x:v>1252975.3165184131</x:v>
      </x:c>
      <x:c r="H867" s="85" t="n">
        <x:v>10985995.112282803</x:v>
      </x:c>
      <x:c r="I867" s="85" t="n">
        <x:v>9826616.572601369</x:v>
      </x:c>
      <x:c r="J867" s="85" t="n">
        <x:v>15050880.000000002</x:v>
      </x:c>
      <x:c r="K867" s="85" t="n">
        <x:v>0</x:v>
      </x:c>
      <x:c r="L867" s="28" t="n">
        <x:v>43</x:v>
      </x:c>
      <x:c r="M867" s="28" t="n">
        <x:v>36</x:v>
      </x:c>
      <x:c r="N867" s="28" t="n">
        <x:v>2.3283064365386963e-10</x:v>
      </x:c>
      <x:c r="O867" s="28" t="n">
        <x:v>3.725290298461914e-9</x:v>
      </x:c>
      <x:c r="P867" s="28" t="n">
        <x:v>0</x:v>
      </x:c>
      <x:c r="Q867" s="62" t="b">
        <x:v>1</x:v>
      </x:c>
      <x:c r="R867" s="28" t="n">
        <x:v>1278549.2973804846</x:v>
      </x:c>
      <x:c r="S867" s="28" t="str">
        <x:v>4f761762159cb077</x:v>
      </x:c>
    </x:row>
    <x:row r="868" ht="21" customHeight="1">
      <x:c r="A868" s="60" t="n">
        <x:v>0.63</x:v>
      </x:c>
      <x:c r="B868" s="28" t="str">
        <x:v>middle_low</x:v>
      </x:c>
      <x:c r="C868" s="60" t="n">
        <x:v>1</x:v>
      </x:c>
      <x:c r="D868" s="60" t="n">
        <x:v>0.9427455891708479</x:v>
      </x:c>
      <x:c r="E868" s="62" t="b">
        <x:v>0</x:v>
      </x:c>
      <x:c r="F868" s="62" t="b">
        <x:v>0</x:v>
      </x:c>
      <x:c r="G868" s="85" t="n">
        <x:v>1383551.046101123</x:v>
      </x:c>
      <x:c r="H868" s="85" t="n">
        <x:v>11642025.308963506</x:v>
      </x:c>
      <x:c r="I868" s="85" t="n">
        <x:v>9837551.270712327</x:v>
      </x:c>
      <x:c r="J868" s="85" t="n">
        <x:v>15050880.000000002</x:v>
      </x:c>
      <x:c r="K868" s="85" t="n">
        <x:v>0</x:v>
      </x:c>
      <x:c r="L868" s="28" t="n">
        <x:v>43</x:v>
      </x:c>
      <x:c r="M868" s="28" t="n">
        <x:v>37</x:v>
      </x:c>
      <x:c r="N868" s="28" t="n">
        <x:v>2.3283064365386963e-10</x:v>
      </x:c>
      <x:c r="O868" s="28" t="n">
        <x:v>9.313225746154785e-10</x:v>
      </x:c>
      <x:c r="P868" s="28" t="n">
        <x:v>0</x:v>
      </x:c>
      <x:c r="Q868" s="62" t="b">
        <x:v>1</x:v>
      </x:c>
      <x:c r="R868" s="28" t="n">
        <x:v>3191589.877260253</x:v>
      </x:c>
      <x:c r="S868" s="28" t="str">
        <x:v>b7d40f148d365030</x:v>
      </x:c>
    </x:row>
    <x:row r="869" ht="21" customHeight="1">
      <x:c r="A869" s="60" t="n">
        <x:v>0.63</x:v>
      </x:c>
      <x:c r="B869" s="28" t="str">
        <x:v>middle_high</x:v>
      </x:c>
      <x:c r="C869" s="60" t="n">
        <x:v>0</x:v>
      </x:c>
      <x:c r="D869" s="60" t="n">
        <x:v>0</x:v>
      </x:c>
      <x:c r="E869" s="62" t="b">
        <x:v>1</x:v>
      </x:c>
      <x:c r="F869" s="62" t="b">
        <x:v>1</x:v>
      </x:c>
      <x:c r="G869" s="85" t="n">
        <x:v>0</x:v>
      </x:c>
      <x:c r="H869" s="85" t="n">
        <x:v>0</x:v>
      </x:c>
      <x:c r="I869" s="85" t="n">
        <x:v>0</x:v>
      </x:c>
      <x:c r="J869" s="85" t="n">
        <x:v>0</x:v>
      </x:c>
      <x:c r="K869" s="85" t="n">
        <x:v>6849717.621479447</x:v>
      </x:c>
      <x:c r="L869" s="28" t="n">
        <x:v>0</x:v>
      </x:c>
      <x:c r="M869" s="28" t="n">
        <x:v>0</x:v>
      </x:c>
      <x:c r="N869" s="28" t="n">
        <x:v>9.313225746154785e-10</x:v>
      </x:c>
      <x:c r="O869" s="28" t="n">
        <x:v>0</x:v>
      </x:c>
      <x:c r="P869" s="28" t="n">
        <x:v>0</x:v>
      </x:c>
      <x:c r="Q869" s="62" t="b">
        <x:v>1</x:v>
      </x:c>
      <x:c r="R869" s="28" t="n">
        <x:v>0</x:v>
      </x:c>
      <x:c r="S869" s="28" t="str">
        <x:v>b8095e103ccdc4ca</x:v>
      </x:c>
    </x:row>
    <x:row r="870" ht="21" customHeight="1">
      <x:c r="A870" s="60" t="n">
        <x:v>0.63</x:v>
      </x:c>
      <x:c r="B870" s="28" t="str">
        <x:v>middle_high</x:v>
      </x:c>
      <x:c r="C870" s="60" t="n">
        <x:v>0.05</x:v>
      </x:c>
      <x:c r="D870" s="60" t="n">
        <x:v>0.05</x:v>
      </x:c>
      <x:c r="E870" s="62" t="b">
        <x:v>1</x:v>
      </x:c>
      <x:c r="F870" s="62" t="b">
        <x:v>1</x:v>
      </x:c>
      <x:c r="G870" s="85" t="n">
        <x:v>0</x:v>
      </x:c>
      <x:c r="H870" s="85" t="n">
        <x:v>0</x:v>
      </x:c>
      <x:c r="I870" s="85" t="n">
        <x:v>0</x:v>
      </x:c>
      <x:c r="J870" s="85" t="n">
        <x:v>0</x:v>
      </x:c>
      <x:c r="K870" s="85" t="n">
        <x:v>4340124.921099537</x:v>
      </x:c>
      <x:c r="L870" s="28" t="n">
        <x:v>0</x:v>
      </x:c>
      <x:c r="M870" s="28" t="n">
        <x:v>0</x:v>
      </x:c>
      <x:c r="N870" s="28" t="n">
        <x:v>9.313225746154785e-10</x:v>
      </x:c>
      <x:c r="O870" s="28" t="n">
        <x:v>7.450580596923828e-9</x:v>
      </x:c>
      <x:c r="P870" s="28" t="n">
        <x:v>0</x:v>
      </x:c>
      <x:c r="Q870" s="62" t="b">
        <x:v>1</x:v>
      </x:c>
      <x:c r="R870" s="28" t="n">
        <x:v>0</x:v>
      </x:c>
      <x:c r="S870" s="28" t="str">
        <x:v>69337dfd3e0bdcc4</x:v>
      </x:c>
    </x:row>
    <x:row r="871" ht="21" customHeight="1">
      <x:c r="A871" s="60" t="n">
        <x:v>0.63</x:v>
      </x:c>
      <x:c r="B871" s="28" t="str">
        <x:v>middle_high</x:v>
      </x:c>
      <x:c r="C871" s="60" t="n">
        <x:v>0.1</x:v>
      </x:c>
      <x:c r="D871" s="60" t="n">
        <x:v>0.1</x:v>
      </x:c>
      <x:c r="E871" s="62" t="b">
        <x:v>1</x:v>
      </x:c>
      <x:c r="F871" s="62" t="b">
        <x:v>1</x:v>
      </x:c>
      <x:c r="G871" s="85" t="n">
        <x:v>0</x:v>
      </x:c>
      <x:c r="H871" s="85" t="n">
        <x:v>0</x:v>
      </x:c>
      <x:c r="I871" s="85" t="n">
        <x:v>0</x:v>
      </x:c>
      <x:c r="J871" s="85" t="n">
        <x:v>0</x:v>
      </x:c>
      <x:c r="K871" s="85" t="n">
        <x:v>1830118.1171135674</x:v>
      </x:c>
      <x:c r="L871" s="28" t="n">
        <x:v>0</x:v>
      </x:c>
      <x:c r="M871" s="28" t="n">
        <x:v>0</x:v>
      </x:c>
      <x:c r="N871" s="28" t="n">
        <x:v>4.656612873077393e-10</x:v>
      </x:c>
      <x:c r="O871" s="28" t="n">
        <x:v>7.450580596923828e-9</x:v>
      </x:c>
      <x:c r="P871" s="28" t="n">
        <x:v>0</x:v>
      </x:c>
      <x:c r="Q871" s="62" t="b">
        <x:v>1</x:v>
      </x:c>
      <x:c r="R871" s="28" t="n">
        <x:v>0</x:v>
      </x:c>
      <x:c r="S871" s="28" t="str">
        <x:v>f0bc84f02371e76b</x:v>
      </x:c>
    </x:row>
    <x:row r="872" ht="21" customHeight="1">
      <x:c r="A872" s="60" t="n">
        <x:v>0.63</x:v>
      </x:c>
      <x:c r="B872" s="28" t="str">
        <x:v>middle_high</x:v>
      </x:c>
      <x:c r="C872" s="60" t="n">
        <x:v>0.15</x:v>
      </x:c>
      <x:c r="D872" s="60" t="n">
        <x:v>0.15</x:v>
      </x:c>
      <x:c r="E872" s="62" t="b">
        <x:v>1</x:v>
      </x:c>
      <x:c r="F872" s="62" t="b">
        <x:v>1</x:v>
      </x:c>
      <x:c r="G872" s="85" t="n">
        <x:v>0</x:v>
      </x:c>
      <x:c r="H872" s="85" t="n">
        <x:v>0</x:v>
      </x:c>
      <x:c r="I872" s="85" t="n">
        <x:v>955063.2412132835</x:v>
      </x:c>
      <x:c r="J872" s="85" t="n">
        <x:v>0</x:v>
      </x:c>
      <x:c r="K872" s="85" t="n">
        <x:v>381122.43785646453</x:v>
      </x:c>
      <x:c r="L872" s="28" t="n">
        <x:v>0</x:v>
      </x:c>
      <x:c r="M872" s="28" t="n">
        <x:v>0</x:v>
      </x:c>
      <x:c r="N872" s="28" t="n">
        <x:v>9.313225746154785e-10</x:v>
      </x:c>
      <x:c r="O872" s="28" t="n">
        <x:v>7.450580596923828e-9</x:v>
      </x:c>
      <x:c r="P872" s="28" t="n">
        <x:v>0</x:v>
      </x:c>
      <x:c r="Q872" s="62" t="b">
        <x:v>1</x:v>
      </x:c>
      <x:c r="R872" s="28" t="n">
        <x:v>0</x:v>
      </x:c>
      <x:c r="S872" s="28" t="str">
        <x:v>d4ed464d5b2d8ed4</x:v>
      </x:c>
    </x:row>
    <x:row r="873" ht="21" customHeight="1">
      <x:c r="A873" s="60" t="n">
        <x:v>0.63</x:v>
      </x:c>
      <x:c r="B873" s="28" t="str">
        <x:v>middle_high</x:v>
      </x:c>
      <x:c r="C873" s="60" t="n">
        <x:v>0.2</x:v>
      </x:c>
      <x:c r="D873" s="60" t="n">
        <x:v>0.2</x:v>
      </x:c>
      <x:c r="E873" s="62" t="b">
        <x:v>1</x:v>
      </x:c>
      <x:c r="F873" s="62" t="b">
        <x:v>1</x:v>
      </x:c>
      <x:c r="G873" s="85" t="n">
        <x:v>0</x:v>
      </x:c>
      <x:c r="H873" s="85" t="n">
        <x:v>0</x:v>
      </x:c>
      <x:c r="I873" s="85" t="n">
        <x:v>2894246.1493708985</x:v>
      </x:c>
      <x:c r="J873" s="85" t="n">
        <x:v>1253157.2790409115</x:v>
      </x:c>
      <x:c r="K873" s="85" t="n">
        <x:v>290159.3435163832</x:v>
      </x:c>
      <x:c r="L873" s="28" t="n">
        <x:v>0</x:v>
      </x:c>
      <x:c r="M873" s="28" t="n">
        <x:v>0</x:v>
      </x:c>
      <x:c r="N873" s="28" t="n">
        <x:v>4.656612873077393e-10</x:v>
      </x:c>
      <x:c r="O873" s="28" t="n">
        <x:v>7.450580596923828e-9</x:v>
      </x:c>
      <x:c r="P873" s="28" t="n">
        <x:v>0</x:v>
      </x:c>
      <x:c r="Q873" s="62" t="b">
        <x:v>1</x:v>
      </x:c>
      <x:c r="R873" s="28" t="n">
        <x:v>0</x:v>
      </x:c>
      <x:c r="S873" s="28" t="str">
        <x:v>859ff286299ce64f</x:v>
      </x:c>
    </x:row>
    <x:row r="874" ht="21" customHeight="1">
      <x:c r="A874" s="60" t="n">
        <x:v>0.63</x:v>
      </x:c>
      <x:c r="B874" s="28" t="str">
        <x:v>middle_high</x:v>
      </x:c>
      <x:c r="C874" s="60" t="n">
        <x:v>0.25</x:v>
      </x:c>
      <x:c r="D874" s="60" t="n">
        <x:v>0.25</x:v>
      </x:c>
      <x:c r="E874" s="62" t="b">
        <x:v>1</x:v>
      </x:c>
      <x:c r="F874" s="62" t="b">
        <x:v>1</x:v>
      </x:c>
      <x:c r="G874" s="85" t="n">
        <x:v>0</x:v>
      </x:c>
      <x:c r="H874" s="85" t="n">
        <x:v>0</x:v>
      </x:c>
      <x:c r="I874" s="85" t="n">
        <x:v>4578851.7261109</x:v>
      </x:c>
      <x:c r="J874" s="85" t="n">
        <x:v>2960046.598801156</x:v>
      </x:c>
      <x:c r="K874" s="85" t="n">
        <x:v>228558.68895438244</x:v>
      </x:c>
      <x:c r="L874" s="28" t="n">
        <x:v>0</x:v>
      </x:c>
      <x:c r="M874" s="28" t="n">
        <x:v>0</x:v>
      </x:c>
      <x:c r="N874" s="28" t="n">
        <x:v>4.656612873077393e-10</x:v>
      </x:c>
      <x:c r="O874" s="28" t="n">
        <x:v>7.450580596923828e-9</x:v>
      </x:c>
      <x:c r="P874" s="28" t="n">
        <x:v>0</x:v>
      </x:c>
      <x:c r="Q874" s="62" t="b">
        <x:v>1</x:v>
      </x:c>
      <x:c r="R874" s="28" t="n">
        <x:v>0</x:v>
      </x:c>
      <x:c r="S874" s="28" t="str">
        <x:v>b52dbf03e360f9e6</x:v>
      </x:c>
    </x:row>
    <x:row r="875" ht="21" customHeight="1">
      <x:c r="A875" s="60" t="n">
        <x:v>0.63</x:v>
      </x:c>
      <x:c r="B875" s="28" t="str">
        <x:v>middle_high</x:v>
      </x:c>
      <x:c r="C875" s="60" t="n">
        <x:v>0.3</x:v>
      </x:c>
      <x:c r="D875" s="60" t="n">
        <x:v>0.3</x:v>
      </x:c>
      <x:c r="E875" s="62" t="b">
        <x:v>1</x:v>
      </x:c>
      <x:c r="F875" s="62" t="b">
        <x:v>1</x:v>
      </x:c>
      <x:c r="G875" s="85" t="n">
        <x:v>0</x:v>
      </x:c>
      <x:c r="H875" s="85" t="n">
        <x:v>0</x:v>
      </x:c>
      <x:c r="I875" s="85" t="n">
        <x:v>6293305.926496906</x:v>
      </x:c>
      <x:c r="J875" s="85" t="n">
        <x:v>4666935.918561378</x:v>
      </x:c>
      <x:c r="K875" s="85" t="n">
        <x:v>182820.7298630134</x:v>
      </x:c>
      <x:c r="L875" s="28" t="n">
        <x:v>0</x:v>
      </x:c>
      <x:c r="M875" s="28" t="n">
        <x:v>0</x:v>
      </x:c>
      <x:c r="N875" s="28" t="n">
        <x:v>9.313225746154785e-10</x:v>
      </x:c>
      <x:c r="O875" s="28" t="n">
        <x:v>7.450580596923828e-9</x:v>
      </x:c>
      <x:c r="P875" s="28" t="n">
        <x:v>0</x:v>
      </x:c>
      <x:c r="Q875" s="62" t="b">
        <x:v>1</x:v>
      </x:c>
      <x:c r="R875" s="28" t="n">
        <x:v>0</x:v>
      </x:c>
      <x:c r="S875" s="28" t="str">
        <x:v>9237a35073279c7a</x:v>
      </x:c>
    </x:row>
    <x:row r="876" ht="21" customHeight="1">
      <x:c r="A876" s="60" t="n">
        <x:v>0.63</x:v>
      </x:c>
      <x:c r="B876" s="28" t="str">
        <x:v>middle_high</x:v>
      </x:c>
      <x:c r="C876" s="60" t="n">
        <x:v>0.35</x:v>
      </x:c>
      <x:c r="D876" s="60" t="n">
        <x:v>0.35</x:v>
      </x:c>
      <x:c r="E876" s="62" t="b">
        <x:v>1</x:v>
      </x:c>
      <x:c r="F876" s="62" t="b">
        <x:v>1</x:v>
      </x:c>
      <x:c r="G876" s="85" t="n">
        <x:v>0</x:v>
      </x:c>
      <x:c r="H876" s="85" t="n">
        <x:v>0</x:v>
      </x:c>
      <x:c r="I876" s="85" t="n">
        <x:v>8016424.4341369225</x:v>
      </x:c>
      <x:c r="J876" s="85" t="n">
        <x:v>6373825.238321626</x:v>
      </x:c>
      <x:c r="K876" s="85" t="n">
        <x:v>158864.4315068498</x:v>
      </x:c>
      <x:c r="L876" s="28" t="n">
        <x:v>0</x:v>
      </x:c>
      <x:c r="M876" s="28" t="n">
        <x:v>0</x:v>
      </x:c>
      <x:c r="N876" s="28" t="n">
        <x:v>9.313225746154785e-10</x:v>
      </x:c>
      <x:c r="O876" s="28" t="n">
        <x:v>7.450580596923828e-9</x:v>
      </x:c>
      <x:c r="P876" s="28" t="n">
        <x:v>0</x:v>
      </x:c>
      <x:c r="Q876" s="62" t="b">
        <x:v>1</x:v>
      </x:c>
      <x:c r="R876" s="28" t="n">
        <x:v>0</x:v>
      </x:c>
      <x:c r="S876" s="28" t="str">
        <x:v>367a22929db3715a</x:v>
      </x:c>
    </x:row>
    <x:row r="877" ht="21" customHeight="1">
      <x:c r="A877" s="60" t="n">
        <x:v>0.63</x:v>
      </x:c>
      <x:c r="B877" s="28" t="str">
        <x:v>middle_high</x:v>
      </x:c>
      <x:c r="C877" s="60" t="n">
        <x:v>0.4</x:v>
      </x:c>
      <x:c r="D877" s="60" t="n">
        <x:v>0.4</x:v>
      </x:c>
      <x:c r="E877" s="62" t="b">
        <x:v>1</x:v>
      </x:c>
      <x:c r="F877" s="62" t="b">
        <x:v>1</x:v>
      </x:c>
      <x:c r="G877" s="85" t="n">
        <x:v>0</x:v>
      </x:c>
      <x:c r="H877" s="85" t="n">
        <x:v>0</x:v>
      </x:c>
      <x:c r="I877" s="85" t="n">
        <x:v>9754862.097909113</x:v>
      </x:c>
      <x:c r="J877" s="85" t="n">
        <x:v>8080714.55808184</x:v>
      </x:c>
      <x:c r="K877" s="85" t="n">
        <x:v>134908.13315068363</x:v>
      </x:c>
      <x:c r="L877" s="28" t="n">
        <x:v>0</x:v>
      </x:c>
      <x:c r="M877" s="28" t="n">
        <x:v>0</x:v>
      </x:c>
      <x:c r="N877" s="28" t="n">
        <x:v>4.656612873077393e-10</x:v>
      </x:c>
      <x:c r="O877" s="28" t="n">
        <x:v>3.725290298461914e-9</x:v>
      </x:c>
      <x:c r="P877" s="28" t="n">
        <x:v>0</x:v>
      </x:c>
      <x:c r="Q877" s="62" t="b">
        <x:v>1</x:v>
      </x:c>
      <x:c r="R877" s="28" t="n">
        <x:v>0</x:v>
      </x:c>
      <x:c r="S877" s="28" t="str">
        <x:v>c1f10b557c388a09</x:v>
      </x:c>
    </x:row>
    <x:row r="878" ht="21" customHeight="1">
      <x:c r="A878" s="60" t="n">
        <x:v>0.63</x:v>
      </x:c>
      <x:c r="B878" s="28" t="str">
        <x:v>middle_high</x:v>
      </x:c>
      <x:c r="C878" s="60" t="n">
        <x:v>0.45</x:v>
      </x:c>
      <x:c r="D878" s="60" t="n">
        <x:v>0.45</x:v>
      </x:c>
      <x:c r="E878" s="62" t="b">
        <x:v>1</x:v>
      </x:c>
      <x:c r="F878" s="62" t="b">
        <x:v>1</x:v>
      </x:c>
      <x:c r="G878" s="85" t="n">
        <x:v>0</x:v>
      </x:c>
      <x:c r="H878" s="85" t="n">
        <x:v>0</x:v>
      </x:c>
      <x:c r="I878" s="85" t="n">
        <x:v>11553610.313342584</x:v>
      </x:c>
      <x:c r="J878" s="85" t="n">
        <x:v>9464710.82421074</x:v>
      </x:c>
      <x:c r="K878" s="85" t="n">
        <x:v>110951.83479452097</x:v>
      </x:c>
      <x:c r="L878" s="28" t="n">
        <x:v>2</x:v>
      </x:c>
      <x:c r="M878" s="28" t="n">
        <x:v>0</x:v>
      </x:c>
      <x:c r="N878" s="28" t="n">
        <x:v>9.313225746154785e-10</x:v>
      </x:c>
      <x:c r="O878" s="28" t="n">
        <x:v>1.862645149230957e-9</x:v>
      </x:c>
      <x:c r="P878" s="28" t="n">
        <x:v>0</x:v>
      </x:c>
      <x:c r="Q878" s="62" t="b">
        <x:v>1</x:v>
      </x:c>
      <x:c r="R878" s="28" t="n">
        <x:v>0</x:v>
      </x:c>
      <x:c r="S878" s="28" t="str">
        <x:v>74952ed4ea24f525</x:v>
      </x:c>
    </x:row>
    <x:row r="879" ht="21" customHeight="1">
      <x:c r="A879" s="60" t="n">
        <x:v>0.63</x:v>
      </x:c>
      <x:c r="B879" s="28" t="str">
        <x:v>middle_high</x:v>
      </x:c>
      <x:c r="C879" s="60" t="n">
        <x:v>0.5</x:v>
      </x:c>
      <x:c r="D879" s="60" t="n">
        <x:v>0.5</x:v>
      </x:c>
      <x:c r="E879" s="62" t="b">
        <x:v>1</x:v>
      </x:c>
      <x:c r="F879" s="62" t="b">
        <x:v>1</x:v>
      </x:c>
      <x:c r="G879" s="85" t="n">
        <x:v>0</x:v>
      </x:c>
      <x:c r="H879" s="85" t="n">
        <x:v>0</x:v>
      </x:c>
      <x:c r="I879" s="85" t="n">
        <x:v>13414673.282404345</x:v>
      </x:c>
      <x:c r="J879" s="85" t="n">
        <x:v>10396736.08668806</x:v>
      </x:c>
      <x:c r="K879" s="85" t="n">
        <x:v>93332.11331506865</x:v>
      </x:c>
      <x:c r="L879" s="28" t="n">
        <x:v>8</x:v>
      </x:c>
      <x:c r="M879" s="28" t="n">
        <x:v>0</x:v>
      </x:c>
      <x:c r="N879" s="28" t="n">
        <x:v>9.313225746154785e-10</x:v>
      </x:c>
      <x:c r="O879" s="28" t="n">
        <x:v>7.450580596923828e-9</x:v>
      </x:c>
      <x:c r="P879" s="28" t="n">
        <x:v>0</x:v>
      </x:c>
      <x:c r="Q879" s="62" t="b">
        <x:v>1</x:v>
      </x:c>
      <x:c r="R879" s="28" t="n">
        <x:v>0</x:v>
      </x:c>
      <x:c r="S879" s="28" t="str">
        <x:v>672d92466ef0e359</x:v>
      </x:c>
    </x:row>
    <x:row r="880" ht="21" customHeight="1">
      <x:c r="A880" s="60" t="n">
        <x:v>0.63</x:v>
      </x:c>
      <x:c r="B880" s="28" t="str">
        <x:v>middle_high</x:v>
      </x:c>
      <x:c r="C880" s="60" t="n">
        <x:v>0.55</x:v>
      </x:c>
      <x:c r="D880" s="60" t="n">
        <x:v>0.55</x:v>
      </x:c>
      <x:c r="E880" s="62" t="b">
        <x:v>1</x:v>
      </x:c>
      <x:c r="F880" s="62" t="b">
        <x:v>1</x:v>
      </x:c>
      <x:c r="G880" s="85" t="n">
        <x:v>0</x:v>
      </x:c>
      <x:c r="H880" s="85" t="n">
        <x:v>0</x:v>
      </x:c>
      <x:c r="I880" s="85" t="n">
        <x:v>15145132.619968522</x:v>
      </x:c>
      <x:c r="J880" s="85" t="n">
        <x:v>12046541.006263135</x:v>
      </x:c>
      <x:c r="K880" s="85" t="n">
        <x:v>82404.93561643886</x:v>
      </x:c>
      <x:c r="L880" s="28" t="n">
        <x:v>12</x:v>
      </x:c>
      <x:c r="M880" s="28" t="n">
        <x:v>3</x:v>
      </x:c>
      <x:c r="N880" s="28" t="n">
        <x:v>4.656612873077393e-10</x:v>
      </x:c>
      <x:c r="O880" s="28" t="n">
        <x:v>7.450580596923828e-9</x:v>
      </x:c>
      <x:c r="P880" s="28" t="n">
        <x:v>0</x:v>
      </x:c>
      <x:c r="Q880" s="62" t="b">
        <x:v>1</x:v>
      </x:c>
      <x:c r="R880" s="28" t="n">
        <x:v>0</x:v>
      </x:c>
      <x:c r="S880" s="28" t="str">
        <x:v>0226d9f482eb15be</x:v>
      </x:c>
    </x:row>
    <x:row r="881" ht="21" customHeight="1">
      <x:c r="A881" s="60" t="n">
        <x:v>0.63</x:v>
      </x:c>
      <x:c r="B881" s="28" t="str">
        <x:v>middle_high</x:v>
      </x:c>
      <x:c r="C881" s="60" t="n">
        <x:v>0.6</x:v>
      </x:c>
      <x:c r="D881" s="60" t="n">
        <x:v>0.6</x:v>
      </x:c>
      <x:c r="E881" s="62" t="b">
        <x:v>1</x:v>
      </x:c>
      <x:c r="F881" s="62" t="b">
        <x:v>1</x:v>
      </x:c>
      <x:c r="G881" s="85" t="n">
        <x:v>0</x:v>
      </x:c>
      <x:c r="H881" s="85" t="n">
        <x:v>0</x:v>
      </x:c>
      <x:c r="I881" s="85" t="n">
        <x:v>16843512.14417095</x:v>
      </x:c>
      <x:c r="J881" s="85" t="n">
        <x:v>13622756.169082288</x:v>
      </x:c>
      <x:c r="K881" s="85" t="n">
        <x:v>75174.72624657542</x:v>
      </x:c>
      <x:c r="L881" s="28" t="n">
        <x:v>16</x:v>
      </x:c>
      <x:c r="M881" s="28" t="n">
        <x:v>10</x:v>
      </x:c>
      <x:c r="N881" s="28" t="n">
        <x:v>4.656612873077393e-10</x:v>
      </x:c>
      <x:c r="O881" s="28" t="n">
        <x:v>3.725290298461914e-9</x:v>
      </x:c>
      <x:c r="P881" s="28" t="n">
        <x:v>0</x:v>
      </x:c>
      <x:c r="Q881" s="62" t="b">
        <x:v>1</x:v>
      </x:c>
      <x:c r="R881" s="28" t="n">
        <x:v>0</x:v>
      </x:c>
      <x:c r="S881" s="28" t="str">
        <x:v>bb7de712a827939f</x:v>
      </x:c>
    </x:row>
    <x:row r="882" ht="21" customHeight="1">
      <x:c r="A882" s="60" t="n">
        <x:v>0.63</x:v>
      </x:c>
      <x:c r="B882" s="28" t="str">
        <x:v>middle_high</x:v>
      </x:c>
      <x:c r="C882" s="60" t="n">
        <x:v>0.65</x:v>
      </x:c>
      <x:c r="D882" s="60" t="n">
        <x:v>0.65</x:v>
      </x:c>
      <x:c r="E882" s="62" t="b">
        <x:v>1</x:v>
      </x:c>
      <x:c r="F882" s="62" t="b">
        <x:v>0</x:v>
      </x:c>
      <x:c r="G882" s="85" t="n">
        <x:v>350088.89477599575</x:v>
      </x:c>
      <x:c r="H882" s="85" t="n">
        <x:v>1117640.5966378183</x:v>
      </x:c>
      <x:c r="I882" s="85" t="n">
        <x:v>17806890.143264916</x:v>
      </x:c>
      <x:c r="J882" s="85" t="n">
        <x:v>15050880.000000002</x:v>
      </x:c>
      <x:c r="K882" s="85" t="n">
        <x:v>67944.51687671198</x:v>
      </x:c>
      <x:c r="L882" s="28" t="n">
        <x:v>40</x:v>
      </x:c>
      <x:c r="M882" s="28" t="n">
        <x:v>36</x:v>
      </x:c>
      <x:c r="N882" s="28" t="n">
        <x:v>4.656612873077393e-10</x:v>
      </x:c>
      <x:c r="O882" s="28" t="n">
        <x:v>1.862645149230957e-9</x:v>
      </x:c>
      <x:c r="P882" s="28" t="n">
        <x:v>0</x:v>
      </x:c>
      <x:c r="Q882" s="62" t="b">
        <x:v>1</x:v>
      </x:c>
      <x:c r="R882" s="28" t="n">
        <x:v>0</x:v>
      </x:c>
      <x:c r="S882" s="28" t="str">
        <x:v>13bbf67fe16c149d</x:v>
      </x:c>
    </x:row>
    <x:row r="883" ht="21" customHeight="1">
      <x:c r="A883" s="60" t="n">
        <x:v>0.63</x:v>
      </x:c>
      <x:c r="B883" s="28" t="str">
        <x:v>middle_high</x:v>
      </x:c>
      <x:c r="C883" s="60" t="n">
        <x:v>0.7</x:v>
      </x:c>
      <x:c r="D883" s="60" t="n">
        <x:v>0.7</x:v>
      </x:c>
      <x:c r="E883" s="62" t="b">
        <x:v>1</x:v>
      </x:c>
      <x:c r="F883" s="62" t="b">
        <x:v>0</x:v>
      </x:c>
      <x:c r="G883" s="85" t="n">
        <x:v>1144065.997788809</x:v>
      </x:c>
      <x:c r="H883" s="85" t="n">
        <x:v>3460780.753174114</x:v>
      </x:c>
      <x:c r="I883" s="85" t="n">
        <x:v>18140194.235653434</x:v>
      </x:c>
      <x:c r="J883" s="85" t="n">
        <x:v>15050880.000000002</x:v>
      </x:c>
      <x:c r="K883" s="85" t="n">
        <x:v>60714.30750684878</x:v>
      </x:c>
      <x:c r="L883" s="28" t="n">
        <x:v>41</x:v>
      </x:c>
      <x:c r="M883" s="28" t="n">
        <x:v>37</x:v>
      </x:c>
      <x:c r="N883" s="28" t="n">
        <x:v>4.656612873077393e-10</x:v>
      </x:c>
      <x:c r="O883" s="28" t="n">
        <x:v>3.725290298461914e-9</x:v>
      </x:c>
      <x:c r="P883" s="28" t="n">
        <x:v>0</x:v>
      </x:c>
      <x:c r="Q883" s="62" t="b">
        <x:v>1</x:v>
      </x:c>
      <x:c r="R883" s="28" t="n">
        <x:v>0</x:v>
      </x:c>
      <x:c r="S883" s="28" t="str">
        <x:v>431663d2091b7698</x:v>
      </x:c>
    </x:row>
    <x:row r="884" ht="21" customHeight="1">
      <x:c r="A884" s="60" t="n">
        <x:v>0.63</x:v>
      </x:c>
      <x:c r="B884" s="28" t="str">
        <x:v>middle_high</x:v>
      </x:c>
      <x:c r="C884" s="60" t="n">
        <x:v>0.75</x:v>
      </x:c>
      <x:c r="D884" s="60" t="n">
        <x:v>0.75</x:v>
      </x:c>
      <x:c r="E884" s="62" t="b">
        <x:v>1</x:v>
      </x:c>
      <x:c r="F884" s="62" t="b">
        <x:v>0</x:v>
      </x:c>
      <x:c r="G884" s="85" t="n">
        <x:v>2031484.4421662705</x:v>
      </x:c>
      <x:c r="H884" s="85" t="n">
        <x:v>6106181.681009508</x:v>
      </x:c>
      <x:c r="I884" s="85" t="n">
        <x:v>18204007.69032535</x:v>
      </x:c>
      <x:c r="J884" s="85" t="n">
        <x:v>15050880.000000002</x:v>
      </x:c>
      <x:c r="K884" s="85" t="n">
        <x:v>53484.0981369865</x:v>
      </x:c>
      <x:c r="L884" s="28" t="n">
        <x:v>41</x:v>
      </x:c>
      <x:c r="M884" s="28" t="n">
        <x:v>38</x:v>
      </x:c>
      <x:c r="N884" s="28" t="n">
        <x:v>2.3283064365386963e-10</x:v>
      </x:c>
      <x:c r="O884" s="28" t="n">
        <x:v>3.725290298461914e-9</x:v>
      </x:c>
      <x:c r="P884" s="28" t="n">
        <x:v>0</x:v>
      </x:c>
      <x:c r="Q884" s="62" t="b">
        <x:v>1</x:v>
      </x:c>
      <x:c r="R884" s="28" t="n">
        <x:v>0</x:v>
      </x:c>
      <x:c r="S884" s="28" t="str">
        <x:v>6b7044efb51c262c</x:v>
      </x:c>
    </x:row>
    <x:row r="885" ht="21" customHeight="1">
      <x:c r="A885" s="60" t="n">
        <x:v>0.63</x:v>
      </x:c>
      <x:c r="B885" s="28" t="str">
        <x:v>middle_high</x:v>
      </x:c>
      <x:c r="C885" s="60" t="n">
        <x:v>0.8</x:v>
      </x:c>
      <x:c r="D885" s="60" t="n">
        <x:v>0.8</x:v>
      </x:c>
      <x:c r="E885" s="62" t="b">
        <x:v>1</x:v>
      </x:c>
      <x:c r="F885" s="62" t="b">
        <x:v>0</x:v>
      </x:c>
      <x:c r="G885" s="85" t="n">
        <x:v>2940294.2797926213</x:v>
      </x:c>
      <x:c r="H885" s="85" t="n">
        <x:v>8170912.277657256</x:v>
      </x:c>
      <x:c r="I885" s="85" t="n">
        <x:v>18507882.61178434</x:v>
      </x:c>
      <x:c r="J885" s="85" t="n">
        <x:v>15050880.000000002</x:v>
      </x:c>
      <x:c r="K885" s="85" t="n">
        <x:v>46253.88876712306</x:v>
      </x:c>
      <x:c r="L885" s="28" t="n">
        <x:v>42</x:v>
      </x:c>
      <x:c r="M885" s="28" t="n">
        <x:v>38</x:v>
      </x:c>
      <x:c r="N885" s="28" t="n">
        <x:v>4.656612873077393e-10</x:v>
      </x:c>
      <x:c r="O885" s="28" t="n">
        <x:v>1.862645149230957e-9</x:v>
      </x:c>
      <x:c r="P885" s="28" t="n">
        <x:v>0</x:v>
      </x:c>
      <x:c r="Q885" s="62" t="b">
        <x:v>1</x:v>
      </x:c>
      <x:c r="R885" s="28" t="n">
        <x:v>0</x:v>
      </x:c>
      <x:c r="S885" s="28" t="str">
        <x:v>1a49379152f8d2d1</x:v>
      </x:c>
    </x:row>
    <x:row r="886" ht="21" customHeight="1">
      <x:c r="A886" s="60" t="n">
        <x:v>0.63</x:v>
      </x:c>
      <x:c r="B886" s="28" t="str">
        <x:v>middle_high</x:v>
      </x:c>
      <x:c r="C886" s="60" t="n">
        <x:v>0.85</x:v>
      </x:c>
      <x:c r="D886" s="60" t="n">
        <x:v>0.85</x:v>
      </x:c>
      <x:c r="E886" s="62" t="b">
        <x:v>1</x:v>
      </x:c>
      <x:c r="F886" s="62" t="b">
        <x:v>0</x:v>
      </x:c>
      <x:c r="G886" s="85" t="n">
        <x:v>3979456.6959963464</x:v>
      </x:c>
      <x:c r="H886" s="85" t="n">
        <x:v>10603840.5334532</x:v>
      </x:c>
      <x:c r="I886" s="85" t="n">
        <x:v>18553422.992678393</x:v>
      </x:c>
      <x:c r="J886" s="85" t="n">
        <x:v>15050880.000000002</x:v>
      </x:c>
      <x:c r="K886" s="85" t="n">
        <x:v>39023.679397260086</x:v>
      </x:c>
      <x:c r="L886" s="28" t="n">
        <x:v>42</x:v>
      </x:c>
      <x:c r="M886" s="28" t="n">
        <x:v>39</x:v>
      </x:c>
      <x:c r="N886" s="28" t="n">
        <x:v>4.656612873077393e-10</x:v>
      </x:c>
      <x:c r="O886" s="28" t="n">
        <x:v>3.725290298461914e-9</x:v>
      </x:c>
      <x:c r="P886" s="28" t="n">
        <x:v>0</x:v>
      </x:c>
      <x:c r="Q886" s="62" t="b">
        <x:v>1</x:v>
      </x:c>
      <x:c r="R886" s="28" t="n">
        <x:v>0</x:v>
      </x:c>
      <x:c r="S886" s="28" t="str">
        <x:v>6e44e49ab2d95592</x:v>
      </x:c>
    </x:row>
    <x:row r="887" ht="21" customHeight="1">
      <x:c r="A887" s="60" t="n">
        <x:v>0.63</x:v>
      </x:c>
      <x:c r="B887" s="28" t="str">
        <x:v>middle_high</x:v>
      </x:c>
      <x:c r="C887" s="60" t="n">
        <x:v>0.9</x:v>
      </x:c>
      <x:c r="D887" s="60" t="n">
        <x:v>0.9</x:v>
      </x:c>
      <x:c r="E887" s="62" t="b">
        <x:v>1</x:v>
      </x:c>
      <x:c r="F887" s="62" t="b">
        <x:v>0</x:v>
      </x:c>
      <x:c r="G887" s="85" t="n">
        <x:v>5262927.4711341</x:v>
      </x:c>
      <x:c r="H887" s="85" t="n">
        <x:v>12039301.008797575</x:v>
      </x:c>
      <x:c r="I887" s="85" t="n">
        <x:v>18857473.657524668</x:v>
      </x:c>
      <x:c r="J887" s="85" t="n">
        <x:v>15050880.000000002</x:v>
      </x:c>
      <x:c r="K887" s="85" t="n">
        <x:v>31793.470027397343</x:v>
      </x:c>
      <x:c r="L887" s="28" t="n">
        <x:v>43</x:v>
      </x:c>
      <x:c r="M887" s="28" t="n">
        <x:v>40</x:v>
      </x:c>
      <x:c r="N887" s="28" t="n">
        <x:v>4.656612873077393e-10</x:v>
      </x:c>
      <x:c r="O887" s="28" t="n">
        <x:v>3.725290298461914e-9</x:v>
      </x:c>
      <x:c r="P887" s="28" t="n">
        <x:v>0</x:v>
      </x:c>
      <x:c r="Q887" s="62" t="b">
        <x:v>1</x:v>
      </x:c>
      <x:c r="R887" s="28" t="n">
        <x:v>0</x:v>
      </x:c>
      <x:c r="S887" s="28" t="str">
        <x:v>ec6f1b24962ee11a</x:v>
      </x:c>
    </x:row>
    <x:row r="888" ht="21" customHeight="1">
      <x:c r="A888" s="60" t="n">
        <x:v>0.63</x:v>
      </x:c>
      <x:c r="B888" s="28" t="str">
        <x:v>middle_high</x:v>
      </x:c>
      <x:c r="C888" s="60" t="n">
        <x:v>0.95</x:v>
      </x:c>
      <x:c r="D888" s="60" t="n">
        <x:v>0.9270639118581285</x:v>
      </x:c>
      <x:c r="E888" s="62" t="b">
        <x:v>0</x:v>
      </x:c>
      <x:c r="F888" s="62" t="b">
        <x:v>0</x:v>
      </x:c>
      <x:c r="G888" s="85" t="n">
        <x:v>5916062.74965142</x:v>
      </x:c>
      <x:c r="H888" s="85" t="n">
        <x:v>13168587.242646454</x:v>
      </x:c>
      <x:c r="I888" s="85" t="n">
        <x:v>18887323.68805686</x:v>
      </x:c>
      <x:c r="J888" s="85" t="n">
        <x:v>15050880.000000002</x:v>
      </x:c>
      <x:c r="K888" s="85" t="n">
        <x:v>27482.306301370067</x:v>
      </x:c>
      <x:c r="L888" s="28" t="n">
        <x:v>43</x:v>
      </x:c>
      <x:c r="M888" s="28" t="n">
        <x:v>40</x:v>
      </x:c>
      <x:c r="N888" s="28" t="n">
        <x:v>4.656612873077393e-10</x:v>
      </x:c>
      <x:c r="O888" s="28" t="n">
        <x:v>3.725290298461914e-9</x:v>
      </x:c>
      <x:c r="P888" s="28" t="n">
        <x:v>0</x:v>
      </x:c>
      <x:c r="Q888" s="62" t="b">
        <x:v>1</x:v>
      </x:c>
      <x:c r="R888" s="28" t="n">
        <x:v>1278549.2973804846</x:v>
      </x:c>
      <x:c r="S888" s="28" t="str">
        <x:v>2f2ac6ece91307e0</x:v>
      </x:c>
    </x:row>
    <x:row r="889" ht="21" customHeight="1">
      <x:c r="A889" s="60" t="n">
        <x:v>0.63</x:v>
      </x:c>
      <x:c r="B889" s="28" t="str">
        <x:v>middle_high</x:v>
      </x:c>
      <x:c r="C889" s="60" t="n">
        <x:v>1</x:v>
      </x:c>
      <x:c r="D889" s="60" t="n">
        <x:v>0.9427455891708479</x:v>
      </x:c>
      <x:c r="E889" s="62" t="b">
        <x:v>0</x:v>
      </x:c>
      <x:c r="F889" s="62" t="b">
        <x:v>0</x:v>
      </x:c>
      <x:c r="G889" s="85" t="n">
        <x:v>6533310.195102868</x:v>
      </x:c>
      <x:c r="H889" s="85" t="n">
        <x:v>13923614.48946059</x:v>
      </x:c>
      <x:c r="I889" s="85" t="n">
        <x:v>18917173.718589053</x:v>
      </x:c>
      <x:c r="J889" s="85" t="n">
        <x:v>15050880.000000002</x:v>
      </x:c>
      <x:c r="K889" s="85" t="n">
        <x:v>25062.78575342478</x:v>
      </x:c>
      <x:c r="L889" s="28" t="n">
        <x:v>43</x:v>
      </x:c>
      <x:c r="M889" s="28" t="n">
        <x:v>40</x:v>
      </x:c>
      <x:c r="N889" s="28" t="n">
        <x:v>2.3283064365386963e-10</x:v>
      </x:c>
      <x:c r="O889" s="28" t="n">
        <x:v>9.313225746154785e-10</x:v>
      </x:c>
      <x:c r="P889" s="28" t="n">
        <x:v>0</x:v>
      </x:c>
      <x:c r="Q889" s="62" t="b">
        <x:v>1</x:v>
      </x:c>
      <x:c r="R889" s="28" t="n">
        <x:v>3191589.877260253</x:v>
      </x:c>
      <x:c r="S889" s="28" t="str">
        <x:v>cc3e658949a1017a</x:v>
      </x:c>
    </x:row>
    <x:row r="890" ht="21" customHeight="1">
      <x:c r="A890" s="60" t="n">
        <x:v>0.63</x:v>
      </x:c>
      <x:c r="B890" s="28" t="str">
        <x:v>back_flat</x:v>
      </x:c>
      <x:c r="C890" s="60" t="n">
        <x:v>0</x:v>
      </x:c>
      <x:c r="D890" s="60" t="n">
        <x:v>0</x:v>
      </x:c>
      <x:c r="E890" s="62" t="b">
        <x:v>1</x:v>
      </x:c>
      <x:c r="F890" s="62" t="b">
        <x:v>1</x:v>
      </x:c>
      <x:c r="G890" s="85" t="n">
        <x:v>0</x:v>
      </x:c>
      <x:c r="H890" s="85" t="n">
        <x:v>0</x:v>
      </x:c>
      <x:c r="I890" s="85" t="n">
        <x:v>0</x:v>
      </x:c>
      <x:c r="J890" s="85" t="n">
        <x:v>0</x:v>
      </x:c>
      <x:c r="K890" s="85" t="n">
        <x:v>5928283.089972603</x:v>
      </x:c>
      <x:c r="L890" s="28" t="n">
        <x:v>0</x:v>
      </x:c>
      <x:c r="M890" s="28" t="n">
        <x:v>0</x:v>
      </x:c>
      <x:c r="N890" s="28" t="n">
        <x:v>2.3283064365386963e-10</x:v>
      </x:c>
      <x:c r="O890" s="28" t="n">
        <x:v>0</x:v>
      </x:c>
      <x:c r="P890" s="28" t="n">
        <x:v>0</x:v>
      </x:c>
      <x:c r="Q890" s="62" t="b">
        <x:v>1</x:v>
      </x:c>
      <x:c r="R890" s="28" t="n">
        <x:v>0</x:v>
      </x:c>
      <x:c r="S890" s="28" t="str">
        <x:v>678f1944664a5c3d</x:v>
      </x:c>
    </x:row>
    <x:row r="891" ht="21" customHeight="1">
      <x:c r="A891" s="60" t="n">
        <x:v>0.63</x:v>
      </x:c>
      <x:c r="B891" s="28" t="str">
        <x:v>back_flat</x:v>
      </x:c>
      <x:c r="C891" s="60" t="n">
        <x:v>0.05</x:v>
      </x:c>
      <x:c r="D891" s="60" t="n">
        <x:v>0.05</x:v>
      </x:c>
      <x:c r="E891" s="62" t="b">
        <x:v>1</x:v>
      </x:c>
      <x:c r="F891" s="62" t="b">
        <x:v>1</x:v>
      </x:c>
      <x:c r="G891" s="85" t="n">
        <x:v>0</x:v>
      </x:c>
      <x:c r="H891" s="85" t="n">
        <x:v>0</x:v>
      </x:c>
      <x:c r="I891" s="85" t="n">
        <x:v>0</x:v>
      </x:c>
      <x:c r="J891" s="85" t="n">
        <x:v>0</x:v>
      </x:c>
      <x:c r="K891" s="85" t="n">
        <x:v>3729741.398013579</x:v>
      </x:c>
      <x:c r="L891" s="28" t="n">
        <x:v>0</x:v>
      </x:c>
      <x:c r="M891" s="28" t="n">
        <x:v>0</x:v>
      </x:c>
      <x:c r="N891" s="28" t="n">
        <x:v>4.656612873077393e-10</x:v>
      </x:c>
      <x:c r="O891" s="28" t="n">
        <x:v>7.450580596923828e-9</x:v>
      </x:c>
      <x:c r="P891" s="28" t="n">
        <x:v>0</x:v>
      </x:c>
      <x:c r="Q891" s="62" t="b">
        <x:v>1</x:v>
      </x:c>
      <x:c r="R891" s="28" t="n">
        <x:v>0</x:v>
      </x:c>
      <x:c r="S891" s="28" t="str">
        <x:v>038738e3cc13a39b</x:v>
      </x:c>
    </x:row>
    <x:row r="892" ht="21" customHeight="1">
      <x:c r="A892" s="60" t="n">
        <x:v>0.63</x:v>
      </x:c>
      <x:c r="B892" s="28" t="str">
        <x:v>back_flat</x:v>
      </x:c>
      <x:c r="C892" s="60" t="n">
        <x:v>0.1</x:v>
      </x:c>
      <x:c r="D892" s="60" t="n">
        <x:v>0.1</x:v>
      </x:c>
      <x:c r="E892" s="62" t="b">
        <x:v>1</x:v>
      </x:c>
      <x:c r="F892" s="62" t="b">
        <x:v>1</x:v>
      </x:c>
      <x:c r="G892" s="85" t="n">
        <x:v>0</x:v>
      </x:c>
      <x:c r="H892" s="85" t="n">
        <x:v>0</x:v>
      </x:c>
      <x:c r="I892" s="85" t="n">
        <x:v>0</x:v>
      </x:c>
      <x:c r="J892" s="85" t="n">
        <x:v>0</x:v>
      </x:c>
      <x:c r="K892" s="85" t="n">
        <x:v>1531199.7060545795</x:v>
      </x:c>
      <x:c r="L892" s="28" t="n">
        <x:v>0</x:v>
      </x:c>
      <x:c r="M892" s="28" t="n">
        <x:v>0</x:v>
      </x:c>
      <x:c r="N892" s="28" t="n">
        <x:v>4.656612873077393e-10</x:v>
      </x:c>
      <x:c r="O892" s="28" t="n">
        <x:v>7.450580596923828e-9</x:v>
      </x:c>
      <x:c r="P892" s="28" t="n">
        <x:v>0</x:v>
      </x:c>
      <x:c r="Q892" s="62" t="b">
        <x:v>1</x:v>
      </x:c>
      <x:c r="R892" s="28" t="n">
        <x:v>0</x:v>
      </x:c>
      <x:c r="S892" s="28" t="str">
        <x:v>16314331ef694c6c</x:v>
      </x:c>
    </x:row>
    <x:row r="893" ht="21" customHeight="1">
      <x:c r="A893" s="60" t="n">
        <x:v>0.63</x:v>
      </x:c>
      <x:c r="B893" s="28" t="str">
        <x:v>back_flat</x:v>
      </x:c>
      <x:c r="C893" s="60" t="n">
        <x:v>0.15</x:v>
      </x:c>
      <x:c r="D893" s="60" t="n">
        <x:v>0.15</x:v>
      </x:c>
      <x:c r="E893" s="62" t="b">
        <x:v>1</x:v>
      </x:c>
      <x:c r="F893" s="62" t="b">
        <x:v>1</x:v>
      </x:c>
      <x:c r="G893" s="85" t="n">
        <x:v>0</x:v>
      </x:c>
      <x:c r="H893" s="85" t="n">
        <x:v>0</x:v>
      </x:c>
      <x:c r="I893" s="85" t="n">
        <x:v>762053.2751478816</x:v>
      </x:c>
      <x:c r="J893" s="85" t="n">
        <x:v>0</x:v>
      </x:c>
      <x:c r="K893" s="85" t="n">
        <x:v>221058.55013457572</x:v>
      </x:c>
      <x:c r="L893" s="28" t="n">
        <x:v>0</x:v>
      </x:c>
      <x:c r="M893" s="28" t="n">
        <x:v>0</x:v>
      </x:c>
      <x:c r="N893" s="28" t="n">
        <x:v>9.313225746154785e-10</x:v>
      </x:c>
      <x:c r="O893" s="28" t="n">
        <x:v>7.450580596923828e-9</x:v>
      </x:c>
      <x:c r="P893" s="28" t="n">
        <x:v>0</x:v>
      </x:c>
      <x:c r="Q893" s="62" t="b">
        <x:v>1</x:v>
      </x:c>
      <x:c r="R893" s="28" t="n">
        <x:v>0</x:v>
      </x:c>
      <x:c r="S893" s="28" t="str">
        <x:v>b5e73203c06fbe87</x:v>
      </x:c>
    </x:row>
    <x:row r="894" ht="21" customHeight="1">
      <x:c r="A894" s="60" t="n">
        <x:v>0.63</x:v>
      </x:c>
      <x:c r="B894" s="28" t="str">
        <x:v>back_flat</x:v>
      </x:c>
      <x:c r="C894" s="60" t="n">
        <x:v>0.2</x:v>
      </x:c>
      <x:c r="D894" s="60" t="n">
        <x:v>0.2</x:v>
      </x:c>
      <x:c r="E894" s="62" t="b">
        <x:v>1</x:v>
      </x:c>
      <x:c r="F894" s="62" t="b">
        <x:v>1</x:v>
      </x:c>
      <x:c r="G894" s="85" t="n">
        <x:v>0</x:v>
      </x:c>
      <x:c r="H894" s="85" t="n">
        <x:v>0</x:v>
      </x:c>
      <x:c r="I894" s="85" t="n">
        <x:v>2228000.656146405</x:v>
      </x:c>
      <x:c r="J894" s="85" t="n">
        <x:v>1245718.9057329397</x:v>
      </x:c>
      <x:c r="K894" s="85" t="n">
        <x:v>175764.28956756188</x:v>
      </x:c>
      <x:c r="L894" s="28" t="n">
        <x:v>0</x:v>
      </x:c>
      <x:c r="M894" s="28" t="n">
        <x:v>0</x:v>
      </x:c>
      <x:c r="N894" s="28" t="n">
        <x:v>2.3283064365386963e-10</x:v>
      </x:c>
      <x:c r="O894" s="28" t="n">
        <x:v>7.450580596923828e-9</x:v>
      </x:c>
      <x:c r="P894" s="28" t="n">
        <x:v>0</x:v>
      </x:c>
      <x:c r="Q894" s="62" t="b">
        <x:v>1</x:v>
      </x:c>
      <x:c r="R894" s="28" t="n">
        <x:v>0</x:v>
      </x:c>
      <x:c r="S894" s="28" t="str">
        <x:v>7486f803f01bd14b</x:v>
      </x:c>
    </x:row>
    <x:row r="895" ht="21" customHeight="1">
      <x:c r="A895" s="60" t="n">
        <x:v>0.63</x:v>
      </x:c>
      <x:c r="B895" s="28" t="str">
        <x:v>back_flat</x:v>
      </x:c>
      <x:c r="C895" s="60" t="n">
        <x:v>0.25</x:v>
      </x:c>
      <x:c r="D895" s="60" t="n">
        <x:v>0.25</x:v>
      </x:c>
      <x:c r="E895" s="62" t="b">
        <x:v>1</x:v>
      </x:c>
      <x:c r="F895" s="62" t="b">
        <x:v>1</x:v>
      </x:c>
      <x:c r="G895" s="85" t="n">
        <x:v>0</x:v>
      </x:c>
      <x:c r="H895" s="85" t="n">
        <x:v>0</x:v>
      </x:c>
      <x:c r="I895" s="85" t="n">
        <x:v>3386399.55177658</x:v>
      </x:c>
      <x:c r="J895" s="85" t="n">
        <x:v>2950748.6321662106</x:v>
      </x:c>
      <x:c r="K895" s="85" t="n">
        <x:v>138326.78715945146</x:v>
      </x:c>
      <x:c r="L895" s="28" t="n">
        <x:v>0</x:v>
      </x:c>
      <x:c r="M895" s="28" t="n">
        <x:v>0</x:v>
      </x:c>
      <x:c r="N895" s="28" t="n">
        <x:v>9.313225746154785e-10</x:v>
      </x:c>
      <x:c r="O895" s="28" t="n">
        <x:v>7.450580596923828e-9</x:v>
      </x:c>
      <x:c r="P895" s="28" t="n">
        <x:v>0</x:v>
      </x:c>
      <x:c r="Q895" s="62" t="b">
        <x:v>1</x:v>
      </x:c>
      <x:c r="R895" s="28" t="n">
        <x:v>0</x:v>
      </x:c>
      <x:c r="S895" s="28" t="str">
        <x:v>b4558552bfa5f681</x:v>
      </x:c>
    </x:row>
    <x:row r="896" ht="21" customHeight="1">
      <x:c r="A896" s="60" t="n">
        <x:v>0.63</x:v>
      </x:c>
      <x:c r="B896" s="28" t="str">
        <x:v>back_flat</x:v>
      </x:c>
      <x:c r="C896" s="60" t="n">
        <x:v>0.3</x:v>
      </x:c>
      <x:c r="D896" s="60" t="n">
        <x:v>0.3</x:v>
      </x:c>
      <x:c r="E896" s="62" t="b">
        <x:v>1</x:v>
      </x:c>
      <x:c r="F896" s="62" t="b">
        <x:v>1</x:v>
      </x:c>
      <x:c r="G896" s="85" t="n">
        <x:v>0</x:v>
      </x:c>
      <x:c r="H896" s="85" t="n">
        <x:v>0</x:v>
      </x:c>
      <x:c r="I896" s="85" t="n">
        <x:v>4553161.946252422</x:v>
      </x:c>
      <x:c r="J896" s="85" t="n">
        <x:v>4655778.3585994225</x:v>
      </x:c>
      <x:c r="K896" s="85" t="n">
        <x:v>112573.01777490438</x:v>
      </x:c>
      <x:c r="L896" s="28" t="n">
        <x:v>0</x:v>
      </x:c>
      <x:c r="M896" s="28" t="n">
        <x:v>0</x:v>
      </x:c>
      <x:c r="N896" s="28" t="n">
        <x:v>4.656612873077393e-10</x:v>
      </x:c>
      <x:c r="O896" s="28" t="n">
        <x:v>7.450580596923828e-9</x:v>
      </x:c>
      <x:c r="P896" s="28" t="n">
        <x:v>0</x:v>
      </x:c>
      <x:c r="Q896" s="62" t="b">
        <x:v>1</x:v>
      </x:c>
      <x:c r="R896" s="28" t="n">
        <x:v>0</x:v>
      </x:c>
      <x:c r="S896" s="28" t="str">
        <x:v>f6ce4928520a5129</x:v>
      </x:c>
    </x:row>
    <x:row r="897" ht="21" customHeight="1">
      <x:c r="A897" s="60" t="n">
        <x:v>0.63</x:v>
      </x:c>
      <x:c r="B897" s="28" t="str">
        <x:v>back_flat</x:v>
      </x:c>
      <x:c r="C897" s="60" t="n">
        <x:v>0.35</x:v>
      </x:c>
      <x:c r="D897" s="60" t="n">
        <x:v>0.35</x:v>
      </x:c>
      <x:c r="E897" s="62" t="b">
        <x:v>1</x:v>
      </x:c>
      <x:c r="F897" s="62" t="b">
        <x:v>1</x:v>
      </x:c>
      <x:c r="G897" s="85" t="n">
        <x:v>0</x:v>
      </x:c>
      <x:c r="H897" s="85" t="n">
        <x:v>0</x:v>
      </x:c>
      <x:c r="I897" s="85" t="n">
        <x:v>5728140.542534319</x:v>
      </x:c>
      <x:c r="J897" s="85" t="n">
        <x:v>6360808.085032671</x:v>
      </x:c>
      <x:c r="K897" s="85" t="n">
        <x:v>96024.70310958923</x:v>
      </x:c>
      <x:c r="L897" s="28" t="n">
        <x:v>0</x:v>
      </x:c>
      <x:c r="M897" s="28" t="n">
        <x:v>0</x:v>
      </x:c>
      <x:c r="N897" s="28" t="n">
        <x:v>2.3283064365386963e-10</x:v>
      </x:c>
      <x:c r="O897" s="28" t="n">
        <x:v>3.725290298461914e-9</x:v>
      </x:c>
      <x:c r="P897" s="28" t="n">
        <x:v>0</x:v>
      </x:c>
      <x:c r="Q897" s="62" t="b">
        <x:v>1</x:v>
      </x:c>
      <x:c r="R897" s="28" t="n">
        <x:v>0</x:v>
      </x:c>
      <x:c r="S897" s="28" t="str">
        <x:v>1cd33419ec950b03</x:v>
      </x:c>
    </x:row>
    <x:row r="898" ht="21" customHeight="1">
      <x:c r="A898" s="60" t="n">
        <x:v>0.63</x:v>
      </x:c>
      <x:c r="B898" s="28" t="str">
        <x:v>back_flat</x:v>
      </x:c>
      <x:c r="C898" s="60" t="n">
        <x:v>0.4</x:v>
      </x:c>
      <x:c r="D898" s="60" t="n">
        <x:v>0.4</x:v>
      </x:c>
      <x:c r="E898" s="62" t="b">
        <x:v>1</x:v>
      </x:c>
      <x:c r="F898" s="62" t="b">
        <x:v>1</x:v>
      </x:c>
      <x:c r="G898" s="85" t="n">
        <x:v>0</x:v>
      </x:c>
      <x:c r="H898" s="85" t="n">
        <x:v>0</x:v>
      </x:c>
      <x:c r="I898" s="85" t="n">
        <x:v>6907450.869262557</x:v>
      </x:c>
      <x:c r="J898" s="85" t="n">
        <x:v>8065837.811465903</x:v>
      </x:c>
      <x:c r="K898" s="85" t="n">
        <x:v>84281.58641095969</x:v>
      </x:c>
      <x:c r="L898" s="28" t="n">
        <x:v>0</x:v>
      </x:c>
      <x:c r="M898" s="28" t="n">
        <x:v>0</x:v>
      </x:c>
      <x:c r="N898" s="28" t="n">
        <x:v>9.313225746154785e-10</x:v>
      </x:c>
      <x:c r="O898" s="28" t="n">
        <x:v>7.450580596923828e-9</x:v>
      </x:c>
      <x:c r="P898" s="28" t="n">
        <x:v>0</x:v>
      </x:c>
      <x:c r="Q898" s="62" t="b">
        <x:v>1</x:v>
      </x:c>
      <x:c r="R898" s="28" t="n">
        <x:v>0</x:v>
      </x:c>
      <x:c r="S898" s="28" t="str">
        <x:v>480b6e0bc8451b0c</x:v>
      </x:c>
    </x:row>
    <x:row r="899" ht="21" customHeight="1">
      <x:c r="A899" s="60" t="n">
        <x:v>0.63</x:v>
      </x:c>
      <x:c r="B899" s="28" t="str">
        <x:v>back_flat</x:v>
      </x:c>
      <x:c r="C899" s="60" t="n">
        <x:v>0.45</x:v>
      </x:c>
      <x:c r="D899" s="60" t="n">
        <x:v>0.45</x:v>
      </x:c>
      <x:c r="E899" s="62" t="b">
        <x:v>1</x:v>
      </x:c>
      <x:c r="F899" s="62" t="b">
        <x:v>1</x:v>
      </x:c>
      <x:c r="G899" s="85" t="n">
        <x:v>0</x:v>
      </x:c>
      <x:c r="H899" s="85" t="n">
        <x:v>0</x:v>
      </x:c>
      <x:c r="I899" s="85" t="n">
        <x:v>8156373.1267119525</x:v>
      </x:c>
      <x:c r="J899" s="85" t="n">
        <x:v>9613571.105196994</x:v>
      </x:c>
      <x:c r="K899" s="85" t="n">
        <x:v>72538.46971232827</x:v>
      </x:c>
      <x:c r="L899" s="28" t="n">
        <x:v>2</x:v>
      </x:c>
      <x:c r="M899" s="28" t="n">
        <x:v>0</x:v>
      </x:c>
      <x:c r="N899" s="28" t="n">
        <x:v>4.656612873077393e-10</x:v>
      </x:c>
      <x:c r="O899" s="28" t="n">
        <x:v>7.450580596923828e-9</x:v>
      </x:c>
      <x:c r="P899" s="28" t="n">
        <x:v>0</x:v>
      </x:c>
      <x:c r="Q899" s="62" t="b">
        <x:v>1</x:v>
      </x:c>
      <x:c r="R899" s="28" t="n">
        <x:v>0</x:v>
      </x:c>
      <x:c r="S899" s="28" t="str">
        <x:v>64664459c90570fa</x:v>
      </x:c>
    </x:row>
    <x:row r="900" ht="21" customHeight="1">
      <x:c r="A900" s="60" t="n">
        <x:v>0.63</x:v>
      </x:c>
      <x:c r="B900" s="28" t="str">
        <x:v>back_flat</x:v>
      </x:c>
      <x:c r="C900" s="60" t="n">
        <x:v>0.5</x:v>
      </x:c>
      <x:c r="D900" s="60" t="n">
        <x:v>0.5</x:v>
      </x:c>
      <x:c r="E900" s="62" t="b">
        <x:v>1</x:v>
      </x:c>
      <x:c r="F900" s="62" t="b">
        <x:v>1</x:v>
      </x:c>
      <x:c r="G900" s="85" t="n">
        <x:v>0</x:v>
      </x:c>
      <x:c r="H900" s="85" t="n">
        <x:v>0</x:v>
      </x:c>
      <x:c r="I900" s="85" t="n">
        <x:v>9528050.487920076</x:v>
      </x:c>
      <x:c r="J900" s="85" t="n">
        <x:v>10884597.405212475</x:v>
      </x:c>
      <x:c r="K900" s="85" t="n">
        <x:v>60795.35301369836</x:v>
      </x:c>
      <x:c r="L900" s="28" t="n">
        <x:v>7</x:v>
      </x:c>
      <x:c r="M900" s="28" t="n">
        <x:v>0</x:v>
      </x:c>
      <x:c r="N900" s="28" t="n">
        <x:v>9.313225746154785e-10</x:v>
      </x:c>
      <x:c r="O900" s="28" t="n">
        <x:v>1.862645149230957e-9</x:v>
      </x:c>
      <x:c r="P900" s="28" t="n">
        <x:v>0</x:v>
      </x:c>
      <x:c r="Q900" s="62" t="b">
        <x:v>1</x:v>
      </x:c>
      <x:c r="R900" s="28" t="n">
        <x:v>0</x:v>
      </x:c>
      <x:c r="S900" s="28" t="str">
        <x:v>1fc910588b8fe5e3</x:v>
      </x:c>
    </x:row>
    <x:row r="901" ht="21" customHeight="1">
      <x:c r="A901" s="60" t="n">
        <x:v>0.63</x:v>
      </x:c>
      <x:c r="B901" s="28" t="str">
        <x:v>back_flat</x:v>
      </x:c>
      <x:c r="C901" s="60" t="n">
        <x:v>0.55</x:v>
      </x:c>
      <x:c r="D901" s="60" t="n">
        <x:v>0.55</x:v>
      </x:c>
      <x:c r="E901" s="62" t="b">
        <x:v>1</x:v>
      </x:c>
      <x:c r="F901" s="62" t="b">
        <x:v>1</x:v>
      </x:c>
      <x:c r="G901" s="85" t="n">
        <x:v>0</x:v>
      </x:c>
      <x:c r="H901" s="85" t="n">
        <x:v>0</x:v>
      </x:c>
      <x:c r="I901" s="85" t="n">
        <x:v>10714215.933719331</x:v>
      </x:c>
      <x:c r="J901" s="85" t="n">
        <x:v>12546091.494744793</x:v>
      </x:c>
      <x:c r="K901" s="85" t="n">
        <x:v>49061.8660684935</x:v>
      </x:c>
      <x:c r="L901" s="28" t="n">
        <x:v>10</x:v>
      </x:c>
      <x:c r="M901" s="28" t="n">
        <x:v>3</x:v>
      </x:c>
      <x:c r="N901" s="28" t="n">
        <x:v>4.656612873077393e-10</x:v>
      </x:c>
      <x:c r="O901" s="28" t="n">
        <x:v>7.450580596923828e-9</x:v>
      </x:c>
      <x:c r="P901" s="28" t="n">
        <x:v>0</x:v>
      </x:c>
      <x:c r="Q901" s="62" t="b">
        <x:v>1</x:v>
      </x:c>
      <x:c r="R901" s="28" t="n">
        <x:v>0</x:v>
      </x:c>
      <x:c r="S901" s="28" t="str">
        <x:v>cba68e52a9e1fd00</x:v>
      </x:c>
    </x:row>
    <x:row r="902" ht="21" customHeight="1">
      <x:c r="A902" s="60" t="n">
        <x:v>0.63</x:v>
      </x:c>
      <x:c r="B902" s="28" t="str">
        <x:v>back_flat</x:v>
      </x:c>
      <x:c r="C902" s="60" t="n">
        <x:v>0.6</x:v>
      </x:c>
      <x:c r="D902" s="60" t="n">
        <x:v>0.6</x:v>
      </x:c>
      <x:c r="E902" s="62" t="b">
        <x:v>1</x:v>
      </x:c>
      <x:c r="F902" s="62" t="b">
        <x:v>1</x:v>
      </x:c>
      <x:c r="G902" s="85" t="n">
        <x:v>0</x:v>
      </x:c>
      <x:c r="H902" s="85" t="n">
        <x:v>0</x:v>
      </x:c>
      <x:c r="I902" s="85" t="n">
        <x:v>11922783.123904873</x:v>
      </x:c>
      <x:c r="J902" s="85" t="n">
        <x:v>14125042.715579936</x:v>
      </x:c>
      <x:c r="K902" s="85" t="n">
        <x:v>45487.41550684947</x:v>
      </x:c>
      <x:c r="L902" s="28" t="n">
        <x:v>14</x:v>
      </x:c>
      <x:c r="M902" s="28" t="n">
        <x:v>8</x:v>
      </x:c>
      <x:c r="N902" s="28" t="n">
        <x:v>4.656612873077393e-10</x:v>
      </x:c>
      <x:c r="O902" s="28" t="n">
        <x:v>7.450580596923828e-9</x:v>
      </x:c>
      <x:c r="P902" s="28" t="n">
        <x:v>0</x:v>
      </x:c>
      <x:c r="Q902" s="62" t="b">
        <x:v>1</x:v>
      </x:c>
      <x:c r="R902" s="28" t="n">
        <x:v>0</x:v>
      </x:c>
      <x:c r="S902" s="28" t="str">
        <x:v>69226ab5bdc9b82f</x:v>
      </x:c>
    </x:row>
    <x:row r="903" ht="21" customHeight="1">
      <x:c r="A903" s="60" t="n">
        <x:v>0.63</x:v>
      </x:c>
      <x:c r="B903" s="28" t="str">
        <x:v>back_flat</x:v>
      </x:c>
      <x:c r="C903" s="60" t="n">
        <x:v>0.65</x:v>
      </x:c>
      <x:c r="D903" s="60" t="n">
        <x:v>0.65</x:v>
      </x:c>
      <x:c r="E903" s="62" t="b">
        <x:v>1</x:v>
      </x:c>
      <x:c r="F903" s="62" t="b">
        <x:v>0</x:v>
      </x:c>
      <x:c r="G903" s="85" t="n">
        <x:v>189773.30387219877</x:v>
      </x:c>
      <x:c r="H903" s="85" t="n">
        <x:v>1016085.8152788586</x:v>
      </x:c>
      <x:c r="I903" s="85" t="n">
        <x:v>12574363.520234957</x:v>
      </x:c>
      <x:c r="J903" s="85" t="n">
        <x:v>15050880.000000002</x:v>
      </x:c>
      <x:c r="K903" s="85" t="n">
        <x:v>41912.964945205684</x:v>
      </x:c>
      <x:c r="L903" s="28" t="n">
        <x:v>38</x:v>
      </x:c>
      <x:c r="M903" s="28" t="n">
        <x:v>32</x:v>
      </x:c>
      <x:c r="N903" s="28" t="n">
        <x:v>2.3283064365386963e-10</x:v>
      </x:c>
      <x:c r="O903" s="28" t="n">
        <x:v>7.450580596923828e-9</x:v>
      </x:c>
      <x:c r="P903" s="28" t="n">
        <x:v>0</x:v>
      </x:c>
      <x:c r="Q903" s="62" t="b">
        <x:v>1</x:v>
      </x:c>
      <x:c r="R903" s="28" t="n">
        <x:v>0</x:v>
      </x:c>
      <x:c r="S903" s="28" t="str">
        <x:v>df53d55978e5f0fa</x:v>
      </x:c>
    </x:row>
    <x:row r="904" ht="21" customHeight="1">
      <x:c r="A904" s="60" t="n">
        <x:v>0.63</x:v>
      </x:c>
      <x:c r="B904" s="28" t="str">
        <x:v>back_flat</x:v>
      </x:c>
      <x:c r="C904" s="60" t="n">
        <x:v>0.7</x:v>
      </x:c>
      <x:c r="D904" s="60" t="n">
        <x:v>0.7</x:v>
      </x:c>
      <x:c r="E904" s="62" t="b">
        <x:v>1</x:v>
      </x:c>
      <x:c r="F904" s="62" t="b">
        <x:v>0</x:v>
      </x:c>
      <x:c r="G904" s="85" t="n">
        <x:v>570572.8918810022</x:v>
      </x:c>
      <x:c r="H904" s="85" t="n">
        <x:v>3060599.8746558437</x:v>
      </x:c>
      <x:c r="I904" s="85" t="n">
        <x:v>12825945.40574203</x:v>
      </x:c>
      <x:c r="J904" s="85" t="n">
        <x:v>15050880.000000002</x:v>
      </x:c>
      <x:c r="K904" s="85" t="n">
        <x:v>38338.51438356177</x:v>
      </x:c>
      <x:c r="L904" s="28" t="n">
        <x:v>39</x:v>
      </x:c>
      <x:c r="M904" s="28" t="n">
        <x:v>33</x:v>
      </x:c>
      <x:c r="N904" s="28" t="n">
        <x:v>4.656612873077393e-10</x:v>
      </x:c>
      <x:c r="O904" s="28" t="n">
        <x:v>3.725290298461914e-9</x:v>
      </x:c>
      <x:c r="P904" s="28" t="n">
        <x:v>0</x:v>
      </x:c>
      <x:c r="Q904" s="62" t="b">
        <x:v>1</x:v>
      </x:c>
      <x:c r="R904" s="28" t="n">
        <x:v>0</x:v>
      </x:c>
      <x:c r="S904" s="28" t="str">
        <x:v>80a28511951e5ceb</x:v>
      </x:c>
    </x:row>
    <x:row r="905" ht="21" customHeight="1">
      <x:c r="A905" s="60" t="n">
        <x:v>0.63</x:v>
      </x:c>
      <x:c r="B905" s="28" t="str">
        <x:v>back_flat</x:v>
      </x:c>
      <x:c r="C905" s="60" t="n">
        <x:v>0.75</x:v>
      </x:c>
      <x:c r="D905" s="60" t="n">
        <x:v>0.75</x:v>
      </x:c>
      <x:c r="E905" s="62" t="b">
        <x:v>1</x:v>
      </x:c>
      <x:c r="F905" s="62" t="b">
        <x:v>0</x:v>
      </x:c>
      <x:c r="G905" s="85" t="n">
        <x:v>1034956.0151137187</x:v>
      </x:c>
      <x:c r="H905" s="85" t="n">
        <x:v>5243317.802576715</x:v>
      </x:c>
      <x:c r="I905" s="85" t="n">
        <x:v>12872136.283749046</x:v>
      </x:c>
      <x:c r="J905" s="85" t="n">
        <x:v>15050880.000000002</x:v>
      </x:c>
      <x:c r="K905" s="85" t="n">
        <x:v>34764.063821917625</x:v>
      </x:c>
      <x:c r="L905" s="28" t="n">
        <x:v>39</x:v>
      </x:c>
      <x:c r="M905" s="28" t="n">
        <x:v>34</x:v>
      </x:c>
      <x:c r="N905" s="28" t="n">
        <x:v>4.656612873077393e-10</x:v>
      </x:c>
      <x:c r="O905" s="28" t="n">
        <x:v>7.450580596923828e-9</x:v>
      </x:c>
      <x:c r="P905" s="28" t="n">
        <x:v>0</x:v>
      </x:c>
      <x:c r="Q905" s="62" t="b">
        <x:v>1</x:v>
      </x:c>
      <x:c r="R905" s="28" t="n">
        <x:v>0</x:v>
      </x:c>
      <x:c r="S905" s="28" t="str">
        <x:v>53b9eb9af2ee26b7</x:v>
      </x:c>
    </x:row>
    <x:row r="906" ht="21" customHeight="1">
      <x:c r="A906" s="60" t="n">
        <x:v>0.63</x:v>
      </x:c>
      <x:c r="B906" s="28" t="str">
        <x:v>back_flat</x:v>
      </x:c>
      <x:c r="C906" s="60" t="n">
        <x:v>0.8</x:v>
      </x:c>
      <x:c r="D906" s="60" t="n">
        <x:v>0.8</x:v>
      </x:c>
      <x:c r="E906" s="62" t="b">
        <x:v>1</x:v>
      </x:c>
      <x:c r="F906" s="62" t="b">
        <x:v>0</x:v>
      </x:c>
      <x:c r="G906" s="85" t="n">
        <x:v>1515454.9579458693</x:v>
      </x:c>
      <x:c r="H906" s="85" t="n">
        <x:v>7130250.398625983</x:v>
      </x:c>
      <x:c r="I906" s="85" t="n">
        <x:v>13090441.91399277</x:v>
      </x:c>
      <x:c r="J906" s="85" t="n">
        <x:v>15050880.000000002</x:v>
      </x:c>
      <x:c r="K906" s="85" t="n">
        <x:v>31189.613260273945</x:v>
      </x:c>
      <x:c r="L906" s="28" t="n">
        <x:v>40</x:v>
      </x:c>
      <x:c r="M906" s="28" t="n">
        <x:v>34</x:v>
      </x:c>
      <x:c r="N906" s="28" t="n">
        <x:v>4.656612873077393e-10</x:v>
      </x:c>
      <x:c r="O906" s="28" t="n">
        <x:v>3.725290298461914e-9</x:v>
      </x:c>
      <x:c r="P906" s="28" t="n">
        <x:v>0</x:v>
      </x:c>
      <x:c r="Q906" s="62" t="b">
        <x:v>1</x:v>
      </x:c>
      <x:c r="R906" s="28" t="n">
        <x:v>0</x:v>
      </x:c>
      <x:c r="S906" s="28" t="str">
        <x:v>2898864063128c20</x:v>
      </x:c>
    </x:row>
    <x:row r="907" ht="21" customHeight="1">
      <x:c r="A907" s="60" t="n">
        <x:v>0.63</x:v>
      </x:c>
      <x:c r="B907" s="28" t="str">
        <x:v>back_flat</x:v>
      </x:c>
      <x:c r="C907" s="60" t="n">
        <x:v>0.85</x:v>
      </x:c>
      <x:c r="D907" s="60" t="n">
        <x:v>0.85</x:v>
      </x:c>
      <x:c r="E907" s="62" t="b">
        <x:v>1</x:v>
      </x:c>
      <x:c r="F907" s="62" t="b">
        <x:v>0</x:v>
      </x:c>
      <x:c r="G907" s="85" t="n">
        <x:v>2082225.8587600905</x:v>
      </x:c>
      <x:c r="H907" s="85" t="n">
        <x:v>9151678.511905057</x:v>
      </x:c>
      <x:c r="I907" s="85" t="n">
        <x:v>13131005.048732387</x:v>
      </x:c>
      <x:c r="J907" s="85" t="n">
        <x:v>15050880.000000002</x:v>
      </x:c>
      <x:c r="K907" s="85" t="n">
        <x:v>27615.16269863015</x:v>
      </x:c>
      <x:c r="L907" s="28" t="n">
        <x:v>40</x:v>
      </x:c>
      <x:c r="M907" s="28" t="n">
        <x:v>36</x:v>
      </x:c>
      <x:c r="N907" s="28" t="n">
        <x:v>4.656612873077393e-10</x:v>
      </x:c>
      <x:c r="O907" s="28" t="n">
        <x:v>9.313225746154785e-10</x:v>
      </x:c>
      <x:c r="P907" s="28" t="n">
        <x:v>0</x:v>
      </x:c>
      <x:c r="Q907" s="62" t="b">
        <x:v>1</x:v>
      </x:c>
      <x:c r="R907" s="28" t="n">
        <x:v>0</x:v>
      </x:c>
      <x:c r="S907" s="28" t="str">
        <x:v>46544e9f3fdd7c18</x:v>
      </x:c>
    </x:row>
    <x:row r="908" ht="21" customHeight="1">
      <x:c r="A908" s="60" t="n">
        <x:v>0.63</x:v>
      </x:c>
      <x:c r="B908" s="28" t="str">
        <x:v>back_flat</x:v>
      </x:c>
      <x:c r="C908" s="60" t="n">
        <x:v>0.9</x:v>
      </x:c>
      <x:c r="D908" s="60" t="n">
        <x:v>0.880265491166173</x:v>
      </x:c>
      <x:c r="E908" s="62" t="b">
        <x:v>0</x:v>
      </x:c>
      <x:c r="F908" s="62" t="b">
        <x:v>0</x:v>
      </x:c>
      <x:c r="G908" s="85" t="n">
        <x:v>2589206.997863494</x:v>
      </x:c>
      <x:c r="H908" s="85" t="n">
        <x:v>9803125.951414622</x:v>
      </x:c>
      <x:c r="I908" s="85" t="n">
        <x:v>13374752.248093154</x:v>
      </x:c>
      <x:c r="J908" s="85" t="n">
        <x:v>15050880.000000002</x:v>
      </x:c>
      <x:c r="K908" s="85" t="n">
        <x:v>24040.712136986353</x:v>
      </x:c>
      <x:c r="L908" s="28" t="n">
        <x:v>41</x:v>
      </x:c>
      <x:c r="M908" s="28" t="n">
        <x:v>36</x:v>
      </x:c>
      <x:c r="N908" s="28" t="n">
        <x:v>2.3283064365386963e-10</x:v>
      </x:c>
      <x:c r="O908" s="28" t="n">
        <x:v>3.725290298461914e-9</x:v>
      </x:c>
      <x:c r="P908" s="28" t="n">
        <x:v>0</x:v>
      </x:c>
      <x:c r="Q908" s="62" t="b">
        <x:v>1</x:v>
      </x:c>
      <x:c r="R908" s="28" t="n">
        <x:v>1100080.4604328498</x:v>
      </x:c>
      <x:c r="S908" s="28" t="str">
        <x:v>8acfbba815d54e91</x:v>
      </x:c>
    </x:row>
    <x:row r="909" ht="21" customHeight="1">
      <x:c r="A909" s="60" t="n">
        <x:v>0.63</x:v>
      </x:c>
      <x:c r="B909" s="28" t="str">
        <x:v>back_flat</x:v>
      </x:c>
      <x:c r="C909" s="60" t="n">
        <x:v>0.95</x:v>
      </x:c>
      <x:c r="D909" s="60" t="n">
        <x:v>0.8954794051096439</x:v>
      </x:c>
      <x:c r="E909" s="62" t="b">
        <x:v>0</x:v>
      </x:c>
      <x:c r="F909" s="62" t="b">
        <x:v>0</x:v>
      </x:c>
      <x:c r="G909" s="85" t="n">
        <x:v>2805355.455111327</x:v>
      </x:c>
      <x:c r="H909" s="85" t="n">
        <x:v>10591359.048471311</x:v>
      </x:c>
      <x:c r="I909" s="85" t="n">
        <x:v>13406606.009663017</x:v>
      </x:c>
      <x:c r="J909" s="85" t="n">
        <x:v>15050880.000000002</x:v>
      </x:c>
      <x:c r="K909" s="85" t="n">
        <x:v>20466.261575342323</x:v>
      </x:c>
      <x:c r="L909" s="28" t="n">
        <x:v>41</x:v>
      </x:c>
      <x:c r="M909" s="28" t="n">
        <x:v>37</x:v>
      </x:c>
      <x:c r="N909" s="28" t="n">
        <x:v>4.656612873077393e-10</x:v>
      </x:c>
      <x:c r="O909" s="28" t="n">
        <x:v>3.725290298461914e-9</x:v>
      </x:c>
      <x:c r="P909" s="28" t="n">
        <x:v>0</x:v>
      </x:c>
      <x:c r="Q909" s="62" t="b">
        <x:v>1</x:v>
      </x:c>
      <x:c r="R909" s="28" t="n">
        <x:v>3039196.041568011</x:v>
      </x:c>
      <x:c r="S909" s="28" t="str">
        <x:v>70c4905e822b3151</x:v>
      </x:c>
    </x:row>
    <x:row r="910" ht="21" customHeight="1">
      <x:c r="A910" s="60" t="n">
        <x:v>0.63</x:v>
      </x:c>
      <x:c r="B910" s="28" t="str">
        <x:v>back_flat</x:v>
      </x:c>
      <x:c r="C910" s="60" t="n">
        <x:v>1</x:v>
      </x:c>
      <x:c r="D910" s="60" t="n">
        <x:v>0.9093341115290656</x:v>
      </x:c>
      <x:c r="E910" s="62" t="b">
        <x:v>0</x:v>
      </x:c>
      <x:c r="F910" s="62" t="b">
        <x:v>0</x:v>
      </x:c>
      <x:c r="G910" s="85" t="n">
        <x:v>3015992.9704671605</x:v>
      </x:c>
      <x:c r="H910" s="85" t="n">
        <x:v>10958840.383670943</x:v>
      </x:c>
      <x:c r="I910" s="85" t="n">
        <x:v>13635307.067526579</x:v>
      </x:c>
      <x:c r="J910" s="85" t="n">
        <x:v>15050880.000000002</x:v>
      </x:c>
      <x:c r="K910" s="85" t="n">
        <x:v>16891.81101369841</x:v>
      </x:c>
      <x:c r="L910" s="28" t="n">
        <x:v>42</x:v>
      </x:c>
      <x:c r="M910" s="28" t="n">
        <x:v>37</x:v>
      </x:c>
      <x:c r="N910" s="28" t="n">
        <x:v>2.3283064365386963e-10</x:v>
      </x:c>
      <x:c r="O910" s="28" t="n">
        <x:v>3.725290298461914e-9</x:v>
      </x:c>
      <x:c r="P910" s="28" t="n">
        <x:v>0</x:v>
      </x:c>
      <x:c r="Q910" s="62" t="b">
        <x:v>1</x:v>
      </x:c>
      <x:c r="R910" s="28" t="n">
        <x:v>5054079.286923766</x:v>
      </x:c>
      <x:c r="S910" s="28" t="str">
        <x:v>3f9fc9baaf90a773</x:v>
      </x:c>
    </x:row>
    <x:row r="911" ht="21" customHeight="1">
      <x:c r="A911" s="60" t="n">
        <x:v>0.63</x:v>
      </x:c>
      <x:c r="B911" s="28" t="str">
        <x:v>back_low</x:v>
      </x:c>
      <x:c r="C911" s="60" t="n">
        <x:v>0</x:v>
      </x:c>
      <x:c r="D911" s="60" t="n">
        <x:v>0</x:v>
      </x:c>
      <x:c r="E911" s="62" t="b">
        <x:v>1</x:v>
      </x:c>
      <x:c r="F911" s="62" t="b">
        <x:v>1</x:v>
      </x:c>
      <x:c r="G911" s="85" t="n">
        <x:v>0</x:v>
      </x:c>
      <x:c r="H911" s="85" t="n">
        <x:v>0</x:v>
      </x:c>
      <x:c r="I911" s="85" t="n">
        <x:v>0</x:v>
      </x:c>
      <x:c r="J911" s="85" t="n">
        <x:v>0</x:v>
      </x:c>
      <x:c r="K911" s="85" t="n">
        <x:v>5160420.980383561</x:v>
      </x:c>
      <x:c r="L911" s="28" t="n">
        <x:v>0</x:v>
      </x:c>
      <x:c r="M911" s="28" t="n">
        <x:v>0</x:v>
      </x:c>
      <x:c r="N911" s="28" t="n">
        <x:v>4.656612873077393e-10</x:v>
      </x:c>
      <x:c r="O911" s="28" t="n">
        <x:v>0</x:v>
      </x:c>
      <x:c r="P911" s="28" t="n">
        <x:v>0</x:v>
      </x:c>
      <x:c r="Q911" s="62" t="b">
        <x:v>1</x:v>
      </x:c>
      <x:c r="R911" s="28" t="n">
        <x:v>0</x:v>
      </x:c>
      <x:c r="S911" s="28" t="str">
        <x:v>05d0da7e84c021c4</x:v>
      </x:c>
    </x:row>
    <x:row r="912" ht="21" customHeight="1">
      <x:c r="A912" s="60" t="n">
        <x:v>0.63</x:v>
      </x:c>
      <x:c r="B912" s="28" t="str">
        <x:v>back_low</x:v>
      </x:c>
      <x:c r="C912" s="60" t="n">
        <x:v>0.05</x:v>
      </x:c>
      <x:c r="D912" s="60" t="n">
        <x:v>0.05</x:v>
      </x:c>
      <x:c r="E912" s="62" t="b">
        <x:v>1</x:v>
      </x:c>
      <x:c r="F912" s="62" t="b">
        <x:v>1</x:v>
      </x:c>
      <x:c r="G912" s="85" t="n">
        <x:v>0</x:v>
      </x:c>
      <x:c r="H912" s="85" t="n">
        <x:v>0</x:v>
      </x:c>
      <x:c r="I912" s="85" t="n">
        <x:v>0</x:v>
      </x:c>
      <x:c r="J912" s="85" t="n">
        <x:v>0</x:v>
      </x:c>
      <x:c r="K912" s="85" t="n">
        <x:v>3171852.4084900348</x:v>
      </x:c>
      <x:c r="L912" s="28" t="n">
        <x:v>0</x:v>
      </x:c>
      <x:c r="M912" s="28" t="n">
        <x:v>0</x:v>
      </x:c>
      <x:c r="N912" s="28" t="n">
        <x:v>9.313225746154785e-10</x:v>
      </x:c>
      <x:c r="O912" s="28" t="n">
        <x:v>7.450580596923828e-9</x:v>
      </x:c>
      <x:c r="P912" s="28" t="n">
        <x:v>0</x:v>
      </x:c>
      <x:c r="Q912" s="62" t="b">
        <x:v>1</x:v>
      </x:c>
      <x:c r="R912" s="28" t="n">
        <x:v>0</x:v>
      </x:c>
      <x:c r="S912" s="28" t="str">
        <x:v>0ba3f33e058e86e4</x:v>
      </x:c>
    </x:row>
    <x:row r="913" ht="21" customHeight="1">
      <x:c r="A913" s="60" t="n">
        <x:v>0.63</x:v>
      </x:c>
      <x:c r="B913" s="28" t="str">
        <x:v>back_low</x:v>
      </x:c>
      <x:c r="C913" s="60" t="n">
        <x:v>0.1</x:v>
      </x:c>
      <x:c r="D913" s="60" t="n">
        <x:v>0.1</x:v>
      </x:c>
      <x:c r="E913" s="62" t="b">
        <x:v>1</x:v>
      </x:c>
      <x:c r="F913" s="62" t="b">
        <x:v>1</x:v>
      </x:c>
      <x:c r="G913" s="85" t="n">
        <x:v>0</x:v>
      </x:c>
      <x:c r="H913" s="85" t="n">
        <x:v>0</x:v>
      </x:c>
      <x:c r="I913" s="85" t="n">
        <x:v>0</x:v>
      </x:c>
      <x:c r="J913" s="85" t="n">
        <x:v>0</x:v>
      </x:c>
      <x:c r="K913" s="85" t="n">
        <x:v>1183283.8365965276</x:v>
      </x:c>
      <x:c r="L913" s="28" t="n">
        <x:v>0</x:v>
      </x:c>
      <x:c r="M913" s="28" t="n">
        <x:v>0</x:v>
      </x:c>
      <x:c r="N913" s="28" t="n">
        <x:v>4.656612873077393e-10</x:v>
      </x:c>
      <x:c r="O913" s="28" t="n">
        <x:v>7.450580596923828e-9</x:v>
      </x:c>
      <x:c r="P913" s="28" t="n">
        <x:v>0</x:v>
      </x:c>
      <x:c r="Q913" s="62" t="b">
        <x:v>1</x:v>
      </x:c>
      <x:c r="R913" s="28" t="n">
        <x:v>0</x:v>
      </x:c>
      <x:c r="S913" s="28" t="str">
        <x:v>6155d9f19f48b5f5</x:v>
      </x:c>
    </x:row>
    <x:row r="914" ht="21" customHeight="1">
      <x:c r="A914" s="60" t="n">
        <x:v>0.63</x:v>
      </x:c>
      <x:c r="B914" s="28" t="str">
        <x:v>back_low</x:v>
      </x:c>
      <x:c r="C914" s="60" t="n">
        <x:v>0.15</x:v>
      </x:c>
      <x:c r="D914" s="60" t="n">
        <x:v>0.15</x:v>
      </x:c>
      <x:c r="E914" s="62" t="b">
        <x:v>1</x:v>
      </x:c>
      <x:c r="F914" s="62" t="b">
        <x:v>1</x:v>
      </x:c>
      <x:c r="G914" s="85" t="n">
        <x:v>0</x:v>
      </x:c>
      <x:c r="H914" s="85" t="n">
        <x:v>0</x:v>
      </x:c>
      <x:c r="I914" s="85" t="n">
        <x:v>659194.4468077382</x:v>
      </x:c>
      <x:c r="J914" s="85" t="n">
        <x:v>0</x:v>
      </x:c>
      <x:c r="K914" s="85" t="n">
        <x:v>38866.61510286298</x:v>
      </x:c>
      <x:c r="L914" s="28" t="n">
        <x:v>0</x:v>
      </x:c>
      <x:c r="M914" s="28" t="n">
        <x:v>0</x:v>
      </x:c>
      <x:c r="N914" s="28" t="n">
        <x:v>9.313225746154785e-10</x:v>
      </x:c>
      <x:c r="O914" s="28" t="n">
        <x:v>7.450580596923828e-9</x:v>
      </x:c>
      <x:c r="P914" s="28" t="n">
        <x:v>0</x:v>
      </x:c>
      <x:c r="Q914" s="62" t="b">
        <x:v>1</x:v>
      </x:c>
      <x:c r="R914" s="28" t="n">
        <x:v>0</x:v>
      </x:c>
      <x:c r="S914" s="28" t="str">
        <x:v>0b2e42f39ce9f6d6</x:v>
      </x:c>
    </x:row>
    <x:row r="915" ht="21" customHeight="1">
      <x:c r="A915" s="60" t="n">
        <x:v>0.63</x:v>
      </x:c>
      <x:c r="B915" s="28" t="str">
        <x:v>back_low</x:v>
      </x:c>
      <x:c r="C915" s="60" t="n">
        <x:v>0.2</x:v>
      </x:c>
      <x:c r="D915" s="60" t="n">
        <x:v>0.2</x:v>
      </x:c>
      <x:c r="E915" s="62" t="b">
        <x:v>1</x:v>
      </x:c>
      <x:c r="F915" s="62" t="b">
        <x:v>1</x:v>
      </x:c>
      <x:c r="G915" s="85" t="n">
        <x:v>0</x:v>
      </x:c>
      <x:c r="H915" s="85" t="n">
        <x:v>0</x:v>
      </x:c>
      <x:c r="I915" s="85" t="n">
        <x:v>1783186.0914917102</x:v>
      </x:c>
      <x:c r="J915" s="85" t="n">
        <x:v>1245718.9057329397</x:v>
      </x:c>
      <x:c r="K915" s="85" t="n">
        <x:v>28391.0767671232</x:v>
      </x:c>
      <x:c r="L915" s="28" t="n">
        <x:v>0</x:v>
      </x:c>
      <x:c r="M915" s="28" t="n">
        <x:v>0</x:v>
      </x:c>
      <x:c r="N915" s="28" t="n">
        <x:v>9.313225746154785e-10</x:v>
      </x:c>
      <x:c r="O915" s="28" t="n">
        <x:v>7.450580596923828e-9</x:v>
      </x:c>
      <x:c r="P915" s="28" t="n">
        <x:v>0</x:v>
      </x:c>
      <x:c r="Q915" s="62" t="b">
        <x:v>1</x:v>
      </x:c>
      <x:c r="R915" s="28" t="n">
        <x:v>0</x:v>
      </x:c>
      <x:c r="S915" s="28" t="str">
        <x:v>db730a6568ab428a</x:v>
      </x:c>
    </x:row>
    <x:row r="916" ht="21" customHeight="1">
      <x:c r="A916" s="60" t="n">
        <x:v>0.63</x:v>
      </x:c>
      <x:c r="B916" s="28" t="str">
        <x:v>back_low</x:v>
      </x:c>
      <x:c r="C916" s="60" t="n">
        <x:v>0.25</x:v>
      </x:c>
      <x:c r="D916" s="60" t="n">
        <x:v>0.25</x:v>
      </x:c>
      <x:c r="E916" s="62" t="b">
        <x:v>1</x:v>
      </x:c>
      <x:c r="F916" s="62" t="b">
        <x:v>1</x:v>
      </x:c>
      <x:c r="G916" s="85" t="n">
        <x:v>0</x:v>
      </x:c>
      <x:c r="H916" s="85" t="n">
        <x:v>0</x:v>
      </x:c>
      <x:c r="I916" s="85" t="n">
        <x:v>2549843.2743098596</x:v>
      </x:c>
      <x:c r="J916" s="85" t="n">
        <x:v>2950748.6321662106</x:v>
      </x:c>
      <x:c r="K916" s="85" t="n">
        <x:v>21834.715958904046</x:v>
      </x:c>
      <x:c r="L916" s="28" t="n">
        <x:v>0</x:v>
      </x:c>
      <x:c r="M916" s="28" t="n">
        <x:v>0</x:v>
      </x:c>
      <x:c r="N916" s="28" t="n">
        <x:v>4.656612873077393e-10</x:v>
      </x:c>
      <x:c r="O916" s="28" t="n">
        <x:v>7.450580596923828e-9</x:v>
      </x:c>
      <x:c r="P916" s="28" t="n">
        <x:v>0</x:v>
      </x:c>
      <x:c r="Q916" s="62" t="b">
        <x:v>1</x:v>
      </x:c>
      <x:c r="R916" s="28" t="n">
        <x:v>0</x:v>
      </x:c>
      <x:c r="S916" s="28" t="str">
        <x:v>f9ba1210cc7b2441</x:v>
      </x:c>
    </x:row>
    <x:row r="917" ht="21" customHeight="1">
      <x:c r="A917" s="60" t="n">
        <x:v>0.63</x:v>
      </x:c>
      <x:c r="B917" s="28" t="str">
        <x:v>back_low</x:v>
      </x:c>
      <x:c r="C917" s="60" t="n">
        <x:v>0.3</x:v>
      </x:c>
      <x:c r="D917" s="60" t="n">
        <x:v>0.3</x:v>
      </x:c>
      <x:c r="E917" s="62" t="b">
        <x:v>1</x:v>
      </x:c>
      <x:c r="F917" s="62" t="b">
        <x:v>1</x:v>
      </x:c>
      <x:c r="G917" s="85" t="n">
        <x:v>0</x:v>
      </x:c>
      <x:c r="H917" s="85" t="n">
        <x:v>0</x:v>
      </x:c>
      <x:c r="I917" s="85" t="n">
        <x:v>3316500.457127982</x:v>
      </x:c>
      <x:c r="J917" s="85" t="n">
        <x:v>4655778.3585994225</x:v>
      </x:c>
      <x:c r="K917" s="85" t="n">
        <x:v>15278.35515068483</x:v>
      </x:c>
      <x:c r="L917" s="28" t="n">
        <x:v>0</x:v>
      </x:c>
      <x:c r="M917" s="28" t="n">
        <x:v>0</x:v>
      </x:c>
      <x:c r="N917" s="28" t="n">
        <x:v>4.656612873077393e-10</x:v>
      </x:c>
      <x:c r="O917" s="28" t="n">
        <x:v>7.450580596923828e-9</x:v>
      </x:c>
      <x:c r="P917" s="28" t="n">
        <x:v>0</x:v>
      </x:c>
      <x:c r="Q917" s="62" t="b">
        <x:v>1</x:v>
      </x:c>
      <x:c r="R917" s="28" t="n">
        <x:v>0</x:v>
      </x:c>
      <x:c r="S917" s="28" t="str">
        <x:v>46afc0f086d98905</x:v>
      </x:c>
    </x:row>
    <x:row r="918" ht="21" customHeight="1">
      <x:c r="A918" s="60" t="n">
        <x:v>0.63</x:v>
      </x:c>
      <x:c r="B918" s="28" t="str">
        <x:v>back_low</x:v>
      </x:c>
      <x:c r="C918" s="60" t="n">
        <x:v>0.35</x:v>
      </x:c>
      <x:c r="D918" s="60" t="n">
        <x:v>0.35</x:v>
      </x:c>
      <x:c r="E918" s="62" t="b">
        <x:v>1</x:v>
      </x:c>
      <x:c r="F918" s="62" t="b">
        <x:v>1</x:v>
      </x:c>
      <x:c r="G918" s="85" t="n">
        <x:v>0</x:v>
      </x:c>
      <x:c r="H918" s="85" t="n">
        <x:v>0</x:v>
      </x:c>
      <x:c r="I918" s="85" t="n">
        <x:v>4093363.7307042032</x:v>
      </x:c>
      <x:c r="J918" s="85" t="n">
        <x:v>6360808.085032671</x:v>
      </x:c>
      <x:c r="K918" s="85" t="n">
        <x:v>12843.859000000011</x:v>
      </x:c>
      <x:c r="L918" s="28" t="n">
        <x:v>0</x:v>
      </x:c>
      <x:c r="M918" s="28" t="n">
        <x:v>0</x:v>
      </x:c>
      <x:c r="N918" s="28" t="n">
        <x:v>9.313225746154785e-10</x:v>
      </x:c>
      <x:c r="O918" s="28" t="n">
        <x:v>3.725290298461914e-9</x:v>
      </x:c>
      <x:c r="P918" s="28" t="n">
        <x:v>0</x:v>
      </x:c>
      <x:c r="Q918" s="62" t="b">
        <x:v>1</x:v>
      </x:c>
      <x:c r="R918" s="28" t="n">
        <x:v>0</x:v>
      </x:c>
      <x:c r="S918" s="28" t="str">
        <x:v>88e3df479f110a66</x:v>
      </x:c>
    </x:row>
    <x:row r="919" ht="21" customHeight="1">
      <x:c r="A919" s="60" t="n">
        <x:v>0.63</x:v>
      </x:c>
      <x:c r="B919" s="28" t="str">
        <x:v>back_low</x:v>
      </x:c>
      <x:c r="C919" s="60" t="n">
        <x:v>0.4</x:v>
      </x:c>
      <x:c r="D919" s="60" t="n">
        <x:v>0.4</x:v>
      </x:c>
      <x:c r="E919" s="62" t="b">
        <x:v>1</x:v>
      </x:c>
      <x:c r="F919" s="62" t="b">
        <x:v>1</x:v>
      </x:c>
      <x:c r="G919" s="85" t="n">
        <x:v>0</x:v>
      </x:c>
      <x:c r="H919" s="85" t="n">
        <x:v>0</x:v>
      </x:c>
      <x:c r="I919" s="85" t="n">
        <x:v>4863951.260439098</x:v>
      </x:c>
      <x:c r="J919" s="85" t="n">
        <x:v>8065837.811465903</x:v>
      </x:c>
      <x:c r="K919" s="85" t="n">
        <x:v>10809.58049315072</x:v>
      </x:c>
      <x:c r="L919" s="28" t="n">
        <x:v>0</x:v>
      </x:c>
      <x:c r="M919" s="28" t="n">
        <x:v>0</x:v>
      </x:c>
      <x:c r="N919" s="28" t="n">
        <x:v>9.313225746154785e-10</x:v>
      </x:c>
      <x:c r="O919" s="28" t="n">
        <x:v>7.450580596923828e-9</x:v>
      </x:c>
      <x:c r="P919" s="28" t="n">
        <x:v>0</x:v>
      </x:c>
      <x:c r="Q919" s="62" t="b">
        <x:v>1</x:v>
      </x:c>
      <x:c r="R919" s="28" t="n">
        <x:v>0</x:v>
      </x:c>
      <x:c r="S919" s="28" t="str">
        <x:v>f4c4bfb782a7ab0b</x:v>
      </x:c>
    </x:row>
    <x:row r="920" ht="21" customHeight="1">
      <x:c r="A920" s="60" t="n">
        <x:v>0.63</x:v>
      </x:c>
      <x:c r="B920" s="28" t="str">
        <x:v>back_low</x:v>
      </x:c>
      <x:c r="C920" s="60" t="n">
        <x:v>0.45</x:v>
      </x:c>
      <x:c r="D920" s="60" t="n">
        <x:v>0.45</x:v>
      </x:c>
      <x:c r="E920" s="62" t="b">
        <x:v>1</x:v>
      </x:c>
      <x:c r="F920" s="62" t="b">
        <x:v>1</x:v>
      </x:c>
      <x:c r="G920" s="85" t="n">
        <x:v>0</x:v>
      </x:c>
      <x:c r="H920" s="85" t="n">
        <x:v>0</x:v>
      </x:c>
      <x:c r="I920" s="85" t="n">
        <x:v>5721891.856910601</x:v>
      </x:c>
      <x:c r="J920" s="85" t="n">
        <x:v>9636711.135772154</x:v>
      </x:c>
      <x:c r="K920" s="85" t="n">
        <x:v>8775.301986301482</x:v>
      </x:c>
      <x:c r="L920" s="28" t="n">
        <x:v>2</x:v>
      </x:c>
      <x:c r="M920" s="28" t="n">
        <x:v>0</x:v>
      </x:c>
      <x:c r="N920" s="28" t="n">
        <x:v>9.313225746154785e-10</x:v>
      </x:c>
      <x:c r="O920" s="28" t="n">
        <x:v>7.450580596923828e-9</x:v>
      </x:c>
      <x:c r="P920" s="28" t="n">
        <x:v>0</x:v>
      </x:c>
      <x:c r="Q920" s="62" t="b">
        <x:v>1</x:v>
      </x:c>
      <x:c r="R920" s="28" t="n">
        <x:v>0</x:v>
      </x:c>
      <x:c r="S920" s="28" t="str">
        <x:v>36e68f2faa3eafa5</x:v>
      </x:c>
    </x:row>
    <x:row r="921" ht="21" customHeight="1">
      <x:c r="A921" s="60" t="n">
        <x:v>0.63</x:v>
      </x:c>
      <x:c r="B921" s="28" t="str">
        <x:v>back_low</x:v>
      </x:c>
      <x:c r="C921" s="60" t="n">
        <x:v>0.5</x:v>
      </x:c>
      <x:c r="D921" s="60" t="n">
        <x:v>0.5</x:v>
      </x:c>
      <x:c r="E921" s="62" t="b">
        <x:v>1</x:v>
      </x:c>
      <x:c r="F921" s="62" t="b">
        <x:v>1</x:v>
      </x:c>
      <x:c r="G921" s="85" t="n">
        <x:v>0</x:v>
      </x:c>
      <x:c r="H921" s="85" t="n">
        <x:v>0</x:v>
      </x:c>
      <x:c r="I921" s="85" t="n">
        <x:v>6719170.93121885</x:v>
      </x:c>
      <x:c r="J921" s="85" t="n">
        <x:v>10981258.231833125</x:v>
      </x:c>
      <x:c r="K921" s="85" t="n">
        <x:v>6741.023479451953</x:v>
      </x:c>
      <x:c r="L921" s="28" t="n">
        <x:v>7</x:v>
      </x:c>
      <x:c r="M921" s="28" t="n">
        <x:v>0</x:v>
      </x:c>
      <x:c r="N921" s="28" t="n">
        <x:v>9.313225746154785e-10</x:v>
      </x:c>
      <x:c r="O921" s="28" t="n">
        <x:v>1.862645149230957e-9</x:v>
      </x:c>
      <x:c r="P921" s="28" t="n">
        <x:v>0</x:v>
      </x:c>
      <x:c r="Q921" s="62" t="b">
        <x:v>1</x:v>
      </x:c>
      <x:c r="R921" s="28" t="n">
        <x:v>0</x:v>
      </x:c>
      <x:c r="S921" s="28" t="str">
        <x:v>cec5f82bd476394b</x:v>
      </x:c>
    </x:row>
    <x:row r="922" ht="21" customHeight="1">
      <x:c r="A922" s="60" t="n">
        <x:v>0.63</x:v>
      </x:c>
      <x:c r="B922" s="28" t="str">
        <x:v>back_low</x:v>
      </x:c>
      <x:c r="C922" s="60" t="n">
        <x:v>0.55</x:v>
      </x:c>
      <x:c r="D922" s="60" t="n">
        <x:v>0.55</x:v>
      </x:c>
      <x:c r="E922" s="62" t="b">
        <x:v>1</x:v>
      </x:c>
      <x:c r="F922" s="62" t="b">
        <x:v>1</x:v>
      </x:c>
      <x:c r="G922" s="85" t="n">
        <x:v>0</x:v>
      </x:c>
      <x:c r="H922" s="85" t="n">
        <x:v>0</x:v>
      </x:c>
      <x:c r="I922" s="85" t="n">
        <x:v>7526999.944220949</x:v>
      </x:c>
      <x:c r="J922" s="85" t="n">
        <x:v>12601951.509683372</x:v>
      </x:c>
      <x:c r="K922" s="85" t="n">
        <x:v>4706.7449726027735</x:v>
      </x:c>
      <x:c r="L922" s="28" t="n">
        <x:v>10</x:v>
      </x:c>
      <x:c r="M922" s="28" t="n">
        <x:v>0</x:v>
      </x:c>
      <x:c r="N922" s="28" t="n">
        <x:v>4.656612873077393e-10</x:v>
      </x:c>
      <x:c r="O922" s="28" t="n">
        <x:v>7.450580596923828e-9</x:v>
      </x:c>
      <x:c r="P922" s="28" t="n">
        <x:v>0</x:v>
      </x:c>
      <x:c r="Q922" s="62" t="b">
        <x:v>1</x:v>
      </x:c>
      <x:c r="R922" s="28" t="n">
        <x:v>0</x:v>
      </x:c>
      <x:c r="S922" s="28" t="str">
        <x:v>c1059da2efeada72</x:v>
      </x:c>
    </x:row>
    <x:row r="923" ht="21" customHeight="1">
      <x:c r="A923" s="60" t="n">
        <x:v>0.63</x:v>
      </x:c>
      <x:c r="B923" s="28" t="str">
        <x:v>back_low</x:v>
      </x:c>
      <x:c r="C923" s="60" t="n">
        <x:v>0.6</x:v>
      </x:c>
      <x:c r="D923" s="60" t="n">
        <x:v>0.6</x:v>
      </x:c>
      <x:c r="E923" s="62" t="b">
        <x:v>1</x:v>
      </x:c>
      <x:c r="F923" s="62" t="b">
        <x:v>1</x:v>
      </x:c>
      <x:c r="G923" s="85" t="n">
        <x:v>0</x:v>
      </x:c>
      <x:c r="H923" s="85" t="n">
        <x:v>0</x:v>
      </x:c>
      <x:c r="I923" s="85" t="n">
        <x:v>8376724.114894546</x:v>
      </x:c>
      <x:c r="J923" s="85" t="n">
        <x:v>14150794.425761657</x:v>
      </x:c>
      <x:c r="K923" s="85" t="n">
        <x:v>2672.466465753245</x:v>
      </x:c>
      <x:c r="L923" s="28" t="n">
        <x:v>14</x:v>
      </x:c>
      <x:c r="M923" s="28" t="n">
        <x:v>1</x:v>
      </x:c>
      <x:c r="N923" s="28" t="n">
        <x:v>4.656612873077393e-10</x:v>
      </x:c>
      <x:c r="O923" s="28" t="n">
        <x:v>7.450580596923828e-9</x:v>
      </x:c>
      <x:c r="P923" s="28" t="n">
        <x:v>0</x:v>
      </x:c>
      <x:c r="Q923" s="62" t="b">
        <x:v>1</x:v>
      </x:c>
      <x:c r="R923" s="28" t="n">
        <x:v>0</x:v>
      </x:c>
      <x:c r="S923" s="28" t="str">
        <x:v>9683b5d3b13bfd35</x:v>
      </x:c>
    </x:row>
    <x:row r="924" ht="21" customHeight="1">
      <x:c r="A924" s="60" t="n">
        <x:v>0.63</x:v>
      </x:c>
      <x:c r="B924" s="28" t="str">
        <x:v>back_low</x:v>
      </x:c>
      <x:c r="C924" s="60" t="n">
        <x:v>0.65</x:v>
      </x:c>
      <x:c r="D924" s="60" t="n">
        <x:v>0.65</x:v>
      </x:c>
      <x:c r="E924" s="62" t="b">
        <x:v>1</x:v>
      </x:c>
      <x:c r="F924" s="62" t="b">
        <x:v>0</x:v>
      </x:c>
      <x:c r="G924" s="85" t="n">
        <x:v>68695.30892023223</x:v>
      </x:c>
      <x:c r="H924" s="85" t="n">
        <x:v>857718.3550942984</x:v>
      </x:c>
      <x:c r="I924" s="85" t="n">
        <x:v>8838405.135848565</x:v>
      </x:c>
      <x:c r="J924" s="85" t="n">
        <x:v>15050880.000000002</x:v>
      </x:c>
      <x:c r="K924" s="85" t="n">
        <x:v>638.1879589041855</x:v>
      </x:c>
      <x:c r="L924" s="28" t="n">
        <x:v>38</x:v>
      </x:c>
      <x:c r="M924" s="28" t="n">
        <x:v>29</x:v>
      </x:c>
      <x:c r="N924" s="28" t="n">
        <x:v>4.656612873077393e-10</x:v>
      </x:c>
      <x:c r="O924" s="28" t="n">
        <x:v>7.450580596923828e-9</x:v>
      </x:c>
      <x:c r="P924" s="28" t="n">
        <x:v>0</x:v>
      </x:c>
      <x:c r="Q924" s="62" t="b">
        <x:v>1</x:v>
      </x:c>
      <x:c r="R924" s="28" t="n">
        <x:v>0</x:v>
      </x:c>
      <x:c r="S924" s="28" t="str">
        <x:v>6c911ae97950501d</x:v>
      </x:c>
    </x:row>
    <x:row r="925" ht="21" customHeight="1">
      <x:c r="A925" s="60" t="n">
        <x:v>0.63</x:v>
      </x:c>
      <x:c r="B925" s="28" t="str">
        <x:v>back_low</x:v>
      </x:c>
      <x:c r="C925" s="60" t="n">
        <x:v>0.7</x:v>
      </x:c>
      <x:c r="D925" s="60" t="n">
        <x:v>0.7</x:v>
      </x:c>
      <x:c r="E925" s="62" t="b">
        <x:v>1</x:v>
      </x:c>
      <x:c r="F925" s="62" t="b">
        <x:v>0</x:v>
      </x:c>
      <x:c r="G925" s="85" t="n">
        <x:v>215275.13775402625</x:v>
      </x:c>
      <x:c r="H925" s="85" t="n">
        <x:v>2680309.9713699166</x:v>
      </x:c>
      <x:c r="I925" s="85" t="n">
        <x:v>9022498.839809833</x:v>
      </x:c>
      <x:c r="J925" s="85" t="n">
        <x:v>15050880.000000002</x:v>
      </x:c>
      <x:c r="K925" s="85" t="n">
        <x:v>0</x:v>
      </x:c>
      <x:c r="L925" s="28" t="n">
        <x:v>39</x:v>
      </x:c>
      <x:c r="M925" s="28" t="n">
        <x:v>31</x:v>
      </x:c>
      <x:c r="N925" s="28" t="n">
        <x:v>4.656612873077393e-10</x:v>
      </x:c>
      <x:c r="O925" s="28" t="n">
        <x:v>3.725290298461914e-9</x:v>
      </x:c>
      <x:c r="P925" s="28" t="n">
        <x:v>0</x:v>
      </x:c>
      <x:c r="Q925" s="62" t="b">
        <x:v>1</x:v>
      </x:c>
      <x:c r="R925" s="28" t="n">
        <x:v>0</x:v>
      </x:c>
      <x:c r="S925" s="28" t="str">
        <x:v>ea7f7fbb32afe953</x:v>
      </x:c>
    </x:row>
    <x:row r="926" ht="21" customHeight="1">
      <x:c r="A926" s="60" t="n">
        <x:v>0.63</x:v>
      </x:c>
      <x:c r="B926" s="28" t="str">
        <x:v>back_low</x:v>
      </x:c>
      <x:c r="C926" s="60" t="n">
        <x:v>0.75</x:v>
      </x:c>
      <x:c r="D926" s="60" t="n">
        <x:v>0.75</x:v>
      </x:c>
      <x:c r="E926" s="62" t="b">
        <x:v>1</x:v>
      </x:c>
      <x:c r="F926" s="62" t="b">
        <x:v>0</x:v>
      </x:c>
      <x:c r="G926" s="85" t="n">
        <x:v>376142.8863134132</x:v>
      </x:c>
      <x:c r="H926" s="85" t="n">
        <x:v>4680629.987450304</x:v>
      </x:c>
      <x:c r="I926" s="85" t="n">
        <x:v>9049227.702692533</x:v>
      </x:c>
      <x:c r="J926" s="85" t="n">
        <x:v>15050880.000000002</x:v>
      </x:c>
      <x:c r="K926" s="85" t="n">
        <x:v>0</x:v>
      </x:c>
      <x:c r="L926" s="28" t="n">
        <x:v>39</x:v>
      </x:c>
      <x:c r="M926" s="28" t="n">
        <x:v>32</x:v>
      </x:c>
      <x:c r="N926" s="28" t="n">
        <x:v>4.656612873077393e-10</x:v>
      </x:c>
      <x:c r="O926" s="28" t="n">
        <x:v>7.450580596923828e-9</x:v>
      </x:c>
      <x:c r="P926" s="28" t="n">
        <x:v>0</x:v>
      </x:c>
      <x:c r="Q926" s="62" t="b">
        <x:v>1</x:v>
      </x:c>
      <x:c r="R926" s="28" t="n">
        <x:v>0</x:v>
      </x:c>
      <x:c r="S926" s="28" t="str">
        <x:v>7aae8c0688ba8971</x:v>
      </x:c>
    </x:row>
    <x:row r="927" ht="21" customHeight="1">
      <x:c r="A927" s="60" t="n">
        <x:v>0.63</x:v>
      </x:c>
      <x:c r="B927" s="28" t="str">
        <x:v>back_low</x:v>
      </x:c>
      <x:c r="C927" s="60" t="n">
        <x:v>0.8</x:v>
      </x:c>
      <x:c r="D927" s="60" t="n">
        <x:v>0.8</x:v>
      </x:c>
      <x:c r="E927" s="62" t="b">
        <x:v>1</x:v>
      </x:c>
      <x:c r="F927" s="62" t="b">
        <x:v>0</x:v>
      </x:c>
      <x:c r="G927" s="85" t="n">
        <x:v>551531.5254612683</x:v>
      </x:c>
      <x:c r="H927" s="85" t="n">
        <x:v>6460774.220863936</x:v>
      </x:c>
      <x:c r="I927" s="85" t="n">
        <x:v>9213765.569691397</x:v>
      </x:c>
      <x:c r="J927" s="85" t="n">
        <x:v>15050880.000000002</x:v>
      </x:c>
      <x:c r="K927" s="85" t="n">
        <x:v>0</x:v>
      </x:c>
      <x:c r="L927" s="28" t="n">
        <x:v>40</x:v>
      </x:c>
      <x:c r="M927" s="28" t="n">
        <x:v>32</x:v>
      </x:c>
      <x:c r="N927" s="28" t="n">
        <x:v>4.656612873077393e-10</x:v>
      </x:c>
      <x:c r="O927" s="28" t="n">
        <x:v>3.725290298461914e-9</x:v>
      </x:c>
      <x:c r="P927" s="28" t="n">
        <x:v>0</x:v>
      </x:c>
      <x:c r="Q927" s="62" t="b">
        <x:v>1</x:v>
      </x:c>
      <x:c r="R927" s="28" t="n">
        <x:v>0</x:v>
      </x:c>
      <x:c r="S927" s="28" t="str">
        <x:v>e4739363f260b751</x:v>
      </x:c>
    </x:row>
    <x:row r="928" ht="21" customHeight="1">
      <x:c r="A928" s="60" t="n">
        <x:v>0.63</x:v>
      </x:c>
      <x:c r="B928" s="28" t="str">
        <x:v>back_low</x:v>
      </x:c>
      <x:c r="C928" s="60" t="n">
        <x:v>0.85</x:v>
      </x:c>
      <x:c r="D928" s="60" t="n">
        <x:v>0.85</x:v>
      </x:c>
      <x:c r="E928" s="62" t="b">
        <x:v>1</x:v>
      </x:c>
      <x:c r="F928" s="62" t="b">
        <x:v>0</x:v>
      </x:c>
      <x:c r="G928" s="85" t="n">
        <x:v>784162.1007366374</x:v>
      </x:c>
      <x:c r="H928" s="85" t="n">
        <x:v>8321790.980473101</x:v>
      </x:c>
      <x:c r="I928" s="85" t="n">
        <x:v>9237927.126769712</x:v>
      </x:c>
      <x:c r="J928" s="85" t="n">
        <x:v>15050880.000000002</x:v>
      </x:c>
      <x:c r="K928" s="85" t="n">
        <x:v>0</x:v>
      </x:c>
      <x:c r="L928" s="28" t="n">
        <x:v>40</x:v>
      </x:c>
      <x:c r="M928" s="28" t="n">
        <x:v>33</x:v>
      </x:c>
      <x:c r="N928" s="28" t="n">
        <x:v>4.656612873077393e-10</x:v>
      </x:c>
      <x:c r="O928" s="28" t="n">
        <x:v>9.313225746154785e-10</x:v>
      </x:c>
      <x:c r="P928" s="28" t="n">
        <x:v>0</x:v>
      </x:c>
      <x:c r="Q928" s="62" t="b">
        <x:v>1</x:v>
      </x:c>
      <x:c r="R928" s="28" t="n">
        <x:v>0</x:v>
      </x:c>
      <x:c r="S928" s="28" t="str">
        <x:v>556702c6e820400b</x:v>
      </x:c>
    </x:row>
    <x:row r="929" ht="21" customHeight="1">
      <x:c r="A929" s="60" t="n">
        <x:v>0.63</x:v>
      </x:c>
      <x:c r="B929" s="28" t="str">
        <x:v>back_low</x:v>
      </x:c>
      <x:c r="C929" s="60" t="n">
        <x:v>0.9</x:v>
      </x:c>
      <x:c r="D929" s="60" t="n">
        <x:v>0.880265491166173</x:v>
      </x:c>
      <x:c r="E929" s="62" t="b">
        <x:v>0</x:v>
      </x:c>
      <x:c r="F929" s="62" t="b">
        <x:v>0</x:v>
      </x:c>
      <x:c r="G929" s="85" t="n">
        <x:v>1042786.5947467481</x:v>
      </x:c>
      <x:c r="H929" s="85" t="n">
        <x:v>9143075.9106047</x:v>
      </x:c>
      <x:c r="I929" s="85" t="n">
        <x:v>9419928.570028082</x:v>
      </x:c>
      <x:c r="J929" s="85" t="n">
        <x:v>15050880.000000002</x:v>
      </x:c>
      <x:c r="K929" s="85" t="n">
        <x:v>0</x:v>
      </x:c>
      <x:c r="L929" s="28" t="n">
        <x:v>41</x:v>
      </x:c>
      <x:c r="M929" s="28" t="n">
        <x:v>34</x:v>
      </x:c>
      <x:c r="N929" s="28" t="n">
        <x:v>4.656612873077393e-10</x:v>
      </x:c>
      <x:c r="O929" s="28" t="n">
        <x:v>3.725290298461914e-9</x:v>
      </x:c>
      <x:c r="P929" s="28" t="n">
        <x:v>0</x:v>
      </x:c>
      <x:c r="Q929" s="62" t="b">
        <x:v>1</x:v>
      </x:c>
      <x:c r="R929" s="28" t="n">
        <x:v>1100080.4604328498</x:v>
      </x:c>
      <x:c r="S929" s="28" t="str">
        <x:v>de5725ce4eb3def0</x:v>
      </x:c>
    </x:row>
    <x:row r="930" ht="21" customHeight="1">
      <x:c r="A930" s="60" t="n">
        <x:v>0.63</x:v>
      </x:c>
      <x:c r="B930" s="28" t="str">
        <x:v>back_low</x:v>
      </x:c>
      <x:c r="C930" s="60" t="n">
        <x:v>0.95</x:v>
      </x:c>
      <x:c r="D930" s="60" t="n">
        <x:v>0.8954794051096439</x:v>
      </x:c>
      <x:c r="E930" s="62" t="b">
        <x:v>0</x:v>
      </x:c>
      <x:c r="F930" s="62" t="b">
        <x:v>0</x:v>
      </x:c>
      <x:c r="G930" s="85" t="n">
        <x:v>1120519.9957227434</x:v>
      </x:c>
      <x:c r="H930" s="85" t="n">
        <x:v>9824636.634048412</x:v>
      </x:c>
      <x:c r="I930" s="85" t="n">
        <x:v>9437876.448113356</x:v>
      </x:c>
      <x:c r="J930" s="85" t="n">
        <x:v>15050880.000000002</x:v>
      </x:c>
      <x:c r="K930" s="85" t="n">
        <x:v>0</x:v>
      </x:c>
      <x:c r="L930" s="28" t="n">
        <x:v>41</x:v>
      </x:c>
      <x:c r="M930" s="28" t="n">
        <x:v>34</x:v>
      </x:c>
      <x:c r="N930" s="28" t="n">
        <x:v>4.656612873077393e-10</x:v>
      </x:c>
      <x:c r="O930" s="28" t="n">
        <x:v>3.725290298461914e-9</x:v>
      </x:c>
      <x:c r="P930" s="28" t="n">
        <x:v>0</x:v>
      </x:c>
      <x:c r="Q930" s="62" t="b">
        <x:v>1</x:v>
      </x:c>
      <x:c r="R930" s="28" t="n">
        <x:v>3039196.041568011</x:v>
      </x:c>
      <x:c r="S930" s="28" t="str">
        <x:v>9758032b861c70d2</x:v>
      </x:c>
    </x:row>
    <x:row r="931" ht="21" customHeight="1">
      <x:c r="A931" s="60" t="n">
        <x:v>0.63</x:v>
      </x:c>
      <x:c r="B931" s="28" t="str">
        <x:v>back_low</x:v>
      </x:c>
      <x:c r="C931" s="60" t="n">
        <x:v>1</x:v>
      </x:c>
      <x:c r="D931" s="60" t="n">
        <x:v>0.9093341115290656</x:v>
      </x:c>
      <x:c r="E931" s="62" t="b">
        <x:v>0</x:v>
      </x:c>
      <x:c r="F931" s="62" t="b">
        <x:v>0</x:v>
      </x:c>
      <x:c r="G931" s="85" t="n">
        <x:v>1215049.4245077271</x:v>
      </x:c>
      <x:c r="H931" s="85" t="n">
        <x:v>10224151.968677418</x:v>
      </x:c>
      <x:c r="I931" s="85" t="n">
        <x:v>9607075.342437534</x:v>
      </x:c>
      <x:c r="J931" s="85" t="n">
        <x:v>15050880.000000002</x:v>
      </x:c>
      <x:c r="K931" s="85" t="n">
        <x:v>0</x:v>
      </x:c>
      <x:c r="L931" s="28" t="n">
        <x:v>42</x:v>
      </x:c>
      <x:c r="M931" s="28" t="n">
        <x:v>35</x:v>
      </x:c>
      <x:c r="N931" s="28" t="n">
        <x:v>5.820766091346741e-11</x:v>
      </x:c>
      <x:c r="O931" s="28" t="n">
        <x:v>3.725290298461914e-9</x:v>
      </x:c>
      <x:c r="P931" s="28" t="n">
        <x:v>0</x:v>
      </x:c>
      <x:c r="Q931" s="62" t="b">
        <x:v>1</x:v>
      </x:c>
      <x:c r="R931" s="28" t="n">
        <x:v>5054079.286923766</x:v>
      </x:c>
      <x:c r="S931" s="28" t="str">
        <x:v>981b6d26e2a00f54</x:v>
      </x:c>
    </x:row>
    <x:row r="932" ht="21" customHeight="1">
      <x:c r="A932" s="60" t="n">
        <x:v>0.63</x:v>
      </x:c>
      <x:c r="B932" s="28" t="str">
        <x:v>back_high</x:v>
      </x:c>
      <x:c r="C932" s="60" t="n">
        <x:v>0</x:v>
      </x:c>
      <x:c r="D932" s="60" t="n">
        <x:v>0</x:v>
      </x:c>
      <x:c r="E932" s="62" t="b">
        <x:v>1</x:v>
      </x:c>
      <x:c r="F932" s="62" t="b">
        <x:v>1</x:v>
      </x:c>
      <x:c r="G932" s="85" t="n">
        <x:v>0</x:v>
      </x:c>
      <x:c r="H932" s="85" t="n">
        <x:v>0</x:v>
      </x:c>
      <x:c r="I932" s="85" t="n">
        <x:v>0</x:v>
      </x:c>
      <x:c r="J932" s="85" t="n">
        <x:v>0</x:v>
      </x:c>
      <x:c r="K932" s="85" t="n">
        <x:v>6849717.621479447</x:v>
      </x:c>
      <x:c r="L932" s="28" t="n">
        <x:v>0</x:v>
      </x:c>
      <x:c r="M932" s="28" t="n">
        <x:v>0</x:v>
      </x:c>
      <x:c r="N932" s="28" t="n">
        <x:v>9.313225746154785e-10</x:v>
      </x:c>
      <x:c r="O932" s="28" t="n">
        <x:v>0</x:v>
      </x:c>
      <x:c r="P932" s="28" t="n">
        <x:v>0</x:v>
      </x:c>
      <x:c r="Q932" s="62" t="b">
        <x:v>1</x:v>
      </x:c>
      <x:c r="R932" s="28" t="n">
        <x:v>0</x:v>
      </x:c>
      <x:c r="S932" s="28" t="str">
        <x:v>c2097498eaf6cd99</x:v>
      </x:c>
    </x:row>
    <x:row r="933" ht="21" customHeight="1">
      <x:c r="A933" s="60" t="n">
        <x:v>0.63</x:v>
      </x:c>
      <x:c r="B933" s="28" t="str">
        <x:v>back_high</x:v>
      </x:c>
      <x:c r="C933" s="60" t="n">
        <x:v>0.05</x:v>
      </x:c>
      <x:c r="D933" s="60" t="n">
        <x:v>0.05</x:v>
      </x:c>
      <x:c r="E933" s="62" t="b">
        <x:v>1</x:v>
      </x:c>
      <x:c r="F933" s="62" t="b">
        <x:v>1</x:v>
      </x:c>
      <x:c r="G933" s="85" t="n">
        <x:v>0</x:v>
      </x:c>
      <x:c r="H933" s="85" t="n">
        <x:v>0</x:v>
      </x:c>
      <x:c r="I933" s="85" t="n">
        <x:v>0</x:v>
      </x:c>
      <x:c r="J933" s="85" t="n">
        <x:v>0</x:v>
      </x:c>
      <x:c r="K933" s="85" t="n">
        <x:v>4399208.185441834</x:v>
      </x:c>
      <x:c r="L933" s="28" t="n">
        <x:v>0</x:v>
      </x:c>
      <x:c r="M933" s="28" t="n">
        <x:v>0</x:v>
      </x:c>
      <x:c r="N933" s="28" t="n">
        <x:v>4.656612873077393e-10</x:v>
      </x:c>
      <x:c r="O933" s="28" t="n">
        <x:v>7.450580596923828e-9</x:v>
      </x:c>
      <x:c r="P933" s="28" t="n">
        <x:v>0</x:v>
      </x:c>
      <x:c r="Q933" s="62" t="b">
        <x:v>1</x:v>
      </x:c>
      <x:c r="R933" s="28" t="n">
        <x:v>0</x:v>
      </x:c>
      <x:c r="S933" s="28" t="str">
        <x:v>6b1a1dfa538b9f5c</x:v>
      </x:c>
    </x:row>
    <x:row r="934" ht="21" customHeight="1">
      <x:c r="A934" s="60" t="n">
        <x:v>0.63</x:v>
      </x:c>
      <x:c r="B934" s="28" t="str">
        <x:v>back_high</x:v>
      </x:c>
      <x:c r="C934" s="60" t="n">
        <x:v>0.1</x:v>
      </x:c>
      <x:c r="D934" s="60" t="n">
        <x:v>0.1</x:v>
      </x:c>
      <x:c r="E934" s="62" t="b">
        <x:v>1</x:v>
      </x:c>
      <x:c r="F934" s="62" t="b">
        <x:v>1</x:v>
      </x:c>
      <x:c r="G934" s="85" t="n">
        <x:v>0</x:v>
      </x:c>
      <x:c r="H934" s="85" t="n">
        <x:v>0</x:v>
      </x:c>
      <x:c r="I934" s="85" t="n">
        <x:v>0</x:v>
      </x:c>
      <x:c r="J934" s="85" t="n">
        <x:v>0</x:v>
      </x:c>
      <x:c r="K934" s="85" t="n">
        <x:v>1948698.7494042402</x:v>
      </x:c>
      <x:c r="L934" s="28" t="n">
        <x:v>0</x:v>
      </x:c>
      <x:c r="M934" s="28" t="n">
        <x:v>0</x:v>
      </x:c>
      <x:c r="N934" s="28" t="n">
        <x:v>9.313225746154785e-10</x:v>
      </x:c>
      <x:c r="O934" s="28" t="n">
        <x:v>7.450580596923828e-9</x:v>
      </x:c>
      <x:c r="P934" s="28" t="n">
        <x:v>0</x:v>
      </x:c>
      <x:c r="Q934" s="62" t="b">
        <x:v>1</x:v>
      </x:c>
      <x:c r="R934" s="28" t="n">
        <x:v>0</x:v>
      </x:c>
      <x:c r="S934" s="28" t="str">
        <x:v>820afd03acdd36f0</x:v>
      </x:c>
    </x:row>
    <x:row r="935" ht="21" customHeight="1">
      <x:c r="A935" s="60" t="n">
        <x:v>0.63</x:v>
      </x:c>
      <x:c r="B935" s="28" t="str">
        <x:v>back_high</x:v>
      </x:c>
      <x:c r="C935" s="60" t="n">
        <x:v>0.15</x:v>
      </x:c>
      <x:c r="D935" s="60" t="n">
        <x:v>0.15</x:v>
      </x:c>
      <x:c r="E935" s="62" t="b">
        <x:v>1</x:v>
      </x:c>
      <x:c r="F935" s="62" t="b">
        <x:v>1</x:v>
      </x:c>
      <x:c r="G935" s="85" t="n">
        <x:v>0</x:v>
      </x:c>
      <x:c r="H935" s="85" t="n">
        <x:v>0</x:v>
      </x:c>
      <x:c r="I935" s="85" t="n">
        <x:v>891040.5887554456</x:v>
      </x:c>
      <x:c r="J935" s="85" t="n">
        <x:v>0</x:v>
      </x:c>
      <x:c r="K935" s="85" t="n">
        <x:v>467594.02387065423</x:v>
      </x:c>
      <x:c r="L935" s="28" t="n">
        <x:v>0</x:v>
      </x:c>
      <x:c r="M935" s="28" t="n">
        <x:v>0</x:v>
      </x:c>
      <x:c r="N935" s="28" t="n">
        <x:v>9.313225746154785e-10</x:v>
      </x:c>
      <x:c r="O935" s="28" t="n">
        <x:v>7.450580596923828e-9</x:v>
      </x:c>
      <x:c r="P935" s="28" t="n">
        <x:v>0</x:v>
      </x:c>
      <x:c r="Q935" s="62" t="b">
        <x:v>1</x:v>
      </x:c>
      <x:c r="R935" s="28" t="n">
        <x:v>0</x:v>
      </x:c>
      <x:c r="S935" s="28" t="str">
        <x:v>390f7b53010c05e6</x:v>
      </x:c>
    </x:row>
    <x:row r="936" ht="21" customHeight="1">
      <x:c r="A936" s="60" t="n">
        <x:v>0.63</x:v>
      </x:c>
      <x:c r="B936" s="28" t="str">
        <x:v>back_high</x:v>
      </x:c>
      <x:c r="C936" s="60" t="n">
        <x:v>0.2</x:v>
      </x:c>
      <x:c r="D936" s="60" t="n">
        <x:v>0.2</x:v>
      </x:c>
      <x:c r="E936" s="62" t="b">
        <x:v>1</x:v>
      </x:c>
      <x:c r="F936" s="62" t="b">
        <x:v>1</x:v>
      </x:c>
      <x:c r="G936" s="85" t="n">
        <x:v>0</x:v>
      </x:c>
      <x:c r="H936" s="85" t="n">
        <x:v>0</x:v>
      </x:c>
      <x:c r="I936" s="85" t="n">
        <x:v>2764848.876109909</x:v>
      </x:c>
      <x:c r="J936" s="85" t="n">
        <x:v>1245718.9057329397</x:v>
      </x:c>
      <x:c r="K936" s="85" t="n">
        <x:v>376625.53234619263</x:v>
      </x:c>
      <x:c r="L936" s="28" t="n">
        <x:v>0</x:v>
      </x:c>
      <x:c r="M936" s="28" t="n">
        <x:v>0</x:v>
      </x:c>
      <x:c r="N936" s="28" t="n">
        <x:v>9.313225746154785e-10</x:v>
      </x:c>
      <x:c r="O936" s="28" t="n">
        <x:v>7.450580596923828e-9</x:v>
      </x:c>
      <x:c r="P936" s="28" t="n">
        <x:v>0</x:v>
      </x:c>
      <x:c r="Q936" s="62" t="b">
        <x:v>1</x:v>
      </x:c>
      <x:c r="R936" s="28" t="n">
        <x:v>0</x:v>
      </x:c>
      <x:c r="S936" s="28" t="str">
        <x:v>10cdf7a4ab2e44e5</x:v>
      </x:c>
    </x:row>
    <x:row r="937" ht="21" customHeight="1">
      <x:c r="A937" s="60" t="n">
        <x:v>0.63</x:v>
      </x:c>
      <x:c r="B937" s="28" t="str">
        <x:v>back_high</x:v>
      </x:c>
      <x:c r="C937" s="60" t="n">
        <x:v>0.25</x:v>
      </x:c>
      <x:c r="D937" s="60" t="n">
        <x:v>0.25</x:v>
      </x:c>
      <x:c r="E937" s="62" t="b">
        <x:v>1</x:v>
      </x:c>
      <x:c r="F937" s="62" t="b">
        <x:v>1</x:v>
      </x:c>
      <x:c r="G937" s="85" t="n">
        <x:v>0</x:v>
      </x:c>
      <x:c r="H937" s="85" t="n">
        <x:v>0</x:v>
      </x:c>
      <x:c r="I937" s="85" t="n">
        <x:v>4390267.084736644</x:v>
      </x:c>
      <x:c r="J937" s="85" t="n">
        <x:v>2950748.6321662106</x:v>
      </x:c>
      <x:c r="K937" s="85" t="n">
        <x:v>307278.9852135599</x:v>
      </x:c>
      <x:c r="L937" s="28" t="n">
        <x:v>0</x:v>
      </x:c>
      <x:c r="M937" s="28" t="n">
        <x:v>0</x:v>
      </x:c>
      <x:c r="N937" s="28" t="n">
        <x:v>9.313225746154785e-10</x:v>
      </x:c>
      <x:c r="O937" s="28" t="n">
        <x:v>7.450580596923828e-9</x:v>
      </x:c>
      <x:c r="P937" s="28" t="n">
        <x:v>0</x:v>
      </x:c>
      <x:c r="Q937" s="62" t="b">
        <x:v>1</x:v>
      </x:c>
      <x:c r="R937" s="28" t="n">
        <x:v>0</x:v>
      </x:c>
      <x:c r="S937" s="28" t="str">
        <x:v>90e955d16cd87a4a</x:v>
      </x:c>
    </x:row>
    <x:row r="938" ht="21" customHeight="1">
      <x:c r="A938" s="60" t="n">
        <x:v>0.63</x:v>
      </x:c>
      <x:c r="B938" s="28" t="str">
        <x:v>back_high</x:v>
      </x:c>
      <x:c r="C938" s="60" t="n">
        <x:v>0.3</x:v>
      </x:c>
      <x:c r="D938" s="60" t="n">
        <x:v>0.3</x:v>
      </x:c>
      <x:c r="E938" s="62" t="b">
        <x:v>1</x:v>
      </x:c>
      <x:c r="F938" s="62" t="b">
        <x:v>1</x:v>
      </x:c>
      <x:c r="G938" s="85" t="n">
        <x:v>0</x:v>
      </x:c>
      <x:c r="H938" s="85" t="n">
        <x:v>0</x:v>
      </x:c>
      <x:c r="I938" s="85" t="n">
        <x:v>6037155.733201756</x:v>
      </x:c>
      <x:c r="J938" s="85" t="n">
        <x:v>4655778.3585994225</x:v>
      </x:c>
      <x:c r="K938" s="85" t="n">
        <x:v>252600.71827709654</x:v>
      </x:c>
      <x:c r="L938" s="28" t="n">
        <x:v>0</x:v>
      </x:c>
      <x:c r="M938" s="28" t="n">
        <x:v>0</x:v>
      </x:c>
      <x:c r="N938" s="28" t="n">
        <x:v>4.656612873077393e-10</x:v>
      </x:c>
      <x:c r="O938" s="28" t="n">
        <x:v>7.450580596923828e-9</x:v>
      </x:c>
      <x:c r="P938" s="28" t="n">
        <x:v>0</x:v>
      </x:c>
      <x:c r="Q938" s="62" t="b">
        <x:v>1</x:v>
      </x:c>
      <x:c r="R938" s="28" t="n">
        <x:v>0</x:v>
      </x:c>
      <x:c r="S938" s="28" t="str">
        <x:v>1301b93f78e1521c</x:v>
      </x:c>
    </x:row>
    <x:row r="939" ht="21" customHeight="1">
      <x:c r="A939" s="60" t="n">
        <x:v>0.63</x:v>
      </x:c>
      <x:c r="B939" s="28" t="str">
        <x:v>back_high</x:v>
      </x:c>
      <x:c r="C939" s="60" t="n">
        <x:v>0.35</x:v>
      </x:c>
      <x:c r="D939" s="60" t="n">
        <x:v>0.35</x:v>
      </x:c>
      <x:c r="E939" s="62" t="b">
        <x:v>1</x:v>
      </x:c>
      <x:c r="F939" s="62" t="b">
        <x:v>1</x:v>
      </x:c>
      <x:c r="G939" s="85" t="n">
        <x:v>0</x:v>
      </x:c>
      <x:c r="H939" s="85" t="n">
        <x:v>0</x:v>
      </x:c>
      <x:c r="I939" s="85" t="n">
        <x:v>7689872.716730457</x:v>
      </x:c>
      <x:c r="J939" s="85" t="n">
        <x:v>6360808.085032671</x:v>
      </x:c>
      <x:c r="K939" s="85" t="n">
        <x:v>213135.76472967176</x:v>
      </x:c>
      <x:c r="L939" s="28" t="n">
        <x:v>0</x:v>
      </x:c>
      <x:c r="M939" s="28" t="n">
        <x:v>0</x:v>
      </x:c>
      <x:c r="N939" s="28" t="n">
        <x:v>4.656612873077393e-10</x:v>
      </x:c>
      <x:c r="O939" s="28" t="n">
        <x:v>3.725290298461914e-9</x:v>
      </x:c>
      <x:c r="P939" s="28" t="n">
        <x:v>0</x:v>
      </x:c>
      <x:c r="Q939" s="62" t="b">
        <x:v>1</x:v>
      </x:c>
      <x:c r="R939" s="28" t="n">
        <x:v>0</x:v>
      </x:c>
      <x:c r="S939" s="28" t="str">
        <x:v>5c9258e3fa2aa733</x:v>
      </x:c>
    </x:row>
    <x:row r="940" ht="21" customHeight="1">
      <x:c r="A940" s="60" t="n">
        <x:v>0.63</x:v>
      </x:c>
      <x:c r="B940" s="28" t="str">
        <x:v>back_high</x:v>
      </x:c>
      <x:c r="C940" s="60" t="n">
        <x:v>0.4</x:v>
      </x:c>
      <x:c r="D940" s="60" t="n">
        <x:v>0.4</x:v>
      </x:c>
      <x:c r="E940" s="62" t="b">
        <x:v>1</x:v>
      </x:c>
      <x:c r="F940" s="62" t="b">
        <x:v>1</x:v>
      </x:c>
      <x:c r="G940" s="85" t="n">
        <x:v>0</x:v>
      </x:c>
      <x:c r="H940" s="85" t="n">
        <x:v>0</x:v>
      </x:c>
      <x:c r="I940" s="85" t="n">
        <x:v>9359650.3998507</x:v>
      </x:c>
      <x:c r="J940" s="85" t="n">
        <x:v>8065837.811465903</x:v>
      </x:c>
      <x:c r="K940" s="85" t="n">
        <x:v>182820.7298630134</x:v>
      </x:c>
      <x:c r="L940" s="28" t="n">
        <x:v>0</x:v>
      </x:c>
      <x:c r="M940" s="28" t="n">
        <x:v>0</x:v>
      </x:c>
      <x:c r="N940" s="28" t="n">
        <x:v>2.3283064365386963e-10</x:v>
      </x:c>
      <x:c r="O940" s="28" t="n">
        <x:v>7.450580596923828e-9</x:v>
      </x:c>
      <x:c r="P940" s="28" t="n">
        <x:v>0</x:v>
      </x:c>
      <x:c r="Q940" s="62" t="b">
        <x:v>1</x:v>
      </x:c>
      <x:c r="R940" s="28" t="n">
        <x:v>0</x:v>
      </x:c>
      <x:c r="S940" s="28" t="str">
        <x:v>7f8712eb6d687647</x:v>
      </x:c>
    </x:row>
    <x:row r="941" ht="21" customHeight="1">
      <x:c r="A941" s="60" t="n">
        <x:v>0.63</x:v>
      </x:c>
      <x:c r="B941" s="28" t="str">
        <x:v>back_high</x:v>
      </x:c>
      <x:c r="C941" s="60" t="n">
        <x:v>0.45</x:v>
      </x:c>
      <x:c r="D941" s="60" t="n">
        <x:v>0.45</x:v>
      </x:c>
      <x:c r="E941" s="62" t="b">
        <x:v>1</x:v>
      </x:c>
      <x:c r="F941" s="62" t="b">
        <x:v>1</x:v>
      </x:c>
      <x:c r="G941" s="85" t="n">
        <x:v>0</x:v>
      </x:c>
      <x:c r="H941" s="85" t="n">
        <x:v>0</x:v>
      </x:c>
      <x:c r="I941" s="85" t="n">
        <x:v>11071040.70578552</x:v>
      </x:c>
      <x:c r="J941" s="85" t="n">
        <x:v>9585551.79467899</x:v>
      </x:c>
      <x:c r="K941" s="85" t="n">
        <x:v>164853.50609589013</x:v>
      </x:c>
      <x:c r="L941" s="28" t="n">
        <x:v>2</x:v>
      </x:c>
      <x:c r="M941" s="28" t="n">
        <x:v>0</x:v>
      </x:c>
      <x:c r="N941" s="28" t="n">
        <x:v>2.3283064365386963e-10</x:v>
      </x:c>
      <x:c r="O941" s="28" t="n">
        <x:v>7.450580596923828e-9</x:v>
      </x:c>
      <x:c r="P941" s="28" t="n">
        <x:v>0</x:v>
      </x:c>
      <x:c r="Q941" s="62" t="b">
        <x:v>1</x:v>
      </x:c>
      <x:c r="R941" s="28" t="n">
        <x:v>0</x:v>
      </x:c>
      <x:c r="S941" s="28" t="str">
        <x:v>72bb8f3c8696eb50</x:v>
      </x:c>
    </x:row>
    <x:row r="942" ht="21" customHeight="1">
      <x:c r="A942" s="60" t="n">
        <x:v>0.63</x:v>
      </x:c>
      <x:c r="B942" s="28" t="str">
        <x:v>back_high</x:v>
      </x:c>
      <x:c r="C942" s="60" t="n">
        <x:v>0.5</x:v>
      </x:c>
      <x:c r="D942" s="60" t="n">
        <x:v>0.5</x:v>
      </x:c>
      <x:c r="E942" s="62" t="b">
        <x:v>1</x:v>
      </x:c>
      <x:c r="F942" s="62" t="b">
        <x:v>1</x:v>
      </x:c>
      <x:c r="G942" s="85" t="n">
        <x:v>0</x:v>
      </x:c>
      <x:c r="H942" s="85" t="n">
        <x:v>0</x:v>
      </x:c>
      <x:c r="I942" s="85" t="n">
        <x:v>12850332.13559506</x:v>
      </x:c>
      <x:c r="J942" s="85" t="n">
        <x:v>10761235.003810456</x:v>
      </x:c>
      <x:c r="K942" s="85" t="n">
        <x:v>146886.2823287673</x:v>
      </x:c>
      <x:c r="L942" s="28" t="n">
        <x:v>7</x:v>
      </x:c>
      <x:c r="M942" s="28" t="n">
        <x:v>1</x:v>
      </x:c>
      <x:c r="N942" s="28" t="n">
        <x:v>4.656612873077393e-10</x:v>
      </x:c>
      <x:c r="O942" s="28" t="n">
        <x:v>1.862645149230957e-9</x:v>
      </x:c>
      <x:c r="P942" s="28" t="n">
        <x:v>0</x:v>
      </x:c>
      <x:c r="Q942" s="62" t="b">
        <x:v>1</x:v>
      </x:c>
      <x:c r="R942" s="28" t="n">
        <x:v>0</x:v>
      </x:c>
      <x:c r="S942" s="28" t="str">
        <x:v>ba8b939d6d8344ca</x:v>
      </x:c>
    </x:row>
    <x:row r="943" ht="21" customHeight="1">
      <x:c r="A943" s="60" t="n">
        <x:v>0.63</x:v>
      </x:c>
      <x:c r="B943" s="28" t="str">
        <x:v>back_high</x:v>
      </x:c>
      <x:c r="C943" s="60" t="n">
        <x:v>0.55</x:v>
      </x:c>
      <x:c r="D943" s="60" t="n">
        <x:v>0.55</x:v>
      </x:c>
      <x:c r="E943" s="62" t="b">
        <x:v>1</x:v>
      </x:c>
      <x:c r="F943" s="62" t="b">
        <x:v>1</x:v>
      </x:c>
      <x:c r="G943" s="85" t="n">
        <x:v>0</x:v>
      </x:c>
      <x:c r="H943" s="85" t="n">
        <x:v>0</x:v>
      </x:c>
      <x:c r="I943" s="85" t="n">
        <x:v>14509293.217536643</x:v>
      </x:c>
      <x:c r="J943" s="85" t="n">
        <x:v>12469295.56638054</x:v>
      </x:c>
      <x:c r="K943" s="85" t="n">
        <x:v>128919.05856164239</x:v>
      </x:c>
      <x:c r="L943" s="28" t="n">
        <x:v>10</x:v>
      </x:c>
      <x:c r="M943" s="28" t="n">
        <x:v>5</x:v>
      </x:c>
      <x:c r="N943" s="28" t="n">
        <x:v>4.656612873077393e-10</x:v>
      </x:c>
      <x:c r="O943" s="28" t="n">
        <x:v>7.450580596923828e-9</x:v>
      </x:c>
      <x:c r="P943" s="28" t="n">
        <x:v>0</x:v>
      </x:c>
      <x:c r="Q943" s="62" t="b">
        <x:v>1</x:v>
      </x:c>
      <x:c r="R943" s="28" t="n">
        <x:v>0</x:v>
      </x:c>
      <x:c r="S943" s="28" t="str">
        <x:v>c29fad84736967e4</x:v>
      </x:c>
    </x:row>
    <x:row r="944" ht="21" customHeight="1">
      <x:c r="A944" s="60" t="n">
        <x:v>0.63</x:v>
      </x:c>
      <x:c r="B944" s="28" t="str">
        <x:v>back_high</x:v>
      </x:c>
      <x:c r="C944" s="60" t="n">
        <x:v>0.6</x:v>
      </x:c>
      <x:c r="D944" s="60" t="n">
        <x:v>0.6</x:v>
      </x:c>
      <x:c r="E944" s="62" t="b">
        <x:v>1</x:v>
      </x:c>
      <x:c r="F944" s="62" t="b">
        <x:v>1</x:v>
      </x:c>
      <x:c r="G944" s="85" t="n">
        <x:v>0</x:v>
      </x:c>
      <x:c r="H944" s="85" t="n">
        <x:v>0</x:v>
      </x:c>
      <x:c r="I944" s="85" t="n">
        <x:v>16154713.896407368</x:v>
      </x:c>
      <x:c r="J944" s="85" t="n">
        <x:v>14084046.752761217</x:v>
      </x:c>
      <x:c r="K944" s="85" t="n">
        <x:v>110951.83479452097</x:v>
      </x:c>
      <x:c r="L944" s="28" t="n">
        <x:v>14</x:v>
      </x:c>
      <x:c r="M944" s="28" t="n">
        <x:v>10</x:v>
      </x:c>
      <x:c r="N944" s="28" t="n">
        <x:v>4.656612873077393e-10</x:v>
      </x:c>
      <x:c r="O944" s="28" t="n">
        <x:v>7.450580596923828e-9</x:v>
      </x:c>
      <x:c r="P944" s="28" t="n">
        <x:v>0</x:v>
      </x:c>
      <x:c r="Q944" s="62" t="b">
        <x:v>1</x:v>
      </x:c>
      <x:c r="R944" s="28" t="n">
        <x:v>0</x:v>
      </x:c>
      <x:c r="S944" s="28" t="str">
        <x:v>94ed9f25477e4e73</x:v>
      </x:c>
    </x:row>
    <x:row r="945" ht="21" customHeight="1">
      <x:c r="A945" s="60" t="n">
        <x:v>0.63</x:v>
      </x:c>
      <x:c r="B945" s="28" t="str">
        <x:v>back_high</x:v>
      </x:c>
      <x:c r="C945" s="60" t="n">
        <x:v>0.65</x:v>
      </x:c>
      <x:c r="D945" s="60" t="n">
        <x:v>0.65</x:v>
      </x:c>
      <x:c r="E945" s="62" t="b">
        <x:v>1</x:v>
      </x:c>
      <x:c r="F945" s="62" t="b">
        <x:v>0</x:v>
      </x:c>
      <x:c r="G945" s="85" t="n">
        <x:v>378418.8358855505</x:v>
      </x:c>
      <x:c r="H945" s="85" t="n">
        <x:v>1211243.3234212685</x:v>
      </x:c>
      <x:c r="I945" s="85" t="n">
        <x:v>17057513.581498623</x:v>
      </x:c>
      <x:c r="J945" s="85" t="n">
        <x:v>15050880.000000002</x:v>
      </x:c>
      <x:c r="K945" s="85" t="n">
        <x:v>96924.37869863029</x:v>
      </x:c>
      <x:c r="L945" s="28" t="n">
        <x:v>38</x:v>
      </x:c>
      <x:c r="M945" s="28" t="n">
        <x:v>33</x:v>
      </x:c>
      <x:c r="N945" s="28" t="n">
        <x:v>4.656612873077393e-10</x:v>
      </x:c>
      <x:c r="O945" s="28" t="n">
        <x:v>7.450580596923828e-9</x:v>
      </x:c>
      <x:c r="P945" s="28" t="n">
        <x:v>0</x:v>
      </x:c>
      <x:c r="Q945" s="62" t="b">
        <x:v>1</x:v>
      </x:c>
      <x:c r="R945" s="28" t="n">
        <x:v>0</x:v>
      </x:c>
      <x:c r="S945" s="28" t="str">
        <x:v>48e36f56d0242fc2</x:v>
      </x:c>
    </x:row>
    <x:row r="946" ht="21" customHeight="1">
      <x:c r="A946" s="60" t="n">
        <x:v>0.63</x:v>
      </x:c>
      <x:c r="B946" s="28" t="str">
        <x:v>back_high</x:v>
      </x:c>
      <x:c r="C946" s="60" t="n">
        <x:v>0.7</x:v>
      </x:c>
      <x:c r="D946" s="60" t="n">
        <x:v>0.7</x:v>
      </x:c>
      <x:c r="E946" s="62" t="b">
        <x:v>1</x:v>
      </x:c>
      <x:c r="F946" s="62" t="b">
        <x:v>0</x:v>
      </x:c>
      <x:c r="G946" s="85" t="n">
        <x:v>1138054.9795898173</x:v>
      </x:c>
      <x:c r="H946" s="85" t="n">
        <x:v>3439208.173037201</x:v>
      </x:c>
      <x:c r="I946" s="85" t="n">
        <x:v>17390081.284860667</x:v>
      </x:c>
      <x:c r="J946" s="85" t="n">
        <x:v>15050880.000000002</x:v>
      </x:c>
      <x:c r="K946" s="85" t="n">
        <x:v>86147.58254794515</x:v>
      </x:c>
      <x:c r="L946" s="28" t="n">
        <x:v>39</x:v>
      </x:c>
      <x:c r="M946" s="28" t="n">
        <x:v>34</x:v>
      </x:c>
      <x:c r="N946" s="28" t="n">
        <x:v>4.656612873077393e-10</x:v>
      </x:c>
      <x:c r="O946" s="28" t="n">
        <x:v>3.725290298461914e-9</x:v>
      </x:c>
      <x:c r="P946" s="28" t="n">
        <x:v>0</x:v>
      </x:c>
      <x:c r="Q946" s="62" t="b">
        <x:v>1</x:v>
      </x:c>
      <x:c r="R946" s="28" t="n">
        <x:v>0</x:v>
      </x:c>
      <x:c r="S946" s="28" t="str">
        <x:v>4c88efbdebbcb571</x:v>
      </x:c>
    </x:row>
    <x:row r="947" ht="21" customHeight="1">
      <x:c r="A947" s="60" t="n">
        <x:v>0.63</x:v>
      </x:c>
      <x:c r="B947" s="28" t="str">
        <x:v>back_high</x:v>
      </x:c>
      <x:c r="C947" s="60" t="n">
        <x:v>0.75</x:v>
      </x:c>
      <x:c r="D947" s="60" t="n">
        <x:v>0.75</x:v>
      </x:c>
      <x:c r="E947" s="62" t="b">
        <x:v>1</x:v>
      </x:c>
      <x:c r="F947" s="62" t="b">
        <x:v>0</x:v>
      </x:c>
      <x:c r="G947" s="85" t="n">
        <x:v>2045558.391524504</x:v>
      </x:c>
      <x:c r="H947" s="85" t="n">
        <x:v>5911808.719292615</x:v>
      </x:c>
      <x:c r="I947" s="85" t="n">
        <x:v>17460248.090671655</x:v>
      </x:c>
      <x:c r="J947" s="85" t="n">
        <x:v>15050880.000000002</x:v>
      </x:c>
      <x:c r="K947" s="85" t="n">
        <x:v>80597.38327397226</x:v>
      </x:c>
      <x:c r="L947" s="28" t="n">
        <x:v>39</x:v>
      </x:c>
      <x:c r="M947" s="28" t="n">
        <x:v>36</x:v>
      </x:c>
      <x:c r="N947" s="28" t="n">
        <x:v>4.656612873077393e-10</x:v>
      </x:c>
      <x:c r="O947" s="28" t="n">
        <x:v>7.450580596923828e-9</x:v>
      </x:c>
      <x:c r="P947" s="28" t="n">
        <x:v>0</x:v>
      </x:c>
      <x:c r="Q947" s="62" t="b">
        <x:v>1</x:v>
      </x:c>
      <x:c r="R947" s="28" t="n">
        <x:v>0</x:v>
      </x:c>
      <x:c r="S947" s="28" t="str">
        <x:v>3ec78bee0887a7ee</x:v>
      </x:c>
    </x:row>
    <x:row r="948" ht="21" customHeight="1">
      <x:c r="A948" s="60" t="n">
        <x:v>0.63</x:v>
      </x:c>
      <x:c r="B948" s="28" t="str">
        <x:v>back_high</x:v>
      </x:c>
      <x:c r="C948" s="60" t="n">
        <x:v>0.8</x:v>
      </x:c>
      <x:c r="D948" s="60" t="n">
        <x:v>0.8</x:v>
      </x:c>
      <x:c r="E948" s="62" t="b">
        <x:v>1</x:v>
      </x:c>
      <x:c r="F948" s="62" t="b">
        <x:v>0</x:v>
      </x:c>
      <x:c r="G948" s="85" t="n">
        <x:v>2911858.8951467667</x:v>
      </x:c>
      <x:c r="H948" s="85" t="n">
        <x:v>7906700.256152401</x:v>
      </x:c>
      <x:c r="I948" s="85" t="n">
        <x:v>17747312.956467297</x:v>
      </x:c>
      <x:c r="J948" s="85" t="n">
        <x:v>15050880.000000002</x:v>
      </x:c>
      <x:c r="K948" s="85" t="n">
        <x:v>75174.72624657542</x:v>
      </x:c>
      <x:c r="L948" s="28" t="n">
        <x:v>40</x:v>
      </x:c>
      <x:c r="M948" s="28" t="n">
        <x:v>36</x:v>
      </x:c>
      <x:c r="N948" s="28" t="n">
        <x:v>4.656612873077393e-10</x:v>
      </x:c>
      <x:c r="O948" s="28" t="n">
        <x:v>3.725290298461914e-9</x:v>
      </x:c>
      <x:c r="P948" s="28" t="n">
        <x:v>0</x:v>
      </x:c>
      <x:c r="Q948" s="62" t="b">
        <x:v>1</x:v>
      </x:c>
      <x:c r="R948" s="28" t="n">
        <x:v>0</x:v>
      </x:c>
      <x:c r="S948" s="28" t="str">
        <x:v>3dfcdeafa39f8f22</x:v>
      </x:c>
    </x:row>
    <x:row r="949" ht="21" customHeight="1">
      <x:c r="A949" s="60" t="n">
        <x:v>0.63</x:v>
      </x:c>
      <x:c r="B949" s="28" t="str">
        <x:v>back_high</x:v>
      </x:c>
      <x:c r="C949" s="60" t="n">
        <x:v>0.85</x:v>
      </x:c>
      <x:c r="D949" s="60" t="n">
        <x:v>0.85</x:v>
      </x:c>
      <x:c r="E949" s="62" t="b">
        <x:v>1</x:v>
      </x:c>
      <x:c r="F949" s="62" t="b">
        <x:v>0</x:v>
      </x:c>
      <x:c r="G949" s="85" t="n">
        <x:v>4240832.2054105615</x:v>
      </x:c>
      <x:c r="H949" s="85" t="n">
        <x:v>9918811.685115356</x:v>
      </x:c>
      <x:c r="I949" s="85" t="n">
        <x:v>17806764.62716431</x:v>
      </x:c>
      <x:c r="J949" s="85" t="n">
        <x:v>15050880.000000002</x:v>
      </x:c>
      <x:c r="K949" s="85" t="n">
        <x:v>69752.06921917814</x:v>
      </x:c>
      <x:c r="L949" s="28" t="n">
        <x:v>40</x:v>
      </x:c>
      <x:c r="M949" s="28" t="n">
        <x:v>37</x:v>
      </x:c>
      <x:c r="N949" s="28" t="n">
        <x:v>4.656612873077393e-10</x:v>
      </x:c>
      <x:c r="O949" s="28" t="n">
        <x:v>9.313225746154785e-10</x:v>
      </x:c>
      <x:c r="P949" s="28" t="n">
        <x:v>0</x:v>
      </x:c>
      <x:c r="Q949" s="62" t="b">
        <x:v>1</x:v>
      </x:c>
      <x:c r="R949" s="28" t="n">
        <x:v>0</x:v>
      </x:c>
      <x:c r="S949" s="28" t="str">
        <x:v>9ee675d77d9e938c</x:v>
      </x:c>
    </x:row>
    <x:row r="950" ht="21" customHeight="1">
      <x:c r="A950" s="60" t="n">
        <x:v>0.63</x:v>
      </x:c>
      <x:c r="B950" s="28" t="str">
        <x:v>back_high</x:v>
      </x:c>
      <x:c r="C950" s="60" t="n">
        <x:v>0.9</x:v>
      </x:c>
      <x:c r="D950" s="60" t="n">
        <x:v>0.880265491166173</x:v>
      </x:c>
      <x:c r="E950" s="62" t="b">
        <x:v>0</x:v>
      </x:c>
      <x:c r="F950" s="62" t="b">
        <x:v>0</x:v>
      </x:c>
      <x:c r="G950" s="85" t="n">
        <x:v>4720038.148123735</x:v>
      </x:c>
      <x:c r="H950" s="85" t="n">
        <x:v>10625864.556879884</x:v>
      </x:c>
      <x:c r="I950" s="85" t="n">
        <x:v>18120540.66177124</x:v>
      </x:c>
      <x:c r="J950" s="85" t="n">
        <x:v>15050880.000000002</x:v>
      </x:c>
      <x:c r="K950" s="85" t="n">
        <x:v>64329.41219178038</x:v>
      </x:c>
      <x:c r="L950" s="28" t="n">
        <x:v>41</x:v>
      </x:c>
      <x:c r="M950" s="28" t="n">
        <x:v>38</x:v>
      </x:c>
      <x:c r="N950" s="28" t="n">
        <x:v>4.656612873077393e-10</x:v>
      </x:c>
      <x:c r="O950" s="28" t="n">
        <x:v>3.725290298461914e-9</x:v>
      </x:c>
      <x:c r="P950" s="28" t="n">
        <x:v>0</x:v>
      </x:c>
      <x:c r="Q950" s="62" t="b">
        <x:v>1</x:v>
      </x:c>
      <x:c r="R950" s="28" t="n">
        <x:v>1100080.4604328498</x:v>
      </x:c>
      <x:c r="S950" s="28" t="str">
        <x:v>fcbae1d2802ca587</x:v>
      </x:c>
    </x:row>
    <x:row r="951" ht="21" customHeight="1">
      <x:c r="A951" s="60" t="n">
        <x:v>0.63</x:v>
      </x:c>
      <x:c r="B951" s="28" t="str">
        <x:v>back_high</x:v>
      </x:c>
      <x:c r="C951" s="60" t="n">
        <x:v>0.95</x:v>
      </x:c>
      <x:c r="D951" s="60" t="n">
        <x:v>0.8954794051096439</x:v>
      </x:c>
      <x:c r="E951" s="62" t="b">
        <x:v>0</x:v>
      </x:c>
      <x:c r="F951" s="62" t="b">
        <x:v>0</x:v>
      </x:c>
      <x:c r="G951" s="85" t="n">
        <x:v>5201068.104088759</x:v>
      </x:c>
      <x:c r="H951" s="85" t="n">
        <x:v>11473513.48991845</x:v>
      </x:c>
      <x:c r="I951" s="85" t="n">
        <x:v>18169081.483522613</x:v>
      </x:c>
      <x:c r="J951" s="85" t="n">
        <x:v>15050880.000000002</x:v>
      </x:c>
      <x:c r="K951" s="85" t="n">
        <x:v>58906.755164383554</x:v>
      </x:c>
      <x:c r="L951" s="28" t="n">
        <x:v>41</x:v>
      </x:c>
      <x:c r="M951" s="28" t="n">
        <x:v>38</x:v>
      </x:c>
      <x:c r="N951" s="28" t="n">
        <x:v>4.656612873077393e-10</x:v>
      </x:c>
      <x:c r="O951" s="28" t="n">
        <x:v>3.725290298461914e-9</x:v>
      </x:c>
      <x:c r="P951" s="28" t="n">
        <x:v>0</x:v>
      </x:c>
      <x:c r="Q951" s="62" t="b">
        <x:v>1</x:v>
      </x:c>
      <x:c r="R951" s="28" t="n">
        <x:v>3039196.041568011</x:v>
      </x:c>
      <x:c r="S951" s="28" t="str">
        <x:v>212d5a616ca91c6e</x:v>
      </x:c>
    </x:row>
    <x:row r="952" ht="21" customHeight="1">
      <x:c r="A952" s="60" t="n">
        <x:v>0.63</x:v>
      </x:c>
      <x:c r="B952" s="28" t="str">
        <x:v>back_high</x:v>
      </x:c>
      <x:c r="C952" s="60" t="n">
        <x:v>1</x:v>
      </x:c>
      <x:c r="D952" s="60" t="n">
        <x:v>0.9093341115290656</x:v>
      </x:c>
      <x:c r="E952" s="62" t="b">
        <x:v>0</x:v>
      </x:c>
      <x:c r="F952" s="62" t="b">
        <x:v>0</x:v>
      </x:c>
      <x:c r="G952" s="85" t="n">
        <x:v>5496597.82738803</x:v>
      </x:c>
      <x:c r="H952" s="85" t="n">
        <x:v>11875425.927221358</x:v>
      </x:c>
      <x:c r="I952" s="85" t="n">
        <x:v>18469185.13763343</x:v>
      </x:c>
      <x:c r="J952" s="85" t="n">
        <x:v>15050880.000000002</x:v>
      </x:c>
      <x:c r="K952" s="85" t="n">
        <x:v>53484.0981369865</x:v>
      </x:c>
      <x:c r="L952" s="28" t="n">
        <x:v>42</x:v>
      </x:c>
      <x:c r="M952" s="28" t="n">
        <x:v>38</x:v>
      </x:c>
      <x:c r="N952" s="28" t="n">
        <x:v>4.656612873077393e-10</x:v>
      </x:c>
      <x:c r="O952" s="28" t="n">
        <x:v>3.725290298461914e-9</x:v>
      </x:c>
      <x:c r="P952" s="28" t="n">
        <x:v>0</x:v>
      </x:c>
      <x:c r="Q952" s="62" t="b">
        <x:v>1</x:v>
      </x:c>
      <x:c r="R952" s="28" t="n">
        <x:v>5054079.286923766</x:v>
      </x:c>
      <x:c r="S952" s="28" t="str">
        <x:v>933adfba24488f1b</x:v>
      </x:c>
    </x:row>
    <x:row r="953" ht="21" customHeight="1">
      <x:c r="A953" s="60" t="n">
        <x:v>0.63</x:v>
      </x:c>
      <x:c r="B953" s="28" t="str">
        <x:v>level_flat</x:v>
      </x:c>
      <x:c r="C953" s="60" t="n">
        <x:v>0</x:v>
      </x:c>
      <x:c r="D953" s="60" t="n">
        <x:v>0</x:v>
      </x:c>
      <x:c r="E953" s="62" t="b">
        <x:v>1</x:v>
      </x:c>
      <x:c r="F953" s="62" t="b">
        <x:v>1</x:v>
      </x:c>
      <x:c r="G953" s="85" t="n">
        <x:v>0</x:v>
      </x:c>
      <x:c r="H953" s="85" t="n">
        <x:v>0</x:v>
      </x:c>
      <x:c r="I953" s="85" t="n">
        <x:v>0</x:v>
      </x:c>
      <x:c r="J953" s="85" t="n">
        <x:v>0</x:v>
      </x:c>
      <x:c r="K953" s="85" t="n">
        <x:v>5928283.089972603</x:v>
      </x:c>
      <x:c r="L953" s="28" t="n">
        <x:v>0</x:v>
      </x:c>
      <x:c r="M953" s="28" t="n">
        <x:v>0</x:v>
      </x:c>
      <x:c r="N953" s="28" t="n">
        <x:v>2.3283064365386963e-10</x:v>
      </x:c>
      <x:c r="O953" s="28" t="n">
        <x:v>0</x:v>
      </x:c>
      <x:c r="P953" s="28" t="n">
        <x:v>0</x:v>
      </x:c>
      <x:c r="Q953" s="62" t="b">
        <x:v>1</x:v>
      </x:c>
      <x:c r="R953" s="28" t="n">
        <x:v>0</x:v>
      </x:c>
      <x:c r="S953" s="28" t="str">
        <x:v>fe979662cef5c337</x:v>
      </x:c>
    </x:row>
    <x:row r="954" ht="21" customHeight="1">
      <x:c r="A954" s="60" t="n">
        <x:v>0.63</x:v>
      </x:c>
      <x:c r="B954" s="28" t="str">
        <x:v>level_flat</x:v>
      </x:c>
      <x:c r="C954" s="60" t="n">
        <x:v>0.05</x:v>
      </x:c>
      <x:c r="D954" s="60" t="n">
        <x:v>0.05</x:v>
      </x:c>
      <x:c r="E954" s="62" t="b">
        <x:v>1</x:v>
      </x:c>
      <x:c r="F954" s="62" t="b">
        <x:v>1</x:v>
      </x:c>
      <x:c r="G954" s="85" t="n">
        <x:v>0</x:v>
      </x:c>
      <x:c r="H954" s="85" t="n">
        <x:v>0</x:v>
      </x:c>
      <x:c r="I954" s="85" t="n">
        <x:v>0</x:v>
      </x:c>
      <x:c r="J954" s="85" t="n">
        <x:v>0</x:v>
      </x:c>
      <x:c r="K954" s="85" t="n">
        <x:v>3697818.1102132476</x:v>
      </x:c>
      <x:c r="L954" s="28" t="n">
        <x:v>0</x:v>
      </x:c>
      <x:c r="M954" s="28" t="n">
        <x:v>0</x:v>
      </x:c>
      <x:c r="N954" s="28" t="n">
        <x:v>2.3283064365386963e-10</x:v>
      </x:c>
      <x:c r="O954" s="28" t="n">
        <x:v>7.450580596923828e-9</x:v>
      </x:c>
      <x:c r="P954" s="28" t="n">
        <x:v>0</x:v>
      </x:c>
      <x:c r="Q954" s="62" t="b">
        <x:v>1</x:v>
      </x:c>
      <x:c r="R954" s="28" t="n">
        <x:v>0</x:v>
      </x:c>
      <x:c r="S954" s="28" t="str">
        <x:v>d9674a7a737f0610</x:v>
      </x:c>
    </x:row>
    <x:row r="955" ht="21" customHeight="1">
      <x:c r="A955" s="60" t="n">
        <x:v>0.63</x:v>
      </x:c>
      <x:c r="B955" s="28" t="str">
        <x:v>level_flat</x:v>
      </x:c>
      <x:c r="C955" s="60" t="n">
        <x:v>0.1</x:v>
      </x:c>
      <x:c r="D955" s="60" t="n">
        <x:v>0.1</x:v>
      </x:c>
      <x:c r="E955" s="62" t="b">
        <x:v>1</x:v>
      </x:c>
      <x:c r="F955" s="62" t="b">
        <x:v>1</x:v>
      </x:c>
      <x:c r="G955" s="85" t="n">
        <x:v>0</x:v>
      </x:c>
      <x:c r="H955" s="85" t="n">
        <x:v>0</x:v>
      </x:c>
      <x:c r="I955" s="85" t="n">
        <x:v>0</x:v>
      </x:c>
      <x:c r="J955" s="85" t="n">
        <x:v>0</x:v>
      </x:c>
      <x:c r="K955" s="85" t="n">
        <x:v>1467238.641371334</x:v>
      </x:c>
      <x:c r="L955" s="28" t="n">
        <x:v>0</x:v>
      </x:c>
      <x:c r="M955" s="28" t="n">
        <x:v>0</x:v>
      </x:c>
      <x:c r="N955" s="28" t="n">
        <x:v>4.656612873077393e-10</x:v>
      </x:c>
      <x:c r="O955" s="28" t="n">
        <x:v>7.450580596923828e-9</x:v>
      </x:c>
      <x:c r="P955" s="28" t="n">
        <x:v>0</x:v>
      </x:c>
      <x:c r="Q955" s="62" t="b">
        <x:v>1</x:v>
      </x:c>
      <x:c r="R955" s="28" t="n">
        <x:v>0</x:v>
      </x:c>
      <x:c r="S955" s="28" t="str">
        <x:v>2d684d1669059f9b</x:v>
      </x:c>
    </x:row>
    <x:row r="956" ht="21" customHeight="1">
      <x:c r="A956" s="60" t="n">
        <x:v>0.63</x:v>
      </x:c>
      <x:c r="B956" s="28" t="str">
        <x:v>level_flat</x:v>
      </x:c>
      <x:c r="C956" s="60" t="n">
        <x:v>0.15</x:v>
      </x:c>
      <x:c r="D956" s="60" t="n">
        <x:v>0.15</x:v>
      </x:c>
      <x:c r="E956" s="62" t="b">
        <x:v>1</x:v>
      </x:c>
      <x:c r="F956" s="62" t="b">
        <x:v>1</x:v>
      </x:c>
      <x:c r="G956" s="85" t="n">
        <x:v>0</x:v>
      </x:c>
      <x:c r="H956" s="85" t="n">
        <x:v>0</x:v>
      </x:c>
      <x:c r="I956" s="85" t="n">
        <x:v>776463.5582754114</x:v>
      </x:c>
      <x:c r="J956" s="85" t="n">
        <x:v>0</x:v>
      </x:c>
      <x:c r="K956" s="85" t="n">
        <x:v>159861.82924027377</x:v>
      </x:c>
      <x:c r="L956" s="28" t="n">
        <x:v>0</x:v>
      </x:c>
      <x:c r="M956" s="28" t="n">
        <x:v>0</x:v>
      </x:c>
      <x:c r="N956" s="28" t="n">
        <x:v>4.656612873077393e-10</x:v>
      </x:c>
      <x:c r="O956" s="28" t="n">
        <x:v>7.450580596923828e-9</x:v>
      </x:c>
      <x:c r="P956" s="28" t="n">
        <x:v>0</x:v>
      </x:c>
      <x:c r="Q956" s="62" t="b">
        <x:v>1</x:v>
      </x:c>
      <x:c r="R956" s="28" t="n">
        <x:v>0</x:v>
      </x:c>
      <x:c r="S956" s="28" t="str">
        <x:v>42ae74b5f1d9cf21</x:v>
      </x:c>
    </x:row>
    <x:row r="957" ht="21" customHeight="1">
      <x:c r="A957" s="60" t="n">
        <x:v>0.63</x:v>
      </x:c>
      <x:c r="B957" s="28" t="str">
        <x:v>level_flat</x:v>
      </x:c>
      <x:c r="C957" s="60" t="n">
        <x:v>0.2</x:v>
      </x:c>
      <x:c r="D957" s="60" t="n">
        <x:v>0.2</x:v>
      </x:c>
      <x:c r="E957" s="62" t="b">
        <x:v>1</x:v>
      </x:c>
      <x:c r="F957" s="62" t="b">
        <x:v>1</x:v>
      </x:c>
      <x:c r="G957" s="85" t="n">
        <x:v>0</x:v>
      </x:c>
      <x:c r="H957" s="85" t="n">
        <x:v>0</x:v>
      </x:c>
      <x:c r="I957" s="85" t="n">
        <x:v>2266476.2772230105</x:v>
      </x:c>
      <x:c r="J957" s="85" t="n">
        <x:v>1248509.6821693014</x:v>
      </x:c>
      <x:c r="K957" s="85" t="n">
        <x:v>107364.01804821887</x:v>
      </x:c>
      <x:c r="L957" s="28" t="n">
        <x:v>0</x:v>
      </x:c>
      <x:c r="M957" s="28" t="n">
        <x:v>0</x:v>
      </x:c>
      <x:c r="N957" s="28" t="n">
        <x:v>9.313225746154785e-10</x:v>
      </x:c>
      <x:c r="O957" s="28" t="n">
        <x:v>7.450580596923828e-9</x:v>
      </x:c>
      <x:c r="P957" s="28" t="n">
        <x:v>0</x:v>
      </x:c>
      <x:c r="Q957" s="62" t="b">
        <x:v>1</x:v>
      </x:c>
      <x:c r="R957" s="28" t="n">
        <x:v>0</x:v>
      </x:c>
      <x:c r="S957" s="28" t="str">
        <x:v>74b5999f34606a65</x:v>
      </x:c>
    </x:row>
    <x:row r="958" ht="21" customHeight="1">
      <x:c r="A958" s="60" t="n">
        <x:v>0.63</x:v>
      </x:c>
      <x:c r="B958" s="28" t="str">
        <x:v>level_flat</x:v>
      </x:c>
      <x:c r="C958" s="60" t="n">
        <x:v>0.25</x:v>
      </x:c>
      <x:c r="D958" s="60" t="n">
        <x:v>0.25</x:v>
      </x:c>
      <x:c r="E958" s="62" t="b">
        <x:v>1</x:v>
      </x:c>
      <x:c r="F958" s="62" t="b">
        <x:v>1</x:v>
      </x:c>
      <x:c r="G958" s="85" t="n">
        <x:v>0</x:v>
      </x:c>
      <x:c r="H958" s="85" t="n">
        <x:v>0</x:v>
      </x:c>
      <x:c r="I958" s="85" t="n">
        <x:v>3445177.2638712297</x:v>
      </x:c>
      <x:c r="J958" s="85" t="n">
        <x:v>2954237.1027116347</x:v>
      </x:c>
      <x:c r="K958" s="85" t="n">
        <x:v>80367.21417808218</x:v>
      </x:c>
      <x:c r="L958" s="28" t="n">
        <x:v>0</x:v>
      </x:c>
      <x:c r="M958" s="28" t="n">
        <x:v>0</x:v>
      </x:c>
      <x:c r="N958" s="28" t="n">
        <x:v>4.656612873077393e-10</x:v>
      </x:c>
      <x:c r="O958" s="28" t="n">
        <x:v>7.450580596923828e-9</x:v>
      </x:c>
      <x:c r="P958" s="28" t="n">
        <x:v>0</x:v>
      </x:c>
      <x:c r="Q958" s="62" t="b">
        <x:v>1</x:v>
      </x:c>
      <x:c r="R958" s="28" t="n">
        <x:v>0</x:v>
      </x:c>
      <x:c r="S958" s="28" t="str">
        <x:v>f4c200a37e8f565c</x:v>
      </x:c>
    </x:row>
    <x:row r="959" ht="21" customHeight="1">
      <x:c r="A959" s="60" t="n">
        <x:v>0.63</x:v>
      </x:c>
      <x:c r="B959" s="28" t="str">
        <x:v>level_flat</x:v>
      </x:c>
      <x:c r="C959" s="60" t="n">
        <x:v>0.3</x:v>
      </x:c>
      <x:c r="D959" s="60" t="n">
        <x:v>0.3</x:v>
      </x:c>
      <x:c r="E959" s="62" t="b">
        <x:v>1</x:v>
      </x:c>
      <x:c r="F959" s="62" t="b">
        <x:v>1</x:v>
      </x:c>
      <x:c r="G959" s="85" t="n">
        <x:v>0</x:v>
      </x:c>
      <x:c r="H959" s="85" t="n">
        <x:v>0</x:v>
      </x:c>
      <x:c r="I959" s="85" t="n">
        <x:v>4650094.665796153</x:v>
      </x:c>
      <x:c r="J959" s="85" t="n">
        <x:v>4659964.523253947</x:v>
      </x:c>
      <x:c r="K959" s="85" t="n">
        <x:v>60795.35301369836</x:v>
      </x:c>
      <x:c r="L959" s="28" t="n">
        <x:v>0</x:v>
      </x:c>
      <x:c r="M959" s="28" t="n">
        <x:v>0</x:v>
      </x:c>
      <x:c r="N959" s="28" t="n">
        <x:v>4.656612873077393e-10</x:v>
      </x:c>
      <x:c r="O959" s="28" t="n">
        <x:v>7.450580596923828e-9</x:v>
      </x:c>
      <x:c r="P959" s="28" t="n">
        <x:v>0</x:v>
      </x:c>
      <x:c r="Q959" s="62" t="b">
        <x:v>1</x:v>
      </x:c>
      <x:c r="R959" s="28" t="n">
        <x:v>0</x:v>
      </x:c>
      <x:c r="S959" s="28" t="str">
        <x:v>c576db9551f8be02</x:v>
      </x:c>
    </x:row>
    <x:row r="960" ht="21" customHeight="1">
      <x:c r="A960" s="60" t="n">
        <x:v>0.63</x:v>
      </x:c>
      <x:c r="B960" s="28" t="str">
        <x:v>level_flat</x:v>
      </x:c>
      <x:c r="C960" s="60" t="n">
        <x:v>0.35</x:v>
      </x:c>
      <x:c r="D960" s="60" t="n">
        <x:v>0.35</x:v>
      </x:c>
      <x:c r="E960" s="62" t="b">
        <x:v>1</x:v>
      </x:c>
      <x:c r="F960" s="62" t="b">
        <x:v>1</x:v>
      </x:c>
      <x:c r="G960" s="85" t="n">
        <x:v>0</x:v>
      </x:c>
      <x:c r="H960" s="85" t="n">
        <x:v>0</x:v>
      </x:c>
      <x:c r="I960" s="85" t="n">
        <x:v>5870260.155794226</x:v>
      </x:c>
      <x:c r="J960" s="85" t="n">
        <x:v>6365691.943796259</x:v>
      </x:c>
      <x:c r="K960" s="85" t="n">
        <x:v>46678.899027397405</x:v>
      </x:c>
      <x:c r="L960" s="28" t="n">
        <x:v>0</x:v>
      </x:c>
      <x:c r="M960" s="28" t="n">
        <x:v>0</x:v>
      </x:c>
      <x:c r="N960" s="28" t="n">
        <x:v>2.3283064365386963e-10</x:v>
      </x:c>
      <x:c r="O960" s="28" t="n">
        <x:v>7.450580596923828e-9</x:v>
      </x:c>
      <x:c r="P960" s="28" t="n">
        <x:v>0</x:v>
      </x:c>
      <x:c r="Q960" s="62" t="b">
        <x:v>1</x:v>
      </x:c>
      <x:c r="R960" s="28" t="n">
        <x:v>0</x:v>
      </x:c>
      <x:c r="S960" s="28" t="str">
        <x:v>bebb1a31cd22ddff</x:v>
      </x:c>
    </x:row>
    <x:row r="961" ht="21" customHeight="1">
      <x:c r="A961" s="60" t="n">
        <x:v>0.63</x:v>
      </x:c>
      <x:c r="B961" s="28" t="str">
        <x:v>level_flat</x:v>
      </x:c>
      <x:c r="C961" s="60" t="n">
        <x:v>0.4</x:v>
      </x:c>
      <x:c r="D961" s="60" t="n">
        <x:v>0.4</x:v>
      </x:c>
      <x:c r="E961" s="62" t="b">
        <x:v>1</x:v>
      </x:c>
      <x:c r="F961" s="62" t="b">
        <x:v>1</x:v>
      </x:c>
      <x:c r="G961" s="85" t="n">
        <x:v>0</x:v>
      </x:c>
      <x:c r="H961" s="85" t="n">
        <x:v>0</x:v>
      </x:c>
      <x:c r="I961" s="85" t="n">
        <x:v>7086898.89278537</x:v>
      </x:c>
      <x:c r="J961" s="85" t="n">
        <x:v>8071419.364338602</x:v>
      </x:c>
      <x:c r="K961" s="85" t="n">
        <x:v>40721.481424657984</x:v>
      </x:c>
      <x:c r="L961" s="28" t="n">
        <x:v>0</x:v>
      </x:c>
      <x:c r="M961" s="28" t="n">
        <x:v>0</x:v>
      </x:c>
      <x:c r="N961" s="28" t="n">
        <x:v>9.313225746154785e-10</x:v>
      </x:c>
      <x:c r="O961" s="28" t="n">
        <x:v>7.450580596923828e-9</x:v>
      </x:c>
      <x:c r="P961" s="28" t="n">
        <x:v>0</x:v>
      </x:c>
      <x:c r="Q961" s="62" t="b">
        <x:v>1</x:v>
      </x:c>
      <x:c r="R961" s="28" t="n">
        <x:v>0</x:v>
      </x:c>
      <x:c r="S961" s="28" t="str">
        <x:v>39ee16097a7a8886</x:v>
      </x:c>
    </x:row>
    <x:row r="962" ht="21" customHeight="1">
      <x:c r="A962" s="60" t="n">
        <x:v>0.63</x:v>
      </x:c>
      <x:c r="B962" s="28" t="str">
        <x:v>level_flat</x:v>
      </x:c>
      <x:c r="C962" s="60" t="n">
        <x:v>0.45</x:v>
      </x:c>
      <x:c r="D962" s="60" t="n">
        <x:v>0.45</x:v>
      </x:c>
      <x:c r="E962" s="62" t="b">
        <x:v>1</x:v>
      </x:c>
      <x:c r="F962" s="62" t="b">
        <x:v>1</x:v>
      </x:c>
      <x:c r="G962" s="85" t="n">
        <x:v>0</x:v>
      </x:c>
      <x:c r="H962" s="85" t="n">
        <x:v>0</x:v>
      </x:c>
      <x:c r="I962" s="85" t="n">
        <x:v>8378299.144035047</x:v>
      </x:c>
      <x:c r="J962" s="85" t="n">
        <x:v>9611824.09571219</x:v>
      </x:c>
      <x:c r="K962" s="85" t="n">
        <x:v>34764.063821917625</x:v>
      </x:c>
      <x:c r="L962" s="28" t="n">
        <x:v>2</x:v>
      </x:c>
      <x:c r="M962" s="28" t="n">
        <x:v>0</x:v>
      </x:c>
      <x:c r="N962" s="28" t="n">
        <x:v>4.656612873077393e-10</x:v>
      </x:c>
      <x:c r="O962" s="28" t="n">
        <x:v>3.725290298461914e-9</x:v>
      </x:c>
      <x:c r="P962" s="28" t="n">
        <x:v>0</x:v>
      </x:c>
      <x:c r="Q962" s="62" t="b">
        <x:v>1</x:v>
      </x:c>
      <x:c r="R962" s="28" t="n">
        <x:v>0</x:v>
      </x:c>
      <x:c r="S962" s="28" t="str">
        <x:v>08829a85d7e128ef</x:v>
      </x:c>
    </x:row>
    <x:row r="963" ht="21" customHeight="1">
      <x:c r="A963" s="60" t="n">
        <x:v>0.63</x:v>
      </x:c>
      <x:c r="B963" s="28" t="str">
        <x:v>level_flat</x:v>
      </x:c>
      <x:c r="C963" s="60" t="n">
        <x:v>0.5</x:v>
      </x:c>
      <x:c r="D963" s="60" t="n">
        <x:v>0.5</x:v>
      </x:c>
      <x:c r="E963" s="62" t="b">
        <x:v>1</x:v>
      </x:c>
      <x:c r="F963" s="62" t="b">
        <x:v>1</x:v>
      </x:c>
      <x:c r="G963" s="85" t="n">
        <x:v>0</x:v>
      </x:c>
      <x:c r="H963" s="85" t="n">
        <x:v>0</x:v>
      </x:c>
      <x:c r="I963" s="85" t="n">
        <x:v>9846904.399920255</x:v>
      </x:c>
      <x:c r="J963" s="85" t="n">
        <x:v>10726389.77500941</x:v>
      </x:c>
      <x:c r="K963" s="85" t="n">
        <x:v>28806.64621917808</x:v>
      </x:c>
      <x:c r="L963" s="28" t="n">
        <x:v>8</x:v>
      </x:c>
      <x:c r="M963" s="28" t="n">
        <x:v>0</x:v>
      </x:c>
      <x:c r="N963" s="28" t="n">
        <x:v>2.3283064365386963e-10</x:v>
      </x:c>
      <x:c r="O963" s="28" t="n">
        <x:v>3.725290298461914e-9</x:v>
      </x:c>
      <x:c r="P963" s="28" t="n">
        <x:v>0</x:v>
      </x:c>
      <x:c r="Q963" s="62" t="b">
        <x:v>1</x:v>
      </x:c>
      <x:c r="R963" s="28" t="n">
        <x:v>0</x:v>
      </x:c>
      <x:c r="S963" s="28" t="str">
        <x:v>15eb860a25ad7735</x:v>
      </x:c>
    </x:row>
    <x:row r="964" ht="21" customHeight="1">
      <x:c r="A964" s="60" t="n">
        <x:v>0.63</x:v>
      </x:c>
      <x:c r="B964" s="28" t="str">
        <x:v>level_flat</x:v>
      </x:c>
      <x:c r="C964" s="60" t="n">
        <x:v>0.55</x:v>
      </x:c>
      <x:c r="D964" s="60" t="n">
        <x:v>0.55</x:v>
      </x:c>
      <x:c r="E964" s="62" t="b">
        <x:v>1</x:v>
      </x:c>
      <x:c r="F964" s="62" t="b">
        <x:v>1</x:v>
      </x:c>
      <x:c r="G964" s="85" t="n">
        <x:v>0</x:v>
      </x:c>
      <x:c r="H964" s="85" t="n">
        <x:v>0</x:v>
      </x:c>
      <x:c r="I964" s="85" t="n">
        <x:v>11118823.928425461</x:v>
      </x:c>
      <x:c r="J964" s="85" t="n">
        <x:v>12258554.963954762</x:v>
      </x:c>
      <x:c r="K964" s="85" t="n">
        <x:v>22849.22861643819</x:v>
      </x:c>
      <x:c r="L964" s="28" t="n">
        <x:v>11</x:v>
      </x:c>
      <x:c r="M964" s="28" t="n">
        <x:v>1</x:v>
      </x:c>
      <x:c r="N964" s="28" t="n">
        <x:v>4.656612873077393e-10</x:v>
      </x:c>
      <x:c r="O964" s="28" t="n">
        <x:v>3.725290298461914e-9</x:v>
      </x:c>
      <x:c r="P964" s="28" t="n">
        <x:v>0</x:v>
      </x:c>
      <x:c r="Q964" s="62" t="b">
        <x:v>1</x:v>
      </x:c>
      <x:c r="R964" s="28" t="n">
        <x:v>0</x:v>
      </x:c>
      <x:c r="S964" s="28" t="str">
        <x:v>3f316880fb2d4ad3</x:v>
      </x:c>
    </x:row>
    <x:row r="965" ht="21" customHeight="1">
      <x:c r="A965" s="60" t="n">
        <x:v>0.63</x:v>
      </x:c>
      <x:c r="B965" s="28" t="str">
        <x:v>level_flat</x:v>
      </x:c>
      <x:c r="C965" s="60" t="n">
        <x:v>0.6</x:v>
      </x:c>
      <x:c r="D965" s="60" t="n">
        <x:v>0.6</x:v>
      </x:c>
      <x:c r="E965" s="62" t="b">
        <x:v>1</x:v>
      </x:c>
      <x:c r="F965" s="62" t="b">
        <x:v>1</x:v>
      </x:c>
      <x:c r="G965" s="85" t="n">
        <x:v>0</x:v>
      </x:c>
      <x:c r="H965" s="85" t="n">
        <x:v>0</x:v>
      </x:c>
      <x:c r="I965" s="85" t="n">
        <x:v>12299258.628267305</x:v>
      </x:c>
      <x:c r="J965" s="85" t="n">
        <x:v>14004717.587910915</x:v>
      </x:c>
      <x:c r="K965" s="85" t="n">
        <x:v>16891.81101369841</x:v>
      </x:c>
      <x:c r="L965" s="28" t="n">
        <x:v>15</x:v>
      </x:c>
      <x:c r="M965" s="28" t="n">
        <x:v>7</x:v>
      </x:c>
      <x:c r="N965" s="28" t="n">
        <x:v>4.656612873077393e-10</x:v>
      </x:c>
      <x:c r="O965" s="28" t="n">
        <x:v>7.450580596923828e-9</x:v>
      </x:c>
      <x:c r="P965" s="28" t="n">
        <x:v>0</x:v>
      </x:c>
      <x:c r="Q965" s="62" t="b">
        <x:v>1</x:v>
      </x:c>
      <x:c r="R965" s="28" t="n">
        <x:v>0</x:v>
      </x:c>
      <x:c r="S965" s="28" t="str">
        <x:v>3ec375cb4945b909</x:v>
      </x:c>
    </x:row>
    <x:row r="966" ht="21" customHeight="1">
      <x:c r="A966" s="60" t="n">
        <x:v>0.63</x:v>
      </x:c>
      <x:c r="B966" s="28" t="str">
        <x:v>level_flat</x:v>
      </x:c>
      <x:c r="C966" s="60" t="n">
        <x:v>0.65</x:v>
      </x:c>
      <x:c r="D966" s="60" t="n">
        <x:v>0.65</x:v>
      </x:c>
      <x:c r="E966" s="62" t="b">
        <x:v>1</x:v>
      </x:c>
      <x:c r="F966" s="62" t="b">
        <x:v>0</x:v>
      </x:c>
      <x:c r="G966" s="85" t="n">
        <x:v>125978.46152933362</x:v>
      </x:c>
      <x:c r="H966" s="85" t="n">
        <x:v>670612.6038303421</x:v>
      </x:c>
      <x:c r="I966" s="85" t="n">
        <x:v>13200692.54524192</x:v>
      </x:c>
      <x:c r="J966" s="85" t="n">
        <x:v>15050880.000000002</x:v>
      </x:c>
      <x:c r="K966" s="85" t="n">
        <x:v>10934.393410958986</x:v>
      </x:c>
      <x:c r="L966" s="28" t="n">
        <x:v>40</x:v>
      </x:c>
      <x:c r="M966" s="28" t="n">
        <x:v>32</x:v>
      </x:c>
      <x:c r="N966" s="28" t="n">
        <x:v>4.656612873077393e-10</x:v>
      </x:c>
      <x:c r="O966" s="28" t="n">
        <x:v>3.725290298461914e-9</x:v>
      </x:c>
      <x:c r="P966" s="28" t="n">
        <x:v>0</x:v>
      </x:c>
      <x:c r="Q966" s="62" t="b">
        <x:v>1</x:v>
      </x:c>
      <x:c r="R966" s="28" t="n">
        <x:v>0</x:v>
      </x:c>
      <x:c r="S966" s="28" t="str">
        <x:v>c65b6909dd679e05</x:v>
      </x:c>
    </x:row>
    <x:row r="967" ht="21" customHeight="1">
      <x:c r="A967" s="60" t="n">
        <x:v>0.63</x:v>
      </x:c>
      <x:c r="B967" s="28" t="str">
        <x:v>level_flat</x:v>
      </x:c>
      <x:c r="C967" s="60" t="n">
        <x:v>0.7</x:v>
      </x:c>
      <x:c r="D967" s="60" t="n">
        <x:v>0.7</x:v>
      </x:c>
      <x:c r="E967" s="62" t="b">
        <x:v>1</x:v>
      </x:c>
      <x:c r="F967" s="62" t="b">
        <x:v>0</x:v>
      </x:c>
      <x:c r="G967" s="85" t="n">
        <x:v>510501.70885855006</x:v>
      </x:c>
      <x:c r="H967" s="85" t="n">
        <x:v>2751079.10616142</x:v>
      </x:c>
      <x:c r="I967" s="85" t="n">
        <x:v>13461090.422287675</x:v>
      </x:c>
      <x:c r="J967" s="85" t="n">
        <x:v>15050880.000000002</x:v>
      </x:c>
      <x:c r="K967" s="85" t="n">
        <x:v>8805.814520547727</x:v>
      </x:c>
      <x:c r="L967" s="28" t="n">
        <x:v>41</x:v>
      </x:c>
      <x:c r="M967" s="28" t="n">
        <x:v>33</x:v>
      </x:c>
      <x:c r="N967" s="28" t="n">
        <x:v>4.656612873077393e-10</x:v>
      </x:c>
      <x:c r="O967" s="28" t="n">
        <x:v>3.725290298461914e-9</x:v>
      </x:c>
      <x:c r="P967" s="28" t="n">
        <x:v>0</x:v>
      </x:c>
      <x:c r="Q967" s="62" t="b">
        <x:v>1</x:v>
      </x:c>
      <x:c r="R967" s="28" t="n">
        <x:v>0</x:v>
      </x:c>
      <x:c r="S967" s="28" t="str">
        <x:v>48e3662ea0df1b2a</x:v>
      </x:c>
    </x:row>
    <x:row r="968" ht="21" customHeight="1">
      <x:c r="A968" s="60" t="n">
        <x:v>0.63</x:v>
      </x:c>
      <x:c r="B968" s="28" t="str">
        <x:v>level_flat</x:v>
      </x:c>
      <x:c r="C968" s="60" t="n">
        <x:v>0.75</x:v>
      </x:c>
      <x:c r="D968" s="60" t="n">
        <x:v>0.75</x:v>
      </x:c>
      <x:c r="E968" s="62" t="b">
        <x:v>1</x:v>
      </x:c>
      <x:c r="F968" s="62" t="b">
        <x:v>0</x:v>
      </x:c>
      <x:c r="G968" s="85" t="n">
        <x:v>987286.0445665586</x:v>
      </x:c>
      <x:c r="H968" s="85" t="n">
        <x:v>5004631.1937382715</x:v>
      </x:c>
      <x:c r="I968" s="85" t="n">
        <x:v>13508212.27103425</x:v>
      </x:c>
      <x:c r="J968" s="85" t="n">
        <x:v>15050880.000000002</x:v>
      </x:c>
      <x:c r="K968" s="85" t="n">
        <x:v>6800.6453424658175</x:v>
      </x:c>
      <x:c r="L968" s="28" t="n">
        <x:v>41</x:v>
      </x:c>
      <x:c r="M968" s="28" t="n">
        <x:v>34</x:v>
      </x:c>
      <x:c r="N968" s="28" t="n">
        <x:v>4.656612873077393e-10</x:v>
      </x:c>
      <x:c r="O968" s="28" t="n">
        <x:v>3.725290298461914e-9</x:v>
      </x:c>
      <x:c r="P968" s="28" t="n">
        <x:v>0</x:v>
      </x:c>
      <x:c r="Q968" s="62" t="b">
        <x:v>1</x:v>
      </x:c>
      <x:c r="R968" s="28" t="n">
        <x:v>0</x:v>
      </x:c>
      <x:c r="S968" s="28" t="str">
        <x:v>32c55a986edf2096</x:v>
      </x:c>
    </x:row>
    <x:row r="969" ht="21" customHeight="1">
      <x:c r="A969" s="60" t="n">
        <x:v>0.63</x:v>
      </x:c>
      <x:c r="B969" s="28" t="str">
        <x:v>level_flat</x:v>
      </x:c>
      <x:c r="C969" s="60" t="n">
        <x:v>0.8</x:v>
      </x:c>
      <x:c r="D969" s="60" t="n">
        <x:v>0.8</x:v>
      </x:c>
      <x:c r="E969" s="62" t="b">
        <x:v>1</x:v>
      </x:c>
      <x:c r="F969" s="62" t="b">
        <x:v>0</x:v>
      </x:c>
      <x:c r="G969" s="85" t="n">
        <x:v>1422047.780516883</x:v>
      </x:c>
      <x:c r="H969" s="85" t="n">
        <x:v>6963461.573461947</x:v>
      </x:c>
      <x:c r="I969" s="85" t="n">
        <x:v>13737945.768903017</x:v>
      </x:c>
      <x:c r="J969" s="85" t="n">
        <x:v>15050880.000000002</x:v>
      </x:c>
      <x:c r="K969" s="85" t="n">
        <x:v>4795.476164383443</x:v>
      </x:c>
      <x:c r="L969" s="28" t="n">
        <x:v>42</x:v>
      </x:c>
      <x:c r="M969" s="28" t="n">
        <x:v>36</x:v>
      </x:c>
      <x:c r="N969" s="28" t="n">
        <x:v>4.656612873077393e-10</x:v>
      </x:c>
      <x:c r="O969" s="28" t="n">
        <x:v>3.725290298461914e-9</x:v>
      </x:c>
      <x:c r="P969" s="28" t="n">
        <x:v>0</x:v>
      </x:c>
      <x:c r="Q969" s="62" t="b">
        <x:v>1</x:v>
      </x:c>
      <x:c r="R969" s="28" t="n">
        <x:v>0</x:v>
      </x:c>
      <x:c r="S969" s="28" t="str">
        <x:v>f66b2e9bf1e38397</x:v>
      </x:c>
    </x:row>
    <x:row r="970" ht="21" customHeight="1">
      <x:c r="A970" s="60" t="n">
        <x:v>0.63</x:v>
      </x:c>
      <x:c r="B970" s="28" t="str">
        <x:v>level_flat</x:v>
      </x:c>
      <x:c r="C970" s="60" t="n">
        <x:v>0.85</x:v>
      </x:c>
      <x:c r="D970" s="60" t="n">
        <x:v>0.85</x:v>
      </x:c>
      <x:c r="E970" s="62" t="b">
        <x:v>1</x:v>
      </x:c>
      <x:c r="F970" s="62" t="b">
        <x:v>0</x:v>
      </x:c>
      <x:c r="G970" s="85" t="n">
        <x:v>1937759.6992702896</x:v>
      </x:c>
      <x:c r="H970" s="85" t="n">
        <x:v>8779565.596441286</x:v>
      </x:c>
      <x:c r="I970" s="85" t="n">
        <x:v>13973988.953273976</x:v>
      </x:c>
      <x:c r="J970" s="85" t="n">
        <x:v>15050880.000000002</x:v>
      </x:c>
      <x:c r="K970" s="85" t="n">
        <x:v>2790.30698630165</x:v>
      </x:c>
      <x:c r="L970" s="28" t="n">
        <x:v>43</x:v>
      </x:c>
      <x:c r="M970" s="28" t="n">
        <x:v>36</x:v>
      </x:c>
      <x:c r="N970" s="28" t="n">
        <x:v>2.3283064365386963e-10</x:v>
      </x:c>
      <x:c r="O970" s="28" t="n">
        <x:v>3.725290298461914e-9</x:v>
      </x:c>
      <x:c r="P970" s="28" t="n">
        <x:v>0</x:v>
      </x:c>
      <x:c r="Q970" s="62" t="b">
        <x:v>1</x:v>
      </x:c>
      <x:c r="R970" s="28" t="n">
        <x:v>0</x:v>
      </x:c>
      <x:c r="S970" s="28" t="str">
        <x:v>ff3b601af5d11c25</x:v>
      </x:c>
    </x:row>
    <x:row r="971" ht="21" customHeight="1">
      <x:c r="A971" s="60" t="n">
        <x:v>0.63</x:v>
      </x:c>
      <x:c r="B971" s="28" t="str">
        <x:v>level_flat</x:v>
      </x:c>
      <x:c r="C971" s="60" t="n">
        <x:v>0.9</x:v>
      </x:c>
      <x:c r="D971" s="60" t="n">
        <x:v>0.8949513562027351</x:v>
      </x:c>
      <x:c r="E971" s="62" t="b">
        <x:v>0</x:v>
      </x:c>
      <x:c r="F971" s="62" t="b">
        <x:v>0</x:v>
      </x:c>
      <x:c r="G971" s="85" t="n">
        <x:v>2703105.846459405</x:v>
      </x:c>
      <x:c r="H971" s="85" t="n">
        <x:v>10234364.07159125</x:v>
      </x:c>
      <x:c r="I971" s="85" t="n">
        <x:v>13997517.665013703</x:v>
      </x:c>
      <x:c r="J971" s="85" t="n">
        <x:v>15050880.000000002</x:v>
      </x:c>
      <x:c r="K971" s="85" t="n">
        <x:v>785.1378082191586</x:v>
      </x:c>
      <x:c r="L971" s="28" t="n">
        <x:v>43</x:v>
      </x:c>
      <x:c r="M971" s="28" t="n">
        <x:v>37</x:v>
      </x:c>
      <x:c r="N971" s="28" t="n">
        <x:v>4.656612873077393e-10</x:v>
      </x:c>
      <x:c r="O971" s="28" t="n">
        <x:v>3.725290298461914e-9</x:v>
      </x:c>
      <x:c r="P971" s="28" t="n">
        <x:v>0</x:v>
      </x:c>
      <x:c r="Q971" s="62" t="b">
        <x:v>1</x:v>
      </x:c>
      <x:c r="R971" s="28" t="n">
        <x:v>281431.5998347327</x:v>
      </x:c>
      <x:c r="S971" s="28" t="str">
        <x:v>bdbe7f1a6230250b</x:v>
      </x:c>
    </x:row>
    <x:row r="972" ht="21" customHeight="1">
      <x:c r="A972" s="60" t="n">
        <x:v>0.63</x:v>
      </x:c>
      <x:c r="B972" s="28" t="str">
        <x:v>level_flat</x:v>
      </x:c>
      <x:c r="C972" s="60" t="n">
        <x:v>0.95</x:v>
      </x:c>
      <x:c r="D972" s="60" t="n">
        <x:v>0.9109811515371262</x:v>
      </x:c>
      <x:c r="E972" s="62" t="b">
        <x:v>0</x:v>
      </x:c>
      <x:c r="F972" s="62" t="b">
        <x:v>0</x:v>
      </x:c>
      <x:c r="G972" s="85" t="n">
        <x:v>2870453.298484516</x:v>
      </x:c>
      <x:c r="H972" s="85" t="n">
        <x:v>10867966.619090995</x:v>
      </x:c>
      <x:c r="I972" s="85" t="n">
        <x:v>14218503.978315072</x:v>
      </x:c>
      <x:c r="J972" s="85" t="n">
        <x:v>15050880.000000002</x:v>
      </x:c>
      <x:c r="K972" s="85" t="n">
        <x:v>0</x:v>
      </x:c>
      <x:c r="L972" s="28" t="n">
        <x:v>44</x:v>
      </x:c>
      <x:c r="M972" s="28" t="n">
        <x:v>38</x:v>
      </x:c>
      <x:c r="N972" s="28" t="n">
        <x:v>2.3283064365386963e-10</x:v>
      </x:c>
      <x:c r="O972" s="28" t="n">
        <x:v>3.725290298461914e-9</x:v>
      </x:c>
      <x:c r="P972" s="28" t="n">
        <x:v>0</x:v>
      </x:c>
      <x:c r="Q972" s="62" t="b">
        <x:v>1</x:v>
      </x:c>
      <x:c r="R972" s="28" t="n">
        <x:v>2175066.688714437</x:v>
      </x:c>
      <x:c r="S972" s="28" t="str">
        <x:v>a4d96c3d5c82898f</x:v>
      </x:c>
    </x:row>
    <x:row r="973" ht="21" customHeight="1">
      <x:c r="A973" s="60" t="n">
        <x:v>0.63</x:v>
      </x:c>
      <x:c r="B973" s="28" t="str">
        <x:v>level_flat</x:v>
      </x:c>
      <x:c r="C973" s="60" t="n">
        <x:v>1</x:v>
      </x:c>
      <x:c r="D973" s="60" t="n">
        <x:v>0.9258453085724337</x:v>
      </x:c>
      <x:c r="E973" s="62" t="b">
        <x:v>0</x:v>
      </x:c>
      <x:c r="F973" s="62" t="b">
        <x:v>0</x:v>
      </x:c>
      <x:c r="G973" s="85" t="n">
        <x:v>3180594.98222016</x:v>
      </x:c>
      <x:c r="H973" s="85" t="n">
        <x:v>11556934.341878297</x:v>
      </x:c>
      <x:c r="I973" s="85" t="n">
        <x:v>14236386.234794525</x:v>
      </x:c>
      <x:c r="J973" s="85" t="n">
        <x:v>15050880.000000002</x:v>
      </x:c>
      <x:c r="K973" s="85" t="n">
        <x:v>0</x:v>
      </x:c>
      <x:c r="L973" s="28" t="n">
        <x:v>44</x:v>
      </x:c>
      <x:c r="M973" s="28" t="n">
        <x:v>38</x:v>
      </x:c>
      <x:c r="N973" s="28" t="n">
        <x:v>4.656612873077393e-10</x:v>
      </x:c>
      <x:c r="O973" s="28" t="n">
        <x:v>1.862645149230957e-9</x:v>
      </x:c>
      <x:c r="P973" s="28" t="n">
        <x:v>0</x:v>
      </x:c>
      <x:c r="Q973" s="62" t="b">
        <x:v>1</x:v>
      </x:c>
      <x:c r="R973" s="28" t="n">
        <x:v>4133679.1189382523</x:v>
      </x:c>
      <x:c r="S973" s="28" t="str">
        <x:v>293b07c0dc6fb4d0</x:v>
      </x:c>
    </x:row>
    <x:row r="974" ht="21" customHeight="1">
      <x:c r="A974" s="60" t="n">
        <x:v>0.63</x:v>
      </x:c>
      <x:c r="B974" s="28" t="str">
        <x:v>level_low</x:v>
      </x:c>
      <x:c r="C974" s="60" t="n">
        <x:v>0</x:v>
      </x:c>
      <x:c r="D974" s="60" t="n">
        <x:v>0</x:v>
      </x:c>
      <x:c r="E974" s="62" t="b">
        <x:v>1</x:v>
      </x:c>
      <x:c r="F974" s="62" t="b">
        <x:v>1</x:v>
      </x:c>
      <x:c r="G974" s="85" t="n">
        <x:v>0</x:v>
      </x:c>
      <x:c r="H974" s="85" t="n">
        <x:v>0</x:v>
      </x:c>
      <x:c r="I974" s="85" t="n">
        <x:v>0</x:v>
      </x:c>
      <x:c r="J974" s="85" t="n">
        <x:v>0</x:v>
      </x:c>
      <x:c r="K974" s="85" t="n">
        <x:v>5160420.980383561</x:v>
      </x:c>
      <x:c r="L974" s="28" t="n">
        <x:v>0</x:v>
      </x:c>
      <x:c r="M974" s="28" t="n">
        <x:v>0</x:v>
      </x:c>
      <x:c r="N974" s="28" t="n">
        <x:v>4.656612873077393e-10</x:v>
      </x:c>
      <x:c r="O974" s="28" t="n">
        <x:v>0</x:v>
      </x:c>
      <x:c r="P974" s="28" t="n">
        <x:v>0</x:v>
      </x:c>
      <x:c r="Q974" s="62" t="b">
        <x:v>1</x:v>
      </x:c>
      <x:c r="R974" s="28" t="n">
        <x:v>0</x:v>
      </x:c>
      <x:c r="S974" s="28" t="str">
        <x:v>7c1590e56dad7040</x:v>
      </x:c>
    </x:row>
    <x:row r="975" ht="21" customHeight="1">
      <x:c r="A975" s="60" t="n">
        <x:v>0.63</x:v>
      </x:c>
      <x:c r="B975" s="28" t="str">
        <x:v>level_low</x:v>
      </x:c>
      <x:c r="C975" s="60" t="n">
        <x:v>0.05</x:v>
      </x:c>
      <x:c r="D975" s="60" t="n">
        <x:v>0.05</x:v>
      </x:c>
      <x:c r="E975" s="62" t="b">
        <x:v>1</x:v>
      </x:c>
      <x:c r="F975" s="62" t="b">
        <x:v>1</x:v>
      </x:c>
      <x:c r="G975" s="85" t="n">
        <x:v>0</x:v>
      </x:c>
      <x:c r="H975" s="85" t="n">
        <x:v>0</x:v>
      </x:c>
      <x:c r="I975" s="85" t="n">
        <x:v>0</x:v>
      </x:c>
      <x:c r="J975" s="85" t="n">
        <x:v>0</x:v>
      </x:c>
      <x:c r="K975" s="85" t="n">
        <x:v>3152942.97943461</x:v>
      </x:c>
      <x:c r="L975" s="28" t="n">
        <x:v>0</x:v>
      </x:c>
      <x:c r="M975" s="28" t="n">
        <x:v>0</x:v>
      </x:c>
      <x:c r="N975" s="28" t="n">
        <x:v>2.3283064365386963e-10</x:v>
      </x:c>
      <x:c r="O975" s="28" t="n">
        <x:v>7.450580596923828e-9</x:v>
      </x:c>
      <x:c r="P975" s="28" t="n">
        <x:v>0</x:v>
      </x:c>
      <x:c r="Q975" s="62" t="b">
        <x:v>1</x:v>
      </x:c>
      <x:c r="R975" s="28" t="n">
        <x:v>0</x:v>
      </x:c>
      <x:c r="S975" s="28" t="str">
        <x:v>e09079f3ee1207f1</x:v>
      </x:c>
    </x:row>
    <x:row r="976" ht="21" customHeight="1">
      <x:c r="A976" s="60" t="n">
        <x:v>0.63</x:v>
      </x:c>
      <x:c r="B976" s="28" t="str">
        <x:v>level_low</x:v>
      </x:c>
      <x:c r="C976" s="60" t="n">
        <x:v>0.1</x:v>
      </x:c>
      <x:c r="D976" s="60" t="n">
        <x:v>0.1</x:v>
      </x:c>
      <x:c r="E976" s="62" t="b">
        <x:v>1</x:v>
      </x:c>
      <x:c r="F976" s="62" t="b">
        <x:v>1</x:v>
      </x:c>
      <x:c r="G976" s="85" t="n">
        <x:v>0</x:v>
      </x:c>
      <x:c r="H976" s="85" t="n">
        <x:v>0</x:v>
      </x:c>
      <x:c r="I976" s="85" t="n">
        <x:v>0</x:v>
      </x:c>
      <x:c r="J976" s="85" t="n">
        <x:v>0</x:v>
      </x:c>
      <x:c r="K976" s="85" t="n">
        <x:v>1145384.1626626786</x:v>
      </x:c>
      <x:c r="L976" s="28" t="n">
        <x:v>0</x:v>
      </x:c>
      <x:c r="M976" s="28" t="n">
        <x:v>0</x:v>
      </x:c>
      <x:c r="N976" s="28" t="n">
        <x:v>2.3283064365386963e-10</x:v>
      </x:c>
      <x:c r="O976" s="28" t="n">
        <x:v>7.450580596923828e-9</x:v>
      </x:c>
      <x:c r="P976" s="28" t="n">
        <x:v>0</x:v>
      </x:c>
      <x:c r="Q976" s="62" t="b">
        <x:v>1</x:v>
      </x:c>
      <x:c r="R976" s="28" t="n">
        <x:v>0</x:v>
      </x:c>
      <x:c r="S976" s="28" t="str">
        <x:v>d0051f18b754349e</x:v>
      </x:c>
    </x:row>
    <x:row r="977" ht="21" customHeight="1">
      <x:c r="A977" s="60" t="n">
        <x:v>0.63</x:v>
      </x:c>
      <x:c r="B977" s="28" t="str">
        <x:v>level_low</x:v>
      </x:c>
      <x:c r="C977" s="60" t="n">
        <x:v>0.15</x:v>
      </x:c>
      <x:c r="D977" s="60" t="n">
        <x:v>0.15</x:v>
      </x:c>
      <x:c r="E977" s="62" t="b">
        <x:v>1</x:v>
      </x:c>
      <x:c r="F977" s="62" t="b">
        <x:v>1</x:v>
      </x:c>
      <x:c r="G977" s="85" t="n">
        <x:v>0</x:v>
      </x:c>
      <x:c r="H977" s="85" t="n">
        <x:v>0</x:v>
      </x:c>
      <x:c r="I977" s="85" t="n">
        <x:v>674602.9944029818</x:v>
      </x:c>
      <x:c r="J977" s="85" t="n">
        <x:v>0</x:v>
      </x:c>
      <x:c r="K977" s="85" t="n">
        <x:v>21834.715958904046</x:v>
      </x:c>
      <x:c r="L977" s="28" t="n">
        <x:v>0</x:v>
      </x:c>
      <x:c r="M977" s="28" t="n">
        <x:v>0</x:v>
      </x:c>
      <x:c r="N977" s="28" t="n">
        <x:v>2.3283064365386963e-10</x:v>
      </x:c>
      <x:c r="O977" s="28" t="n">
        <x:v>7.450580596923828e-9</x:v>
      </x:c>
      <x:c r="P977" s="28" t="n">
        <x:v>0</x:v>
      </x:c>
      <x:c r="Q977" s="62" t="b">
        <x:v>1</x:v>
      </x:c>
      <x:c r="R977" s="28" t="n">
        <x:v>0</x:v>
      </x:c>
      <x:c r="S977" s="28" t="str">
        <x:v>edc3d2a1cdcae8c9</x:v>
      </x:c>
    </x:row>
    <x:row r="978" ht="21" customHeight="1">
      <x:c r="A978" s="60" t="n">
        <x:v>0.63</x:v>
      </x:c>
      <x:c r="B978" s="28" t="str">
        <x:v>level_low</x:v>
      </x:c>
      <x:c r="C978" s="60" t="n">
        <x:v>0.2</x:v>
      </x:c>
      <x:c r="D978" s="60" t="n">
        <x:v>0.2</x:v>
      </x:c>
      <x:c r="E978" s="62" t="b">
        <x:v>1</x:v>
      </x:c>
      <x:c r="F978" s="62" t="b">
        <x:v>1</x:v>
      </x:c>
      <x:c r="G978" s="85" t="n">
        <x:v>0</x:v>
      </x:c>
      <x:c r="H978" s="85" t="n">
        <x:v>0</x:v>
      </x:c>
      <x:c r="I978" s="85" t="n">
        <x:v>1813474.20032872</x:v>
      </x:c>
      <x:c r="J978" s="85" t="n">
        <x:v>1248509.6821693014</x:v>
      </x:c>
      <x:c r="K978" s="85" t="n">
        <x:v>13521.95183561623</x:v>
      </x:c>
      <x:c r="L978" s="28" t="n">
        <x:v>0</x:v>
      </x:c>
      <x:c r="M978" s="28" t="n">
        <x:v>0</x:v>
      </x:c>
      <x:c r="N978" s="28" t="n">
        <x:v>4.656612873077393e-10</x:v>
      </x:c>
      <x:c r="O978" s="28" t="n">
        <x:v>7.450580596923828e-9</x:v>
      </x:c>
      <x:c r="P978" s="28" t="n">
        <x:v>0</x:v>
      </x:c>
      <x:c r="Q978" s="62" t="b">
        <x:v>1</x:v>
      </x:c>
      <x:c r="R978" s="28" t="n">
        <x:v>0</x:v>
      </x:c>
      <x:c r="S978" s="28" t="str">
        <x:v>eea8501fb43454ee</x:v>
      </x:c>
    </x:row>
    <x:row r="979" ht="21" customHeight="1">
      <x:c r="A979" s="60" t="n">
        <x:v>0.63</x:v>
      </x:c>
      <x:c r="B979" s="28" t="str">
        <x:v>level_low</x:v>
      </x:c>
      <x:c r="C979" s="60" t="n">
        <x:v>0.25</x:v>
      </x:c>
      <x:c r="D979" s="60" t="n">
        <x:v>0.25</x:v>
      </x:c>
      <x:c r="E979" s="62" t="b">
        <x:v>1</x:v>
      </x:c>
      <x:c r="F979" s="62" t="b">
        <x:v>1</x:v>
      </x:c>
      <x:c r="G979" s="85" t="n">
        <x:v>0</x:v>
      </x:c>
      <x:c r="H979" s="85" t="n">
        <x:v>0</x:v>
      </x:c>
      <x:c r="I979" s="85" t="n">
        <x:v>2593626.0970341912</x:v>
      </x:c>
      <x:c r="J979" s="85" t="n">
        <x:v>2954237.1027116347</x:v>
      </x:c>
      <x:c r="K979" s="85" t="n">
        <x:v>10131.487657534148</x:v>
      </x:c>
      <x:c r="L979" s="28" t="n">
        <x:v>0</x:v>
      </x:c>
      <x:c r="M979" s="28" t="n">
        <x:v>0</x:v>
      </x:c>
      <x:c r="N979" s="28" t="n">
        <x:v>4.656612873077393e-10</x:v>
      </x:c>
      <x:c r="O979" s="28" t="n">
        <x:v>7.450580596923828e-9</x:v>
      </x:c>
      <x:c r="P979" s="28" t="n">
        <x:v>0</x:v>
      </x:c>
      <x:c r="Q979" s="62" t="b">
        <x:v>1</x:v>
      </x:c>
      <x:c r="R979" s="28" t="n">
        <x:v>0</x:v>
      </x:c>
      <x:c r="S979" s="28" t="str">
        <x:v>1b51dbd7fa489e0c</x:v>
      </x:c>
    </x:row>
    <x:row r="980" ht="21" customHeight="1">
      <x:c r="A980" s="60" t="n">
        <x:v>0.63</x:v>
      </x:c>
      <x:c r="B980" s="28" t="str">
        <x:v>level_low</x:v>
      </x:c>
      <x:c r="C980" s="60" t="n">
        <x:v>0.3</x:v>
      </x:c>
      <x:c r="D980" s="60" t="n">
        <x:v>0.3</x:v>
      </x:c>
      <x:c r="E980" s="62" t="b">
        <x:v>1</x:v>
      </x:c>
      <x:c r="F980" s="62" t="b">
        <x:v>1</x:v>
      </x:c>
      <x:c r="G980" s="85" t="n">
        <x:v>0</x:v>
      </x:c>
      <x:c r="H980" s="85" t="n">
        <x:v>0</x:v>
      </x:c>
      <x:c r="I980" s="85" t="n">
        <x:v>3384367.2403721157</x:v>
      </x:c>
      <x:c r="J980" s="85" t="n">
        <x:v>4659964.523253947</x:v>
      </x:c>
      <x:c r="K980" s="85" t="n">
        <x:v>6741.023479451953</x:v>
      </x:c>
      <x:c r="L980" s="28" t="n">
        <x:v>0</x:v>
      </x:c>
      <x:c r="M980" s="28" t="n">
        <x:v>0</x:v>
      </x:c>
      <x:c r="N980" s="28" t="n">
        <x:v>4.656612873077393e-10</x:v>
      </x:c>
      <x:c r="O980" s="28" t="n">
        <x:v>7.450580596923828e-9</x:v>
      </x:c>
      <x:c r="P980" s="28" t="n">
        <x:v>0</x:v>
      </x:c>
      <x:c r="Q980" s="62" t="b">
        <x:v>1</x:v>
      </x:c>
      <x:c r="R980" s="28" t="n">
        <x:v>0</x:v>
      </x:c>
      <x:c r="S980" s="28" t="str">
        <x:v>1169756d26d2fa5f</x:v>
      </x:c>
    </x:row>
    <x:row r="981" ht="21" customHeight="1">
      <x:c r="A981" s="60" t="n">
        <x:v>0.63</x:v>
      </x:c>
      <x:c r="B981" s="28" t="str">
        <x:v>level_low</x:v>
      </x:c>
      <x:c r="C981" s="60" t="n">
        <x:v>0.35</x:v>
      </x:c>
      <x:c r="D981" s="60" t="n">
        <x:v>0.35</x:v>
      </x:c>
      <x:c r="E981" s="62" t="b">
        <x:v>1</x:v>
      </x:c>
      <x:c r="F981" s="62" t="b">
        <x:v>1</x:v>
      </x:c>
      <x:c r="G981" s="85" t="n">
        <x:v>0</x:v>
      </x:c>
      <x:c r="H981" s="85" t="n">
        <x:v>0</x:v>
      </x:c>
      <x:c r="I981" s="85" t="n">
        <x:v>4185437.4269364155</x:v>
      </x:c>
      <x:c r="J981" s="85" t="n">
        <x:v>6365691.943796259</x:v>
      </x:c>
      <x:c r="K981" s="85" t="n">
        <x:v>3350.559301369987</x:v>
      </x:c>
      <x:c r="L981" s="28" t="n">
        <x:v>0</x:v>
      </x:c>
      <x:c r="M981" s="28" t="n">
        <x:v>0</x:v>
      </x:c>
      <x:c r="N981" s="28" t="n">
        <x:v>9.313225746154785e-10</x:v>
      </x:c>
      <x:c r="O981" s="28" t="n">
        <x:v>7.450580596923828e-9</x:v>
      </x:c>
      <x:c r="P981" s="28" t="n">
        <x:v>0</x:v>
      </x:c>
      <x:c r="Q981" s="62" t="b">
        <x:v>1</x:v>
      </x:c>
      <x:c r="R981" s="28" t="n">
        <x:v>0</x:v>
      </x:c>
      <x:c r="S981" s="28" t="str">
        <x:v>aa63741825882af0</x:v>
      </x:c>
    </x:row>
    <x:row r="982" ht="21" customHeight="1">
      <x:c r="A982" s="60" t="n">
        <x:v>0.63</x:v>
      </x:c>
      <x:c r="B982" s="28" t="str">
        <x:v>level_low</x:v>
      </x:c>
      <x:c r="C982" s="60" t="n">
        <x:v>0.4</x:v>
      </x:c>
      <x:c r="D982" s="60" t="n">
        <x:v>0.4</x:v>
      </x:c>
      <x:c r="E982" s="62" t="b">
        <x:v>1</x:v>
      </x:c>
      <x:c r="F982" s="62" t="b">
        <x:v>1</x:v>
      </x:c>
      <x:c r="G982" s="85" t="n">
        <x:v>0</x:v>
      </x:c>
      <x:c r="H982" s="85" t="n">
        <x:v>0</x:v>
      </x:c>
      <x:c r="I982" s="85" t="n">
        <x:v>4977398.854325555</x:v>
      </x:c>
      <x:c r="J982" s="85" t="n">
        <x:v>8071419.364338602</x:v>
      </x:c>
      <x:c r="K982" s="85" t="n">
        <x:v>0</x:v>
      </x:c>
      <x:c r="L982" s="28" t="n">
        <x:v>0</x:v>
      </x:c>
      <x:c r="M982" s="28" t="n">
        <x:v>0</x:v>
      </x:c>
      <x:c r="N982" s="28" t="n">
        <x:v>9.313225746154785e-10</x:v>
      </x:c>
      <x:c r="O982" s="28" t="n">
        <x:v>7.450580596923828e-9</x:v>
      </x:c>
      <x:c r="P982" s="28" t="n">
        <x:v>0</x:v>
      </x:c>
      <x:c r="Q982" s="62" t="b">
        <x:v>1</x:v>
      </x:c>
      <x:c r="R982" s="28" t="n">
        <x:v>0</x:v>
      </x:c>
      <x:c r="S982" s="28" t="str">
        <x:v>fb58fbaf32b5c6d7</x:v>
      </x:c>
    </x:row>
    <x:row r="983" ht="21" customHeight="1">
      <x:c r="A983" s="60" t="n">
        <x:v>0.63</x:v>
      </x:c>
      <x:c r="B983" s="28" t="str">
        <x:v>level_low</x:v>
      </x:c>
      <x:c r="C983" s="60" t="n">
        <x:v>0.45</x:v>
      </x:c>
      <x:c r="D983" s="60" t="n">
        <x:v>0.45</x:v>
      </x:c>
      <x:c r="E983" s="62" t="b">
        <x:v>1</x:v>
      </x:c>
      <x:c r="F983" s="62" t="b">
        <x:v>1</x:v>
      </x:c>
      <x:c r="G983" s="85" t="n">
        <x:v>0</x:v>
      </x:c>
      <x:c r="H983" s="85" t="n">
        <x:v>0</x:v>
      </x:c>
      <x:c r="I983" s="85" t="n">
        <x:v>5857576.12490855</x:v>
      </x:c>
      <x:c r="J983" s="85" t="n">
        <x:v>9638917.070366578</x:v>
      </x:c>
      <x:c r="K983" s="85" t="n">
        <x:v>0</x:v>
      </x:c>
      <x:c r="L983" s="28" t="n">
        <x:v>2</x:v>
      </x:c>
      <x:c r="M983" s="28" t="n">
        <x:v>0</x:v>
      </x:c>
      <x:c r="N983" s="28" t="n">
        <x:v>9.313225746154785e-10</x:v>
      </x:c>
      <x:c r="O983" s="28" t="n">
        <x:v>3.725290298461914e-9</x:v>
      </x:c>
      <x:c r="P983" s="28" t="n">
        <x:v>0</x:v>
      </x:c>
      <x:c r="Q983" s="62" t="b">
        <x:v>1</x:v>
      </x:c>
      <x:c r="R983" s="28" t="n">
        <x:v>0</x:v>
      </x:c>
      <x:c r="S983" s="28" t="str">
        <x:v>90f27af96105f1c7</x:v>
      </x:c>
    </x:row>
    <x:row r="984" ht="21" customHeight="1">
      <x:c r="A984" s="60" t="n">
        <x:v>0.63</x:v>
      </x:c>
      <x:c r="B984" s="28" t="str">
        <x:v>level_low</x:v>
      </x:c>
      <x:c r="C984" s="60" t="n">
        <x:v>0.5</x:v>
      </x:c>
      <x:c r="D984" s="60" t="n">
        <x:v>0.5</x:v>
      </x:c>
      <x:c r="E984" s="62" t="b">
        <x:v>1</x:v>
      </x:c>
      <x:c r="F984" s="62" t="b">
        <x:v>1</x:v>
      </x:c>
      <x:c r="G984" s="85" t="n">
        <x:v>0</x:v>
      </x:c>
      <x:c r="H984" s="85" t="n">
        <x:v>0</x:v>
      </x:c>
      <x:c r="I984" s="85" t="n">
        <x:v>6949387.146152903</x:v>
      </x:c>
      <x:c r="J984" s="85" t="n">
        <x:v>10866214.11119922</x:v>
      </x:c>
      <x:c r="K984" s="85" t="n">
        <x:v>0</x:v>
      </x:c>
      <x:c r="L984" s="28" t="n">
        <x:v>8</x:v>
      </x:c>
      <x:c r="M984" s="28" t="n">
        <x:v>0</x:v>
      </x:c>
      <x:c r="N984" s="28" t="n">
        <x:v>2.3283064365386963e-10</x:v>
      </x:c>
      <x:c r="O984" s="28" t="n">
        <x:v>3.725290298461914e-9</x:v>
      </x:c>
      <x:c r="P984" s="28" t="n">
        <x:v>0</x:v>
      </x:c>
      <x:c r="Q984" s="62" t="b">
        <x:v>1</x:v>
      </x:c>
      <x:c r="R984" s="28" t="n">
        <x:v>0</x:v>
      </x:c>
      <x:c r="S984" s="28" t="str">
        <x:v>4cc68833e2188d10</x:v>
      </x:c>
    </x:row>
    <x:row r="985" ht="21" customHeight="1">
      <x:c r="A985" s="60" t="n">
        <x:v>0.63</x:v>
      </x:c>
      <x:c r="B985" s="28" t="str">
        <x:v>level_low</x:v>
      </x:c>
      <x:c r="C985" s="60" t="n">
        <x:v>0.55</x:v>
      </x:c>
      <x:c r="D985" s="60" t="n">
        <x:v>0.55</x:v>
      </x:c>
      <x:c r="E985" s="62" t="b">
        <x:v>1</x:v>
      </x:c>
      <x:c r="F985" s="62" t="b">
        <x:v>1</x:v>
      </x:c>
      <x:c r="G985" s="85" t="n">
        <x:v>0</x:v>
      </x:c>
      <x:c r="H985" s="85" t="n">
        <x:v>0</x:v>
      </x:c>
      <x:c r="I985" s="85" t="n">
        <x:v>7858430.737873731</x:v>
      </x:c>
      <x:c r="J985" s="85" t="n">
        <x:v>12360609.64398814</x:v>
      </x:c>
      <x:c r="K985" s="85" t="n">
        <x:v>0</x:v>
      </x:c>
      <x:c r="L985" s="28" t="n">
        <x:v>12</x:v>
      </x:c>
      <x:c r="M985" s="28" t="n">
        <x:v>0</x:v>
      </x:c>
      <x:c r="N985" s="28" t="n">
        <x:v>4.656612873077393e-10</x:v>
      </x:c>
      <x:c r="O985" s="28" t="n">
        <x:v>3.725290298461914e-9</x:v>
      </x:c>
      <x:c r="P985" s="28" t="n">
        <x:v>0</x:v>
      </x:c>
      <x:c r="Q985" s="62" t="b">
        <x:v>1</x:v>
      </x:c>
      <x:c r="R985" s="28" t="n">
        <x:v>0</x:v>
      </x:c>
      <x:c r="S985" s="28" t="str">
        <x:v>8ea6a20e9c628d5c</x:v>
      </x:c>
    </x:row>
    <x:row r="986" ht="21" customHeight="1">
      <x:c r="A986" s="60" t="n">
        <x:v>0.63</x:v>
      </x:c>
      <x:c r="B986" s="28" t="str">
        <x:v>level_low</x:v>
      </x:c>
      <x:c r="C986" s="60" t="n">
        <x:v>0.6</x:v>
      </x:c>
      <x:c r="D986" s="60" t="n">
        <x:v>0.6</x:v>
      </x:c>
      <x:c r="E986" s="62" t="b">
        <x:v>1</x:v>
      </x:c>
      <x:c r="F986" s="62" t="b">
        <x:v>1</x:v>
      </x:c>
      <x:c r="G986" s="85" t="n">
        <x:v>0</x:v>
      </x:c>
      <x:c r="H986" s="85" t="n">
        <x:v>0</x:v>
      </x:c>
      <x:c r="I986" s="85" t="n">
        <x:v>8637958.369148992</x:v>
      </x:c>
      <x:c r="J986" s="85" t="n">
        <x:v>14056451.105698744</x:v>
      </x:c>
      <x:c r="K986" s="85" t="n">
        <x:v>0</x:v>
      </x:c>
      <x:c r="L986" s="28" t="n">
        <x:v>15</x:v>
      </x:c>
      <x:c r="M986" s="28" t="n">
        <x:v>0</x:v>
      </x:c>
      <x:c r="N986" s="28" t="n">
        <x:v>4.656612873077393e-10</x:v>
      </x:c>
      <x:c r="O986" s="28" t="n">
        <x:v>7.450580596923828e-9</x:v>
      </x:c>
      <x:c r="P986" s="28" t="n">
        <x:v>0</x:v>
      </x:c>
      <x:c r="Q986" s="62" t="b">
        <x:v>1</x:v>
      </x:c>
      <x:c r="R986" s="28" t="n">
        <x:v>0</x:v>
      </x:c>
      <x:c r="S986" s="28" t="str">
        <x:v>dd287b095542dc7f</x:v>
      </x:c>
    </x:row>
    <x:row r="987" ht="21" customHeight="1">
      <x:c r="A987" s="60" t="n">
        <x:v>0.63</x:v>
      </x:c>
      <x:c r="B987" s="28" t="str">
        <x:v>level_low</x:v>
      </x:c>
      <x:c r="C987" s="60" t="n">
        <x:v>0.65</x:v>
      </x:c>
      <x:c r="D987" s="60" t="n">
        <x:v>0.65</x:v>
      </x:c>
      <x:c r="E987" s="62" t="b">
        <x:v>1</x:v>
      </x:c>
      <x:c r="F987" s="62" t="b">
        <x:v>0</x:v>
      </x:c>
      <x:c r="G987" s="85" t="n">
        <x:v>49119.12222750491</x:v>
      </x:c>
      <x:c r="H987" s="85" t="n">
        <x:v>614429.8365213117</x:v>
      </x:c>
      <x:c r="I987" s="85" t="n">
        <x:v>9277516.621007327</x:v>
      </x:c>
      <x:c r="J987" s="85" t="n">
        <x:v>15050880.000000002</x:v>
      </x:c>
      <x:c r="K987" s="85" t="n">
        <x:v>0</x:v>
      </x:c>
      <x:c r="L987" s="28" t="n">
        <x:v>40</x:v>
      </x:c>
      <x:c r="M987" s="28" t="n">
        <x:v>26</x:v>
      </x:c>
      <x:c r="N987" s="28" t="n">
        <x:v>4.656612873077393e-10</x:v>
      </x:c>
      <x:c r="O987" s="28" t="n">
        <x:v>3.725290298461914e-9</x:v>
      </x:c>
      <x:c r="P987" s="28" t="n">
        <x:v>0</x:v>
      </x:c>
      <x:c r="Q987" s="62" t="b">
        <x:v>1</x:v>
      </x:c>
      <x:c r="R987" s="28" t="n">
        <x:v>0</x:v>
      </x:c>
      <x:c r="S987" s="28" t="str">
        <x:v>a0983d66aeef1280</x:v>
      </x:c>
    </x:row>
    <x:row r="988" ht="21" customHeight="1">
      <x:c r="A988" s="60" t="n">
        <x:v>0.63</x:v>
      </x:c>
      <x:c r="B988" s="28" t="str">
        <x:v>level_low</x:v>
      </x:c>
      <x:c r="C988" s="60" t="n">
        <x:v>0.7</x:v>
      </x:c>
      <x:c r="D988" s="60" t="n">
        <x:v>0.7</x:v>
      </x:c>
      <x:c r="E988" s="62" t="b">
        <x:v>1</x:v>
      </x:c>
      <x:c r="F988" s="62" t="b">
        <x:v>0</x:v>
      </x:c>
      <x:c r="G988" s="85" t="n">
        <x:v>196997.72254293418</x:v>
      </x:c>
      <x:c r="H988" s="85" t="n">
        <x:v>2453193.958458523</x:v>
      </x:c>
      <x:c r="I988" s="85" t="n">
        <x:v>9468369.68675685</x:v>
      </x:c>
      <x:c r="J988" s="85" t="n">
        <x:v>15050880.000000002</x:v>
      </x:c>
      <x:c r="K988" s="85" t="n">
        <x:v>0</x:v>
      </x:c>
      <x:c r="L988" s="28" t="n">
        <x:v>41</x:v>
      </x:c>
      <x:c r="M988" s="28" t="n">
        <x:v>31</x:v>
      </x:c>
      <x:c r="N988" s="28" t="n">
        <x:v>4.656612873077393e-10</x:v>
      </x:c>
      <x:c r="O988" s="28" t="n">
        <x:v>3.725290298461914e-9</x:v>
      </x:c>
      <x:c r="P988" s="28" t="n">
        <x:v>0</x:v>
      </x:c>
      <x:c r="Q988" s="62" t="b">
        <x:v>1</x:v>
      </x:c>
      <x:c r="R988" s="28" t="n">
        <x:v>0</x:v>
      </x:c>
      <x:c r="S988" s="28" t="str">
        <x:v>8cfc95bfa0b97c5d</x:v>
      </x:c>
    </x:row>
    <x:row r="989" ht="21" customHeight="1">
      <x:c r="A989" s="60" t="n">
        <x:v>0.63</x:v>
      </x:c>
      <x:c r="B989" s="28" t="str">
        <x:v>level_low</x:v>
      </x:c>
      <x:c r="C989" s="60" t="n">
        <x:v>0.75</x:v>
      </x:c>
      <x:c r="D989" s="60" t="n">
        <x:v>0.75</x:v>
      </x:c>
      <x:c r="E989" s="62" t="b">
        <x:v>1</x:v>
      </x:c>
      <x:c r="F989" s="62" t="b">
        <x:v>0</x:v>
      </x:c>
      <x:c r="G989" s="85" t="n">
        <x:v>359886.9704375624</x:v>
      </x:c>
      <x:c r="H989" s="85" t="n">
        <x:v>4478676.540851926</x:v>
      </x:c>
      <x:c r="I989" s="85" t="n">
        <x:v>9494905.609775685</x:v>
      </x:c>
      <x:c r="J989" s="85" t="n">
        <x:v>15050880.000000002</x:v>
      </x:c>
      <x:c r="K989" s="85" t="n">
        <x:v>0</x:v>
      </x:c>
      <x:c r="L989" s="28" t="n">
        <x:v>41</x:v>
      </x:c>
      <x:c r="M989" s="28" t="n">
        <x:v>32</x:v>
      </x:c>
      <x:c r="N989" s="28" t="n">
        <x:v>4.656612873077393e-10</x:v>
      </x:c>
      <x:c r="O989" s="28" t="n">
        <x:v>3.725290298461914e-9</x:v>
      </x:c>
      <x:c r="P989" s="28" t="n">
        <x:v>0</x:v>
      </x:c>
      <x:c r="Q989" s="62" t="b">
        <x:v>1</x:v>
      </x:c>
      <x:c r="R989" s="28" t="n">
        <x:v>0</x:v>
      </x:c>
      <x:c r="S989" s="28" t="str">
        <x:v>11f1b009e147df47</x:v>
      </x:c>
    </x:row>
    <x:row r="990" ht="21" customHeight="1">
      <x:c r="A990" s="60" t="n">
        <x:v>0.63</x:v>
      </x:c>
      <x:c r="B990" s="28" t="str">
        <x:v>level_low</x:v>
      </x:c>
      <x:c r="C990" s="60" t="n">
        <x:v>0.8</x:v>
      </x:c>
      <x:c r="D990" s="60" t="n">
        <x:v>0.8</x:v>
      </x:c>
      <x:c r="E990" s="62" t="b">
        <x:v>1</x:v>
      </x:c>
      <x:c r="F990" s="62" t="b">
        <x:v>0</x:v>
      </x:c>
      <x:c r="G990" s="85" t="n">
        <x:v>536575.66014072</x:v>
      </x:c>
      <x:c r="H990" s="85" t="n">
        <x:v>6289228.500076696</x:v>
      </x:c>
      <x:c r="I990" s="85" t="n">
        <x:v>9664419.738190684</x:v>
      </x:c>
      <x:c r="J990" s="85" t="n">
        <x:v>15050880.000000002</x:v>
      </x:c>
      <x:c r="K990" s="85" t="n">
        <x:v>0</x:v>
      </x:c>
      <x:c r="L990" s="28" t="n">
        <x:v>42</x:v>
      </x:c>
      <x:c r="M990" s="28" t="n">
        <x:v>32</x:v>
      </x:c>
      <x:c r="N990" s="28" t="n">
        <x:v>4.656612873077393e-10</x:v>
      </x:c>
      <x:c r="O990" s="28" t="n">
        <x:v>3.725290298461914e-9</x:v>
      </x:c>
      <x:c r="P990" s="28" t="n">
        <x:v>0</x:v>
      </x:c>
      <x:c r="Q990" s="62" t="b">
        <x:v>1</x:v>
      </x:c>
      <x:c r="R990" s="28" t="n">
        <x:v>0</x:v>
      </x:c>
      <x:c r="S990" s="28" t="str">
        <x:v>7cdeca506c6027f4</x:v>
      </x:c>
    </x:row>
    <x:row r="991" ht="21" customHeight="1">
      <x:c r="A991" s="60" t="n">
        <x:v>0.63</x:v>
      </x:c>
      <x:c r="B991" s="28" t="str">
        <x:v>level_low</x:v>
      </x:c>
      <x:c r="C991" s="60" t="n">
        <x:v>0.85</x:v>
      </x:c>
      <x:c r="D991" s="60" t="n">
        <x:v>0.85</x:v>
      </x:c>
      <x:c r="E991" s="62" t="b">
        <x:v>1</x:v>
      </x:c>
      <x:c r="F991" s="62" t="b">
        <x:v>0</x:v>
      </x:c>
      <x:c r="G991" s="85" t="n">
        <x:v>721439.985924663</x:v>
      </x:c>
      <x:c r="H991" s="85" t="n">
        <x:v>8044050.141365805</x:v>
      </x:c>
      <x:c r="I991" s="85" t="n">
        <x:v>9842527.794712327</x:v>
      </x:c>
      <x:c r="J991" s="85" t="n">
        <x:v>15050880.000000002</x:v>
      </x:c>
      <x:c r="K991" s="85" t="n">
        <x:v>0</x:v>
      </x:c>
      <x:c r="L991" s="28" t="n">
        <x:v>43</x:v>
      </x:c>
      <x:c r="M991" s="28" t="n">
        <x:v>34</x:v>
      </x:c>
      <x:c r="N991" s="28" t="n">
        <x:v>4.656612873077393e-10</x:v>
      </x:c>
      <x:c r="O991" s="28" t="n">
        <x:v>3.725290298461914e-9</x:v>
      </x:c>
      <x:c r="P991" s="28" t="n">
        <x:v>0</x:v>
      </x:c>
      <x:c r="Q991" s="62" t="b">
        <x:v>1</x:v>
      </x:c>
      <x:c r="R991" s="28" t="n">
        <x:v>0</x:v>
      </x:c>
      <x:c r="S991" s="28" t="str">
        <x:v>b5c408c7a0fdd14b</x:v>
      </x:c>
    </x:row>
    <x:row r="992" ht="21" customHeight="1">
      <x:c r="A992" s="60" t="n">
        <x:v>0.63</x:v>
      </x:c>
      <x:c r="B992" s="28" t="str">
        <x:v>level_low</x:v>
      </x:c>
      <x:c r="C992" s="60" t="n">
        <x:v>0.9</x:v>
      </x:c>
      <x:c r="D992" s="60" t="n">
        <x:v>0.8949513562027351</x:v>
      </x:c>
      <x:c r="E992" s="62" t="b">
        <x:v>0</x:v>
      </x:c>
      <x:c r="F992" s="62" t="b">
        <x:v>0</x:v>
      </x:c>
      <x:c r="G992" s="85" t="n">
        <x:v>1087676.155827558</x:v>
      </x:c>
      <x:c r="H992" s="85" t="n">
        <x:v>9536664.269549077</x:v>
      </x:c>
      <x:c r="I992" s="85" t="n">
        <x:v>9855684.882136986</x:v>
      </x:c>
      <x:c r="J992" s="85" t="n">
        <x:v>15050880.000000002</x:v>
      </x:c>
      <x:c r="K992" s="85" t="n">
        <x:v>0</x:v>
      </x:c>
      <x:c r="L992" s="28" t="n">
        <x:v>43</x:v>
      </x:c>
      <x:c r="M992" s="28" t="n">
        <x:v>34</x:v>
      </x:c>
      <x:c r="N992" s="28" t="n">
        <x:v>4.656612873077393e-10</x:v>
      </x:c>
      <x:c r="O992" s="28" t="n">
        <x:v>3.725290298461914e-9</x:v>
      </x:c>
      <x:c r="P992" s="28" t="n">
        <x:v>0</x:v>
      </x:c>
      <x:c r="Q992" s="62" t="b">
        <x:v>1</x:v>
      </x:c>
      <x:c r="R992" s="28" t="n">
        <x:v>281431.5998347327</x:v>
      </x:c>
      <x:c r="S992" s="28" t="str">
        <x:v>e0003f71a17cffa1</x:v>
      </x:c>
    </x:row>
    <x:row r="993" ht="21" customHeight="1">
      <x:c r="A993" s="60" t="n">
        <x:v>0.63</x:v>
      </x:c>
      <x:c r="B993" s="28" t="str">
        <x:v>level_low</x:v>
      </x:c>
      <x:c r="C993" s="60" t="n">
        <x:v>0.95</x:v>
      </x:c>
      <x:c r="D993" s="60" t="n">
        <x:v>0.9109811515371262</x:v>
      </x:c>
      <x:c r="E993" s="62" t="b">
        <x:v>0</x:v>
      </x:c>
      <x:c r="F993" s="62" t="b">
        <x:v>0</x:v>
      </x:c>
      <x:c r="G993" s="85" t="n">
        <x:v>1152690.5804704013</x:v>
      </x:c>
      <x:c r="H993" s="85" t="n">
        <x:v>10106705.947096888</x:v>
      </x:c>
      <x:c r="I993" s="85" t="n">
        <x:v>10021440.7159863</x:v>
      </x:c>
      <x:c r="J993" s="85" t="n">
        <x:v>15050880.000000002</x:v>
      </x:c>
      <x:c r="K993" s="85" t="n">
        <x:v>0</x:v>
      </x:c>
      <x:c r="L993" s="28" t="n">
        <x:v>44</x:v>
      </x:c>
      <x:c r="M993" s="28" t="n">
        <x:v>35</x:v>
      </x:c>
      <x:c r="N993" s="28" t="n">
        <x:v>2.3283064365386963e-10</x:v>
      </x:c>
      <x:c r="O993" s="28" t="n">
        <x:v>3.725290298461914e-9</x:v>
      </x:c>
      <x:c r="P993" s="28" t="n">
        <x:v>0</x:v>
      </x:c>
      <x:c r="Q993" s="62" t="b">
        <x:v>1</x:v>
      </x:c>
      <x:c r="R993" s="28" t="n">
        <x:v>2175066.688714437</x:v>
      </x:c>
      <x:c r="S993" s="28" t="str">
        <x:v>9f2b51e973329026</x:v>
      </x:c>
    </x:row>
    <x:row r="994" ht="21" customHeight="1">
      <x:c r="A994" s="60" t="n">
        <x:v>0.63</x:v>
      </x:c>
      <x:c r="B994" s="28" t="str">
        <x:v>level_low</x:v>
      </x:c>
      <x:c r="C994" s="60" t="n">
        <x:v>1</x:v>
      </x:c>
      <x:c r="D994" s="60" t="n">
        <x:v>0.9258453085724337</x:v>
      </x:c>
      <x:c r="E994" s="62" t="b">
        <x:v>0</x:v>
      </x:c>
      <x:c r="F994" s="62" t="b">
        <x:v>0</x:v>
      </x:c>
      <x:c r="G994" s="85" t="n">
        <x:v>1275973.765479149</x:v>
      </x:c>
      <x:c r="H994" s="85" t="n">
        <x:v>10736805.781863416</x:v>
      </x:c>
      <x:c r="I994" s="85" t="n">
        <x:v>10031527.73890411</x:v>
      </x:c>
      <x:c r="J994" s="85" t="n">
        <x:v>15050880.000000002</x:v>
      </x:c>
      <x:c r="K994" s="85" t="n">
        <x:v>0</x:v>
      </x:c>
      <x:c r="L994" s="28" t="n">
        <x:v>44</x:v>
      </x:c>
      <x:c r="M994" s="28" t="n">
        <x:v>36</x:v>
      </x:c>
      <x:c r="N994" s="28" t="n">
        <x:v>2.3283064365386963e-10</x:v>
      </x:c>
      <x:c r="O994" s="28" t="n">
        <x:v>1.862645149230957e-9</x:v>
      </x:c>
      <x:c r="P994" s="28" t="n">
        <x:v>0</x:v>
      </x:c>
      <x:c r="Q994" s="62" t="b">
        <x:v>1</x:v>
      </x:c>
      <x:c r="R994" s="28" t="n">
        <x:v>4133679.1189382523</x:v>
      </x:c>
      <x:c r="S994" s="28" t="str">
        <x:v>cfe23e7806cc7a37</x:v>
      </x:c>
    </x:row>
    <x:row r="995" ht="21" customHeight="1">
      <x:c r="A995" s="60" t="n">
        <x:v>0.63</x:v>
      </x:c>
      <x:c r="B995" s="28" t="str">
        <x:v>level_high</x:v>
      </x:c>
      <x:c r="C995" s="60" t="n">
        <x:v>0</x:v>
      </x:c>
      <x:c r="D995" s="60" t="n">
        <x:v>0</x:v>
      </x:c>
      <x:c r="E995" s="62" t="b">
        <x:v>1</x:v>
      </x:c>
      <x:c r="F995" s="62" t="b">
        <x:v>1</x:v>
      </x:c>
      <x:c r="G995" s="85" t="n">
        <x:v>0</x:v>
      </x:c>
      <x:c r="H995" s="85" t="n">
        <x:v>0</x:v>
      </x:c>
      <x:c r="I995" s="85" t="n">
        <x:v>0</x:v>
      </x:c>
      <x:c r="J995" s="85" t="n">
        <x:v>0</x:v>
      </x:c>
      <x:c r="K995" s="85" t="n">
        <x:v>6849717.621479447</x:v>
      </x:c>
      <x:c r="L995" s="28" t="n">
        <x:v>0</x:v>
      </x:c>
      <x:c r="M995" s="28" t="n">
        <x:v>0</x:v>
      </x:c>
      <x:c r="N995" s="28" t="n">
        <x:v>9.313225746154785e-10</x:v>
      </x:c>
      <x:c r="O995" s="28" t="n">
        <x:v>0</x:v>
      </x:c>
      <x:c r="P995" s="28" t="n">
        <x:v>0</x:v>
      </x:c>
      <x:c r="Q995" s="62" t="b">
        <x:v>1</x:v>
      </x:c>
      <x:c r="R995" s="28" t="n">
        <x:v>0</x:v>
      </x:c>
      <x:c r="S995" s="28" t="str">
        <x:v>34b774acbe925a1e</x:v>
      </x:c>
    </x:row>
    <x:row r="996" ht="21" customHeight="1">
      <x:c r="A996" s="60" t="n">
        <x:v>0.63</x:v>
      </x:c>
      <x:c r="B996" s="28" t="str">
        <x:v>level_high</x:v>
      </x:c>
      <x:c r="C996" s="60" t="n">
        <x:v>0.05</x:v>
      </x:c>
      <x:c r="D996" s="60" t="n">
        <x:v>0.05</x:v>
      </x:c>
      <x:c r="E996" s="62" t="b">
        <x:v>1</x:v>
      </x:c>
      <x:c r="F996" s="62" t="b">
        <x:v>1</x:v>
      </x:c>
      <x:c r="G996" s="85" t="n">
        <x:v>0</x:v>
      </x:c>
      <x:c r="H996" s="85" t="n">
        <x:v>0</x:v>
      </x:c>
      <x:c r="I996" s="85" t="n">
        <x:v>0</x:v>
      </x:c>
      <x:c r="J996" s="85" t="n">
        <x:v>0</x:v>
      </x:c>
      <x:c r="K996" s="85" t="n">
        <x:v>4351668.267147609</x:v>
      </x:c>
      <x:c r="L996" s="28" t="n">
        <x:v>0</x:v>
      </x:c>
      <x:c r="M996" s="28" t="n">
        <x:v>0</x:v>
      </x:c>
      <x:c r="N996" s="28" t="n">
        <x:v>4.656612873077393e-10</x:v>
      </x:c>
      <x:c r="O996" s="28" t="n">
        <x:v>7.450580596923828e-9</x:v>
      </x:c>
      <x:c r="P996" s="28" t="n">
        <x:v>0</x:v>
      </x:c>
      <x:c r="Q996" s="62" t="b">
        <x:v>1</x:v>
      </x:c>
      <x:c r="R996" s="28" t="n">
        <x:v>0</x:v>
      </x:c>
      <x:c r="S996" s="28" t="str">
        <x:v>132e442699cc7955</x:v>
      </x:c>
    </x:row>
    <x:row r="997" ht="21" customHeight="1">
      <x:c r="A997" s="60" t="n">
        <x:v>0.63</x:v>
      </x:c>
      <x:c r="B997" s="28" t="str">
        <x:v>level_high</x:v>
      </x:c>
      <x:c r="C997" s="60" t="n">
        <x:v>0.1</x:v>
      </x:c>
      <x:c r="D997" s="60" t="n">
        <x:v>0.1</x:v>
      </x:c>
      <x:c r="E997" s="62" t="b">
        <x:v>1</x:v>
      </x:c>
      <x:c r="F997" s="62" t="b">
        <x:v>1</x:v>
      </x:c>
      <x:c r="G997" s="85" t="n">
        <x:v>0</x:v>
      </x:c>
      <x:c r="H997" s="85" t="n">
        <x:v>0</x:v>
      </x:c>
      <x:c r="I997" s="85" t="n">
        <x:v>0</x:v>
      </x:c>
      <x:c r="J997" s="85" t="n">
        <x:v>0</x:v>
      </x:c>
      <x:c r="K997" s="85" t="n">
        <x:v>1853464.0158217186</x:v>
      </x:c>
      <x:c r="L997" s="28" t="n">
        <x:v>0</x:v>
      </x:c>
      <x:c r="M997" s="28" t="n">
        <x:v>0</x:v>
      </x:c>
      <x:c r="N997" s="28" t="n">
        <x:v>4.656612873077393e-10</x:v>
      </x:c>
      <x:c r="O997" s="28" t="n">
        <x:v>7.450580596923828e-9</x:v>
      </x:c>
      <x:c r="P997" s="28" t="n">
        <x:v>0</x:v>
      </x:c>
      <x:c r="Q997" s="62" t="b">
        <x:v>1</x:v>
      </x:c>
      <x:c r="R997" s="28" t="n">
        <x:v>0</x:v>
      </x:c>
      <x:c r="S997" s="28" t="str">
        <x:v>85c3521fb97776a5</x:v>
      </x:c>
    </x:row>
    <x:row r="998" ht="21" customHeight="1">
      <x:c r="A998" s="60" t="n">
        <x:v>0.63</x:v>
      </x:c>
      <x:c r="B998" s="28" t="str">
        <x:v>level_high</x:v>
      </x:c>
      <x:c r="C998" s="60" t="n">
        <x:v>0.15</x:v>
      </x:c>
      <x:c r="D998" s="60" t="n">
        <x:v>0.15</x:v>
      </x:c>
      <x:c r="E998" s="62" t="b">
        <x:v>1</x:v>
      </x:c>
      <x:c r="F998" s="62" t="b">
        <x:v>1</x:v>
      </x:c>
      <x:c r="G998" s="85" t="n">
        <x:v>0</x:v>
      </x:c>
      <x:c r="H998" s="85" t="n">
        <x:v>0</x:v>
      </x:c>
      <x:c r="I998" s="85" t="n">
        <x:v>902181.2458841458</x:v>
      </x:c>
      <x:c r="J998" s="85" t="n">
        <x:v>0</x:v>
      </x:c>
      <x:c r="K998" s="85" t="n">
        <x:v>352248.0403162997</x:v>
      </x:c>
      <x:c r="L998" s="28" t="n">
        <x:v>0</x:v>
      </x:c>
      <x:c r="M998" s="28" t="n">
        <x:v>0</x:v>
      </x:c>
      <x:c r="N998" s="28" t="n">
        <x:v>9.313225746154785e-10</x:v>
      </x:c>
      <x:c r="O998" s="28" t="n">
        <x:v>7.450580596923828e-9</x:v>
      </x:c>
      <x:c r="P998" s="28" t="n">
        <x:v>0</x:v>
      </x:c>
      <x:c r="Q998" s="62" t="b">
        <x:v>1</x:v>
      </x:c>
      <x:c r="R998" s="28" t="n">
        <x:v>0</x:v>
      </x:c>
      <x:c r="S998" s="28" t="str">
        <x:v>1219d9be8ebaf450</x:v>
      </x:c>
    </x:row>
    <x:row r="999" ht="21" customHeight="1">
      <x:c r="A999" s="60" t="n">
        <x:v>0.63</x:v>
      </x:c>
      <x:c r="B999" s="28" t="str">
        <x:v>level_high</x:v>
      </x:c>
      <x:c r="C999" s="60" t="n">
        <x:v>0.2</x:v>
      </x:c>
      <x:c r="D999" s="60" t="n">
        <x:v>0.2</x:v>
      </x:c>
      <x:c r="E999" s="62" t="b">
        <x:v>1</x:v>
      </x:c>
      <x:c r="F999" s="62" t="b">
        <x:v>1</x:v>
      </x:c>
      <x:c r="G999" s="85" t="n">
        <x:v>0</x:v>
      </x:c>
      <x:c r="H999" s="85" t="n">
        <x:v>0</x:v>
      </x:c>
      <x:c r="I999" s="85" t="n">
        <x:v>2810078.769496162</x:v>
      </x:c>
      <x:c r="J999" s="85" t="n">
        <x:v>1248509.6821693014</x:v>
      </x:c>
      <x:c r="K999" s="85" t="n">
        <x:v>251660.1467961633</x:v>
      </x:c>
      <x:c r="L999" s="28" t="n">
        <x:v>0</x:v>
      </x:c>
      <x:c r="M999" s="28" t="n">
        <x:v>0</x:v>
      </x:c>
      <x:c r="N999" s="28" t="n">
        <x:v>9.313225746154785e-10</x:v>
      </x:c>
      <x:c r="O999" s="28" t="n">
        <x:v>7.450580596923828e-9</x:v>
      </x:c>
      <x:c r="P999" s="28" t="n">
        <x:v>0</x:v>
      </x:c>
      <x:c r="Q999" s="62" t="b">
        <x:v>1</x:v>
      </x:c>
      <x:c r="R999" s="28" t="n">
        <x:v>0</x:v>
      </x:c>
      <x:c r="S999" s="28" t="str">
        <x:v>58690435d2c89442</x:v>
      </x:c>
    </x:row>
    <x:row r="1000" ht="21" customHeight="1">
      <x:c r="A1000" s="60" t="n">
        <x:v>0.63</x:v>
      </x:c>
      <x:c r="B1000" s="28" t="str">
        <x:v>level_high</x:v>
      </x:c>
      <x:c r="C1000" s="60" t="n">
        <x:v>0.25</x:v>
      </x:c>
      <x:c r="D1000" s="60" t="n">
        <x:v>0.25</x:v>
      </x:c>
      <x:c r="E1000" s="62" t="b">
        <x:v>1</x:v>
      </x:c>
      <x:c r="F1000" s="62" t="b">
        <x:v>1</x:v>
      </x:c>
      <x:c r="G1000" s="85" t="n">
        <x:v>0</x:v>
      </x:c>
      <x:c r="H1000" s="85" t="n">
        <x:v>0</x:v>
      </x:c>
      <x:c r="I1000" s="85" t="n">
        <x:v>4473642.501267466</x:v>
      </x:c>
      <x:c r="J1000" s="85" t="n">
        <x:v>2954237.1027116347</x:v>
      </x:c>
      <x:c r="K1000" s="85" t="n">
        <x:v>183195.22375547822</x:v>
      </x:c>
      <x:c r="L1000" s="28" t="n">
        <x:v>0</x:v>
      </x:c>
      <x:c r="M1000" s="28" t="n">
        <x:v>0</x:v>
      </x:c>
      <x:c r="N1000" s="28" t="n">
        <x:v>4.656612873077393e-10</x:v>
      </x:c>
      <x:c r="O1000" s="28" t="n">
        <x:v>7.450580596923828e-9</x:v>
      </x:c>
      <x:c r="P1000" s="28" t="n">
        <x:v>0</x:v>
      </x:c>
      <x:c r="Q1000" s="62" t="b">
        <x:v>1</x:v>
      </x:c>
      <x:c r="R1000" s="28" t="n">
        <x:v>0</x:v>
      </x:c>
      <x:c r="S1000" s="28" t="str">
        <x:v>c5c056adcd08b84d</x:v>
      </x:c>
    </x:row>
    <x:row r="1001" ht="21" customHeight="1">
      <x:c r="A1001" s="60" t="n">
        <x:v>0.63</x:v>
      </x:c>
      <x:c r="B1001" s="28" t="str">
        <x:v>level_high</x:v>
      </x:c>
      <x:c r="C1001" s="60" t="n">
        <x:v>0.3</x:v>
      </x:c>
      <x:c r="D1001" s="60" t="n">
        <x:v>0.3</x:v>
      </x:c>
      <x:c r="E1001" s="62" t="b">
        <x:v>1</x:v>
      </x:c>
      <x:c r="F1001" s="62" t="b">
        <x:v>1</x:v>
      </x:c>
      <x:c r="G1001" s="85" t="n">
        <x:v>0</x:v>
      </x:c>
      <x:c r="H1001" s="85" t="n">
        <x:v>0</x:v>
      </x:c>
      <x:c r="I1001" s="85" t="n">
        <x:v>6170636.210151083</x:v>
      </x:c>
      <x:c r="J1001" s="85" t="n">
        <x:v>4659964.523253947</x:v>
      </x:c>
      <x:c r="K1001" s="85" t="n">
        <x:v>146886.2823287673</x:v>
      </x:c>
      <x:c r="L1001" s="28" t="n">
        <x:v>0</x:v>
      </x:c>
      <x:c r="M1001" s="28" t="n">
        <x:v>0</x:v>
      </x:c>
      <x:c r="N1001" s="28" t="n">
        <x:v>9.313225746154785e-10</x:v>
      </x:c>
      <x:c r="O1001" s="28" t="n">
        <x:v>7.450580596923828e-9</x:v>
      </x:c>
      <x:c r="P1001" s="28" t="n">
        <x:v>0</x:v>
      </x:c>
      <x:c r="Q1001" s="62" t="b">
        <x:v>1</x:v>
      </x:c>
      <x:c r="R1001" s="28" t="n">
        <x:v>0</x:v>
      </x:c>
      <x:c r="S1001" s="28" t="str">
        <x:v>a0a2ace77f861145</x:v>
      </x:c>
    </x:row>
    <x:row r="1002" ht="21" customHeight="1">
      <x:c r="A1002" s="60" t="n">
        <x:v>0.63</x:v>
      </x:c>
      <x:c r="B1002" s="28" t="str">
        <x:v>level_high</x:v>
      </x:c>
      <x:c r="C1002" s="60" t="n">
        <x:v>0.35</x:v>
      </x:c>
      <x:c r="D1002" s="60" t="n">
        <x:v>0.35</x:v>
      </x:c>
      <x:c r="E1002" s="62" t="b">
        <x:v>1</x:v>
      </x:c>
      <x:c r="F1002" s="62" t="b">
        <x:v>1</x:v>
      </x:c>
      <x:c r="G1002" s="85" t="n">
        <x:v>0</x:v>
      </x:c>
      <x:c r="H1002" s="85" t="n">
        <x:v>0</x:v>
      </x:c>
      <x:c r="I1002" s="85" t="n">
        <x:v>7892047.430423602</x:v>
      </x:c>
      <x:c r="J1002" s="85" t="n">
        <x:v>6365691.943796259</x:v>
      </x:c>
      <x:c r="K1002" s="85" t="n">
        <x:v>116940.90938356155</x:v>
      </x:c>
      <x:c r="L1002" s="28" t="n">
        <x:v>0</x:v>
      </x:c>
      <x:c r="M1002" s="28" t="n">
        <x:v>0</x:v>
      </x:c>
      <x:c r="N1002" s="28" t="n">
        <x:v>4.656612873077393e-10</x:v>
      </x:c>
      <x:c r="O1002" s="28" t="n">
        <x:v>7.450580596923828e-9</x:v>
      </x:c>
      <x:c r="P1002" s="28" t="n">
        <x:v>0</x:v>
      </x:c>
      <x:c r="Q1002" s="62" t="b">
        <x:v>1</x:v>
      </x:c>
      <x:c r="R1002" s="28" t="n">
        <x:v>0</x:v>
      </x:c>
      <x:c r="S1002" s="28" t="str">
        <x:v>9528ee2e9e246a3c</x:v>
      </x:c>
    </x:row>
    <x:row r="1003" ht="21" customHeight="1">
      <x:c r="A1003" s="60" t="n">
        <x:v>0.63</x:v>
      </x:c>
      <x:c r="B1003" s="28" t="str">
        <x:v>level_high</x:v>
      </x:c>
      <x:c r="C1003" s="60" t="n">
        <x:v>0.4</x:v>
      </x:c>
      <x:c r="D1003" s="60" t="n">
        <x:v>0.4</x:v>
      </x:c>
      <x:c r="E1003" s="62" t="b">
        <x:v>1</x:v>
      </x:c>
      <x:c r="F1003" s="62" t="b">
        <x:v>1</x:v>
      </x:c>
      <x:c r="G1003" s="85" t="n">
        <x:v>0</x:v>
      </x:c>
      <x:c r="H1003" s="85" t="n">
        <x:v>0</x:v>
      </x:c>
      <x:c r="I1003" s="85" t="n">
        <x:v>9618298.938937148</x:v>
      </x:c>
      <x:c r="J1003" s="85" t="n">
        <x:v>8071419.364338602</x:v>
      </x:c>
      <x:c r="K1003" s="85" t="n">
        <x:v>93332.11331506865</x:v>
      </x:c>
      <x:c r="L1003" s="28" t="n">
        <x:v>0</x:v>
      </x:c>
      <x:c r="M1003" s="28" t="n">
        <x:v>0</x:v>
      </x:c>
      <x:c r="N1003" s="28" t="n">
        <x:v>2.3283064365386963e-10</x:v>
      </x:c>
      <x:c r="O1003" s="28" t="n">
        <x:v>7.450580596923828e-9</x:v>
      </x:c>
      <x:c r="P1003" s="28" t="n">
        <x:v>0</x:v>
      </x:c>
      <x:c r="Q1003" s="62" t="b">
        <x:v>1</x:v>
      </x:c>
      <x:c r="R1003" s="28" t="n">
        <x:v>0</x:v>
      </x:c>
      <x:c r="S1003" s="28" t="str">
        <x:v>400df65aa2f7b391</x:v>
      </x:c>
    </x:row>
    <x:row r="1004" ht="21" customHeight="1">
      <x:c r="A1004" s="60" t="n">
        <x:v>0.63</x:v>
      </x:c>
      <x:c r="B1004" s="28" t="str">
        <x:v>level_high</x:v>
      </x:c>
      <x:c r="C1004" s="60" t="n">
        <x:v>0.45</x:v>
      </x:c>
      <x:c r="D1004" s="60" t="n">
        <x:v>0.45</x:v>
      </x:c>
      <x:c r="E1004" s="62" t="b">
        <x:v>1</x:v>
      </x:c>
      <x:c r="F1004" s="62" t="b">
        <x:v>1</x:v>
      </x:c>
      <x:c r="G1004" s="85" t="n">
        <x:v>0</x:v>
      </x:c>
      <x:c r="H1004" s="85" t="n">
        <x:v>0</x:v>
      </x:c>
      <x:c r="I1004" s="85" t="n">
        <x:v>11390805.848156441</x:v>
      </x:c>
      <x:c r="J1004" s="85" t="n">
        <x:v>9579051.27181754</x:v>
      </x:c>
      <x:c r="K1004" s="85" t="n">
        <x:v>80597.38327397226</x:v>
      </x:c>
      <x:c r="L1004" s="28" t="n">
        <x:v>2</x:v>
      </x:c>
      <x:c r="M1004" s="28" t="n">
        <x:v>0</x:v>
      </x:c>
      <x:c r="N1004" s="28" t="n">
        <x:v>4.656612873077393e-10</x:v>
      </x:c>
      <x:c r="O1004" s="28" t="n">
        <x:v>3.725290298461914e-9</x:v>
      </x:c>
      <x:c r="P1004" s="28" t="n">
        <x:v>0</x:v>
      </x:c>
      <x:c r="Q1004" s="62" t="b">
        <x:v>1</x:v>
      </x:c>
      <x:c r="R1004" s="28" t="n">
        <x:v>0</x:v>
      </x:c>
      <x:c r="S1004" s="28" t="str">
        <x:v>e9a0386bddda64f2</x:v>
      </x:c>
    </x:row>
    <x:row r="1005" ht="21" customHeight="1">
      <x:c r="A1005" s="60" t="n">
        <x:v>0.63</x:v>
      </x:c>
      <x:c r="B1005" s="28" t="str">
        <x:v>level_high</x:v>
      </x:c>
      <x:c r="C1005" s="60" t="n">
        <x:v>0.5</x:v>
      </x:c>
      <x:c r="D1005" s="60" t="n">
        <x:v>0.5</x:v>
      </x:c>
      <x:c r="E1005" s="62" t="b">
        <x:v>1</x:v>
      </x:c>
      <x:c r="F1005" s="62" t="b">
        <x:v>1</x:v>
      </x:c>
      <x:c r="G1005" s="85" t="n">
        <x:v>0</x:v>
      </x:c>
      <x:c r="H1005" s="85" t="n">
        <x:v>0</x:v>
      </x:c>
      <x:c r="I1005" s="85" t="n">
        <x:v>13239120.1882035</x:v>
      </x:c>
      <x:c r="J1005" s="85" t="n">
        <x:v>10618042.99345049</x:v>
      </x:c>
      <x:c r="K1005" s="85" t="n">
        <x:v>71559.62156164311</x:v>
      </x:c>
      <x:c r="L1005" s="28" t="n">
        <x:v>7</x:v>
      </x:c>
      <x:c r="M1005" s="28" t="n">
        <x:v>0</x:v>
      </x:c>
      <x:c r="N1005" s="28" t="n">
        <x:v>4.656612873077393e-10</x:v>
      </x:c>
      <x:c r="O1005" s="28" t="n">
        <x:v>3.725290298461914e-9</x:v>
      </x:c>
      <x:c r="P1005" s="28" t="n">
        <x:v>0</x:v>
      </x:c>
      <x:c r="Q1005" s="62" t="b">
        <x:v>1</x:v>
      </x:c>
      <x:c r="R1005" s="28" t="n">
        <x:v>0</x:v>
      </x:c>
      <x:c r="S1005" s="28" t="str">
        <x:v>77f136ba0554f9de</x:v>
      </x:c>
    </x:row>
    <x:row r="1006" ht="21" customHeight="1">
      <x:c r="A1006" s="60" t="n">
        <x:v>0.63</x:v>
      </x:c>
      <x:c r="B1006" s="28" t="str">
        <x:v>level_high</x:v>
      </x:c>
      <x:c r="C1006" s="60" t="n">
        <x:v>0.55</x:v>
      </x:c>
      <x:c r="D1006" s="60" t="n">
        <x:v>0.55</x:v>
      </x:c>
      <x:c r="E1006" s="62" t="b">
        <x:v>1</x:v>
      </x:c>
      <x:c r="F1006" s="62" t="b">
        <x:v>1</x:v>
      </x:c>
      <x:c r="G1006" s="85" t="n">
        <x:v>0</x:v>
      </x:c>
      <x:c r="H1006" s="85" t="n">
        <x:v>0</x:v>
      </x:c>
      <x:c r="I1006" s="85" t="n">
        <x:v>14986609.489718948</x:v>
      </x:c>
      <x:c r="J1006" s="85" t="n">
        <x:v>12076122.81847664</x:v>
      </x:c>
      <x:c r="K1006" s="85" t="n">
        <x:v>62521.8598493147</x:v>
      </x:c>
      <x:c r="L1006" s="28" t="n">
        <x:v>11</x:v>
      </x:c>
      <x:c r="M1006" s="28" t="n">
        <x:v>4</x:v>
      </x:c>
      <x:c r="N1006" s="28" t="n">
        <x:v>2.3283064365386963e-10</x:v>
      </x:c>
      <x:c r="O1006" s="28" t="n">
        <x:v>3.725290298461914e-9</x:v>
      </x:c>
      <x:c r="P1006" s="28" t="n">
        <x:v>0</x:v>
      </x:c>
      <x:c r="Q1006" s="62" t="b">
        <x:v>1</x:v>
      </x:c>
      <x:c r="R1006" s="28" t="n">
        <x:v>0</x:v>
      </x:c>
      <x:c r="S1006" s="28" t="str">
        <x:v>2b0fd9449939d6d8</x:v>
      </x:c>
    </x:row>
    <x:row r="1007" ht="21" customHeight="1">
      <x:c r="A1007" s="60" t="n">
        <x:v>0.63</x:v>
      </x:c>
      <x:c r="B1007" s="28" t="str">
        <x:v>level_high</x:v>
      </x:c>
      <x:c r="C1007" s="60" t="n">
        <x:v>0.6</x:v>
      </x:c>
      <x:c r="D1007" s="60" t="n">
        <x:v>0.6</x:v>
      </x:c>
      <x:c r="E1007" s="62" t="b">
        <x:v>1</x:v>
      </x:c>
      <x:c r="F1007" s="62" t="b">
        <x:v>1</x:v>
      </x:c>
      <x:c r="G1007" s="85" t="n">
        <x:v>0</x:v>
      </x:c>
      <x:c r="H1007" s="85" t="n">
        <x:v>0</x:v>
      </x:c>
      <x:c r="I1007" s="85" t="n">
        <x:v>16661316.390900703</x:v>
      </x:c>
      <x:c r="J1007" s="85" t="n">
        <x:v>13916114.759807086</x:v>
      </x:c>
      <x:c r="K1007" s="85" t="n">
        <x:v>53484.0981369865</x:v>
      </x:c>
      <x:c r="L1007" s="28" t="n">
        <x:v>15</x:v>
      </x:c>
      <x:c r="M1007" s="28" t="n">
        <x:v>10</x:v>
      </x:c>
      <x:c r="N1007" s="28" t="n">
        <x:v>4.656612873077393e-10</x:v>
      </x:c>
      <x:c r="O1007" s="28" t="n">
        <x:v>7.450580596923828e-9</x:v>
      </x:c>
      <x:c r="P1007" s="28" t="n">
        <x:v>0</x:v>
      </x:c>
      <x:c r="Q1007" s="62" t="b">
        <x:v>1</x:v>
      </x:c>
      <x:c r="R1007" s="28" t="n">
        <x:v>0</x:v>
      </x:c>
      <x:c r="S1007" s="28" t="str">
        <x:v>70f813ee98f3f385</x:v>
      </x:c>
    </x:row>
    <x:row r="1008" ht="21" customHeight="1">
      <x:c r="A1008" s="60" t="n">
        <x:v>0.63</x:v>
      </x:c>
      <x:c r="B1008" s="28" t="str">
        <x:v>level_high</x:v>
      </x:c>
      <x:c r="C1008" s="60" t="n">
        <x:v>0.65</x:v>
      </x:c>
      <x:c r="D1008" s="60" t="n">
        <x:v>0.65</x:v>
      </x:c>
      <x:c r="E1008" s="62" t="b">
        <x:v>1</x:v>
      </x:c>
      <x:c r="F1008" s="62" t="b">
        <x:v>0</x:v>
      </x:c>
      <x:c r="G1008" s="85" t="n">
        <x:v>223011.9630215029</x:v>
      </x:c>
      <x:c r="H1008" s="85" t="n">
        <x:v>707296.1172016987</x:v>
      </x:c>
      <x:c r="I1008" s="85" t="n">
        <x:v>17908503.654323436</x:v>
      </x:c>
      <x:c r="J1008" s="85" t="n">
        <x:v>15050880.000000002</x:v>
      </x:c>
      <x:c r="K1008" s="85" t="n">
        <x:v>44446.33642465738</x:v>
      </x:c>
      <x:c r="L1008" s="28" t="n">
        <x:v>40</x:v>
      </x:c>
      <x:c r="M1008" s="28" t="n">
        <x:v>34</x:v>
      </x:c>
      <x:c r="N1008" s="28" t="n">
        <x:v>4.656612873077393e-10</x:v>
      </x:c>
      <x:c r="O1008" s="28" t="n">
        <x:v>3.725290298461914e-9</x:v>
      </x:c>
      <x:c r="P1008" s="28" t="n">
        <x:v>0</x:v>
      </x:c>
      <x:c r="Q1008" s="62" t="b">
        <x:v>1</x:v>
      </x:c>
      <x:c r="R1008" s="28" t="n">
        <x:v>0</x:v>
      </x:c>
      <x:c r="S1008" s="28" t="str">
        <x:v>b45bcec2bf991b24</x:v>
      </x:c>
    </x:row>
    <x:row r="1009" ht="21" customHeight="1">
      <x:c r="A1009" s="60" t="n">
        <x:v>0.63</x:v>
      </x:c>
      <x:c r="B1009" s="28" t="str">
        <x:v>level_high</x:v>
      </x:c>
      <x:c r="C1009" s="60" t="n">
        <x:v>0.7</x:v>
      </x:c>
      <x:c r="D1009" s="60" t="n">
        <x:v>0.7</x:v>
      </x:c>
      <x:c r="E1009" s="62" t="b">
        <x:v>1</x:v>
      </x:c>
      <x:c r="F1009" s="62" t="b">
        <x:v>0</x:v>
      </x:c>
      <x:c r="G1009" s="85" t="n">
        <x:v>1003471.7312632042</x:v>
      </x:c>
      <x:c r="H1009" s="85" t="n">
        <x:v>3036340.7359314063</x:v>
      </x:c>
      <x:c r="I1009" s="85" t="n">
        <x:v>18252355.304924667</x:v>
      </x:c>
      <x:c r="J1009" s="85" t="n">
        <x:v>15050880.000000002</x:v>
      </x:c>
      <x:c r="K1009" s="85" t="n">
        <x:v>35408.574712328715</x:v>
      </x:c>
      <x:c r="L1009" s="28" t="n">
        <x:v>41</x:v>
      </x:c>
      <x:c r="M1009" s="28" t="n">
        <x:v>35</x:v>
      </x:c>
      <x:c r="N1009" s="28" t="n">
        <x:v>4.656612873077393e-10</x:v>
      </x:c>
      <x:c r="O1009" s="28" t="n">
        <x:v>3.725290298461914e-9</x:v>
      </x:c>
      <x:c r="P1009" s="28" t="n">
        <x:v>0</x:v>
      </x:c>
      <x:c r="Q1009" s="62" t="b">
        <x:v>1</x:v>
      </x:c>
      <x:c r="R1009" s="28" t="n">
        <x:v>0</x:v>
      </x:c>
      <x:c r="S1009" s="28" t="str">
        <x:v>0e6eaeb25d2f5d88</x:v>
      </x:c>
    </x:row>
    <x:row r="1010" ht="21" customHeight="1">
      <x:c r="A1010" s="60" t="n">
        <x:v>0.63</x:v>
      </x:c>
      <x:c r="B1010" s="28" t="str">
        <x:v>level_high</x:v>
      </x:c>
      <x:c r="C1010" s="60" t="n">
        <x:v>0.75</x:v>
      </x:c>
      <x:c r="D1010" s="60" t="n">
        <x:v>0.75</x:v>
      </x:c>
      <x:c r="E1010" s="62" t="b">
        <x:v>1</x:v>
      </x:c>
      <x:c r="F1010" s="62" t="b">
        <x:v>0</x:v>
      </x:c>
      <x:c r="G1010" s="85" t="n">
        <x:v>1886502.7724967797</x:v>
      </x:c>
      <x:c r="H1010" s="85" t="n">
        <x:v>5642719.431200618</x:v>
      </x:c>
      <x:c r="I1010" s="85" t="n">
        <x:v>18324180.264544528</x:v>
      </x:c>
      <x:c r="J1010" s="85" t="n">
        <x:v>15050880.000000002</x:v>
      </x:c>
      <x:c r="K1010" s="85" t="n">
        <x:v>28087.186438356097</x:v>
      </x:c>
      <x:c r="L1010" s="28" t="n">
        <x:v>41</x:v>
      </x:c>
      <x:c r="M1010" s="28" t="n">
        <x:v>36</x:v>
      </x:c>
      <x:c r="N1010" s="28" t="n">
        <x:v>4.656612873077393e-10</x:v>
      </x:c>
      <x:c r="O1010" s="28" t="n">
        <x:v>3.725290298461914e-9</x:v>
      </x:c>
      <x:c r="P1010" s="28" t="n">
        <x:v>0</x:v>
      </x:c>
      <x:c r="Q1010" s="62" t="b">
        <x:v>1</x:v>
      </x:c>
      <x:c r="R1010" s="28" t="n">
        <x:v>0</x:v>
      </x:c>
      <x:c r="S1010" s="28" t="str">
        <x:v>7ac3803c9ab055a8</x:v>
      </x:c>
    </x:row>
    <x:row r="1011" ht="21" customHeight="1">
      <x:c r="A1011" s="60" t="n">
        <x:v>0.63</x:v>
      </x:c>
      <x:c r="B1011" s="28" t="str">
        <x:v>level_high</x:v>
      </x:c>
      <x:c r="C1011" s="60" t="n">
        <x:v>0.8</x:v>
      </x:c>
      <x:c r="D1011" s="60" t="n">
        <x:v>0.8</x:v>
      </x:c>
      <x:c r="E1011" s="62" t="b">
        <x:v>1</x:v>
      </x:c>
      <x:c r="F1011" s="62" t="b">
        <x:v>0</x:v>
      </x:c>
      <x:c r="G1011" s="85" t="n">
        <x:v>2784593.486214959</x:v>
      </x:c>
      <x:c r="H1011" s="85" t="n">
        <x:v>7685057.072651515</x:v>
      </x:c>
      <x:c r="I1011" s="85" t="n">
        <x:v>18626177.005757816</x:v>
      </x:c>
      <x:c r="J1011" s="85" t="n">
        <x:v>15050880.000000002</x:v>
      </x:c>
      <x:c r="K1011" s="85" t="n">
        <x:v>25062.78575342478</x:v>
      </x:c>
      <x:c r="L1011" s="28" t="n">
        <x:v>42</x:v>
      </x:c>
      <x:c r="M1011" s="28" t="n">
        <x:v>37</x:v>
      </x:c>
      <x:c r="N1011" s="28" t="n">
        <x:v>4.656612873077393e-10</x:v>
      </x:c>
      <x:c r="O1011" s="28" t="n">
        <x:v>3.725290298461914e-9</x:v>
      </x:c>
      <x:c r="P1011" s="28" t="n">
        <x:v>0</x:v>
      </x:c>
      <x:c r="Q1011" s="62" t="b">
        <x:v>1</x:v>
      </x:c>
      <x:c r="R1011" s="28" t="n">
        <x:v>0</x:v>
      </x:c>
      <x:c r="S1011" s="28" t="str">
        <x:v>c36938beba7836f5</x:v>
      </x:c>
    </x:row>
    <x:row r="1012" ht="21" customHeight="1">
      <x:c r="A1012" s="60" t="n">
        <x:v>0.63</x:v>
      </x:c>
      <x:c r="B1012" s="28" t="str">
        <x:v>level_high</x:v>
      </x:c>
      <x:c r="C1012" s="60" t="n">
        <x:v>0.85</x:v>
      </x:c>
      <x:c r="D1012" s="60" t="n">
        <x:v>0.85</x:v>
      </x:c>
      <x:c r="E1012" s="62" t="b">
        <x:v>1</x:v>
      </x:c>
      <x:c r="F1012" s="62" t="b">
        <x:v>0</x:v>
      </x:c>
      <x:c r="G1012" s="85" t="n">
        <x:v>3677633.3633350665</x:v>
      </x:c>
      <x:c r="H1012" s="85" t="n">
        <x:v>9709241.932365898</x:v>
      </x:c>
      <x:c r="I1012" s="85" t="n">
        <x:v>18931742.343547955</x:v>
      </x:c>
      <x:c r="J1012" s="85" t="n">
        <x:v>15050880.000000002</x:v>
      </x:c>
      <x:c r="K1012" s="85" t="n">
        <x:v>22038.385068493233</x:v>
      </x:c>
      <x:c r="L1012" s="28" t="n">
        <x:v>43</x:v>
      </x:c>
      <x:c r="M1012" s="28" t="n">
        <x:v>38</x:v>
      </x:c>
      <x:c r="N1012" s="28" t="n">
        <x:v>4.656612873077393e-10</x:v>
      </x:c>
      <x:c r="O1012" s="28" t="n">
        <x:v>3.725290298461914e-9</x:v>
      </x:c>
      <x:c r="P1012" s="28" t="n">
        <x:v>0</x:v>
      </x:c>
      <x:c r="Q1012" s="62" t="b">
        <x:v>1</x:v>
      </x:c>
      <x:c r="R1012" s="28" t="n">
        <x:v>0</x:v>
      </x:c>
      <x:c r="S1012" s="28" t="str">
        <x:v>6b0b09fc24026a5c</x:v>
      </x:c>
    </x:row>
    <x:row r="1013" ht="21" customHeight="1">
      <x:c r="A1013" s="60" t="n">
        <x:v>0.63</x:v>
      </x:c>
      <x:c r="B1013" s="28" t="str">
        <x:v>level_high</x:v>
      </x:c>
      <x:c r="C1013" s="60" t="n">
        <x:v>0.9</x:v>
      </x:c>
      <x:c r="D1013" s="60" t="n">
        <x:v>0.8949513562027351</x:v>
      </x:c>
      <x:c r="E1013" s="62" t="b">
        <x:v>0</x:v>
      </x:c>
      <x:c r="F1013" s="62" t="b">
        <x:v>0</x:v>
      </x:c>
      <x:c r="G1013" s="85" t="n">
        <x:v>4932854.469405747</x:v>
      </x:c>
      <x:c r="H1013" s="85" t="n">
        <x:v>11104961.829925232</x:v>
      </x:c>
      <x:c r="I1013" s="85" t="n">
        <x:v>18967717.004465766</x:v>
      </x:c>
      <x:c r="J1013" s="85" t="n">
        <x:v>15050880.000000002</x:v>
      </x:c>
      <x:c r="K1013" s="85" t="n">
        <x:v>19013.984383561452</x:v>
      </x:c>
      <x:c r="L1013" s="28" t="n">
        <x:v>43</x:v>
      </x:c>
      <x:c r="M1013" s="28" t="n">
        <x:v>39</x:v>
      </x:c>
      <x:c r="N1013" s="28" t="n">
        <x:v>4.656612873077393e-10</x:v>
      </x:c>
      <x:c r="O1013" s="28" t="n">
        <x:v>3.725290298461914e-9</x:v>
      </x:c>
      <x:c r="P1013" s="28" t="n">
        <x:v>0</x:v>
      </x:c>
      <x:c r="Q1013" s="62" t="b">
        <x:v>1</x:v>
      </x:c>
      <x:c r="R1013" s="28" t="n">
        <x:v>281431.5998347327</x:v>
      </x:c>
      <x:c r="S1013" s="28" t="str">
        <x:v>ae11bc9879c96c8b</x:v>
      </x:c>
    </x:row>
    <x:row r="1014" ht="21" customHeight="1">
      <x:c r="A1014" s="60" t="n">
        <x:v>0.63</x:v>
      </x:c>
      <x:c r="B1014" s="28" t="str">
        <x:v>level_high</x:v>
      </x:c>
      <x:c r="C1014" s="60" t="n">
        <x:v>0.95</x:v>
      </x:c>
      <x:c r="D1014" s="60" t="n">
        <x:v>0.9109811515371262</x:v>
      </x:c>
      <x:c r="E1014" s="62" t="b">
        <x:v>0</x:v>
      </x:c>
      <x:c r="F1014" s="62" t="b">
        <x:v>0</x:v>
      </x:c>
      <x:c r="G1014" s="85" t="n">
        <x:v>5265563.728807215</x:v>
      </x:c>
      <x:c r="H1014" s="85" t="n">
        <x:v>11789607.21276876</x:v>
      </x:c>
      <x:c r="I1014" s="85" t="n">
        <x:v>19254979.8931096</x:v>
      </x:c>
      <x:c r="J1014" s="85" t="n">
        <x:v>15050880.000000002</x:v>
      </x:c>
      <x:c r="K1014" s="85" t="n">
        <x:v>15989.58369862967</x:v>
      </x:c>
      <x:c r="L1014" s="28" t="n">
        <x:v>44</x:v>
      </x:c>
      <x:c r="M1014" s="28" t="n">
        <x:v>40</x:v>
      </x:c>
      <x:c r="N1014" s="28" t="n">
        <x:v>2.3283064365386963e-10</x:v>
      </x:c>
      <x:c r="O1014" s="28" t="n">
        <x:v>3.725290298461914e-9</x:v>
      </x:c>
      <x:c r="P1014" s="28" t="n">
        <x:v>0</x:v>
      </x:c>
      <x:c r="Q1014" s="62" t="b">
        <x:v>1</x:v>
      </x:c>
      <x:c r="R1014" s="28" t="n">
        <x:v>2175066.688714437</x:v>
      </x:c>
      <x:c r="S1014" s="28" t="str">
        <x:v>2c6bec38f18e0eb0</x:v>
      </x:c>
    </x:row>
    <x:row r="1015" ht="21" customHeight="1">
      <x:c r="A1015" s="60" t="n">
        <x:v>0.63</x:v>
      </x:c>
      <x:c r="B1015" s="28" t="str">
        <x:v>level_high</x:v>
      </x:c>
      <x:c r="C1015" s="60" t="n">
        <x:v>1</x:v>
      </x:c>
      <x:c r="D1015" s="60" t="n">
        <x:v>0.9258453085724337</x:v>
      </x:c>
      <x:c r="E1015" s="62" t="b">
        <x:v>0</x:v>
      </x:c>
      <x:c r="F1015" s="62" t="b">
        <x:v>0</x:v>
      </x:c>
      <x:c r="G1015" s="85" t="n">
        <x:v>5826671.956349898</x:v>
      </x:c>
      <x:c r="H1015" s="85" t="n">
        <x:v>12588552.663444929</x:v>
      </x:c>
      <x:c r="I1015" s="85" t="n">
        <x:v>19282216.42986303</x:v>
      </x:c>
      <x:c r="J1015" s="85" t="n">
        <x:v>15050880.000000002</x:v>
      </x:c>
      <x:c r="K1015" s="85" t="n">
        <x:v>12965.183013698588</x:v>
      </x:c>
      <x:c r="L1015" s="28" t="n">
        <x:v>44</x:v>
      </x:c>
      <x:c r="M1015" s="28" t="n">
        <x:v>40</x:v>
      </x:c>
      <x:c r="N1015" s="28" t="n">
        <x:v>2.3283064365386963e-10</x:v>
      </x:c>
      <x:c r="O1015" s="28" t="n">
        <x:v>1.862645149230957e-9</x:v>
      </x:c>
      <x:c r="P1015" s="28" t="n">
        <x:v>0</x:v>
      </x:c>
      <x:c r="Q1015" s="62" t="b">
        <x:v>1</x:v>
      </x:c>
      <x:c r="R1015" s="28" t="n">
        <x:v>4133679.1189382523</x:v>
      </x:c>
      <x:c r="S1015" s="28" t="str">
        <x:v>4ac61a261c4c4833</x:v>
      </x:c>
    </x:row>
    <x:row r="1016" ht="21" customHeight="1">
      <x:c r="A1016" s="60" t="n">
        <x:v>0.64</x:v>
      </x:c>
      <x:c r="B1016" s="28" t="str">
        <x:v>front_flat</x:v>
      </x:c>
      <x:c r="C1016" s="60" t="n">
        <x:v>0</x:v>
      </x:c>
      <x:c r="D1016" s="60" t="n">
        <x:v>0</x:v>
      </x:c>
      <x:c r="E1016" s="62" t="b">
        <x:v>1</x:v>
      </x:c>
      <x:c r="F1016" s="62" t="b">
        <x:v>1</x:v>
      </x:c>
      <x:c r="G1016" s="85" t="n">
        <x:v>0</x:v>
      </x:c>
      <x:c r="H1016" s="85" t="n">
        <x:v>0</x:v>
      </x:c>
      <x:c r="I1016" s="85" t="n">
        <x:v>0</x:v>
      </x:c>
      <x:c r="J1016" s="85" t="n">
        <x:v>0</x:v>
      </x:c>
      <x:c r="K1016" s="85" t="n">
        <x:v>6065538.563068496</x:v>
      </x:c>
      <x:c r="L1016" s="28" t="n">
        <x:v>0</x:v>
      </x:c>
      <x:c r="M1016" s="28" t="n">
        <x:v>0</x:v>
      </x:c>
      <x:c r="N1016" s="28" t="n">
        <x:v>9.313225746154785e-10</x:v>
      </x:c>
      <x:c r="O1016" s="28" t="n">
        <x:v>0</x:v>
      </x:c>
      <x:c r="P1016" s="28" t="n">
        <x:v>0</x:v>
      </x:c>
      <x:c r="Q1016" s="62" t="b">
        <x:v>1</x:v>
      </x:c>
      <x:c r="R1016" s="28" t="n">
        <x:v>0</x:v>
      </x:c>
      <x:c r="S1016" s="28" t="str">
        <x:v>902cb1a08fe8aae4</x:v>
      </x:c>
    </x:row>
    <x:row r="1017" ht="21" customHeight="1">
      <x:c r="A1017" s="60" t="n">
        <x:v>0.64</x:v>
      </x:c>
      <x:c r="B1017" s="28" t="str">
        <x:v>front_flat</x:v>
      </x:c>
      <x:c r="C1017" s="60" t="n">
        <x:v>0.05</x:v>
      </x:c>
      <x:c r="D1017" s="60" t="n">
        <x:v>0.05</x:v>
      </x:c>
      <x:c r="E1017" s="62" t="b">
        <x:v>1</x:v>
      </x:c>
      <x:c r="F1017" s="62" t="b">
        <x:v>1</x:v>
      </x:c>
      <x:c r="G1017" s="85" t="n">
        <x:v>0</x:v>
      </x:c>
      <x:c r="H1017" s="85" t="n">
        <x:v>0</x:v>
      </x:c>
      <x:c r="I1017" s="85" t="n">
        <x:v>0</x:v>
      </x:c>
      <x:c r="J1017" s="85" t="n">
        <x:v>0</x:v>
      </x:c>
      <x:c r="K1017" s="85" t="n">
        <x:v>3766141.6759236613</x:v>
      </x:c>
      <x:c r="L1017" s="28" t="n">
        <x:v>0</x:v>
      </x:c>
      <x:c r="M1017" s="28" t="n">
        <x:v>0</x:v>
      </x:c>
      <x:c r="N1017" s="28" t="n">
        <x:v>9.313225746154785e-10</x:v>
      </x:c>
      <x:c r="O1017" s="28" t="n">
        <x:v>7.450580596923828e-9</x:v>
      </x:c>
      <x:c r="P1017" s="28" t="n">
        <x:v>0</x:v>
      </x:c>
      <x:c r="Q1017" s="62" t="b">
        <x:v>1</x:v>
      </x:c>
      <x:c r="R1017" s="28" t="n">
        <x:v>0</x:v>
      </x:c>
      <x:c r="S1017" s="28" t="str">
        <x:v>4430dffdc5101d71</x:v>
      </x:c>
    </x:row>
    <x:row r="1018" ht="21" customHeight="1">
      <x:c r="A1018" s="60" t="n">
        <x:v>0.64</x:v>
      </x:c>
      <x:c r="B1018" s="28" t="str">
        <x:v>front_flat</x:v>
      </x:c>
      <x:c r="C1018" s="60" t="n">
        <x:v>0.1</x:v>
      </x:c>
      <x:c r="D1018" s="60" t="n">
        <x:v>0.1</x:v>
      </x:c>
      <x:c r="E1018" s="62" t="b">
        <x:v>1</x:v>
      </x:c>
      <x:c r="F1018" s="62" t="b">
        <x:v>1</x:v>
      </x:c>
      <x:c r="G1018" s="85" t="n">
        <x:v>0</x:v>
      </x:c>
      <x:c r="H1018" s="85" t="n">
        <x:v>0</x:v>
      </x:c>
      <x:c r="I1018" s="85" t="n">
        <x:v>0</x:v>
      </x:c>
      <x:c r="J1018" s="85" t="n">
        <x:v>0</x:v>
      </x:c>
      <x:c r="K1018" s="85" t="n">
        <x:v>1469458.58464443</x:v>
      </x:c>
      <x:c r="L1018" s="28" t="n">
        <x:v>0</x:v>
      </x:c>
      <x:c r="M1018" s="28" t="n">
        <x:v>0</x:v>
      </x:c>
      <x:c r="N1018" s="28" t="n">
        <x:v>9.313225746154785e-10</x:v>
      </x:c>
      <x:c r="O1018" s="28" t="n">
        <x:v>7.450580596923828e-9</x:v>
      </x:c>
      <x:c r="P1018" s="28" t="n">
        <x:v>0</x:v>
      </x:c>
      <x:c r="Q1018" s="62" t="b">
        <x:v>1</x:v>
      </x:c>
      <x:c r="R1018" s="28" t="n">
        <x:v>0</x:v>
      </x:c>
      <x:c r="S1018" s="28" t="str">
        <x:v>6aea1af384b436e4</x:v>
      </x:c>
    </x:row>
    <x:row r="1019" ht="21" customHeight="1">
      <x:c r="A1019" s="60" t="n">
        <x:v>0.64</x:v>
      </x:c>
      <x:c r="B1019" s="28" t="str">
        <x:v>front_flat</x:v>
      </x:c>
      <x:c r="C1019" s="60" t="n">
        <x:v>0.15</x:v>
      </x:c>
      <x:c r="D1019" s="60" t="n">
        <x:v>0.15</x:v>
      </x:c>
      <x:c r="E1019" s="62" t="b">
        <x:v>1</x:v>
      </x:c>
      <x:c r="F1019" s="62" t="b">
        <x:v>1</x:v>
      </x:c>
      <x:c r="G1019" s="85" t="n">
        <x:v>0</x:v>
      </x:c>
      <x:c r="H1019" s="85" t="n">
        <x:v>0</x:v>
      </x:c>
      <x:c r="I1019" s="85" t="n">
        <x:v>734047.2616754161</x:v>
      </x:c>
      <x:c r="J1019" s="85" t="n">
        <x:v>0</x:v>
      </x:c>
      <x:c r="K1019" s="85" t="n">
        <x:v>86586.17218835597</x:v>
      </x:c>
      <x:c r="L1019" s="28" t="n">
        <x:v>0</x:v>
      </x:c>
      <x:c r="M1019" s="28" t="n">
        <x:v>0</x:v>
      </x:c>
      <x:c r="N1019" s="28" t="n">
        <x:v>4.656612873077393e-10</x:v>
      </x:c>
      <x:c r="O1019" s="28" t="n">
        <x:v>7.450580596923828e-9</x:v>
      </x:c>
      <x:c r="P1019" s="28" t="n">
        <x:v>0</x:v>
      </x:c>
      <x:c r="Q1019" s="62" t="b">
        <x:v>1</x:v>
      </x:c>
      <x:c r="R1019" s="28" t="n">
        <x:v>0</x:v>
      </x:c>
      <x:c r="S1019" s="28" t="str">
        <x:v>33496b50b5046b5d</x:v>
      </x:c>
    </x:row>
    <x:row r="1020" ht="21" customHeight="1">
      <x:c r="A1020" s="60" t="n">
        <x:v>0.64</x:v>
      </x:c>
      <x:c r="B1020" s="28" t="str">
        <x:v>front_flat</x:v>
      </x:c>
      <x:c r="C1020" s="60" t="n">
        <x:v>0.2</x:v>
      </x:c>
      <x:c r="D1020" s="60" t="n">
        <x:v>0.2</x:v>
      </x:c>
      <x:c r="E1020" s="62" t="b">
        <x:v>1</x:v>
      </x:c>
      <x:c r="F1020" s="62" t="b">
        <x:v>1</x:v>
      </x:c>
      <x:c r="G1020" s="85" t="n">
        <x:v>0</x:v>
      </x:c>
      <x:c r="H1020" s="85" t="n">
        <x:v>0</x:v>
      </x:c>
      <x:c r="I1020" s="85" t="n">
        <x:v>2279348.185232934</x:v>
      </x:c>
      <x:c r="J1020" s="85" t="n">
        <x:v>1254093.4388721178</x:v>
      </x:c>
      <x:c r="K1020" s="85" t="n">
        <x:v>53246.56012328798</x:v>
      </x:c>
      <x:c r="L1020" s="28" t="n">
        <x:v>0</x:v>
      </x:c>
      <x:c r="M1020" s="28" t="n">
        <x:v>0</x:v>
      </x:c>
      <x:c r="N1020" s="28" t="n">
        <x:v>4.656612873077393e-10</x:v>
      </x:c>
      <x:c r="O1020" s="28" t="n">
        <x:v>7.450580596923828e-9</x:v>
      </x:c>
      <x:c r="P1020" s="28" t="n">
        <x:v>0</x:v>
      </x:c>
      <x:c r="Q1020" s="62" t="b">
        <x:v>1</x:v>
      </x:c>
      <x:c r="R1020" s="28" t="n">
        <x:v>0</x:v>
      </x:c>
      <x:c r="S1020" s="28" t="str">
        <x:v>8955ba058fc1e4e5</x:v>
      </x:c>
    </x:row>
    <x:row r="1021" ht="21" customHeight="1">
      <x:c r="A1021" s="60" t="n">
        <x:v>0.64</x:v>
      </x:c>
      <x:c r="B1021" s="28" t="str">
        <x:v>front_flat</x:v>
      </x:c>
      <x:c r="C1021" s="60" t="n">
        <x:v>0.25</x:v>
      </x:c>
      <x:c r="D1021" s="60" t="n">
        <x:v>0.25</x:v>
      </x:c>
      <x:c r="E1021" s="62" t="b">
        <x:v>1</x:v>
      </x:c>
      <x:c r="F1021" s="62" t="b">
        <x:v>1</x:v>
      </x:c>
      <x:c r="G1021" s="85" t="n">
        <x:v>0</x:v>
      </x:c>
      <x:c r="H1021" s="85" t="n">
        <x:v>0</x:v>
      </x:c>
      <x:c r="I1021" s="85" t="n">
        <x:v>3556687.2914863606</x:v>
      </x:c>
      <x:c r="J1021" s="85" t="n">
        <x:v>2961216.798590132</x:v>
      </x:c>
      <x:c r="K1021" s="85" t="n">
        <x:v>41629.59579794518</x:v>
      </x:c>
      <x:c r="L1021" s="28" t="n">
        <x:v>0</x:v>
      </x:c>
      <x:c r="M1021" s="28" t="n">
        <x:v>0</x:v>
      </x:c>
      <x:c r="N1021" s="28" t="n">
        <x:v>9.313225746154785e-10</x:v>
      </x:c>
      <x:c r="O1021" s="28" t="n">
        <x:v>3.725290298461914e-9</x:v>
      </x:c>
      <x:c r="P1021" s="28" t="n">
        <x:v>0</x:v>
      </x:c>
      <x:c r="Q1021" s="62" t="b">
        <x:v>1</x:v>
      </x:c>
      <x:c r="R1021" s="28" t="n">
        <x:v>0</x:v>
      </x:c>
      <x:c r="S1021" s="28" t="str">
        <x:v>16684977cfb02aa5</x:v>
      </x:c>
    </x:row>
    <x:row r="1022" ht="21" customHeight="1">
      <x:c r="A1022" s="60" t="n">
        <x:v>0.64</x:v>
      </x:c>
      <x:c r="B1022" s="28" t="str">
        <x:v>front_flat</x:v>
      </x:c>
      <x:c r="C1022" s="60" t="n">
        <x:v>0.3</x:v>
      </x:c>
      <x:c r="D1022" s="60" t="n">
        <x:v>0.3</x:v>
      </x:c>
      <x:c r="E1022" s="62" t="b">
        <x:v>1</x:v>
      </x:c>
      <x:c r="F1022" s="62" t="b">
        <x:v>1</x:v>
      </x:c>
      <x:c r="G1022" s="85" t="n">
        <x:v>0</x:v>
      </x:c>
      <x:c r="H1022" s="85" t="n">
        <x:v>0</x:v>
      </x:c>
      <x:c r="I1022" s="85" t="n">
        <x:v>4852878.955191863</x:v>
      </x:c>
      <x:c r="J1022" s="85" t="n">
        <x:v>4668340.15830817</x:v>
      </x:c>
      <x:c r="K1022" s="85" t="n">
        <x:v>30012.631472603418</x:v>
      </x:c>
      <x:c r="L1022" s="28" t="n">
        <x:v>0</x:v>
      </x:c>
      <x:c r="M1022" s="28" t="n">
        <x:v>0</x:v>
      </x:c>
      <x:c r="N1022" s="28" t="n">
        <x:v>4.656612873077393e-10</x:v>
      </x:c>
      <x:c r="O1022" s="28" t="n">
        <x:v>7.450580596923828e-9</x:v>
      </x:c>
      <x:c r="P1022" s="28" t="n">
        <x:v>0</x:v>
      </x:c>
      <x:c r="Q1022" s="62" t="b">
        <x:v>1</x:v>
      </x:c>
      <x:c r="R1022" s="28" t="n">
        <x:v>0</x:v>
      </x:c>
      <x:c r="S1022" s="28" t="str">
        <x:v>90ab2ac771f00261</x:v>
      </x:c>
    </x:row>
    <x:row r="1023" ht="21" customHeight="1">
      <x:c r="A1023" s="60" t="n">
        <x:v>0.64</x:v>
      </x:c>
      <x:c r="B1023" s="28" t="str">
        <x:v>front_flat</x:v>
      </x:c>
      <x:c r="C1023" s="60" t="n">
        <x:v>0.35</x:v>
      </x:c>
      <x:c r="D1023" s="60" t="n">
        <x:v>0.35</x:v>
      </x:c>
      <x:c r="E1023" s="62" t="b">
        <x:v>1</x:v>
      </x:c>
      <x:c r="F1023" s="62" t="b">
        <x:v>1</x:v>
      </x:c>
      <x:c r="G1023" s="85" t="n">
        <x:v>0</x:v>
      </x:c>
      <x:c r="H1023" s="85" t="n">
        <x:v>0</x:v>
      </x:c>
      <x:c r="I1023" s="85" t="n">
        <x:v>6148832.009975261</x:v>
      </x:c>
      <x:c r="J1023" s="85" t="n">
        <x:v>6375463.518026186</x:v>
      </x:c>
      <x:c r="K1023" s="85" t="n">
        <x:v>18395.667147260152</x:v>
      </x:c>
      <x:c r="L1023" s="28" t="n">
        <x:v>0</x:v>
      </x:c>
      <x:c r="M1023" s="28" t="n">
        <x:v>0</x:v>
      </x:c>
      <x:c r="N1023" s="28" t="n">
        <x:v>9.313225746154785e-10</x:v>
      </x:c>
      <x:c r="O1023" s="28" t="n">
        <x:v>7.450580596923828e-9</x:v>
      </x:c>
      <x:c r="P1023" s="28" t="n">
        <x:v>0</x:v>
      </x:c>
      <x:c r="Q1023" s="62" t="b">
        <x:v>1</x:v>
      </x:c>
      <x:c r="R1023" s="28" t="n">
        <x:v>0</x:v>
      </x:c>
      <x:c r="S1023" s="28" t="str">
        <x:v>ab7f5cfc165144e1</x:v>
      </x:c>
    </x:row>
    <x:row r="1024" ht="21" customHeight="1">
      <x:c r="A1024" s="60" t="n">
        <x:v>0.64</x:v>
      </x:c>
      <x:c r="B1024" s="28" t="str">
        <x:v>front_flat</x:v>
      </x:c>
      <x:c r="C1024" s="60" t="n">
        <x:v>0.4</x:v>
      </x:c>
      <x:c r="D1024" s="60" t="n">
        <x:v>0.4</x:v>
      </x:c>
      <x:c r="E1024" s="62" t="b">
        <x:v>1</x:v>
      </x:c>
      <x:c r="F1024" s="62" t="b">
        <x:v>1</x:v>
      </x:c>
      <x:c r="G1024" s="85" t="n">
        <x:v>0</x:v>
      </x:c>
      <x:c r="H1024" s="85" t="n">
        <x:v>0</x:v>
      </x:c>
      <x:c r="I1024" s="85" t="n">
        <x:v>7443548.038609698</x:v>
      </x:c>
      <x:c r="J1024" s="85" t="n">
        <x:v>8082586.877744222</x:v>
      </x:c>
      <x:c r="K1024" s="85" t="n">
        <x:v>11233.033150685056</x:v>
      </x:c>
      <x:c r="L1024" s="28" t="n">
        <x:v>0</x:v>
      </x:c>
      <x:c r="M1024" s="28" t="n">
        <x:v>0</x:v>
      </x:c>
      <x:c r="N1024" s="28" t="n">
        <x:v>4.656612873077393e-10</x:v>
      </x:c>
      <x:c r="O1024" s="28" t="n">
        <x:v>7.450580596923828e-9</x:v>
      </x:c>
      <x:c r="P1024" s="28" t="n">
        <x:v>0</x:v>
      </x:c>
      <x:c r="Q1024" s="62" t="b">
        <x:v>1</x:v>
      </x:c>
      <x:c r="R1024" s="28" t="n">
        <x:v>0</x:v>
      </x:c>
      <x:c r="S1024" s="28" t="str">
        <x:v>aa38668ab921bd19</x:v>
      </x:c>
    </x:row>
    <x:row r="1025" ht="21" customHeight="1">
      <x:c r="A1025" s="60" t="n">
        <x:v>0.64</x:v>
      </x:c>
      <x:c r="B1025" s="28" t="str">
        <x:v>front_flat</x:v>
      </x:c>
      <x:c r="C1025" s="60" t="n">
        <x:v>0.45</x:v>
      </x:c>
      <x:c r="D1025" s="60" t="n">
        <x:v>0.45</x:v>
      </x:c>
      <x:c r="E1025" s="62" t="b">
        <x:v>1</x:v>
      </x:c>
      <x:c r="F1025" s="62" t="b">
        <x:v>1</x:v>
      </x:c>
      <x:c r="G1025" s="85" t="n">
        <x:v>0</x:v>
      </x:c>
      <x:c r="H1025" s="85" t="n">
        <x:v>0</x:v>
      </x:c>
      <x:c r="I1025" s="85" t="n">
        <x:v>9042354.332781723</x:v>
      </x:c>
      <x:c r="J1025" s="85" t="n">
        <x:v>8994335.519868096</x:v>
      </x:c>
      <x:c r="K1025" s="85" t="n">
        <x:v>7322.95325342453</x:v>
      </x:c>
      <x:c r="L1025" s="28" t="n">
        <x:v>5</x:v>
      </x:c>
      <x:c r="M1025" s="28" t="n">
        <x:v>0</x:v>
      </x:c>
      <x:c r="N1025" s="28" t="n">
        <x:v>4.656612873077393e-10</x:v>
      </x:c>
      <x:c r="O1025" s="28" t="n">
        <x:v>3.725290298461914e-9</x:v>
      </x:c>
      <x:c r="P1025" s="28" t="n">
        <x:v>0</x:v>
      </x:c>
      <x:c r="Q1025" s="62" t="b">
        <x:v>1</x:v>
      </x:c>
      <x:c r="R1025" s="28" t="n">
        <x:v>0</x:v>
      </x:c>
      <x:c r="S1025" s="28" t="str">
        <x:v>f05e09ea0ef55c7e</x:v>
      </x:c>
    </x:row>
    <x:row r="1026" ht="21" customHeight="1">
      <x:c r="A1026" s="60" t="n">
        <x:v>0.64</x:v>
      </x:c>
      <x:c r="B1026" s="28" t="str">
        <x:v>front_flat</x:v>
      </x:c>
      <x:c r="C1026" s="60" t="n">
        <x:v>0.5</x:v>
      </x:c>
      <x:c r="D1026" s="60" t="n">
        <x:v>0.5</x:v>
      </x:c>
      <x:c r="E1026" s="62" t="b">
        <x:v>1</x:v>
      </x:c>
      <x:c r="F1026" s="62" t="b">
        <x:v>1</x:v>
      </x:c>
      <x:c r="G1026" s="85" t="n">
        <x:v>0</x:v>
      </x:c>
      <x:c r="H1026" s="85" t="n">
        <x:v>0</x:v>
      </x:c>
      <x:c r="I1026" s="85" t="n">
        <x:v>10728011.629096072</x:v>
      </x:c>
      <x:c r="J1026" s="85" t="n">
        <x:v>9538143.313977927</x:v>
      </x:c>
      <x:c r="K1026" s="85" t="n">
        <x:v>3412.873356164353</x:v>
      </x:c>
      <x:c r="L1026" s="28" t="n">
        <x:v>12</x:v>
      </x:c>
      <x:c r="M1026" s="28" t="n">
        <x:v>0</x:v>
      </x:c>
      <x:c r="N1026" s="28" t="n">
        <x:v>4.656612873077393e-10</x:v>
      </x:c>
      <x:c r="O1026" s="28" t="n">
        <x:v>7.450580596923828e-9</x:v>
      </x:c>
      <x:c r="P1026" s="28" t="n">
        <x:v>0</x:v>
      </x:c>
      <x:c r="Q1026" s="62" t="b">
        <x:v>1</x:v>
      </x:c>
      <x:c r="R1026" s="28" t="n">
        <x:v>0</x:v>
      </x:c>
      <x:c r="S1026" s="28" t="str">
        <x:v>7c3d0ba4d5e837a2</x:v>
      </x:c>
    </x:row>
    <x:row r="1027" ht="21" customHeight="1">
      <x:c r="A1027" s="60" t="n">
        <x:v>0.64</x:v>
      </x:c>
      <x:c r="B1027" s="28" t="str">
        <x:v>front_flat</x:v>
      </x:c>
      <x:c r="C1027" s="60" t="n">
        <x:v>0.55</x:v>
      </x:c>
      <x:c r="D1027" s="60" t="n">
        <x:v>0.55</x:v>
      </x:c>
      <x:c r="E1027" s="62" t="b">
        <x:v>1</x:v>
      </x:c>
      <x:c r="F1027" s="62" t="b">
        <x:v>1</x:v>
      </x:c>
      <x:c r="G1027" s="85" t="n">
        <x:v>0</x:v>
      </x:c>
      <x:c r="H1027" s="85" t="n">
        <x:v>0</x:v>
      </x:c>
      <x:c r="I1027" s="85" t="n">
        <x:v>12105674.844276996</x:v>
      </x:c>
      <x:c r="J1027" s="85" t="n">
        <x:v>11011896.568853749</x:v>
      </x:c>
      <x:c r="K1027" s="85" t="n">
        <x:v>0</x:v>
      </x:c>
      <x:c r="L1027" s="28" t="n">
        <x:v>17</x:v>
      </x:c>
      <x:c r="M1027" s="28" t="n">
        <x:v>0</x:v>
      </x:c>
      <x:c r="N1027" s="28" t="n">
        <x:v>4.656612873077393e-10</x:v>
      </x:c>
      <x:c r="O1027" s="28" t="n">
        <x:v>3.725290298461914e-9</x:v>
      </x:c>
      <x:c r="P1027" s="28" t="n">
        <x:v>0</x:v>
      </x:c>
      <x:c r="Q1027" s="62" t="b">
        <x:v>1</x:v>
      </x:c>
      <x:c r="R1027" s="28" t="n">
        <x:v>0</x:v>
      </x:c>
      <x:c r="S1027" s="28" t="str">
        <x:v>181ab28ac14f2395</x:v>
      </x:c>
    </x:row>
    <x:row r="1028" ht="21" customHeight="1">
      <x:c r="A1028" s="60" t="n">
        <x:v>0.64</x:v>
      </x:c>
      <x:c r="B1028" s="28" t="str">
        <x:v>front_flat</x:v>
      </x:c>
      <x:c r="C1028" s="60" t="n">
        <x:v>0.6</x:v>
      </x:c>
      <x:c r="D1028" s="60" t="n">
        <x:v>0.6</x:v>
      </x:c>
      <x:c r="E1028" s="62" t="b">
        <x:v>1</x:v>
      </x:c>
      <x:c r="F1028" s="62" t="b">
        <x:v>1</x:v>
      </x:c>
      <x:c r="G1028" s="85" t="n">
        <x:v>0</x:v>
      </x:c>
      <x:c r="H1028" s="85" t="n">
        <x:v>0</x:v>
      </x:c>
      <x:c r="I1028" s="85" t="n">
        <x:v>13277971.247206997</x:v>
      </x:c>
      <x:c r="J1028" s="85" t="n">
        <x:v>13008576.309737863</x:v>
      </x:c>
      <x:c r="K1028" s="85" t="n">
        <x:v>0</x:v>
      </x:c>
      <x:c r="L1028" s="28" t="n">
        <x:v>21</x:v>
      </x:c>
      <x:c r="M1028" s="28" t="n">
        <x:v>2</x:v>
      </x:c>
      <x:c r="N1028" s="28" t="n">
        <x:v>4.656612873077393e-10</x:v>
      </x:c>
      <x:c r="O1028" s="28" t="n">
        <x:v>3.725290298461914e-9</x:v>
      </x:c>
      <x:c r="P1028" s="28" t="n">
        <x:v>0</x:v>
      </x:c>
      <x:c r="Q1028" s="62" t="b">
        <x:v>1</x:v>
      </x:c>
      <x:c r="R1028" s="28" t="n">
        <x:v>0</x:v>
      </x:c>
      <x:c r="S1028" s="28" t="str">
        <x:v>a4e8734e181fdf71</x:v>
      </x:c>
    </x:row>
    <x:row r="1029" ht="21" customHeight="1">
      <x:c r="A1029" s="60" t="n">
        <x:v>0.64</x:v>
      </x:c>
      <x:c r="B1029" s="28" t="str">
        <x:v>front_flat</x:v>
      </x:c>
      <x:c r="C1029" s="60" t="n">
        <x:v>0.65</x:v>
      </x:c>
      <x:c r="D1029" s="60" t="n">
        <x:v>0.65</x:v>
      </x:c>
      <x:c r="E1029" s="62" t="b">
        <x:v>1</x:v>
      </x:c>
      <x:c r="F1029" s="62" t="b">
        <x:v>0</x:v>
      </x:c>
      <x:c r="G1029" s="85" t="n">
        <x:v>151968.69674675708</x:v>
      </x:c>
      <x:c r="H1029" s="85" t="n">
        <x:v>809732.6931185912</x:v>
      </x:c>
      <x:c r="I1029" s="85" t="n">
        <x:v>13980586.573304787</x:v>
      </x:c>
      <x:c r="J1029" s="85" t="n">
        <x:v>14493440</x:v>
      </x:c>
      <x:c r="K1029" s="85" t="n">
        <x:v>0</x:v>
      </x:c>
      <x:c r="L1029" s="28" t="n">
        <x:v>45</x:v>
      </x:c>
      <x:c r="M1029" s="28" t="n">
        <x:v>34</x:v>
      </x:c>
      <x:c r="N1029" s="28" t="n">
        <x:v>4.656612873077393e-10</x:v>
      </x:c>
      <x:c r="O1029" s="28" t="n">
        <x:v>3.725290298461914e-9</x:v>
      </x:c>
      <x:c r="P1029" s="28" t="n">
        <x:v>0</x:v>
      </x:c>
      <x:c r="Q1029" s="62" t="b">
        <x:v>1</x:v>
      </x:c>
      <x:c r="R1029" s="28" t="n">
        <x:v>0</x:v>
      </x:c>
      <x:c r="S1029" s="28" t="str">
        <x:v>3885395f40414517</x:v>
      </x:c>
    </x:row>
    <x:row r="1030" ht="21" customHeight="1">
      <x:c r="A1030" s="60" t="n">
        <x:v>0.64</x:v>
      </x:c>
      <x:c r="B1030" s="28" t="str">
        <x:v>front_flat</x:v>
      </x:c>
      <x:c r="C1030" s="60" t="n">
        <x:v>0.7</x:v>
      </x:c>
      <x:c r="D1030" s="60" t="n">
        <x:v>0.7</x:v>
      </x:c>
      <x:c r="E1030" s="62" t="b">
        <x:v>1</x:v>
      </x:c>
      <x:c r="F1030" s="62" t="b">
        <x:v>0</x:v>
      </x:c>
      <x:c r="G1030" s="85" t="n">
        <x:v>558518.8276094027</x:v>
      </x:c>
      <x:c r="H1030" s="85" t="n">
        <x:v>3009149.8642377495</x:v>
      </x:c>
      <x:c r="I1030" s="85" t="n">
        <x:v>14213797.628327388</x:v>
      </x:c>
      <x:c r="J1030" s="85" t="n">
        <x:v>14493440</x:v>
      </x:c>
      <x:c r="K1030" s="85" t="n">
        <x:v>0</x:v>
      </x:c>
      <x:c r="L1030" s="28" t="n">
        <x:v>46</x:v>
      </x:c>
      <x:c r="M1030" s="28" t="n">
        <x:v>36</x:v>
      </x:c>
      <x:c r="N1030" s="28" t="n">
        <x:v>4.656612873077393e-10</x:v>
      </x:c>
      <x:c r="O1030" s="28" t="n">
        <x:v>1.862645149230957e-9</x:v>
      </x:c>
      <x:c r="P1030" s="28" t="n">
        <x:v>0</x:v>
      </x:c>
      <x:c r="Q1030" s="62" t="b">
        <x:v>1</x:v>
      </x:c>
      <x:c r="R1030" s="28" t="n">
        <x:v>0</x:v>
      </x:c>
      <x:c r="S1030" s="28" t="str">
        <x:v>03203d450379e848</x:v>
      </x:c>
    </x:row>
    <x:row r="1031" ht="21" customHeight="1">
      <x:c r="A1031" s="60" t="n">
        <x:v>0.64</x:v>
      </x:c>
      <x:c r="B1031" s="28" t="str">
        <x:v>front_flat</x:v>
      </x:c>
      <x:c r="C1031" s="60" t="n">
        <x:v>0.75</x:v>
      </x:c>
      <x:c r="D1031" s="60" t="n">
        <x:v>0.75</x:v>
      </x:c>
      <x:c r="E1031" s="62" t="b">
        <x:v>1</x:v>
      </x:c>
      <x:c r="F1031" s="62" t="b">
        <x:v>0</x:v>
      </x:c>
      <x:c r="G1031" s="85" t="n">
        <x:v>1069473.0522415705</x:v>
      </x:c>
      <x:c r="H1031" s="85" t="n">
        <x:v>5424212.5203829575</x:v>
      </x:c>
      <x:c r="I1031" s="85" t="n">
        <x:v>14221606.140558213</x:v>
      </x:c>
      <x:c r="J1031" s="85" t="n">
        <x:v>14493440</x:v>
      </x:c>
      <x:c r="K1031" s="85" t="n">
        <x:v>0</x:v>
      </x:c>
      <x:c r="L1031" s="28" t="n">
        <x:v>46</x:v>
      </x:c>
      <x:c r="M1031" s="28" t="n">
        <x:v>38</x:v>
      </x:c>
      <x:c r="N1031" s="28" t="n">
        <x:v>2.3283064365386963e-10</x:v>
      </x:c>
      <x:c r="O1031" s="28" t="n">
        <x:v>3.725290298461914e-9</x:v>
      </x:c>
      <x:c r="P1031" s="28" t="n">
        <x:v>0</x:v>
      </x:c>
      <x:c r="Q1031" s="62" t="b">
        <x:v>1</x:v>
      </x:c>
      <x:c r="R1031" s="28" t="n">
        <x:v>0</x:v>
      </x:c>
      <x:c r="S1031" s="28" t="str">
        <x:v>e0de07e0eff2a805</x:v>
      </x:c>
    </x:row>
    <x:row r="1032" ht="21" customHeight="1">
      <x:c r="A1032" s="60" t="n">
        <x:v>0.64</x:v>
      </x:c>
      <x:c r="B1032" s="28" t="str">
        <x:v>front_flat</x:v>
      </x:c>
      <x:c r="C1032" s="60" t="n">
        <x:v>0.8</x:v>
      </x:c>
      <x:c r="D1032" s="60" t="n">
        <x:v>0.8</x:v>
      </x:c>
      <x:c r="E1032" s="62" t="b">
        <x:v>1</x:v>
      </x:c>
      <x:c r="F1032" s="62" t="b">
        <x:v>0</x:v>
      </x:c>
      <x:c r="G1032" s="85" t="n">
        <x:v>1541457.1608445907</x:v>
      </x:c>
      <x:c r="H1032" s="85" t="n">
        <x:v>7802999.365089883</x:v>
      </x:c>
      <x:c r="I1032" s="85" t="n">
        <x:v>14229414.652789034</x:v>
      </x:c>
      <x:c r="J1032" s="85" t="n">
        <x:v>14493440</x:v>
      </x:c>
      <x:c r="K1032" s="85" t="n">
        <x:v>0</x:v>
      </x:c>
      <x:c r="L1032" s="28" t="n">
        <x:v>46</x:v>
      </x:c>
      <x:c r="M1032" s="28" t="n">
        <x:v>40</x:v>
      </x:c>
      <x:c r="N1032" s="28" t="n">
        <x:v>4.656612873077393e-10</x:v>
      </x:c>
      <x:c r="O1032" s="28" t="n">
        <x:v>3.725290298461914e-9</x:v>
      </x:c>
      <x:c r="P1032" s="28" t="n">
        <x:v>0</x:v>
      </x:c>
      <x:c r="Q1032" s="62" t="b">
        <x:v>1</x:v>
      </x:c>
      <x:c r="R1032" s="28" t="n">
        <x:v>0</x:v>
      </x:c>
      <x:c r="S1032" s="28" t="str">
        <x:v>4c709a63833c1743</x:v>
      </x:c>
    </x:row>
    <x:row r="1033" ht="21" customHeight="1">
      <x:c r="A1033" s="60" t="n">
        <x:v>0.64</x:v>
      </x:c>
      <x:c r="B1033" s="28" t="str">
        <x:v>front_flat</x:v>
      </x:c>
      <x:c r="C1033" s="60" t="n">
        <x:v>0.85</x:v>
      </x:c>
      <x:c r="D1033" s="60" t="n">
        <x:v>0.85</x:v>
      </x:c>
      <x:c r="E1033" s="62" t="b">
        <x:v>1</x:v>
      </x:c>
      <x:c r="F1033" s="62" t="b">
        <x:v>0</x:v>
      </x:c>
      <x:c r="G1033" s="85" t="n">
        <x:v>2145192.4477934293</x:v>
      </x:c>
      <x:c r="H1033" s="85" t="n">
        <x:v>10027959.47897909</x:v>
      </x:c>
      <x:c r="I1033" s="85" t="n">
        <x:v>14240563.207108896</x:v>
      </x:c>
      <x:c r="J1033" s="85" t="n">
        <x:v>14493440</x:v>
      </x:c>
      <x:c r="K1033" s="85" t="n">
        <x:v>0</x:v>
      </x:c>
      <x:c r="L1033" s="28" t="n">
        <x:v>46</x:v>
      </x:c>
      <x:c r="M1033" s="28" t="n">
        <x:v>42</x:v>
      </x:c>
      <x:c r="N1033" s="28" t="n">
        <x:v>2.3283064365386963e-10</x:v>
      </x:c>
      <x:c r="O1033" s="28" t="n">
        <x:v>1.862645149230957e-9</x:v>
      </x:c>
      <x:c r="P1033" s="28" t="n">
        <x:v>0</x:v>
      </x:c>
      <x:c r="Q1033" s="62" t="b">
        <x:v>1</x:v>
      </x:c>
      <x:c r="R1033" s="28" t="n">
        <x:v>0</x:v>
      </x:c>
      <x:c r="S1033" s="28" t="str">
        <x:v>5e783a7bde1ed17e</x:v>
      </x:c>
    </x:row>
    <x:row r="1034" ht="21" customHeight="1">
      <x:c r="A1034" s="60" t="n">
        <x:v>0.64</x:v>
      </x:c>
      <x:c r="B1034" s="28" t="str">
        <x:v>front_flat</x:v>
      </x:c>
      <x:c r="C1034" s="60" t="n">
        <x:v>0.9</x:v>
      </x:c>
      <x:c r="D1034" s="60" t="n">
        <x:v>0.9</x:v>
      </x:c>
      <x:c r="E1034" s="62" t="b">
        <x:v>1</x:v>
      </x:c>
      <x:c r="F1034" s="62" t="b">
        <x:v>0</x:v>
      </x:c>
      <x:c r="G1034" s="85" t="n">
        <x:v>2747364.6463129753</x:v>
      </x:c>
      <x:c r="H1034" s="85" t="n">
        <x:v>12232092.806162175</x:v>
      </x:c>
      <x:c r="I1034" s="85" t="n">
        <x:v>14252281.79923698</x:v>
      </x:c>
      <x:c r="J1034" s="85" t="n">
        <x:v>14493440</x:v>
      </x:c>
      <x:c r="K1034" s="85" t="n">
        <x:v>0</x:v>
      </x:c>
      <x:c r="L1034" s="28" t="n">
        <x:v>46</x:v>
      </x:c>
      <x:c r="M1034" s="28" t="n">
        <x:v>44</x:v>
      </x:c>
      <x:c r="N1034" s="28" t="n">
        <x:v>2.3283064365386963e-10</x:v>
      </x:c>
      <x:c r="O1034" s="28" t="n">
        <x:v>3.725290298461914e-9</x:v>
      </x:c>
      <x:c r="P1034" s="28" t="n">
        <x:v>0</x:v>
      </x:c>
      <x:c r="Q1034" s="62" t="b">
        <x:v>1</x:v>
      </x:c>
      <x:c r="R1034" s="28" t="n">
        <x:v>0</x:v>
      </x:c>
      <x:c r="S1034" s="28" t="str">
        <x:v>58a9e1de1a663ed5</x:v>
      </x:c>
    </x:row>
    <x:row r="1035" ht="21" customHeight="1">
      <x:c r="A1035" s="60" t="n">
        <x:v>0.64</x:v>
      </x:c>
      <x:c r="B1035" s="28" t="str">
        <x:v>front_flat</x:v>
      </x:c>
      <x:c r="C1035" s="60" t="n">
        <x:v>0.95</x:v>
      </x:c>
      <x:c r="D1035" s="60" t="n">
        <x:v>0.9427119459478259</x:v>
      </x:c>
      <x:c r="E1035" s="62" t="b">
        <x:v>0</x:v>
      </x:c>
      <x:c r="F1035" s="62" t="b">
        <x:v>0</x:v>
      </x:c>
      <x:c r="G1035" s="85" t="n">
        <x:v>3586337.3109251447</x:v>
      </x:c>
      <x:c r="H1035" s="85" t="n">
        <x:v>13578410.838634063</x:v>
      </x:c>
      <x:c r="I1035" s="85" t="n">
        <x:v>14264000.391365062</x:v>
      </x:c>
      <x:c r="J1035" s="85" t="n">
        <x:v>14493440</x:v>
      </x:c>
      <x:c r="K1035" s="85" t="n">
        <x:v>0</x:v>
      </x:c>
      <x:c r="L1035" s="28" t="n">
        <x:v>46</x:v>
      </x:c>
      <x:c r="M1035" s="28" t="n">
        <x:v>44</x:v>
      </x:c>
      <x:c r="N1035" s="28" t="n">
        <x:v>2.3283064365386963e-10</x:v>
      </x:c>
      <x:c r="O1035" s="28" t="n">
        <x:v>1.862645149230957e-9</x:v>
      </x:c>
      <x:c r="P1035" s="28" t="n">
        <x:v>0</x:v>
      </x:c>
      <x:c r="Q1035" s="62" t="b">
        <x:v>1</x:v>
      </x:c>
      <x:c r="R1035" s="28" t="n">
        <x:v>406265.28508438915</x:v>
      </x:c>
      <x:c r="S1035" s="28" t="str">
        <x:v>3e0d80cc9f69a0ff</x:v>
      </x:c>
    </x:row>
    <x:row r="1036" ht="21" customHeight="1">
      <x:c r="A1036" s="60" t="n">
        <x:v>0.64</x:v>
      </x:c>
      <x:c r="B1036" s="28" t="str">
        <x:v>front_flat</x:v>
      </x:c>
      <x:c r="C1036" s="60" t="n">
        <x:v>1</x:v>
      </x:c>
      <x:c r="D1036" s="60" t="n">
        <x:v>0.9596721012870685</x:v>
      </x:c>
      <x:c r="E1036" s="62" t="b">
        <x:v>0</x:v>
      </x:c>
      <x:c r="F1036" s="62" t="b">
        <x:v>0</x:v>
      </x:c>
      <x:c r="G1036" s="85" t="n">
        <x:v>3967607.899772712</x:v>
      </x:c>
      <x:c r="H1036" s="85" t="n">
        <x:v>14416605.776062593</x:v>
      </x:c>
      <x:c r="I1036" s="85" t="n">
        <x:v>14275718.983493142</x:v>
      </x:c>
      <x:c r="J1036" s="85" t="n">
        <x:v>14493440</x:v>
      </x:c>
      <x:c r="K1036" s="85" t="n">
        <x:v>0</x:v>
      </x:c>
      <x:c r="L1036" s="28" t="n">
        <x:v>46</x:v>
      </x:c>
      <x:c r="M1036" s="28" t="n">
        <x:v>44</x:v>
      </x:c>
      <x:c r="N1036" s="28" t="n">
        <x:v>2.3283064365386963e-10</x:v>
      </x:c>
      <x:c r="O1036" s="28" t="n">
        <x:v>1.862645149230957e-9</x:v>
      </x:c>
      <x:c r="P1036" s="28" t="n">
        <x:v>0</x:v>
      </x:c>
      <x:c r="Q1036" s="62" t="b">
        <x:v>1</x:v>
      </x:c>
      <x:c r="R1036" s="28" t="n">
        <x:v>2248038.3858536556</x:v>
      </x:c>
      <x:c r="S1036" s="28" t="str">
        <x:v>1e0055ec9c536075</x:v>
      </x:c>
    </x:row>
    <x:row r="1037" ht="21" customHeight="1">
      <x:c r="A1037" s="60" t="n">
        <x:v>0.64</x:v>
      </x:c>
      <x:c r="B1037" s="28" t="str">
        <x:v>front_low</x:v>
      </x:c>
      <x:c r="C1037" s="60" t="n">
        <x:v>0</x:v>
      </x:c>
      <x:c r="D1037" s="60" t="n">
        <x:v>0</x:v>
      </x:c>
      <x:c r="E1037" s="62" t="b">
        <x:v>1</x:v>
      </x:c>
      <x:c r="F1037" s="62" t="b">
        <x:v>1</x:v>
      </x:c>
      <x:c r="G1037" s="85" t="n">
        <x:v>0</x:v>
      </x:c>
      <x:c r="H1037" s="85" t="n">
        <x:v>0</x:v>
      </x:c>
      <x:c r="I1037" s="85" t="n">
        <x:v>0</x:v>
      </x:c>
      <x:c r="J1037" s="85" t="n">
        <x:v>0</x:v>
      </x:c>
      <x:c r="K1037" s="85" t="n">
        <x:v>5297676.453479452</x:v>
      </x:c>
      <x:c r="L1037" s="28" t="n">
        <x:v>0</x:v>
      </x:c>
      <x:c r="M1037" s="28" t="n">
        <x:v>0</x:v>
      </x:c>
      <x:c r="N1037" s="28" t="n">
        <x:v>4.656612873077393e-10</x:v>
      </x:c>
      <x:c r="O1037" s="28" t="n">
        <x:v>0</x:v>
      </x:c>
      <x:c r="P1037" s="28" t="n">
        <x:v>0</x:v>
      </x:c>
      <x:c r="Q1037" s="62" t="b">
        <x:v>1</x:v>
      </x:c>
      <x:c r="R1037" s="28" t="n">
        <x:v>0</x:v>
      </x:c>
      <x:c r="S1037" s="28" t="str">
        <x:v>fb4d343ed97245f6</x:v>
      </x:c>
    </x:row>
    <x:row r="1038" ht="21" customHeight="1">
      <x:c r="A1038" s="60" t="n">
        <x:v>0.64</x:v>
      </x:c>
      <x:c r="B1038" s="28" t="str">
        <x:v>front_low</x:v>
      </x:c>
      <x:c r="C1038" s="60" t="n">
        <x:v>0.05</x:v>
      </x:c>
      <x:c r="D1038" s="60" t="n">
        <x:v>0.05</x:v>
      </x:c>
      <x:c r="E1038" s="62" t="b">
        <x:v>1</x:v>
      </x:c>
      <x:c r="F1038" s="62" t="b">
        <x:v>1</x:v>
      </x:c>
      <x:c r="G1038" s="85" t="n">
        <x:v>0</x:v>
      </x:c>
      <x:c r="H1038" s="85" t="n">
        <x:v>0</x:v>
      </x:c>
      <x:c r="I1038" s="85" t="n">
        <x:v>0</x:v>
      </x:c>
      <x:c r="J1038" s="85" t="n">
        <x:v>0</x:v>
      </x:c>
      <x:c r="K1038" s="85" t="n">
        <x:v>3249393.510688264</x:v>
      </x:c>
      <x:c r="L1038" s="28" t="n">
        <x:v>0</x:v>
      </x:c>
      <x:c r="M1038" s="28" t="n">
        <x:v>0</x:v>
      </x:c>
      <x:c r="N1038" s="28" t="n">
        <x:v>9.313225746154785e-10</x:v>
      </x:c>
      <x:c r="O1038" s="28" t="n">
        <x:v>7.450580596923828e-9</x:v>
      </x:c>
      <x:c r="P1038" s="28" t="n">
        <x:v>0</x:v>
      </x:c>
      <x:c r="Q1038" s="62" t="b">
        <x:v>1</x:v>
      </x:c>
      <x:c r="R1038" s="28" t="n">
        <x:v>0</x:v>
      </x:c>
      <x:c r="S1038" s="28" t="str">
        <x:v>fd49299ed509fa0e</x:v>
      </x:c>
    </x:row>
    <x:row r="1039" ht="21" customHeight="1">
      <x:c r="A1039" s="60" t="n">
        <x:v>0.64</x:v>
      </x:c>
      <x:c r="B1039" s="28" t="str">
        <x:v>front_low</x:v>
      </x:c>
      <x:c r="C1039" s="60" t="n">
        <x:v>0.1</x:v>
      </x:c>
      <x:c r="D1039" s="60" t="n">
        <x:v>0.1</x:v>
      </x:c>
      <x:c r="E1039" s="62" t="b">
        <x:v>1</x:v>
      </x:c>
      <x:c r="F1039" s="62" t="b">
        <x:v>1</x:v>
      </x:c>
      <x:c r="G1039" s="85" t="n">
        <x:v>0</x:v>
      </x:c>
      <x:c r="H1039" s="85" t="n">
        <x:v>0</x:v>
      </x:c>
      <x:c r="I1039" s="85" t="n">
        <x:v>0</x:v>
      </x:c>
      <x:c r="J1039" s="85" t="n">
        <x:v>0</x:v>
      </x:c>
      <x:c r="K1039" s="85" t="n">
        <x:v>1203958.1602426977</x:v>
      </x:c>
      <x:c r="L1039" s="28" t="n">
        <x:v>0</x:v>
      </x:c>
      <x:c r="M1039" s="28" t="n">
        <x:v>0</x:v>
      </x:c>
      <x:c r="N1039" s="28" t="n">
        <x:v>2.3283064365386963e-10</x:v>
      </x:c>
      <x:c r="O1039" s="28" t="n">
        <x:v>7.450580596923828e-9</x:v>
      </x:c>
      <x:c r="P1039" s="28" t="n">
        <x:v>0</x:v>
      </x:c>
      <x:c r="Q1039" s="62" t="b">
        <x:v>1</x:v>
      </x:c>
      <x:c r="R1039" s="28" t="n">
        <x:v>0</x:v>
      </x:c>
      <x:c r="S1039" s="28" t="str">
        <x:v>166aef8deee1d6b9</x:v>
      </x:c>
    </x:row>
    <x:row r="1040" ht="21" customHeight="1">
      <x:c r="A1040" s="60" t="n">
        <x:v>0.64</x:v>
      </x:c>
      <x:c r="B1040" s="28" t="str">
        <x:v>front_low</x:v>
      </x:c>
      <x:c r="C1040" s="60" t="n">
        <x:v>0.15</x:v>
      </x:c>
      <x:c r="D1040" s="60" t="n">
        <x:v>0.15</x:v>
      </x:c>
      <x:c r="E1040" s="62" t="b">
        <x:v>1</x:v>
      </x:c>
      <x:c r="F1040" s="62" t="b">
        <x:v>1</x:v>
      </x:c>
      <x:c r="G1040" s="85" t="n">
        <x:v>0</x:v>
      </x:c>
      <x:c r="H1040" s="85" t="n">
        <x:v>0</x:v>
      </x:c>
      <x:c r="I1040" s="85" t="n">
        <x:v>623839.2727118031</x:v>
      </x:c>
      <x:c r="J1040" s="85" t="n">
        <x:v>0</x:v>
      </x:c>
      <x:c r="K1040" s="85" t="n">
        <x:v>18583.1882842466</x:v>
      </x:c>
      <x:c r="L1040" s="28" t="n">
        <x:v>0</x:v>
      </x:c>
      <x:c r="M1040" s="28" t="n">
        <x:v>0</x:v>
      </x:c>
      <x:c r="N1040" s="28" t="n">
        <x:v>4.656612873077393e-10</x:v>
      </x:c>
      <x:c r="O1040" s="28" t="n">
        <x:v>7.450580596923828e-9</x:v>
      </x:c>
      <x:c r="P1040" s="28" t="n">
        <x:v>0</x:v>
      </x:c>
      <x:c r="Q1040" s="62" t="b">
        <x:v>1</x:v>
      </x:c>
      <x:c r="R1040" s="28" t="n">
        <x:v>0</x:v>
      </x:c>
      <x:c r="S1040" s="28" t="str">
        <x:v>d45b1d628f986123</x:v>
      </x:c>
    </x:row>
    <x:row r="1041" ht="21" customHeight="1">
      <x:c r="A1041" s="60" t="n">
        <x:v>0.64</x:v>
      </x:c>
      <x:c r="B1041" s="28" t="str">
        <x:v>front_low</x:v>
      </x:c>
      <x:c r="C1041" s="60" t="n">
        <x:v>0.2</x:v>
      </x:c>
      <x:c r="D1041" s="60" t="n">
        <x:v>0.2</x:v>
      </x:c>
      <x:c r="E1041" s="62" t="b">
        <x:v>1</x:v>
      </x:c>
      <x:c r="F1041" s="62" t="b">
        <x:v>1</x:v>
      </x:c>
      <x:c r="G1041" s="85" t="n">
        <x:v>0</x:v>
      </x:c>
      <x:c r="H1041" s="85" t="n">
        <x:v>0</x:v>
      </x:c>
      <x:c r="I1041" s="85" t="n">
        <x:v>1788271.3366654054</x:v>
      </x:c>
      <x:c r="J1041" s="85" t="n">
        <x:v>1254093.4388721178</x:v>
      </x:c>
      <x:c r="K1041" s="85" t="n">
        <x:v>11971.783136986305</x:v>
      </x:c>
      <x:c r="L1041" s="28" t="n">
        <x:v>0</x:v>
      </x:c>
      <x:c r="M1041" s="28" t="n">
        <x:v>0</x:v>
      </x:c>
      <x:c r="N1041" s="28" t="n">
        <x:v>4.656612873077393e-10</x:v>
      </x:c>
      <x:c r="O1041" s="28" t="n">
        <x:v>7.450580596923828e-9</x:v>
      </x:c>
      <x:c r="P1041" s="28" t="n">
        <x:v>0</x:v>
      </x:c>
      <x:c r="Q1041" s="62" t="b">
        <x:v>1</x:v>
      </x:c>
      <x:c r="R1041" s="28" t="n">
        <x:v>0</x:v>
      </x:c>
      <x:c r="S1041" s="28" t="str">
        <x:v>6cf6b98a7252f5b6</x:v>
      </x:c>
    </x:row>
    <x:row r="1042" ht="21" customHeight="1">
      <x:c r="A1042" s="60" t="n">
        <x:v>0.64</x:v>
      </x:c>
      <x:c r="B1042" s="28" t="str">
        <x:v>front_low</x:v>
      </x:c>
      <x:c r="C1042" s="60" t="n">
        <x:v>0.25</x:v>
      </x:c>
      <x:c r="D1042" s="60" t="n">
        <x:v>0.25</x:v>
      </x:c>
      <x:c r="E1042" s="62" t="b">
        <x:v>1</x:v>
      </x:c>
      <x:c r="F1042" s="62" t="b">
        <x:v>1</x:v>
      </x:c>
      <x:c r="G1042" s="85" t="n">
        <x:v>0</x:v>
      </x:c>
      <x:c r="H1042" s="85" t="n">
        <x:v>0</x:v>
      </x:c>
      <x:c r="I1042" s="85" t="n">
        <x:v>2620036.3345074533</x:v>
      </x:c>
      <x:c r="J1042" s="85" t="n">
        <x:v>2961216.798590132</x:v>
      </x:c>
      <x:c r="K1042" s="85" t="n">
        <x:v>5360.377989726065</x:v>
      </x:c>
      <x:c r="L1042" s="28" t="n">
        <x:v>0</x:v>
      </x:c>
      <x:c r="M1042" s="28" t="n">
        <x:v>0</x:v>
      </x:c>
      <x:c r="N1042" s="28" t="n">
        <x:v>4.656612873077393e-10</x:v>
      </x:c>
      <x:c r="O1042" s="28" t="n">
        <x:v>3.725290298461914e-9</x:v>
      </x:c>
      <x:c r="P1042" s="28" t="n">
        <x:v>0</x:v>
      </x:c>
      <x:c r="Q1042" s="62" t="b">
        <x:v>1</x:v>
      </x:c>
      <x:c r="R1042" s="28" t="n">
        <x:v>0</x:v>
      </x:c>
      <x:c r="S1042" s="28" t="str">
        <x:v>f1f3ee3af9802381</x:v>
      </x:c>
    </x:row>
    <x:row r="1043" ht="21" customHeight="1">
      <x:c r="A1043" s="60" t="n">
        <x:v>0.64</x:v>
      </x:c>
      <x:c r="B1043" s="28" t="str">
        <x:v>front_low</x:v>
      </x:c>
      <x:c r="C1043" s="60" t="n">
        <x:v>0.3</x:v>
      </x:c>
      <x:c r="D1043" s="60" t="n">
        <x:v>0.3</x:v>
      </x:c>
      <x:c r="E1043" s="62" t="b">
        <x:v>1</x:v>
      </x:c>
      <x:c r="F1043" s="62" t="b">
        <x:v>1</x:v>
      </x:c>
      <x:c r="G1043" s="85" t="n">
        <x:v>0</x:v>
      </x:c>
      <x:c r="H1043" s="85" t="n">
        <x:v>0</x:v>
      </x:c>
      <x:c r="I1043" s="85" t="n">
        <x:v>3462518.720652783</x:v>
      </x:c>
      <x:c r="J1043" s="85" t="n">
        <x:v>4668340.15830817</x:v>
      </x:c>
      <x:c r="K1043" s="85" t="n">
        <x:v>0</x:v>
      </x:c>
      <x:c r="L1043" s="28" t="n">
        <x:v>0</x:v>
      </x:c>
      <x:c r="M1043" s="28" t="n">
        <x:v>0</x:v>
      </x:c>
      <x:c r="N1043" s="28" t="n">
        <x:v>4.656612873077393e-10</x:v>
      </x:c>
      <x:c r="O1043" s="28" t="n">
        <x:v>7.450580596923828e-9</x:v>
      </x:c>
      <x:c r="P1043" s="28" t="n">
        <x:v>0</x:v>
      </x:c>
      <x:c r="Q1043" s="62" t="b">
        <x:v>1</x:v>
      </x:c>
      <x:c r="R1043" s="28" t="n">
        <x:v>0</x:v>
      </x:c>
      <x:c r="S1043" s="28" t="str">
        <x:v>9983a5a47c1a9b54</x:v>
      </x:c>
    </x:row>
    <x:row r="1044" ht="21" customHeight="1">
      <x:c r="A1044" s="60" t="n">
        <x:v>0.64</x:v>
      </x:c>
      <x:c r="B1044" s="28" t="str">
        <x:v>front_low</x:v>
      </x:c>
      <x:c r="C1044" s="60" t="n">
        <x:v>0.35</x:v>
      </x:c>
      <x:c r="D1044" s="60" t="n">
        <x:v>0.35</x:v>
      </x:c>
      <x:c r="E1044" s="62" t="b">
        <x:v>1</x:v>
      </x:c>
      <x:c r="F1044" s="62" t="b">
        <x:v>1</x:v>
      </x:c>
      <x:c r="G1044" s="85" t="n">
        <x:v>0</x:v>
      </x:c>
      <x:c r="H1044" s="85" t="n">
        <x:v>0</x:v>
      </x:c>
      <x:c r="I1044" s="85" t="n">
        <x:v>4301706.498903415</x:v>
      </x:c>
      <x:c r="J1044" s="85" t="n">
        <x:v>6375463.518026186</x:v>
      </x:c>
      <x:c r="K1044" s="85" t="n">
        <x:v>0</x:v>
      </x:c>
      <x:c r="L1044" s="28" t="n">
        <x:v>0</x:v>
      </x:c>
      <x:c r="M1044" s="28" t="n">
        <x:v>0</x:v>
      </x:c>
      <x:c r="N1044" s="28" t="n">
        <x:v>2.3283064365386963e-10</x:v>
      </x:c>
      <x:c r="O1044" s="28" t="n">
        <x:v>7.450580596923828e-9</x:v>
      </x:c>
      <x:c r="P1044" s="28" t="n">
        <x:v>0</x:v>
      </x:c>
      <x:c r="Q1044" s="62" t="b">
        <x:v>1</x:v>
      </x:c>
      <x:c r="R1044" s="28" t="n">
        <x:v>0</x:v>
      </x:c>
      <x:c r="S1044" s="28" t="str">
        <x:v>0620e66782b78176</x:v>
      </x:c>
    </x:row>
    <x:row r="1045" ht="21" customHeight="1">
      <x:c r="A1045" s="60" t="n">
        <x:v>0.64</x:v>
      </x:c>
      <x:c r="B1045" s="28" t="str">
        <x:v>front_low</x:v>
      </x:c>
      <x:c r="C1045" s="60" t="n">
        <x:v>0.4</x:v>
      </x:c>
      <x:c r="D1045" s="60" t="n">
        <x:v>0.4</x:v>
      </x:c>
      <x:c r="E1045" s="62" t="b">
        <x:v>1</x:v>
      </x:c>
      <x:c r="F1045" s="62" t="b">
        <x:v>1</x:v>
      </x:c>
      <x:c r="G1045" s="85" t="n">
        <x:v>0</x:v>
      </x:c>
      <x:c r="H1045" s="85" t="n">
        <x:v>0</x:v>
      </x:c>
      <x:c r="I1045" s="85" t="n">
        <x:v>5139657.251005083</x:v>
      </x:c>
      <x:c r="J1045" s="85" t="n">
        <x:v>8082586.877744222</x:v>
      </x:c>
      <x:c r="K1045" s="85" t="n">
        <x:v>0</x:v>
      </x:c>
      <x:c r="L1045" s="28" t="n">
        <x:v>0</x:v>
      </x:c>
      <x:c r="M1045" s="28" t="n">
        <x:v>0</x:v>
      </x:c>
      <x:c r="N1045" s="28" t="n">
        <x:v>4.656612873077393e-10</x:v>
      </x:c>
      <x:c r="O1045" s="28" t="n">
        <x:v>7.450580596923828e-9</x:v>
      </x:c>
      <x:c r="P1045" s="28" t="n">
        <x:v>0</x:v>
      </x:c>
      <x:c r="Q1045" s="62" t="b">
        <x:v>1</x:v>
      </x:c>
      <x:c r="R1045" s="28" t="n">
        <x:v>0</x:v>
      </x:c>
      <x:c r="S1045" s="28" t="str">
        <x:v>0210e82a61ae342c</x:v>
      </x:c>
    </x:row>
    <x:row r="1046" ht="21" customHeight="1">
      <x:c r="A1046" s="60" t="n">
        <x:v>0.64</x:v>
      </x:c>
      <x:c r="B1046" s="28" t="str">
        <x:v>front_low</x:v>
      </x:c>
      <x:c r="C1046" s="60" t="n">
        <x:v>0.45</x:v>
      </x:c>
      <x:c r="D1046" s="60" t="n">
        <x:v>0.45</x:v>
      </x:c>
      <x:c r="E1046" s="62" t="b">
        <x:v>1</x:v>
      </x:c>
      <x:c r="F1046" s="62" t="b">
        <x:v>1</x:v>
      </x:c>
      <x:c r="G1046" s="85" t="n">
        <x:v>0</x:v>
      </x:c>
      <x:c r="H1046" s="85" t="n">
        <x:v>0</x:v>
      </x:c>
      <x:c r="I1046" s="85" t="n">
        <x:v>6426195.175120617</x:v>
      </x:c>
      <x:c r="J1046" s="85" t="n">
        <x:v>9047928.858500486</x:v>
      </x:c>
      <x:c r="K1046" s="85" t="n">
        <x:v>0</x:v>
      </x:c>
      <x:c r="L1046" s="28" t="n">
        <x:v>6</x:v>
      </x:c>
      <x:c r="M1046" s="28" t="n">
        <x:v>0</x:v>
      </x:c>
      <x:c r="N1046" s="28" t="n">
        <x:v>2.3283064365386963e-10</x:v>
      </x:c>
      <x:c r="O1046" s="28" t="n">
        <x:v>3.725290298461914e-9</x:v>
      </x:c>
      <x:c r="P1046" s="28" t="n">
        <x:v>0</x:v>
      </x:c>
      <x:c r="Q1046" s="62" t="b">
        <x:v>1</x:v>
      </x:c>
      <x:c r="R1046" s="28" t="n">
        <x:v>0</x:v>
      </x:c>
      <x:c r="S1046" s="28" t="str">
        <x:v>2a28dea3ea8c36b5</x:v>
      </x:c>
    </x:row>
    <x:row r="1047" ht="21" customHeight="1">
      <x:c r="A1047" s="60" t="n">
        <x:v>0.64</x:v>
      </x:c>
      <x:c r="B1047" s="28" t="str">
        <x:v>front_low</x:v>
      </x:c>
      <x:c r="C1047" s="60" t="n">
        <x:v>0.5</x:v>
      </x:c>
      <x:c r="D1047" s="60" t="n">
        <x:v>0.5</x:v>
      </x:c>
      <x:c r="E1047" s="62" t="b">
        <x:v>1</x:v>
      </x:c>
      <x:c r="F1047" s="62" t="b">
        <x:v>1</x:v>
      </x:c>
      <x:c r="G1047" s="85" t="n">
        <x:v>0</x:v>
      </x:c>
      <x:c r="H1047" s="85" t="n">
        <x:v>0</x:v>
      </x:c>
      <x:c r="I1047" s="85" t="n">
        <x:v>7810546.6915294975</x:v>
      </x:c>
      <x:c r="J1047" s="85" t="n">
        <x:v>9822683.0403068</x:v>
      </x:c>
      <x:c r="K1047" s="85" t="n">
        <x:v>0</x:v>
      </x:c>
      <x:c r="L1047" s="28" t="n">
        <x:v>14</x:v>
      </x:c>
      <x:c r="M1047" s="28" t="n">
        <x:v>0</x:v>
      </x:c>
      <x:c r="N1047" s="28" t="n">
        <x:v>4.656612873077393e-10</x:v>
      </x:c>
      <x:c r="O1047" s="28" t="n">
        <x:v>7.450580596923828e-9</x:v>
      </x:c>
      <x:c r="P1047" s="28" t="n">
        <x:v>0</x:v>
      </x:c>
      <x:c r="Q1047" s="62" t="b">
        <x:v>1</x:v>
      </x:c>
      <x:c r="R1047" s="28" t="n">
        <x:v>0</x:v>
      </x:c>
      <x:c r="S1047" s="28" t="str">
        <x:v>2fa57ee0bc7ff1a7</x:v>
      </x:c>
    </x:row>
    <x:row r="1048" ht="21" customHeight="1">
      <x:c r="A1048" s="60" t="n">
        <x:v>0.64</x:v>
      </x:c>
      <x:c r="B1048" s="28" t="str">
        <x:v>front_low</x:v>
      </x:c>
      <x:c r="C1048" s="60" t="n">
        <x:v>0.55</x:v>
      </x:c>
      <x:c r="D1048" s="60" t="n">
        <x:v>0.55</x:v>
      </x:c>
      <x:c r="E1048" s="62" t="b">
        <x:v>1</x:v>
      </x:c>
      <x:c r="F1048" s="62" t="b">
        <x:v>1</x:v>
      </x:c>
      <x:c r="G1048" s="85" t="n">
        <x:v>0</x:v>
      </x:c>
      <x:c r="H1048" s="85" t="n">
        <x:v>0</x:v>
      </x:c>
      <x:c r="I1048" s="85" t="n">
        <x:v>8709273.19252643</x:v>
      </x:c>
      <x:c r="J1048" s="85" t="n">
        <x:v>11397693.300507879</x:v>
      </x:c>
      <x:c r="K1048" s="85" t="n">
        <x:v>0</x:v>
      </x:c>
      <x:c r="L1048" s="28" t="n">
        <x:v>18</x:v>
      </x:c>
      <x:c r="M1048" s="28" t="n">
        <x:v>0</x:v>
      </x:c>
      <x:c r="N1048" s="28" t="n">
        <x:v>4.656612873077393e-10</x:v>
      </x:c>
      <x:c r="O1048" s="28" t="n">
        <x:v>3.725290298461914e-9</x:v>
      </x:c>
      <x:c r="P1048" s="28" t="n">
        <x:v>0</x:v>
      </x:c>
      <x:c r="Q1048" s="62" t="b">
        <x:v>1</x:v>
      </x:c>
      <x:c r="R1048" s="28" t="n">
        <x:v>0</x:v>
      </x:c>
      <x:c r="S1048" s="28" t="str">
        <x:v>da8931d786228365</x:v>
      </x:c>
    </x:row>
    <x:row r="1049" ht="21" customHeight="1">
      <x:c r="A1049" s="60" t="n">
        <x:v>0.64</x:v>
      </x:c>
      <x:c r="B1049" s="28" t="str">
        <x:v>front_low</x:v>
      </x:c>
      <x:c r="C1049" s="60" t="n">
        <x:v>0.6</x:v>
      </x:c>
      <x:c r="D1049" s="60" t="n">
        <x:v>0.6</x:v>
      </x:c>
      <x:c r="E1049" s="62" t="b">
        <x:v>1</x:v>
      </x:c>
      <x:c r="F1049" s="62" t="b">
        <x:v>1</x:v>
      </x:c>
      <x:c r="G1049" s="85" t="n">
        <x:v>0</x:v>
      </x:c>
      <x:c r="H1049" s="85" t="n">
        <x:v>0</x:v>
      </x:c>
      <x:c r="I1049" s="85" t="n">
        <x:v>9446487.626781665</x:v>
      </x:c>
      <x:c r="J1049" s="85" t="n">
        <x:v>13241065.021621473</x:v>
      </x:c>
      <x:c r="K1049" s="85" t="n">
        <x:v>0</x:v>
      </x:c>
      <x:c r="L1049" s="28" t="n">
        <x:v>22</x:v>
      </x:c>
      <x:c r="M1049" s="28" t="n">
        <x:v>0</x:v>
      </x:c>
      <x:c r="N1049" s="28" t="n">
        <x:v>2.3283064365386963e-10</x:v>
      </x:c>
      <x:c r="O1049" s="28" t="n">
        <x:v>3.725290298461914e-9</x:v>
      </x:c>
      <x:c r="P1049" s="28" t="n">
        <x:v>0</x:v>
      </x:c>
      <x:c r="Q1049" s="62" t="b">
        <x:v>1</x:v>
      </x:c>
      <x:c r="R1049" s="28" t="n">
        <x:v>0</x:v>
      </x:c>
      <x:c r="S1049" s="28" t="str">
        <x:v>aa3b4c884e716926</x:v>
      </x:c>
    </x:row>
    <x:row r="1050" ht="21" customHeight="1">
      <x:c r="A1050" s="60" t="n">
        <x:v>0.64</x:v>
      </x:c>
      <x:c r="B1050" s="28" t="str">
        <x:v>front_low</x:v>
      </x:c>
      <x:c r="C1050" s="60" t="n">
        <x:v>0.65</x:v>
      </x:c>
      <x:c r="D1050" s="60" t="n">
        <x:v>0.65</x:v>
      </x:c>
      <x:c r="E1050" s="62" t="b">
        <x:v>1</x:v>
      </x:c>
      <x:c r="F1050" s="62" t="b">
        <x:v>0</x:v>
      </x:c>
      <x:c r="G1050" s="85" t="n">
        <x:v>59561.68569079219</x:v>
      </x:c>
      <x:c r="H1050" s="85" t="n">
        <x:v>744777.941457212</x:v>
      </x:c>
      <x:c r="I1050" s="85" t="n">
        <x:v>9852988.053750003</x:v>
      </x:c>
      <x:c r="J1050" s="85" t="n">
        <x:v>14493440</x:v>
      </x:c>
      <x:c r="K1050" s="85" t="n">
        <x:v>0</x:v>
      </x:c>
      <x:c r="L1050" s="28" t="n">
        <x:v>45</x:v>
      </x:c>
      <x:c r="M1050" s="28" t="n">
        <x:v>22</x:v>
      </x:c>
      <x:c r="N1050" s="28" t="n">
        <x:v>4.656612873077393e-10</x:v>
      </x:c>
      <x:c r="O1050" s="28" t="n">
        <x:v>3.725290298461914e-9</x:v>
      </x:c>
      <x:c r="P1050" s="28" t="n">
        <x:v>0</x:v>
      </x:c>
      <x:c r="Q1050" s="62" t="b">
        <x:v>1</x:v>
      </x:c>
      <x:c r="R1050" s="28" t="n">
        <x:v>0</x:v>
      </x:c>
      <x:c r="S1050" s="28" t="str">
        <x:v>3920c299204335dc</x:v>
      </x:c>
    </x:row>
    <x:row r="1051" ht="21" customHeight="1">
      <x:c r="A1051" s="60" t="n">
        <x:v>0.64</x:v>
      </x:c>
      <x:c r="B1051" s="28" t="str">
        <x:v>front_low</x:v>
      </x:c>
      <x:c r="C1051" s="60" t="n">
        <x:v>0.7</x:v>
      </x:c>
      <x:c r="D1051" s="60" t="n">
        <x:v>0.7</x:v>
      </x:c>
      <x:c r="E1051" s="62" t="b">
        <x:v>1</x:v>
      </x:c>
      <x:c r="F1051" s="62" t="b">
        <x:v>0</x:v>
      </x:c>
      <x:c r="G1051" s="85" t="n">
        <x:v>212619.80394271942</x:v>
      </x:c>
      <x:c r="H1051" s="85" t="n">
        <x:v>2648005.2336026346</x:v>
      </x:c>
      <x:c r="I1051" s="85" t="n">
        <x:v>10026393.996067127</x:v>
      </x:c>
      <x:c r="J1051" s="85" t="n">
        <x:v>14493440</x:v>
      </x:c>
      <x:c r="K1051" s="85" t="n">
        <x:v>0</x:v>
      </x:c>
      <x:c r="L1051" s="28" t="n">
        <x:v>46</x:v>
      </x:c>
      <x:c r="M1051" s="28" t="n">
        <x:v>31</x:v>
      </x:c>
      <x:c r="N1051" s="28" t="n">
        <x:v>4.656612873077393e-10</x:v>
      </x:c>
      <x:c r="O1051" s="28" t="n">
        <x:v>1.862645149230957e-9</x:v>
      </x:c>
      <x:c r="P1051" s="28" t="n">
        <x:v>0</x:v>
      </x:c>
      <x:c r="Q1051" s="62" t="b">
        <x:v>1</x:v>
      </x:c>
      <x:c r="R1051" s="28" t="n">
        <x:v>0</x:v>
      </x:c>
      <x:c r="S1051" s="28" t="str">
        <x:v>9d8129c6d39f34f4</x:v>
      </x:c>
    </x:row>
    <x:row r="1052" ht="21" customHeight="1">
      <x:c r="A1052" s="60" t="n">
        <x:v>0.64</x:v>
      </x:c>
      <x:c r="B1052" s="28" t="str">
        <x:v>front_low</x:v>
      </x:c>
      <x:c r="C1052" s="60" t="n">
        <x:v>0.75</x:v>
      </x:c>
      <x:c r="D1052" s="60" t="n">
        <x:v>0.75</x:v>
      </x:c>
      <x:c r="E1052" s="62" t="b">
        <x:v>1</x:v>
      </x:c>
      <x:c r="F1052" s="62" t="b">
        <x:v>0</x:v>
      </x:c>
      <x:c r="G1052" s="85" t="n">
        <x:v>381482.97000575037</x:v>
      </x:c>
      <x:c r="H1052" s="85" t="n">
        <x:v>4747832.584416764</x:v>
      </x:c>
      <x:c r="I1052" s="85" t="n">
        <x:v>10032008.492715757</x:v>
      </x:c>
      <x:c r="J1052" s="85" t="n">
        <x:v>14493440</x:v>
      </x:c>
      <x:c r="K1052" s="85" t="n">
        <x:v>0</x:v>
      </x:c>
      <x:c r="L1052" s="28" t="n">
        <x:v>46</x:v>
      </x:c>
      <x:c r="M1052" s="28" t="n">
        <x:v>32</x:v>
      </x:c>
      <x:c r="N1052" s="28" t="n">
        <x:v>2.3283064365386963e-10</x:v>
      </x:c>
      <x:c r="O1052" s="28" t="n">
        <x:v>3.725290298461914e-9</x:v>
      </x:c>
      <x:c r="P1052" s="28" t="n">
        <x:v>0</x:v>
      </x:c>
      <x:c r="Q1052" s="62" t="b">
        <x:v>1</x:v>
      </x:c>
      <x:c r="R1052" s="28" t="n">
        <x:v>0</x:v>
      </x:c>
      <x:c r="S1052" s="28" t="str">
        <x:v>94c1e6e0a890e419</x:v>
      </x:c>
    </x:row>
    <x:row r="1053" ht="21" customHeight="1">
      <x:c r="A1053" s="60" t="n">
        <x:v>0.64</x:v>
      </x:c>
      <x:c r="B1053" s="28" t="str">
        <x:v>front_low</x:v>
      </x:c>
      <x:c r="C1053" s="60" t="n">
        <x:v>0.8</x:v>
      </x:c>
      <x:c r="D1053" s="60" t="n">
        <x:v>0.8</x:v>
      </x:c>
      <x:c r="E1053" s="62" t="b">
        <x:v>1</x:v>
      </x:c>
      <x:c r="F1053" s="62" t="b">
        <x:v>0</x:v>
      </x:c>
      <x:c r="G1053" s="85" t="n">
        <x:v>580950.6305694283</x:v>
      </x:c>
      <x:c r="H1053" s="85" t="n">
        <x:v>6814803.4765940765</x:v>
      </x:c>
      <x:c r="I1053" s="85" t="n">
        <x:v>10038721.525665758</x:v>
      </x:c>
      <x:c r="J1053" s="85" t="n">
        <x:v>14493440</x:v>
      </x:c>
      <x:c r="K1053" s="85" t="n">
        <x:v>0</x:v>
      </x:c>
      <x:c r="L1053" s="28" t="n">
        <x:v>46</x:v>
      </x:c>
      <x:c r="M1053" s="28" t="n">
        <x:v>34</x:v>
      </x:c>
      <x:c r="N1053" s="28" t="n">
        <x:v>2.3283064365386963e-10</x:v>
      </x:c>
      <x:c r="O1053" s="28" t="n">
        <x:v>3.725290298461914e-9</x:v>
      </x:c>
      <x:c r="P1053" s="28" t="n">
        <x:v>0</x:v>
      </x:c>
      <x:c r="Q1053" s="62" t="b">
        <x:v>1</x:v>
      </x:c>
      <x:c r="R1053" s="28" t="n">
        <x:v>0</x:v>
      </x:c>
      <x:c r="S1053" s="28" t="str">
        <x:v>30c7cd33507b8099</x:v>
      </x:c>
    </x:row>
    <x:row r="1054" ht="21" customHeight="1">
      <x:c r="A1054" s="60" t="n">
        <x:v>0.64</x:v>
      </x:c>
      <x:c r="B1054" s="28" t="str">
        <x:v>front_low</x:v>
      </x:c>
      <x:c r="C1054" s="60" t="n">
        <x:v>0.85</x:v>
      </x:c>
      <x:c r="D1054" s="60" t="n">
        <x:v>0.85</x:v>
      </x:c>
      <x:c r="E1054" s="62" t="b">
        <x:v>1</x:v>
      </x:c>
      <x:c r="F1054" s="62" t="b">
        <x:v>0</x:v>
      </x:c>
      <x:c r="G1054" s="85" t="n">
        <x:v>754983.8915093027</x:v>
      </x:c>
      <x:c r="H1054" s="85" t="n">
        <x:v>8841299.676948695</x:v>
      </x:c>
      <x:c r="I1054" s="85" t="n">
        <x:v>10045434.558615757</x:v>
      </x:c>
      <x:c r="J1054" s="85" t="n">
        <x:v>14493440</x:v>
      </x:c>
      <x:c r="K1054" s="85" t="n">
        <x:v>0</x:v>
      </x:c>
      <x:c r="L1054" s="28" t="n">
        <x:v>46</x:v>
      </x:c>
      <x:c r="M1054" s="28" t="n">
        <x:v>36</x:v>
      </x:c>
      <x:c r="N1054" s="28" t="n">
        <x:v>4.656612873077393e-10</x:v>
      </x:c>
      <x:c r="O1054" s="28" t="n">
        <x:v>1.862645149230957e-9</x:v>
      </x:c>
      <x:c r="P1054" s="28" t="n">
        <x:v>0</x:v>
      </x:c>
      <x:c r="Q1054" s="62" t="b">
        <x:v>1</x:v>
      </x:c>
      <x:c r="R1054" s="28" t="n">
        <x:v>0</x:v>
      </x:c>
      <x:c r="S1054" s="28" t="str">
        <x:v>585f56b21159f5c6</x:v>
      </x:c>
    </x:row>
    <x:row r="1055" ht="21" customHeight="1">
      <x:c r="A1055" s="60" t="n">
        <x:v>0.64</x:v>
      </x:c>
      <x:c r="B1055" s="28" t="str">
        <x:v>front_low</x:v>
      </x:c>
      <x:c r="C1055" s="60" t="n">
        <x:v>0.9</x:v>
      </x:c>
      <x:c r="D1055" s="60" t="n">
        <x:v>0.9</x:v>
      </x:c>
      <x:c r="E1055" s="62" t="b">
        <x:v>1</x:v>
      </x:c>
      <x:c r="F1055" s="62" t="b">
        <x:v>0</x:v>
      </x:c>
      <x:c r="G1055" s="85" t="n">
        <x:v>999870.7202653373</x:v>
      </x:c>
      <x:c r="H1055" s="85" t="n">
        <x:v>10790425.836388828</x:v>
      </x:c>
      <x:c r="I1055" s="85" t="n">
        <x:v>10052147.591565758</x:v>
      </x:c>
      <x:c r="J1055" s="85" t="n">
        <x:v>14493440</x:v>
      </x:c>
      <x:c r="K1055" s="85" t="n">
        <x:v>0</x:v>
      </x:c>
      <x:c r="L1055" s="28" t="n">
        <x:v>46</x:v>
      </x:c>
      <x:c r="M1055" s="28" t="n">
        <x:v>38</x:v>
      </x:c>
      <x:c r="N1055" s="28" t="n">
        <x:v>2.3283064365386963e-10</x:v>
      </x:c>
      <x:c r="O1055" s="28" t="n">
        <x:v>3.725290298461914e-9</x:v>
      </x:c>
      <x:c r="P1055" s="28" t="n">
        <x:v>0</x:v>
      </x:c>
      <x:c r="Q1055" s="62" t="b">
        <x:v>1</x:v>
      </x:c>
      <x:c r="R1055" s="28" t="n">
        <x:v>0</x:v>
      </x:c>
      <x:c r="S1055" s="28" t="str">
        <x:v>3074b062d1196ce8</x:v>
      </x:c>
    </x:row>
    <x:row r="1056" ht="21" customHeight="1">
      <x:c r="A1056" s="60" t="n">
        <x:v>0.64</x:v>
      </x:c>
      <x:c r="B1056" s="28" t="str">
        <x:v>front_low</x:v>
      </x:c>
      <x:c r="C1056" s="60" t="n">
        <x:v>0.95</x:v>
      </x:c>
      <x:c r="D1056" s="60" t="n">
        <x:v>0.9427119459478259</x:v>
      </x:c>
      <x:c r="E1056" s="62" t="b">
        <x:v>0</x:v>
      </x:c>
      <x:c r="F1056" s="62" t="b">
        <x:v>0</x:v>
      </x:c>
      <x:c r="G1056" s="85" t="n">
        <x:v>1394150.6393084917</x:v>
      </x:c>
      <x:c r="H1056" s="85" t="n">
        <x:v>12223809.924514148</x:v>
      </x:c>
      <x:c r="I1056" s="85" t="n">
        <x:v>10058860.624515757</x:v>
      </x:c>
      <x:c r="J1056" s="85" t="n">
        <x:v>14493440</x:v>
      </x:c>
      <x:c r="K1056" s="85" t="n">
        <x:v>0</x:v>
      </x:c>
      <x:c r="L1056" s="28" t="n">
        <x:v>46</x:v>
      </x:c>
      <x:c r="M1056" s="28" t="n">
        <x:v>39</x:v>
      </x:c>
      <x:c r="N1056" s="28" t="n">
        <x:v>2.3283064365386963e-10</x:v>
      </x:c>
      <x:c r="O1056" s="28" t="n">
        <x:v>1.862645149230957e-9</x:v>
      </x:c>
      <x:c r="P1056" s="28" t="n">
        <x:v>0</x:v>
      </x:c>
      <x:c r="Q1056" s="62" t="b">
        <x:v>1</x:v>
      </x:c>
      <x:c r="R1056" s="28" t="n">
        <x:v>406265.28508438915</x:v>
      </x:c>
      <x:c r="S1056" s="28" t="str">
        <x:v>49a47b8d47b2d772</x:v>
      </x:c>
    </x:row>
    <x:row r="1057" ht="21" customHeight="1">
      <x:c r="A1057" s="60" t="n">
        <x:v>0.64</x:v>
      </x:c>
      <x:c r="B1057" s="28" t="str">
        <x:v>front_low</x:v>
      </x:c>
      <x:c r="C1057" s="60" t="n">
        <x:v>1</x:v>
      </x:c>
      <x:c r="D1057" s="60" t="n">
        <x:v>0.9596721012870685</x:v>
      </x:c>
      <x:c r="E1057" s="62" t="b">
        <x:v>0</x:v>
      </x:c>
      <x:c r="F1057" s="62" t="b">
        <x:v>0</x:v>
      </x:c>
      <x:c r="G1057" s="85" t="n">
        <x:v>1541863.873773581</x:v>
      </x:c>
      <x:c r="H1057" s="85" t="n">
        <x:v>12974164.048397934</x:v>
      </x:c>
      <x:c r="I1057" s="85" t="n">
        <x:v>10065573.657465758</x:v>
      </x:c>
      <x:c r="J1057" s="85" t="n">
        <x:v>14493440</x:v>
      </x:c>
      <x:c r="K1057" s="85" t="n">
        <x:v>0</x:v>
      </x:c>
      <x:c r="L1057" s="28" t="n">
        <x:v>46</x:v>
      </x:c>
      <x:c r="M1057" s="28" t="n">
        <x:v>40</x:v>
      </x:c>
      <x:c r="N1057" s="28" t="n">
        <x:v>1.1641532182693481e-10</x:v>
      </x:c>
      <x:c r="O1057" s="28" t="n">
        <x:v>1.862645149230957e-9</x:v>
      </x:c>
      <x:c r="P1057" s="28" t="n">
        <x:v>0</x:v>
      </x:c>
      <x:c r="Q1057" s="62" t="b">
        <x:v>1</x:v>
      </x:c>
      <x:c r="R1057" s="28" t="n">
        <x:v>2248038.3858536556</x:v>
      </x:c>
      <x:c r="S1057" s="28" t="str">
        <x:v>d1ea0416d79189a3</x:v>
      </x:c>
    </x:row>
    <x:row r="1058" ht="21" customHeight="1">
      <x:c r="A1058" s="60" t="n">
        <x:v>0.64</x:v>
      </x:c>
      <x:c r="B1058" s="28" t="str">
        <x:v>front_high</x:v>
      </x:c>
      <x:c r="C1058" s="60" t="n">
        <x:v>0</x:v>
      </x:c>
      <x:c r="D1058" s="60" t="n">
        <x:v>0</x:v>
      </x:c>
      <x:c r="E1058" s="62" t="b">
        <x:v>1</x:v>
      </x:c>
      <x:c r="F1058" s="62" t="b">
        <x:v>1</x:v>
      </x:c>
      <x:c r="G1058" s="85" t="n">
        <x:v>0</x:v>
      </x:c>
      <x:c r="H1058" s="85" t="n">
        <x:v>0</x:v>
      </x:c>
      <x:c r="I1058" s="85" t="n">
        <x:v>0</x:v>
      </x:c>
      <x:c r="J1058" s="85" t="n">
        <x:v>0</x:v>
      </x:c>
      <x:c r="K1058" s="85" t="n">
        <x:v>6986973.094575343</x:v>
      </x:c>
      <x:c r="L1058" s="28" t="n">
        <x:v>0</x:v>
      </x:c>
      <x:c r="M1058" s="28" t="n">
        <x:v>0</x:v>
      </x:c>
      <x:c r="N1058" s="28" t="n">
        <x:v>9.313225746154785e-10</x:v>
      </x:c>
      <x:c r="O1058" s="28" t="n">
        <x:v>0</x:v>
      </x:c>
      <x:c r="P1058" s="28" t="n">
        <x:v>0</x:v>
      </x:c>
      <x:c r="Q1058" s="62" t="b">
        <x:v>1</x:v>
      </x:c>
      <x:c r="R1058" s="28" t="n">
        <x:v>0</x:v>
      </x:c>
      <x:c r="S1058" s="28" t="str">
        <x:v>8e4fc0ff1beeea52</x:v>
      </x:c>
    </x:row>
    <x:row r="1059" ht="21" customHeight="1">
      <x:c r="A1059" s="60" t="n">
        <x:v>0.64</x:v>
      </x:c>
      <x:c r="B1059" s="28" t="str">
        <x:v>front_high</x:v>
      </x:c>
      <x:c r="C1059" s="60" t="n">
        <x:v>0.05</x:v>
      </x:c>
      <x:c r="D1059" s="60" t="n">
        <x:v>0.05</x:v>
      </x:c>
      <x:c r="E1059" s="62" t="b">
        <x:v>1</x:v>
      </x:c>
      <x:c r="F1059" s="62" t="b">
        <x:v>1</x:v>
      </x:c>
      <x:c r="G1059" s="85" t="n">
        <x:v>0</x:v>
      </x:c>
      <x:c r="H1059" s="85" t="n">
        <x:v>0</x:v>
      </x:c>
      <x:c r="I1059" s="85" t="n">
        <x:v>0</x:v>
      </x:c>
      <x:c r="J1059" s="85" t="n">
        <x:v>0</x:v>
      </x:c>
      <x:c r="K1059" s="85" t="n">
        <x:v>4386239.4742061375</x:v>
      </x:c>
      <x:c r="L1059" s="28" t="n">
        <x:v>0</x:v>
      </x:c>
      <x:c r="M1059" s="28" t="n">
        <x:v>0</x:v>
      </x:c>
      <x:c r="N1059" s="28" t="n">
        <x:v>9.313225746154785e-10</x:v>
      </x:c>
      <x:c r="O1059" s="28" t="n">
        <x:v>7.450580596923828e-9</x:v>
      </x:c>
      <x:c r="P1059" s="28" t="n">
        <x:v>0</x:v>
      </x:c>
      <x:c r="Q1059" s="62" t="b">
        <x:v>1</x:v>
      </x:c>
      <x:c r="R1059" s="28" t="n">
        <x:v>0</x:v>
      </x:c>
      <x:c r="S1059" s="28" t="str">
        <x:v>9b0195410cc57c96</x:v>
      </x:c>
    </x:row>
    <x:row r="1060" ht="21" customHeight="1">
      <x:c r="A1060" s="60" t="n">
        <x:v>0.64</x:v>
      </x:c>
      <x:c r="B1060" s="28" t="str">
        <x:v>front_high</x:v>
      </x:c>
      <x:c r="C1060" s="60" t="n">
        <x:v>0.1</x:v>
      </x:c>
      <x:c r="D1060" s="60" t="n">
        <x:v>0.1</x:v>
      </x:c>
      <x:c r="E1060" s="62" t="b">
        <x:v>1</x:v>
      </x:c>
      <x:c r="F1060" s="62" t="b">
        <x:v>1</x:v>
      </x:c>
      <x:c r="G1060" s="85" t="n">
        <x:v>0</x:v>
      </x:c>
      <x:c r="H1060" s="85" t="n">
        <x:v>0</x:v>
      </x:c>
      <x:c r="I1060" s="85" t="n">
        <x:v>0</x:v>
      </x:c>
      <x:c r="J1060" s="85" t="n">
        <x:v>0</x:v>
      </x:c>
      <x:c r="K1060" s="85" t="n">
        <x:v>1788059.093926506</x:v>
      </x:c>
      <x:c r="L1060" s="28" t="n">
        <x:v>0</x:v>
      </x:c>
      <x:c r="M1060" s="28" t="n">
        <x:v>0</x:v>
      </x:c>
      <x:c r="N1060" s="28" t="n">
        <x:v>4.656612873077393e-10</x:v>
      </x:c>
      <x:c r="O1060" s="28" t="n">
        <x:v>7.450580596923828e-9</x:v>
      </x:c>
      <x:c r="P1060" s="28" t="n">
        <x:v>0</x:v>
      </x:c>
      <x:c r="Q1060" s="62" t="b">
        <x:v>1</x:v>
      </x:c>
      <x:c r="R1060" s="28" t="n">
        <x:v>0</x:v>
      </x:c>
      <x:c r="S1060" s="28" t="str">
        <x:v>35a535f3a08614fc</x:v>
      </x:c>
    </x:row>
    <x:row r="1061" ht="21" customHeight="1">
      <x:c r="A1061" s="60" t="n">
        <x:v>0.64</x:v>
      </x:c>
      <x:c r="B1061" s="28" t="str">
        <x:v>front_high</x:v>
      </x:c>
      <x:c r="C1061" s="60" t="n">
        <x:v>0.15</x:v>
      </x:c>
      <x:c r="D1061" s="60" t="n">
        <x:v>0.15</x:v>
      </x:c>
      <x:c r="E1061" s="62" t="b">
        <x:v>1</x:v>
      </x:c>
      <x:c r="F1061" s="62" t="b">
        <x:v>1</x:v>
      </x:c>
      <x:c r="G1061" s="85" t="n">
        <x:v>0</x:v>
      </x:c>
      <x:c r="H1061" s="85" t="n">
        <x:v>0</x:v>
      </x:c>
      <x:c r="I1061" s="85" t="n">
        <x:v>870830.8936752236</x:v>
      </x:c>
      <x:c r="J1061" s="85" t="n">
        <x:v>0</x:v>
      </x:c>
      <x:c r="K1061" s="85" t="n">
        <x:v>188526.273825281</x:v>
      </x:c>
      <x:c r="L1061" s="28" t="n">
        <x:v>0</x:v>
      </x:c>
      <x:c r="M1061" s="28" t="n">
        <x:v>0</x:v>
      </x:c>
      <x:c r="N1061" s="28" t="n">
        <x:v>9.313225746154785e-10</x:v>
      </x:c>
      <x:c r="O1061" s="28" t="n">
        <x:v>7.450580596923828e-9</x:v>
      </x:c>
      <x:c r="P1061" s="28" t="n">
        <x:v>0</x:v>
      </x:c>
      <x:c r="Q1061" s="62" t="b">
        <x:v>1</x:v>
      </x:c>
      <x:c r="R1061" s="28" t="n">
        <x:v>0</x:v>
      </x:c>
      <x:c r="S1061" s="28" t="str">
        <x:v>6e32f58d842efe5f</x:v>
      </x:c>
    </x:row>
    <x:row r="1062" ht="21" customHeight="1">
      <x:c r="A1062" s="60" t="n">
        <x:v>0.64</x:v>
      </x:c>
      <x:c r="B1062" s="28" t="str">
        <x:v>front_high</x:v>
      </x:c>
      <x:c r="C1062" s="60" t="n">
        <x:v>0.2</x:v>
      </x:c>
      <x:c r="D1062" s="60" t="n">
        <x:v>0.2</x:v>
      </x:c>
      <x:c r="E1062" s="62" t="b">
        <x:v>1</x:v>
      </x:c>
      <x:c r="F1062" s="62" t="b">
        <x:v>1</x:v>
      </x:c>
      <x:c r="G1062" s="85" t="n">
        <x:v>0</x:v>
      </x:c>
      <x:c r="H1062" s="85" t="n">
        <x:v>0</x:v>
      </x:c>
      <x:c r="I1062" s="85" t="n">
        <x:v>2869432.6787272124</x:v>
      </x:c>
      <x:c r="J1062" s="85" t="n">
        <x:v>1254093.4388721178</x:v>
      </x:c>
      <x:c r="K1062" s="85" t="n">
        <x:v>115839.65102739798</x:v>
      </x:c>
      <x:c r="L1062" s="28" t="n">
        <x:v>0</x:v>
      </x:c>
      <x:c r="M1062" s="28" t="n">
        <x:v>0</x:v>
      </x:c>
      <x:c r="N1062" s="28" t="n">
        <x:v>4.656612873077393e-10</x:v>
      </x:c>
      <x:c r="O1062" s="28" t="n">
        <x:v>7.450580596923828e-9</x:v>
      </x:c>
      <x:c r="P1062" s="28" t="n">
        <x:v>0</x:v>
      </x:c>
      <x:c r="Q1062" s="62" t="b">
        <x:v>1</x:v>
      </x:c>
      <x:c r="R1062" s="28" t="n">
        <x:v>0</x:v>
      </x:c>
      <x:c r="S1062" s="28" t="str">
        <x:v>6d75bb9d672b77ed</x:v>
      </x:c>
    </x:row>
    <x:row r="1063" ht="21" customHeight="1">
      <x:c r="A1063" s="60" t="n">
        <x:v>0.64</x:v>
      </x:c>
      <x:c r="B1063" s="28" t="str">
        <x:v>front_high</x:v>
      </x:c>
      <x:c r="C1063" s="60" t="n">
        <x:v>0.25</x:v>
      </x:c>
      <x:c r="D1063" s="60" t="n">
        <x:v>0.25</x:v>
      </x:c>
      <x:c r="E1063" s="62" t="b">
        <x:v>1</x:v>
      </x:c>
      <x:c r="F1063" s="62" t="b">
        <x:v>1</x:v>
      </x:c>
      <x:c r="G1063" s="85" t="n">
        <x:v>0</x:v>
      </x:c>
      <x:c r="H1063" s="85" t="n">
        <x:v>0</x:v>
      </x:c>
      <x:c r="I1063" s="85" t="n">
        <x:v>4682681.730052838</x:v>
      </x:c>
      <x:c r="J1063" s="85" t="n">
        <x:v>2961216.798590132</x:v>
      </x:c>
      <x:c r="K1063" s="85" t="n">
        <x:v>85152.6571678085</x:v>
      </x:c>
      <x:c r="L1063" s="28" t="n">
        <x:v>0</x:v>
      </x:c>
      <x:c r="M1063" s="28" t="n">
        <x:v>0</x:v>
      </x:c>
      <x:c r="N1063" s="28" t="n">
        <x:v>9.313225746154785e-10</x:v>
      </x:c>
      <x:c r="O1063" s="28" t="n">
        <x:v>3.725290298461914e-9</x:v>
      </x:c>
      <x:c r="P1063" s="28" t="n">
        <x:v>0</x:v>
      </x:c>
      <x:c r="Q1063" s="62" t="b">
        <x:v>1</x:v>
      </x:c>
      <x:c r="R1063" s="28" t="n">
        <x:v>0</x:v>
      </x:c>
      <x:c r="S1063" s="28" t="str">
        <x:v>cabb3d3f3130ccd7</x:v>
      </x:c>
    </x:row>
    <x:row r="1064" ht="21" customHeight="1">
      <x:c r="A1064" s="60" t="n">
        <x:v>0.64</x:v>
      </x:c>
      <x:c r="B1064" s="28" t="str">
        <x:v>front_high</x:v>
      </x:c>
      <x:c r="C1064" s="60" t="n">
        <x:v>0.3</x:v>
      </x:c>
      <x:c r="D1064" s="60" t="n">
        <x:v>0.3</x:v>
      </x:c>
      <x:c r="E1064" s="62" t="b">
        <x:v>1</x:v>
      </x:c>
      <x:c r="F1064" s="62" t="b">
        <x:v>1</x:v>
      </x:c>
      <x:c r="G1064" s="85" t="n">
        <x:v>0</x:v>
      </x:c>
      <x:c r="H1064" s="85" t="n">
        <x:v>0</x:v>
      </x:c>
      <x:c r="I1064" s="85" t="n">
        <x:v>6521311.2366387565</x:v>
      </x:c>
      <x:c r="J1064" s="85" t="n">
        <x:v>4668340.15830817</x:v>
      </x:c>
      <x:c r="K1064" s="85" t="n">
        <x:v>67529.02182876761</x:v>
      </x:c>
      <x:c r="L1064" s="28" t="n">
        <x:v>0</x:v>
      </x:c>
      <x:c r="M1064" s="28" t="n">
        <x:v>0</x:v>
      </x:c>
      <x:c r="N1064" s="28" t="n">
        <x:v>4.656612873077393e-10</x:v>
      </x:c>
      <x:c r="O1064" s="28" t="n">
        <x:v>7.450580596923828e-9</x:v>
      </x:c>
      <x:c r="P1064" s="28" t="n">
        <x:v>0</x:v>
      </x:c>
      <x:c r="Q1064" s="62" t="b">
        <x:v>1</x:v>
      </x:c>
      <x:c r="R1064" s="28" t="n">
        <x:v>0</x:v>
      </x:c>
      <x:c r="S1064" s="28" t="str">
        <x:v>2821f8e907fcbd15</x:v>
      </x:c>
    </x:row>
    <x:row r="1065" ht="21" customHeight="1">
      <x:c r="A1065" s="60" t="n">
        <x:v>0.64</x:v>
      </x:c>
      <x:c r="B1065" s="28" t="str">
        <x:v>front_high</x:v>
      </x:c>
      <x:c r="C1065" s="60" t="n">
        <x:v>0.35</x:v>
      </x:c>
      <x:c r="D1065" s="60" t="n">
        <x:v>0.35</x:v>
      </x:c>
      <x:c r="E1065" s="62" t="b">
        <x:v>1</x:v>
      </x:c>
      <x:c r="F1065" s="62" t="b">
        <x:v>1</x:v>
      </x:c>
      <x:c r="G1065" s="85" t="n">
        <x:v>0</x:v>
      </x:c>
      <x:c r="H1065" s="85" t="n">
        <x:v>0</x:v>
      </x:c>
      <x:c r="I1065" s="85" t="n">
        <x:v>8365382.623261475</x:v>
      </x:c>
      <x:c r="J1065" s="85" t="n">
        <x:v>6375463.518026186</x:v>
      </x:c>
      <x:c r="K1065" s="85" t="n">
        <x:v>49905.38648972648</x:v>
      </x:c>
      <x:c r="L1065" s="28" t="n">
        <x:v>0</x:v>
      </x:c>
      <x:c r="M1065" s="28" t="n">
        <x:v>0</x:v>
      </x:c>
      <x:c r="N1065" s="28" t="n">
        <x:v>4.656612873077393e-10</x:v>
      </x:c>
      <x:c r="O1065" s="28" t="n">
        <x:v>7.450580596923828e-9</x:v>
      </x:c>
      <x:c r="P1065" s="28" t="n">
        <x:v>0</x:v>
      </x:c>
      <x:c r="Q1065" s="62" t="b">
        <x:v>1</x:v>
      </x:c>
      <x:c r="R1065" s="28" t="n">
        <x:v>0</x:v>
      </x:c>
      <x:c r="S1065" s="28" t="str">
        <x:v>1fb82c6c4dad4c91</x:v>
      </x:c>
    </x:row>
    <x:row r="1066" ht="21" customHeight="1">
      <x:c r="A1066" s="60" t="n">
        <x:v>0.64</x:v>
      </x:c>
      <x:c r="B1066" s="28" t="str">
        <x:v>front_high</x:v>
      </x:c>
      <x:c r="C1066" s="60" t="n">
        <x:v>0.4</x:v>
      </x:c>
      <x:c r="D1066" s="60" t="n">
        <x:v>0.4</x:v>
      </x:c>
      <x:c r="E1066" s="62" t="b">
        <x:v>1</x:v>
      </x:c>
      <x:c r="F1066" s="62" t="b">
        <x:v>1</x:v>
      </x:c>
      <x:c r="G1066" s="85" t="n">
        <x:v>0</x:v>
      </x:c>
      <x:c r="H1066" s="85" t="n">
        <x:v>0</x:v>
      </x:c>
      <x:c r="I1066" s="85" t="n">
        <x:v>10208216.983735235</x:v>
      </x:c>
      <x:c r="J1066" s="85" t="n">
        <x:v>8082586.877744222</x:v>
      </x:c>
      <x:c r="K1066" s="85" t="n">
        <x:v>32281.751150684882</x:v>
      </x:c>
      <x:c r="L1066" s="28" t="n">
        <x:v>0</x:v>
      </x:c>
      <x:c r="M1066" s="28" t="n">
        <x:v>0</x:v>
      </x:c>
      <x:c r="N1066" s="28" t="n">
        <x:v>4.656612873077393e-10</x:v>
      </x:c>
      <x:c r="O1066" s="28" t="n">
        <x:v>7.450580596923828e-9</x:v>
      </x:c>
      <x:c r="P1066" s="28" t="n">
        <x:v>0</x:v>
      </x:c>
      <x:c r="Q1066" s="62" t="b">
        <x:v>1</x:v>
      </x:c>
      <x:c r="R1066" s="28" t="n">
        <x:v>0</x:v>
      </x:c>
      <x:c r="S1066" s="28" t="str">
        <x:v>cc031263b561a795</x:v>
      </x:c>
    </x:row>
    <x:row r="1067" ht="21" customHeight="1">
      <x:c r="A1067" s="60" t="n">
        <x:v>0.64</x:v>
      </x:c>
      <x:c r="B1067" s="28" t="str">
        <x:v>front_high</x:v>
      </x:c>
      <x:c r="C1067" s="60" t="n">
        <x:v>0.45</x:v>
      </x:c>
      <x:c r="D1067" s="60" t="n">
        <x:v>0.45</x:v>
      </x:c>
      <x:c r="E1067" s="62" t="b">
        <x:v>1</x:v>
      </x:c>
      <x:c r="F1067" s="62" t="b">
        <x:v>1</x:v>
      </x:c>
      <x:c r="G1067" s="85" t="n">
        <x:v>0</x:v>
      </x:c>
      <x:c r="H1067" s="85" t="n">
        <x:v>0</x:v>
      </x:c>
      <x:c r="I1067" s="85" t="n">
        <x:v>12143717.933993654</x:v>
      </x:c>
      <x:c r="J1067" s="85" t="n">
        <x:v>9003337.33767253</x:v>
      </x:c>
      <x:c r="K1067" s="85" t="n">
        <x:v>26010.454006849533</x:v>
      </x:c>
      <x:c r="L1067" s="28" t="n">
        <x:v>4</x:v>
      </x:c>
      <x:c r="M1067" s="28" t="n">
        <x:v>0</x:v>
      </x:c>
      <x:c r="N1067" s="28" t="n">
        <x:v>2.3283064365386963e-10</x:v>
      </x:c>
      <x:c r="O1067" s="28" t="n">
        <x:v>3.725290298461914e-9</x:v>
      </x:c>
      <x:c r="P1067" s="28" t="n">
        <x:v>0</x:v>
      </x:c>
      <x:c r="Q1067" s="62" t="b">
        <x:v>1</x:v>
      </x:c>
      <x:c r="R1067" s="28" t="n">
        <x:v>0</x:v>
      </x:c>
      <x:c r="S1067" s="28" t="str">
        <x:v>0e497c5a56cb61ba</x:v>
      </x:c>
    </x:row>
    <x:row r="1068" ht="21" customHeight="1">
      <x:c r="A1068" s="60" t="n">
        <x:v>0.64</x:v>
      </x:c>
      <x:c r="B1068" s="28" t="str">
        <x:v>front_high</x:v>
      </x:c>
      <x:c r="C1068" s="60" t="n">
        <x:v>0.5</x:v>
      </x:c>
      <x:c r="D1068" s="60" t="n">
        <x:v>0.5</x:v>
      </x:c>
      <x:c r="E1068" s="62" t="b">
        <x:v>1</x:v>
      </x:c>
      <x:c r="F1068" s="62" t="b">
        <x:v>1</x:v>
      </x:c>
      <x:c r="G1068" s="85" t="n">
        <x:v>0</x:v>
      </x:c>
      <x:c r="H1068" s="85" t="n">
        <x:v>0</x:v>
      </x:c>
      <x:c r="I1068" s="85" t="n">
        <x:v>14038696.672121001</x:v>
      </x:c>
      <x:c r="J1068" s="85" t="n">
        <x:v>9434066.442152306</x:v>
      </x:c>
      <x:c r="K1068" s="85" t="n">
        <x:v>20112.872671232537</x:v>
      </x:c>
      <x:c r="L1068" s="28" t="n">
        <x:v>10</x:v>
      </x:c>
      <x:c r="M1068" s="28" t="n">
        <x:v>0</x:v>
      </x:c>
      <x:c r="N1068" s="28" t="n">
        <x:v>4.656612873077393e-10</x:v>
      </x:c>
      <x:c r="O1068" s="28" t="n">
        <x:v>7.450580596923828e-9</x:v>
      </x:c>
      <x:c r="P1068" s="28" t="n">
        <x:v>0</x:v>
      </x:c>
      <x:c r="Q1068" s="62" t="b">
        <x:v>1</x:v>
      </x:c>
      <x:c r="R1068" s="28" t="n">
        <x:v>0</x:v>
      </x:c>
      <x:c r="S1068" s="28" t="str">
        <x:v>f51d83937b42be29</x:v>
      </x:c>
    </x:row>
    <x:row r="1069" ht="21" customHeight="1">
      <x:c r="A1069" s="60" t="n">
        <x:v>0.64</x:v>
      </x:c>
      <x:c r="B1069" s="28" t="str">
        <x:v>front_high</x:v>
      </x:c>
      <x:c r="C1069" s="60" t="n">
        <x:v>0.55</x:v>
      </x:c>
      <x:c r="D1069" s="60" t="n">
        <x:v>0.55</x:v>
      </x:c>
      <x:c r="E1069" s="62" t="b">
        <x:v>1</x:v>
      </x:c>
      <x:c r="F1069" s="62" t="b">
        <x:v>1</x:v>
      </x:c>
      <x:c r="G1069" s="85" t="n">
        <x:v>0</x:v>
      </x:c>
      <x:c r="H1069" s="85" t="n">
        <x:v>0</x:v>
      </x:c>
      <x:c r="I1069" s="85" t="n">
        <x:v>15958293.945719793</x:v>
      </x:c>
      <x:c r="J1069" s="85" t="n">
        <x:v>10419816.066277819</x:v>
      </x:c>
      <x:c r="K1069" s="85" t="n">
        <x:v>14215.291335616239</x:v>
      </x:c>
      <x:c r="L1069" s="28" t="n">
        <x:v>17</x:v>
      </x:c>
      <x:c r="M1069" s="28" t="n">
        <x:v>0</x:v>
      </x:c>
      <x:c r="N1069" s="28" t="n">
        <x:v>4.656612873077393e-10</x:v>
      </x:c>
      <x:c r="O1069" s="28" t="n">
        <x:v>3.725290298461914e-9</x:v>
      </x:c>
      <x:c r="P1069" s="28" t="n">
        <x:v>0</x:v>
      </x:c>
      <x:c r="Q1069" s="62" t="b">
        <x:v>1</x:v>
      </x:c>
      <x:c r="R1069" s="28" t="n">
        <x:v>0</x:v>
      </x:c>
      <x:c r="S1069" s="28" t="str">
        <x:v>6361ebd788d7f45b</x:v>
      </x:c>
    </x:row>
    <x:row r="1070" ht="21" customHeight="1">
      <x:c r="A1070" s="60" t="n">
        <x:v>0.64</x:v>
      </x:c>
      <x:c r="B1070" s="28" t="str">
        <x:v>front_high</x:v>
      </x:c>
      <x:c r="C1070" s="60" t="n">
        <x:v>0.6</x:v>
      </x:c>
      <x:c r="D1070" s="60" t="n">
        <x:v>0.6</x:v>
      </x:c>
      <x:c r="E1070" s="62" t="b">
        <x:v>1</x:v>
      </x:c>
      <x:c r="F1070" s="62" t="b">
        <x:v>1</x:v>
      </x:c>
      <x:c r="G1070" s="85" t="n">
        <x:v>0</x:v>
      </x:c>
      <x:c r="H1070" s="85" t="n">
        <x:v>0</x:v>
      </x:c>
      <x:c r="I1070" s="85" t="n">
        <x:v>17740119.500768222</x:v>
      </x:c>
      <x:c r="J1070" s="85" t="n">
        <x:v>12633324.303817494</x:v>
      </x:c>
      <x:c r="K1070" s="85" t="n">
        <x:v>8317.710000000174</x:v>
      </x:c>
      <x:c r="L1070" s="28" t="n">
        <x:v>21</x:v>
      </x:c>
      <x:c r="M1070" s="28" t="n">
        <x:v>6</x:v>
      </x:c>
      <x:c r="N1070" s="28" t="n">
        <x:v>4.656612873077393e-10</x:v>
      </x:c>
      <x:c r="O1070" s="28" t="n">
        <x:v>3.725290298461914e-9</x:v>
      </x:c>
      <x:c r="P1070" s="28" t="n">
        <x:v>0</x:v>
      </x:c>
      <x:c r="Q1070" s="62" t="b">
        <x:v>1</x:v>
      </x:c>
      <x:c r="R1070" s="28" t="n">
        <x:v>0</x:v>
      </x:c>
      <x:c r="S1070" s="28" t="str">
        <x:v>2befb872ba47fc92</x:v>
      </x:c>
    </x:row>
    <x:row r="1071" ht="21" customHeight="1">
      <x:c r="A1071" s="60" t="n">
        <x:v>0.64</x:v>
      </x:c>
      <x:c r="B1071" s="28" t="str">
        <x:v>front_high</x:v>
      </x:c>
      <x:c r="C1071" s="60" t="n">
        <x:v>0.65</x:v>
      </x:c>
      <x:c r="D1071" s="60" t="n">
        <x:v>0.65</x:v>
      </x:c>
      <x:c r="E1071" s="62" t="b">
        <x:v>1</x:v>
      </x:c>
      <x:c r="F1071" s="62" t="b">
        <x:v>0</x:v>
      </x:c>
      <x:c r="G1071" s="85" t="n">
        <x:v>266184.20039123186</x:v>
      </x:c>
      <x:c r="H1071" s="85" t="n">
        <x:v>845118.5535226949</x:v>
      </x:c>
      <x:c r="I1071" s="85" t="n">
        <x:v>18933704.79677054</x:v>
      </x:c>
      <x:c r="J1071" s="85" t="n">
        <x:v>14493440</x:v>
      </x:c>
      <x:c r="K1071" s="85" t="n">
        <x:v>2420.128664383643</x:v>
      </x:c>
      <x:c r="L1071" s="28" t="n">
        <x:v>45</x:v>
      </x:c>
      <x:c r="M1071" s="28" t="n">
        <x:v>38</x:v>
      </x:c>
      <x:c r="N1071" s="28" t="n">
        <x:v>4.656612873077393e-10</x:v>
      </x:c>
      <x:c r="O1071" s="28" t="n">
        <x:v>3.725290298461914e-9</x:v>
      </x:c>
      <x:c r="P1071" s="28" t="n">
        <x:v>0</x:v>
      </x:c>
      <x:c r="Q1071" s="62" t="b">
        <x:v>1</x:v>
      </x:c>
      <x:c r="R1071" s="28" t="n">
        <x:v>0</x:v>
      </x:c>
      <x:c r="S1071" s="28" t="str">
        <x:v>bbe38cca5d28d28c</x:v>
      </x:c>
    </x:row>
    <x:row r="1072" ht="21" customHeight="1">
      <x:c r="A1072" s="60" t="n">
        <x:v>0.64</x:v>
      </x:c>
      <x:c r="B1072" s="28" t="str">
        <x:v>front_high</x:v>
      </x:c>
      <x:c r="C1072" s="60" t="n">
        <x:v>0.7</x:v>
      </x:c>
      <x:c r="D1072" s="60" t="n">
        <x:v>0.7</x:v>
      </x:c>
      <x:c r="E1072" s="62" t="b">
        <x:v>1</x:v>
      </x:c>
      <x:c r="F1072" s="62" t="b">
        <x:v>0</x:v>
      </x:c>
      <x:c r="G1072" s="85" t="n">
        <x:v>1115718.8975531822</x:v>
      </x:c>
      <x:c r="H1072" s="85" t="n">
        <x:v>3377298.3380825985</x:v>
      </x:c>
      <x:c r="I1072" s="85" t="n">
        <x:v>19238681.98703972</x:v>
      </x:c>
      <x:c r="J1072" s="85" t="n">
        <x:v>14493440</x:v>
      </x:c>
      <x:c r="K1072" s="85" t="n">
        <x:v>0</x:v>
      </x:c>
      <x:c r="L1072" s="28" t="n">
        <x:v>46</x:v>
      </x:c>
      <x:c r="M1072" s="28" t="n">
        <x:v>40</x:v>
      </x:c>
      <x:c r="N1072" s="28" t="n">
        <x:v>4.656612873077393e-10</x:v>
      </x:c>
      <x:c r="O1072" s="28" t="n">
        <x:v>1.862645149230957e-9</x:v>
      </x:c>
      <x:c r="P1072" s="28" t="n">
        <x:v>0</x:v>
      </x:c>
      <x:c r="Q1072" s="62" t="b">
        <x:v>1</x:v>
      </x:c>
      <x:c r="R1072" s="28" t="n">
        <x:v>0</x:v>
      </x:c>
      <x:c r="S1072" s="28" t="str">
        <x:v>2129c47f60767c71</x:v>
      </x:c>
    </x:row>
    <x:row r="1073" ht="21" customHeight="1">
      <x:c r="A1073" s="60" t="n">
        <x:v>0.64</x:v>
      </x:c>
      <x:c r="B1073" s="28" t="str">
        <x:v>front_high</x:v>
      </x:c>
      <x:c r="C1073" s="60" t="n">
        <x:v>0.75</x:v>
      </x:c>
      <x:c r="D1073" s="60" t="n">
        <x:v>0.75</x:v>
      </x:c>
      <x:c r="E1073" s="62" t="b">
        <x:v>1</x:v>
      </x:c>
      <x:c r="F1073" s="62" t="b">
        <x:v>0</x:v>
      </x:c>
      <x:c r="G1073" s="85" t="n">
        <x:v>2076372.4896722126</x:v>
      </x:c>
      <x:c r="H1073" s="85" t="n">
        <x:v>6260369.847615773</x:v>
      </x:c>
      <x:c r="I1073" s="85" t="n">
        <x:v>19250509.66884588</x:v>
      </x:c>
      <x:c r="J1073" s="85" t="n">
        <x:v>14493440</x:v>
      </x:c>
      <x:c r="K1073" s="85" t="n">
        <x:v>0</x:v>
      </x:c>
      <x:c r="L1073" s="28" t="n">
        <x:v>46</x:v>
      </x:c>
      <x:c r="M1073" s="28" t="n">
        <x:v>43</x:v>
      </x:c>
      <x:c r="N1073" s="28" t="n">
        <x:v>4.656612873077393e-10</x:v>
      </x:c>
      <x:c r="O1073" s="28" t="n">
        <x:v>3.725290298461914e-9</x:v>
      </x:c>
      <x:c r="P1073" s="28" t="n">
        <x:v>0</x:v>
      </x:c>
      <x:c r="Q1073" s="62" t="b">
        <x:v>1</x:v>
      </x:c>
      <x:c r="R1073" s="28" t="n">
        <x:v>0</x:v>
      </x:c>
      <x:c r="S1073" s="28" t="str">
        <x:v>115181239b63541a</x:v>
      </x:c>
    </x:row>
    <x:row r="1074" ht="21" customHeight="1">
      <x:c r="A1074" s="60" t="n">
        <x:v>0.64</x:v>
      </x:c>
      <x:c r="B1074" s="28" t="str">
        <x:v>front_high</x:v>
      </x:c>
      <x:c r="C1074" s="60" t="n">
        <x:v>0.8</x:v>
      </x:c>
      <x:c r="D1074" s="60" t="n">
        <x:v>0.8</x:v>
      </x:c>
      <x:c r="E1074" s="62" t="b">
        <x:v>1</x:v>
      </x:c>
      <x:c r="F1074" s="62" t="b">
        <x:v>0</x:v>
      </x:c>
      <x:c r="G1074" s="85" t="n">
        <x:v>3206305.7739109118</x:v>
      </x:c>
      <x:c r="H1074" s="85" t="n">
        <x:v>8928865.514321895</x:v>
      </x:c>
      <x:c r="I1074" s="85" t="n">
        <x:v>19262337.350652047</x:v>
      </x:c>
      <x:c r="J1074" s="85" t="n">
        <x:v>14493440</x:v>
      </x:c>
      <x:c r="K1074" s="85" t="n">
        <x:v>0</x:v>
      </x:c>
      <x:c r="L1074" s="28" t="n">
        <x:v>46</x:v>
      </x:c>
      <x:c r="M1074" s="28" t="n">
        <x:v>44</x:v>
      </x:c>
      <x:c r="N1074" s="28" t="n">
        <x:v>4.656612873077393e-10</x:v>
      </x:c>
      <x:c r="O1074" s="28" t="n">
        <x:v>3.725290298461914e-9</x:v>
      </x:c>
      <x:c r="P1074" s="28" t="n">
        <x:v>0</x:v>
      </x:c>
      <x:c r="Q1074" s="62" t="b">
        <x:v>1</x:v>
      </x:c>
      <x:c r="R1074" s="28" t="n">
        <x:v>0</x:v>
      </x:c>
      <x:c r="S1074" s="28" t="str">
        <x:v>366452e7a68644c9</x:v>
      </x:c>
    </x:row>
    <x:row r="1075" ht="21" customHeight="1">
      <x:c r="A1075" s="60" t="n">
        <x:v>0.64</x:v>
      </x:c>
      <x:c r="B1075" s="28" t="str">
        <x:v>front_high</x:v>
      </x:c>
      <x:c r="C1075" s="60" t="n">
        <x:v>0.85</x:v>
      </x:c>
      <x:c r="D1075" s="60" t="n">
        <x:v>0.85</x:v>
      </x:c>
      <x:c r="E1075" s="62" t="b">
        <x:v>1</x:v>
      </x:c>
      <x:c r="F1075" s="62" t="b">
        <x:v>0</x:v>
      </x:c>
      <x:c r="G1075" s="85" t="n">
        <x:v>4306326.068192104</x:v>
      </x:c>
      <x:c r="H1075" s="85" t="n">
        <x:v>11559795.654049808</x:v>
      </x:c>
      <x:c r="I1075" s="85" t="n">
        <x:v>19274717.585300677</x:v>
      </x:c>
      <x:c r="J1075" s="85" t="n">
        <x:v>14493440</x:v>
      </x:c>
      <x:c r="K1075" s="85" t="n">
        <x:v>0</x:v>
      </x:c>
      <x:c r="L1075" s="28" t="n">
        <x:v>46</x:v>
      </x:c>
      <x:c r="M1075" s="28" t="n">
        <x:v>44</x:v>
      </x:c>
      <x:c r="N1075" s="28" t="n">
        <x:v>2.3283064365386963e-10</x:v>
      </x:c>
      <x:c r="O1075" s="28" t="n">
        <x:v>1.862645149230957e-9</x:v>
      </x:c>
      <x:c r="P1075" s="28" t="n">
        <x:v>0</x:v>
      </x:c>
      <x:c r="Q1075" s="62" t="b">
        <x:v>1</x:v>
      </x:c>
      <x:c r="R1075" s="28" t="n">
        <x:v>0</x:v>
      </x:c>
      <x:c r="S1075" s="28" t="str">
        <x:v>21b69a56ff0f8735</x:v>
      </x:c>
    </x:row>
    <x:row r="1076" ht="21" customHeight="1">
      <x:c r="A1076" s="60" t="n">
        <x:v>0.64</x:v>
      </x:c>
      <x:c r="B1076" s="28" t="str">
        <x:v>front_high</x:v>
      </x:c>
      <x:c r="C1076" s="60" t="n">
        <x:v>0.9</x:v>
      </x:c>
      <x:c r="D1076" s="60" t="n">
        <x:v>0.9</x:v>
      </x:c>
      <x:c r="E1076" s="62" t="b">
        <x:v>1</x:v>
      </x:c>
      <x:c r="F1076" s="62" t="b">
        <x:v>0</x:v>
      </x:c>
      <x:c r="G1076" s="85" t="n">
        <x:v>5843221.649111668</x:v>
      </x:c>
      <x:c r="H1076" s="85" t="n">
        <x:v>13879104.73814354</x:v>
      </x:c>
      <x:c r="I1076" s="85" t="n">
        <x:v>19292442.848442458</x:v>
      </x:c>
      <x:c r="J1076" s="85" t="n">
        <x:v>14493440</x:v>
      </x:c>
      <x:c r="K1076" s="85" t="n">
        <x:v>0</x:v>
      </x:c>
      <x:c r="L1076" s="28" t="n">
        <x:v>46</x:v>
      </x:c>
      <x:c r="M1076" s="28" t="n">
        <x:v>45</x:v>
      </x:c>
      <x:c r="N1076" s="28" t="n">
        <x:v>4.656612873077393e-10</x:v>
      </x:c>
      <x:c r="O1076" s="28" t="n">
        <x:v>3.725290298461914e-9</x:v>
      </x:c>
      <x:c r="P1076" s="28" t="n">
        <x:v>0</x:v>
      </x:c>
      <x:c r="Q1076" s="62" t="b">
        <x:v>1</x:v>
      </x:c>
      <x:c r="R1076" s="28" t="n">
        <x:v>0</x:v>
      </x:c>
      <x:c r="S1076" s="28" t="str">
        <x:v>3c275831f9c48efe</x:v>
      </x:c>
    </x:row>
    <x:row r="1077" ht="21" customHeight="1">
      <x:c r="A1077" s="60" t="n">
        <x:v>0.64</x:v>
      </x:c>
      <x:c r="B1077" s="28" t="str">
        <x:v>front_high</x:v>
      </x:c>
      <x:c r="C1077" s="60" t="n">
        <x:v>0.95</x:v>
      </x:c>
      <x:c r="D1077" s="60" t="n">
        <x:v>0.9427119459478259</x:v>
      </x:c>
      <x:c r="E1077" s="62" t="b">
        <x:v>0</x:v>
      </x:c>
      <x:c r="F1077" s="62" t="b">
        <x:v>0</x:v>
      </x:c>
      <x:c r="G1077" s="85" t="n">
        <x:v>6831942.069826643</x:v>
      </x:c>
      <x:c r="H1077" s="85" t="n">
        <x:v>15380233.97613533</x:v>
      </x:c>
      <x:c r="I1077" s="85" t="n">
        <x:v>19310168.11158424</x:v>
      </x:c>
      <x:c r="J1077" s="85" t="n">
        <x:v>14493440</x:v>
      </x:c>
      <x:c r="K1077" s="85" t="n">
        <x:v>0</x:v>
      </x:c>
      <x:c r="L1077" s="28" t="n">
        <x:v>46</x:v>
      </x:c>
      <x:c r="M1077" s="28" t="n">
        <x:v>45</x:v>
      </x:c>
      <x:c r="N1077" s="28" t="n">
        <x:v>2.3283064365386963e-10</x:v>
      </x:c>
      <x:c r="O1077" s="28" t="n">
        <x:v>1.862645149230957e-9</x:v>
      </x:c>
      <x:c r="P1077" s="28" t="n">
        <x:v>0</x:v>
      </x:c>
      <x:c r="Q1077" s="62" t="b">
        <x:v>1</x:v>
      </x:c>
      <x:c r="R1077" s="28" t="n">
        <x:v>406265.28508438915</x:v>
      </x:c>
      <x:c r="S1077" s="28" t="str">
        <x:v>0307597437c7c56d</x:v>
      </x:c>
    </x:row>
    <x:row r="1078" ht="21" customHeight="1">
      <x:c r="A1078" s="60" t="n">
        <x:v>0.64</x:v>
      </x:c>
      <x:c r="B1078" s="28" t="str">
        <x:v>front_high</x:v>
      </x:c>
      <x:c r="C1078" s="60" t="n">
        <x:v>1</x:v>
      </x:c>
      <x:c r="D1078" s="60" t="n">
        <x:v>0.9596721012870685</x:v>
      </x:c>
      <x:c r="E1078" s="62" t="b">
        <x:v>0</x:v>
      </x:c>
      <x:c r="F1078" s="62" t="b">
        <x:v>0</x:v>
      </x:c>
      <x:c r="G1078" s="85" t="n">
        <x:v>7608824.087067631</x:v>
      </x:c>
      <x:c r="H1078" s="85" t="n">
        <x:v>16245589.84210534</x:v>
      </x:c>
      <x:c r="I1078" s="85" t="n">
        <x:v>19327893.37472602</x:v>
      </x:c>
      <x:c r="J1078" s="85" t="n">
        <x:v>14493440</x:v>
      </x:c>
      <x:c r="K1078" s="85" t="n">
        <x:v>0</x:v>
      </x:c>
      <x:c r="L1078" s="28" t="n">
        <x:v>46</x:v>
      </x:c>
      <x:c r="M1078" s="28" t="n">
        <x:v>45</x:v>
      </x:c>
      <x:c r="N1078" s="28" t="n">
        <x:v>2.3283064365386963e-10</x:v>
      </x:c>
      <x:c r="O1078" s="28" t="n">
        <x:v>1.862645149230957e-9</x:v>
      </x:c>
      <x:c r="P1078" s="28" t="n">
        <x:v>0</x:v>
      </x:c>
      <x:c r="Q1078" s="62" t="b">
        <x:v>1</x:v>
      </x:c>
      <x:c r="R1078" s="28" t="n">
        <x:v>2248038.3858536556</x:v>
      </x:c>
      <x:c r="S1078" s="28" t="str">
        <x:v>1fb3b001554b8c48</x:v>
      </x:c>
    </x:row>
    <x:row r="1079" ht="21" customHeight="1">
      <x:c r="A1079" s="60" t="n">
        <x:v>0.64</x:v>
      </x:c>
      <x:c r="B1079" s="28" t="str">
        <x:v>middle_flat</x:v>
      </x:c>
      <x:c r="C1079" s="60" t="n">
        <x:v>0</x:v>
      </x:c>
      <x:c r="D1079" s="60" t="n">
        <x:v>0</x:v>
      </x:c>
      <x:c r="E1079" s="62" t="b">
        <x:v>1</x:v>
      </x:c>
      <x:c r="F1079" s="62" t="b">
        <x:v>1</x:v>
      </x:c>
      <x:c r="G1079" s="85" t="n">
        <x:v>0</x:v>
      </x:c>
      <x:c r="H1079" s="85" t="n">
        <x:v>0</x:v>
      </x:c>
      <x:c r="I1079" s="85" t="n">
        <x:v>0</x:v>
      </x:c>
      <x:c r="J1079" s="85" t="n">
        <x:v>0</x:v>
      </x:c>
      <x:c r="K1079" s="85" t="n">
        <x:v>6065538.563068496</x:v>
      </x:c>
      <x:c r="L1079" s="28" t="n">
        <x:v>0</x:v>
      </x:c>
      <x:c r="M1079" s="28" t="n">
        <x:v>0</x:v>
      </x:c>
      <x:c r="N1079" s="28" t="n">
        <x:v>9.313225746154785e-10</x:v>
      </x:c>
      <x:c r="O1079" s="28" t="n">
        <x:v>0</x:v>
      </x:c>
      <x:c r="P1079" s="28" t="n">
        <x:v>0</x:v>
      </x:c>
      <x:c r="Q1079" s="62" t="b">
        <x:v>1</x:v>
      </x:c>
      <x:c r="R1079" s="28" t="n">
        <x:v>0</x:v>
      </x:c>
      <x:c r="S1079" s="28" t="str">
        <x:v>225399cc3cab1106</x:v>
      </x:c>
    </x:row>
    <x:row r="1080" ht="21" customHeight="1">
      <x:c r="A1080" s="60" t="n">
        <x:v>0.64</x:v>
      </x:c>
      <x:c r="B1080" s="28" t="str">
        <x:v>middle_flat</x:v>
      </x:c>
      <x:c r="C1080" s="60" t="n">
        <x:v>0.05</x:v>
      </x:c>
      <x:c r="D1080" s="60" t="n">
        <x:v>0.05</x:v>
      </x:c>
      <x:c r="E1080" s="62" t="b">
        <x:v>1</x:v>
      </x:c>
      <x:c r="F1080" s="62" t="b">
        <x:v>1</x:v>
      </x:c>
      <x:c r="G1080" s="85" t="n">
        <x:v>0</x:v>
      </x:c>
      <x:c r="H1080" s="85" t="n">
        <x:v>0</x:v>
      </x:c>
      <x:c r="I1080" s="85" t="n">
        <x:v>0</x:v>
      </x:c>
      <x:c r="J1080" s="85" t="n">
        <x:v>0</x:v>
      </x:c>
      <x:c r="K1080" s="85" t="n">
        <x:v>3827091.324828036</x:v>
      </x:c>
      <x:c r="L1080" s="28" t="n">
        <x:v>0</x:v>
      </x:c>
      <x:c r="M1080" s="28" t="n">
        <x:v>0</x:v>
      </x:c>
      <x:c r="N1080" s="28" t="n">
        <x:v>9.313225746154785e-10</x:v>
      </x:c>
      <x:c r="O1080" s="28" t="n">
        <x:v>7.450580596923828e-9</x:v>
      </x:c>
      <x:c r="P1080" s="28" t="n">
        <x:v>0</x:v>
      </x:c>
      <x:c r="Q1080" s="62" t="b">
        <x:v>1</x:v>
      </x:c>
      <x:c r="R1080" s="28" t="n">
        <x:v>0</x:v>
      </x:c>
      <x:c r="S1080" s="28" t="str">
        <x:v>cb29c08ded5f578f</x:v>
      </x:c>
    </x:row>
    <x:row r="1081" ht="21" customHeight="1">
      <x:c r="A1081" s="60" t="n">
        <x:v>0.64</x:v>
      </x:c>
      <x:c r="B1081" s="28" t="str">
        <x:v>middle_flat</x:v>
      </x:c>
      <x:c r="C1081" s="60" t="n">
        <x:v>0.1</x:v>
      </x:c>
      <x:c r="D1081" s="60" t="n">
        <x:v>0.1</x:v>
      </x:c>
      <x:c r="E1081" s="62" t="b">
        <x:v>1</x:v>
      </x:c>
      <x:c r="F1081" s="62" t="b">
        <x:v>1</x:v>
      </x:c>
      <x:c r="G1081" s="85" t="n">
        <x:v>0</x:v>
      </x:c>
      <x:c r="H1081" s="85" t="n">
        <x:v>0</x:v>
      </x:c>
      <x:c r="I1081" s="85" t="n">
        <x:v>0</x:v>
      </x:c>
      <x:c r="J1081" s="85" t="n">
        <x:v>0</x:v>
      </x:c>
      <x:c r="K1081" s="85" t="n">
        <x:v>1590980.5173922</x:v>
      </x:c>
      <x:c r="L1081" s="28" t="n">
        <x:v>0</x:v>
      </x:c>
      <x:c r="M1081" s="28" t="n">
        <x:v>0</x:v>
      </x:c>
      <x:c r="N1081" s="28" t="n">
        <x:v>2.3283064365386963e-10</x:v>
      </x:c>
      <x:c r="O1081" s="28" t="n">
        <x:v>7.450580596923828e-9</x:v>
      </x:c>
      <x:c r="P1081" s="28" t="n">
        <x:v>0</x:v>
      </x:c>
      <x:c r="Q1081" s="62" t="b">
        <x:v>1</x:v>
      </x:c>
      <x:c r="R1081" s="28" t="n">
        <x:v>0</x:v>
      </x:c>
      <x:c r="S1081" s="28" t="str">
        <x:v>06fa84569c10703c</x:v>
      </x:c>
    </x:row>
    <x:row r="1082" ht="21" customHeight="1">
      <x:c r="A1082" s="60" t="n">
        <x:v>0.64</x:v>
      </x:c>
      <x:c r="B1082" s="28" t="str">
        <x:v>middle_flat</x:v>
      </x:c>
      <x:c r="C1082" s="60" t="n">
        <x:v>0.15</x:v>
      </x:c>
      <x:c r="D1082" s="60" t="n">
        <x:v>0.15</x:v>
      </x:c>
      <x:c r="E1082" s="62" t="b">
        <x:v>1</x:v>
      </x:c>
      <x:c r="F1082" s="62" t="b">
        <x:v>1</x:v>
      </x:c>
      <x:c r="G1082" s="85" t="n">
        <x:v>0</x:v>
      </x:c>
      <x:c r="H1082" s="85" t="n">
        <x:v>0</x:v>
      </x:c>
      <x:c r="I1082" s="85" t="n">
        <x:v>729159.3904635054</x:v>
      </x:c>
      <x:c r="J1082" s="85" t="n">
        <x:v>0</x:v>
      </x:c>
      <x:c r="K1082" s="85" t="n">
        <x:v>224476.16613947976</x:v>
      </x:c>
      <x:c r="L1082" s="28" t="n">
        <x:v>0</x:v>
      </x:c>
      <x:c r="M1082" s="28" t="n">
        <x:v>0</x:v>
      </x:c>
      <x:c r="N1082" s="28" t="n">
        <x:v>4.656612873077393e-10</x:v>
      </x:c>
      <x:c r="O1082" s="28" t="n">
        <x:v>7.450580596923828e-9</x:v>
      </x:c>
      <x:c r="P1082" s="28" t="n">
        <x:v>0</x:v>
      </x:c>
      <x:c r="Q1082" s="62" t="b">
        <x:v>1</x:v>
      </x:c>
      <x:c r="R1082" s="28" t="n">
        <x:v>0</x:v>
      </x:c>
      <x:c r="S1082" s="28" t="str">
        <x:v>9778831da94f8763</x:v>
      </x:c>
    </x:row>
    <x:row r="1083" ht="21" customHeight="1">
      <x:c r="A1083" s="60" t="n">
        <x:v>0.64</x:v>
      </x:c>
      <x:c r="B1083" s="28" t="str">
        <x:v>middle_flat</x:v>
      </x:c>
      <x:c r="C1083" s="60" t="n">
        <x:v>0.2</x:v>
      </x:c>
      <x:c r="D1083" s="60" t="n">
        <x:v>0.2</x:v>
      </x:c>
      <x:c r="E1083" s="62" t="b">
        <x:v>1</x:v>
      </x:c>
      <x:c r="F1083" s="62" t="b">
        <x:v>1</x:v>
      </x:c>
      <x:c r="G1083" s="85" t="n">
        <x:v>0</x:v>
      </x:c>
      <x:c r="H1083" s="85" t="n">
        <x:v>0</x:v>
      </x:c>
      <x:c r="I1083" s="85" t="n">
        <x:v>2224847.9532881975</x:v>
      </x:c>
      <x:c r="J1083" s="85" t="n">
        <x:v>1253157.2790409096</x:v>
      </x:c>
      <x:c r="K1083" s="85" t="n">
        <x:v>165189.467076932</x:v>
      </x:c>
      <x:c r="L1083" s="28" t="n">
        <x:v>0</x:v>
      </x:c>
      <x:c r="M1083" s="28" t="n">
        <x:v>0</x:v>
      </x:c>
      <x:c r="N1083" s="28" t="n">
        <x:v>2.3283064365386963e-10</x:v>
      </x:c>
      <x:c r="O1083" s="28" t="n">
        <x:v>7.450580596923828e-9</x:v>
      </x:c>
      <x:c r="P1083" s="28" t="n">
        <x:v>0</x:v>
      </x:c>
      <x:c r="Q1083" s="62" t="b">
        <x:v>1</x:v>
      </x:c>
      <x:c r="R1083" s="28" t="n">
        <x:v>0</x:v>
      </x:c>
      <x:c r="S1083" s="28" t="str">
        <x:v>eeedd37c2b336220</x:v>
      </x:c>
    </x:row>
    <x:row r="1084" ht="21" customHeight="1">
      <x:c r="A1084" s="60" t="n">
        <x:v>0.64</x:v>
      </x:c>
      <x:c r="B1084" s="28" t="str">
        <x:v>middle_flat</x:v>
      </x:c>
      <x:c r="C1084" s="60" t="n">
        <x:v>0.25</x:v>
      </x:c>
      <x:c r="D1084" s="60" t="n">
        <x:v>0.25</x:v>
      </x:c>
      <x:c r="E1084" s="62" t="b">
        <x:v>1</x:v>
      </x:c>
      <x:c r="F1084" s="62" t="b">
        <x:v>1</x:v>
      </x:c>
      <x:c r="G1084" s="85" t="n">
        <x:v>0</x:v>
      </x:c>
      <x:c r="H1084" s="85" t="n">
        <x:v>0</x:v>
      </x:c>
      <x:c r="I1084" s="85" t="n">
        <x:v>3417192.6132266982</x:v>
      </x:c>
      <x:c r="J1084" s="85" t="n">
        <x:v>2960046.598801156</x:v>
      </x:c>
      <x:c r="K1084" s="85" t="n">
        <x:v>131150.11239410995</x:v>
      </x:c>
      <x:c r="L1084" s="28" t="n">
        <x:v>0</x:v>
      </x:c>
      <x:c r="M1084" s="28" t="n">
        <x:v>0</x:v>
      </x:c>
      <x:c r="N1084" s="28" t="n">
        <x:v>2.3283064365386963e-10</x:v>
      </x:c>
      <x:c r="O1084" s="28" t="n">
        <x:v>7.450580596923828e-9</x:v>
      </x:c>
      <x:c r="P1084" s="28" t="n">
        <x:v>0</x:v>
      </x:c>
      <x:c r="Q1084" s="62" t="b">
        <x:v>1</x:v>
      </x:c>
      <x:c r="R1084" s="28" t="n">
        <x:v>0</x:v>
      </x:c>
      <x:c r="S1084" s="28" t="str">
        <x:v>c46497d6fd3474fe</x:v>
      </x:c>
    </x:row>
    <x:row r="1085" ht="21" customHeight="1">
      <x:c r="A1085" s="60" t="n">
        <x:v>0.64</x:v>
      </x:c>
      <x:c r="B1085" s="28" t="str">
        <x:v>middle_flat</x:v>
      </x:c>
      <x:c r="C1085" s="60" t="n">
        <x:v>0.3</x:v>
      </x:c>
      <x:c r="D1085" s="60" t="n">
        <x:v>0.3</x:v>
      </x:c>
      <x:c r="E1085" s="62" t="b">
        <x:v>1</x:v>
      </x:c>
      <x:c r="F1085" s="62" t="b">
        <x:v>1</x:v>
      </x:c>
      <x:c r="G1085" s="85" t="n">
        <x:v>0</x:v>
      </x:c>
      <x:c r="H1085" s="85" t="n">
        <x:v>0</x:v>
      </x:c>
      <x:c r="I1085" s="85" t="n">
        <x:v>4622099.166630385</x:v>
      </x:c>
      <x:c r="J1085" s="85" t="n">
        <x:v>4666935.918561376</x:v>
      </x:c>
      <x:c r="K1085" s="85" t="n">
        <x:v>107136.6264109599</x:v>
      </x:c>
      <x:c r="L1085" s="28" t="n">
        <x:v>0</x:v>
      </x:c>
      <x:c r="M1085" s="28" t="n">
        <x:v>0</x:v>
      </x:c>
      <x:c r="N1085" s="28" t="n">
        <x:v>4.656612873077393e-10</x:v>
      </x:c>
      <x:c r="O1085" s="28" t="n">
        <x:v>7.450580596923828e-9</x:v>
      </x:c>
      <x:c r="P1085" s="28" t="n">
        <x:v>0</x:v>
      </x:c>
      <x:c r="Q1085" s="62" t="b">
        <x:v>1</x:v>
      </x:c>
      <x:c r="R1085" s="28" t="n">
        <x:v>0</x:v>
      </x:c>
      <x:c r="S1085" s="28" t="str">
        <x:v>8ba10ad457398024</x:v>
      </x:c>
    </x:row>
    <x:row r="1086" ht="21" customHeight="1">
      <x:c r="A1086" s="60" t="n">
        <x:v>0.64</x:v>
      </x:c>
      <x:c r="B1086" s="28" t="str">
        <x:v>middle_flat</x:v>
      </x:c>
      <x:c r="C1086" s="60" t="n">
        <x:v>0.35</x:v>
      </x:c>
      <x:c r="D1086" s="60" t="n">
        <x:v>0.35</x:v>
      </x:c>
      <x:c r="E1086" s="62" t="b">
        <x:v>1</x:v>
      </x:c>
      <x:c r="F1086" s="62" t="b">
        <x:v>1</x:v>
      </x:c>
      <x:c r="G1086" s="85" t="n">
        <x:v>0</x:v>
      </x:c>
      <x:c r="H1086" s="85" t="n">
        <x:v>0</x:v>
      </x:c>
      <x:c r="I1086" s="85" t="n">
        <x:v>5833412.025905728</x:v>
      </x:c>
      <x:c r="J1086" s="85" t="n">
        <x:v>6373825.238321624</x:v>
      </x:c>
      <x:c r="K1086" s="85" t="n">
        <x:v>91479.1374794518</x:v>
      </x:c>
      <x:c r="L1086" s="28" t="n">
        <x:v>0</x:v>
      </x:c>
      <x:c r="M1086" s="28" t="n">
        <x:v>0</x:v>
      </x:c>
      <x:c r="N1086" s="28" t="n">
        <x:v>9.313225746154785e-10</x:v>
      </x:c>
      <x:c r="O1086" s="28" t="n">
        <x:v>7.450580596923828e-9</x:v>
      </x:c>
      <x:c r="P1086" s="28" t="n">
        <x:v>0</x:v>
      </x:c>
      <x:c r="Q1086" s="62" t="b">
        <x:v>1</x:v>
      </x:c>
      <x:c r="R1086" s="28" t="n">
        <x:v>0</x:v>
      </x:c>
      <x:c r="S1086" s="28" t="str">
        <x:v>f8f0f9eb045d5fab</x:v>
      </x:c>
    </x:row>
    <x:row r="1087" ht="21" customHeight="1">
      <x:c r="A1087" s="60" t="n">
        <x:v>0.64</x:v>
      </x:c>
      <x:c r="B1087" s="28" t="str">
        <x:v>middle_flat</x:v>
      </x:c>
      <x:c r="C1087" s="60" t="n">
        <x:v>0.4</x:v>
      </x:c>
      <x:c r="D1087" s="60" t="n">
        <x:v>0.4</x:v>
      </x:c>
      <x:c r="E1087" s="62" t="b">
        <x:v>1</x:v>
      </x:c>
      <x:c r="F1087" s="62" t="b">
        <x:v>1</x:v>
      </x:c>
      <x:c r="G1087" s="85" t="n">
        <x:v>0</x:v>
      </x:c>
      <x:c r="H1087" s="85" t="n">
        <x:v>0</x:v>
      </x:c>
      <x:c r="I1087" s="85" t="n">
        <x:v>7050529.547911381</x:v>
      </x:c>
      <x:c r="J1087" s="85" t="n">
        <x:v>8080714.558081838</x:v>
      </x:c>
      <x:c r="K1087" s="85" t="n">
        <x:v>75821.64854794594</x:v>
      </x:c>
      <x:c r="L1087" s="28" t="n">
        <x:v>0</x:v>
      </x:c>
      <x:c r="M1087" s="28" t="n">
        <x:v>0</x:v>
      </x:c>
      <x:c r="N1087" s="28" t="n">
        <x:v>4.656612873077393e-10</x:v>
      </x:c>
      <x:c r="O1087" s="28" t="n">
        <x:v>3.725290298461914e-9</x:v>
      </x:c>
      <x:c r="P1087" s="28" t="n">
        <x:v>0</x:v>
      </x:c>
      <x:c r="Q1087" s="62" t="b">
        <x:v>1</x:v>
      </x:c>
      <x:c r="R1087" s="28" t="n">
        <x:v>0</x:v>
      </x:c>
      <x:c r="S1087" s="28" t="str">
        <x:v>a7f936ec3ca99fb1</x:v>
      </x:c>
    </x:row>
    <x:row r="1088" ht="21" customHeight="1">
      <x:c r="A1088" s="60" t="n">
        <x:v>0.64</x:v>
      </x:c>
      <x:c r="B1088" s="28" t="str">
        <x:v>middle_flat</x:v>
      </x:c>
      <x:c r="C1088" s="60" t="n">
        <x:v>0.45</x:v>
      </x:c>
      <x:c r="D1088" s="60" t="n">
        <x:v>0.45</x:v>
      </x:c>
      <x:c r="E1088" s="62" t="b">
        <x:v>1</x:v>
      </x:c>
      <x:c r="F1088" s="62" t="b">
        <x:v>1</x:v>
      </x:c>
      <x:c r="G1088" s="85" t="n">
        <x:v>0</x:v>
      </x:c>
      <x:c r="H1088" s="85" t="n">
        <x:v>0</x:v>
      </x:c>
      <x:c r="I1088" s="85" t="n">
        <x:v>8623999.732841583</x:v>
      </x:c>
      <x:c r="J1088" s="85" t="n">
        <x:v>8928286.97807938</x:v>
      </x:c>
      <x:c r="K1088" s="85" t="n">
        <x:v>60164.15961643867</x:v>
      </x:c>
      <x:c r="L1088" s="28" t="n">
        <x:v>6</x:v>
      </x:c>
      <x:c r="M1088" s="28" t="n">
        <x:v>0</x:v>
      </x:c>
      <x:c r="N1088" s="28" t="n">
        <x:v>9.313225746154785e-10</x:v>
      </x:c>
      <x:c r="O1088" s="28" t="n">
        <x:v>1.862645149230957e-9</x:v>
      </x:c>
      <x:c r="P1088" s="28" t="n">
        <x:v>0</x:v>
      </x:c>
      <x:c r="Q1088" s="62" t="b">
        <x:v>1</x:v>
      </x:c>
      <x:c r="R1088" s="28" t="n">
        <x:v>0</x:v>
      </x:c>
      <x:c r="S1088" s="28" t="str">
        <x:v>fa4d173699f3a2d9</x:v>
      </x:c>
    </x:row>
    <x:row r="1089" ht="21" customHeight="1">
      <x:c r="A1089" s="60" t="n">
        <x:v>0.64</x:v>
      </x:c>
      <x:c r="B1089" s="28" t="str">
        <x:v>middle_flat</x:v>
      </x:c>
      <x:c r="C1089" s="60" t="n">
        <x:v>0.5</x:v>
      </x:c>
      <x:c r="D1089" s="60" t="n">
        <x:v>0.5</x:v>
      </x:c>
      <x:c r="E1089" s="62" t="b">
        <x:v>1</x:v>
      </x:c>
      <x:c r="F1089" s="62" t="b">
        <x:v>1</x:v>
      </x:c>
      <x:c r="G1089" s="85" t="n">
        <x:v>0</x:v>
      </x:c>
      <x:c r="H1089" s="85" t="n">
        <x:v>0</x:v>
      </x:c>
      <x:c r="I1089" s="85" t="n">
        <x:v>9934987.123761235</x:v>
      </x:c>
      <x:c r="J1089" s="85" t="n">
        <x:v>10409277.363783976</x:v>
      </x:c>
      <x:c r="K1089" s="85" t="n">
        <x:v>52055.07660274028</x:v>
      </x:c>
      <x:c r="L1089" s="28" t="n">
        <x:v>10</x:v>
      </x:c>
      <x:c r="M1089" s="28" t="n">
        <x:v>0</x:v>
      </x:c>
      <x:c r="N1089" s="28" t="n">
        <x:v>4.656612873077393e-10</x:v>
      </x:c>
      <x:c r="O1089" s="28" t="n">
        <x:v>7.450580596923828e-9</x:v>
      </x:c>
      <x:c r="P1089" s="28" t="n">
        <x:v>0</x:v>
      </x:c>
      <x:c r="Q1089" s="62" t="b">
        <x:v>1</x:v>
      </x:c>
      <x:c r="R1089" s="28" t="n">
        <x:v>0</x:v>
      </x:c>
      <x:c r="S1089" s="28" t="str">
        <x:v>bf2fbdba2b664323</x:v>
      </x:c>
    </x:row>
    <x:row r="1090" ht="21" customHeight="1">
      <x:c r="A1090" s="60" t="n">
        <x:v>0.64</x:v>
      </x:c>
      <x:c r="B1090" s="28" t="str">
        <x:v>middle_flat</x:v>
      </x:c>
      <x:c r="C1090" s="60" t="n">
        <x:v>0.55</x:v>
      </x:c>
      <x:c r="D1090" s="60" t="n">
        <x:v>0.55</x:v>
      </x:c>
      <x:c r="E1090" s="62" t="b">
        <x:v>1</x:v>
      </x:c>
      <x:c r="F1090" s="62" t="b">
        <x:v>1</x:v>
      </x:c>
      <x:c r="G1090" s="85" t="n">
        <x:v>0</x:v>
      </x:c>
      <x:c r="H1090" s="85" t="n">
        <x:v>0</x:v>
      </x:c>
      <x:c r="I1090" s="85" t="n">
        <x:v>11171020.569623861</x:v>
      </x:c>
      <x:c r="J1090" s="85" t="n">
        <x:v>12034372.721325502</x:v>
      </x:c>
      <x:c r="K1090" s="85" t="n">
        <x:v>47289.14252054808</x:v>
      </x:c>
      <x:c r="L1090" s="28" t="n">
        <x:v>14</x:v>
      </x:c>
      <x:c r="M1090" s="28" t="n">
        <x:v>0</x:v>
      </x:c>
      <x:c r="N1090" s="28" t="n">
        <x:v>4.656612873077393e-10</x:v>
      </x:c>
      <x:c r="O1090" s="28" t="n">
        <x:v>7.450580596923828e-9</x:v>
      </x:c>
      <x:c r="P1090" s="28" t="n">
        <x:v>0</x:v>
      </x:c>
      <x:c r="Q1090" s="62" t="b">
        <x:v>1</x:v>
      </x:c>
      <x:c r="R1090" s="28" t="n">
        <x:v>0</x:v>
      </x:c>
      <x:c r="S1090" s="28" t="str">
        <x:v>c70141bbdfd31b2f</x:v>
      </x:c>
    </x:row>
    <x:row r="1091" ht="21" customHeight="1">
      <x:c r="A1091" s="60" t="n">
        <x:v>0.64</x:v>
      </x:c>
      <x:c r="B1091" s="28" t="str">
        <x:v>middle_flat</x:v>
      </x:c>
      <x:c r="C1091" s="60" t="n">
        <x:v>0.6</x:v>
      </x:c>
      <x:c r="D1091" s="60" t="n">
        <x:v>0.6</x:v>
      </x:c>
      <x:c r="E1091" s="62" t="b">
        <x:v>1</x:v>
      </x:c>
      <x:c r="F1091" s="62" t="b">
        <x:v>1</x:v>
      </x:c>
      <x:c r="G1091" s="85" t="n">
        <x:v>0</x:v>
      </x:c>
      <x:c r="H1091" s="85" t="n">
        <x:v>0</x:v>
      </x:c>
      <x:c r="I1091" s="85" t="n">
        <x:v>12322333.75980472</x:v>
      </x:c>
      <x:c r="J1091" s="85" t="n">
        <x:v>13831881.778773412</x:v>
      </x:c>
      <x:c r="K1091" s="85" t="n">
        <x:v>42523.20843835624</x:v>
      </x:c>
      <x:c r="L1091" s="28" t="n">
        <x:v>19</x:v>
      </x:c>
      <x:c r="M1091" s="28" t="n">
        <x:v>10</x:v>
      </x:c>
      <x:c r="N1091" s="28" t="n">
        <x:v>4.656612873077393e-10</x:v>
      </x:c>
      <x:c r="O1091" s="28" t="n">
        <x:v>3.725290298461914e-9</x:v>
      </x:c>
      <x:c r="P1091" s="28" t="n">
        <x:v>0</x:v>
      </x:c>
      <x:c r="Q1091" s="62" t="b">
        <x:v>1</x:v>
      </x:c>
      <x:c r="R1091" s="28" t="n">
        <x:v>0</x:v>
      </x:c>
      <x:c r="S1091" s="28" t="str">
        <x:v>0a54305c4b60608f</x:v>
      </x:c>
    </x:row>
    <x:row r="1092" ht="21" customHeight="1">
      <x:c r="A1092" s="60" t="n">
        <x:v>0.64</x:v>
      </x:c>
      <x:c r="B1092" s="28" t="str">
        <x:v>middle_flat</x:v>
      </x:c>
      <x:c r="C1092" s="60" t="n">
        <x:v>0.65</x:v>
      </x:c>
      <x:c r="D1092" s="60" t="n">
        <x:v>0.65</x:v>
      </x:c>
      <x:c r="E1092" s="62" t="b">
        <x:v>1</x:v>
      </x:c>
      <x:c r="F1092" s="62" t="b">
        <x:v>0</x:v>
      </x:c>
      <x:c r="G1092" s="85" t="n">
        <x:v>255672.16998102117</x:v>
      </x:c>
      <x:c r="H1092" s="85" t="n">
        <x:v>1370917.8277377493</x:v>
      </x:c>
      <x:c r="I1092" s="85" t="n">
        <x:v>12834193.261415746</x:v>
      </x:c>
      <x:c r="J1092" s="85" t="n">
        <x:v>14493440</x:v>
      </x:c>
      <x:c r="K1092" s="85" t="n">
        <x:v>37757.27435616509</x:v>
      </x:c>
      <x:c r="L1092" s="28" t="n">
        <x:v>41</x:v>
      </x:c>
      <x:c r="M1092" s="28" t="n">
        <x:v>34</x:v>
      </x:c>
      <x:c r="N1092" s="28" t="n">
        <x:v>4.656612873077393e-10</x:v>
      </x:c>
      <x:c r="O1092" s="28" t="n">
        <x:v>1.862645149230957e-9</x:v>
      </x:c>
      <x:c r="P1092" s="28" t="n">
        <x:v>0</x:v>
      </x:c>
      <x:c r="Q1092" s="62" t="b">
        <x:v>1</x:v>
      </x:c>
      <x:c r="R1092" s="28" t="n">
        <x:v>0</x:v>
      </x:c>
      <x:c r="S1092" s="28" t="str">
        <x:v>40d64ff77f1693e1</x:v>
      </x:c>
    </x:row>
    <x:row r="1093" ht="21" customHeight="1">
      <x:c r="A1093" s="60" t="n">
        <x:v>0.64</x:v>
      </x:c>
      <x:c r="B1093" s="28" t="str">
        <x:v>middle_flat</x:v>
      </x:c>
      <x:c r="C1093" s="60" t="n">
        <x:v>0.7</x:v>
      </x:c>
      <x:c r="D1093" s="60" t="n">
        <x:v>0.7</x:v>
      </x:c>
      <x:c r="E1093" s="62" t="b">
        <x:v>1</x:v>
      </x:c>
      <x:c r="F1093" s="62" t="b">
        <x:v>0</x:v>
      </x:c>
      <x:c r="G1093" s="85" t="n">
        <x:v>702769.2308854916</x:v>
      </x:c>
      <x:c r="H1093" s="85" t="n">
        <x:v>3748040.588616169</x:v>
      </x:c>
      <x:c r="I1093" s="85" t="n">
        <x:v>12872928.264078077</x:v>
      </x:c>
      <x:c r="J1093" s="85" t="n">
        <x:v>14493440</x:v>
      </x:c>
      <x:c r="K1093" s="85" t="n">
        <x:v>32991.34027397244</x:v>
      </x:c>
      <x:c r="L1093" s="28" t="n">
        <x:v>41</x:v>
      </x:c>
      <x:c r="M1093" s="28" t="n">
        <x:v>36</x:v>
      </x:c>
      <x:c r="N1093" s="28" t="n">
        <x:v>4.656612873077393e-10</x:v>
      </x:c>
      <x:c r="O1093" s="28" t="n">
        <x:v>3.725290298461914e-9</x:v>
      </x:c>
      <x:c r="P1093" s="28" t="n">
        <x:v>0</x:v>
      </x:c>
      <x:c r="Q1093" s="62" t="b">
        <x:v>1</x:v>
      </x:c>
      <x:c r="R1093" s="28" t="n">
        <x:v>0</x:v>
      </x:c>
      <x:c r="S1093" s="28" t="str">
        <x:v>27a2c8857366e991</x:v>
      </x:c>
    </x:row>
    <x:row r="1094" ht="21" customHeight="1">
      <x:c r="A1094" s="60" t="n">
        <x:v>0.64</x:v>
      </x:c>
      <x:c r="B1094" s="28" t="str">
        <x:v>middle_flat</x:v>
      </x:c>
      <x:c r="C1094" s="60" t="n">
        <x:v>0.75</x:v>
      </x:c>
      <x:c r="D1094" s="60" t="n">
        <x:v>0.75</x:v>
      </x:c>
      <x:c r="E1094" s="62" t="b">
        <x:v>1</x:v>
      </x:c>
      <x:c r="F1094" s="62" t="b">
        <x:v>0</x:v>
      </x:c>
      <x:c r="G1094" s="85" t="n">
        <x:v>1133068.9933896814</x:v>
      </x:c>
      <x:c r="H1094" s="85" t="n">
        <x:v>5743335.876325257</x:v>
      </x:c>
      <x:c r="I1094" s="85" t="n">
        <x:v>13109895.704132732</x:v>
      </x:c>
      <x:c r="J1094" s="85" t="n">
        <x:v>14493440</x:v>
      </x:c>
      <x:c r="K1094" s="85" t="n">
        <x:v>28225.406191780705</x:v>
      </x:c>
      <x:c r="L1094" s="28" t="n">
        <x:v>42</x:v>
      </x:c>
      <x:c r="M1094" s="28" t="n">
        <x:v>36</x:v>
      </x:c>
      <x:c r="N1094" s="28" t="n">
        <x:v>4.656612873077393e-10</x:v>
      </x:c>
      <x:c r="O1094" s="28" t="n">
        <x:v>3.725290298461914e-9</x:v>
      </x:c>
      <x:c r="P1094" s="28" t="n">
        <x:v>0</x:v>
      </x:c>
      <x:c r="Q1094" s="62" t="b">
        <x:v>1</x:v>
      </x:c>
      <x:c r="R1094" s="28" t="n">
        <x:v>0</x:v>
      </x:c>
      <x:c r="S1094" s="28" t="str">
        <x:v>690f882f577a1122</x:v>
      </x:c>
    </x:row>
    <x:row r="1095" ht="21" customHeight="1">
      <x:c r="A1095" s="60" t="n">
        <x:v>0.64</x:v>
      </x:c>
      <x:c r="B1095" s="28" t="str">
        <x:v>middle_flat</x:v>
      </x:c>
      <x:c r="C1095" s="60" t="n">
        <x:v>0.8</x:v>
      </x:c>
      <x:c r="D1095" s="60" t="n">
        <x:v>0.8</x:v>
      </x:c>
      <x:c r="E1095" s="62" t="b">
        <x:v>1</x:v>
      </x:c>
      <x:c r="F1095" s="62" t="b">
        <x:v>0</x:v>
      </x:c>
      <x:c r="G1095" s="85" t="n">
        <x:v>1611782.8443118085</x:v>
      </x:c>
      <x:c r="H1095" s="85" t="n">
        <x:v>7981499.74591075</x:v>
      </x:c>
      <x:c r="I1095" s="85" t="n">
        <x:v>13139773.36487583</x:v>
      </x:c>
      <x:c r="J1095" s="85" t="n">
        <x:v>14493440</x:v>
      </x:c>
      <x:c r="K1095" s="85" t="n">
        <x:v>23459.47210958933</x:v>
      </x:c>
      <x:c r="L1095" s="28" t="n">
        <x:v>42</x:v>
      </x:c>
      <x:c r="M1095" s="28" t="n">
        <x:v>38</x:v>
      </x:c>
      <x:c r="N1095" s="28" t="n">
        <x:v>4.656612873077393e-10</x:v>
      </x:c>
      <x:c r="O1095" s="28" t="n">
        <x:v>1.862645149230957e-9</x:v>
      </x:c>
      <x:c r="P1095" s="28" t="n">
        <x:v>0</x:v>
      </x:c>
      <x:c r="Q1095" s="62" t="b">
        <x:v>1</x:v>
      </x:c>
      <x:c r="R1095" s="28" t="n">
        <x:v>0</x:v>
      </x:c>
      <x:c r="S1095" s="28" t="str">
        <x:v>fad670d1c4aa4b80</x:v>
      </x:c>
    </x:row>
    <x:row r="1096" ht="21" customHeight="1">
      <x:c r="A1096" s="60" t="n">
        <x:v>0.64</x:v>
      </x:c>
      <x:c r="B1096" s="28" t="str">
        <x:v>middle_flat</x:v>
      </x:c>
      <x:c r="C1096" s="60" t="n">
        <x:v>0.85</x:v>
      </x:c>
      <x:c r="D1096" s="60" t="n">
        <x:v>0.85</x:v>
      </x:c>
      <x:c r="E1096" s="62" t="b">
        <x:v>1</x:v>
      </x:c>
      <x:c r="F1096" s="62" t="b">
        <x:v>0</x:v>
      </x:c>
      <x:c r="G1096" s="85" t="n">
        <x:v>2130219.4069471387</x:v>
      </x:c>
      <x:c r="H1096" s="85" t="n">
        <x:v>9806833.639406566</x:v>
      </x:c>
      <x:c r="I1096" s="85" t="n">
        <x:v>13379052.405163694</x:v>
      </x:c>
      <x:c r="J1096" s="85" t="n">
        <x:v>14493440</x:v>
      </x:c>
      <x:c r="K1096" s="85" t="n">
        <x:v>18693.538027397368</x:v>
      </x:c>
      <x:c r="L1096" s="28" t="n">
        <x:v>43</x:v>
      </x:c>
      <x:c r="M1096" s="28" t="n">
        <x:v>38</x:v>
      </x:c>
      <x:c r="N1096" s="28" t="n">
        <x:v>4.656612873077393e-10</x:v>
      </x:c>
      <x:c r="O1096" s="28" t="n">
        <x:v>3.725290298461914e-9</x:v>
      </x:c>
      <x:c r="P1096" s="28" t="n">
        <x:v>0</x:v>
      </x:c>
      <x:c r="Q1096" s="62" t="b">
        <x:v>1</x:v>
      </x:c>
      <x:c r="R1096" s="28" t="n">
        <x:v>0</x:v>
      </x:c>
      <x:c r="S1096" s="28" t="str">
        <x:v>2fc85a5dc3f26d24</x:v>
      </x:c>
    </x:row>
    <x:row r="1097" ht="21" customHeight="1">
      <x:c r="A1097" s="60" t="n">
        <x:v>0.64</x:v>
      </x:c>
      <x:c r="B1097" s="28" t="str">
        <x:v>middle_flat</x:v>
      </x:c>
      <x:c r="C1097" s="60" t="n">
        <x:v>0.9</x:v>
      </x:c>
      <x:c r="D1097" s="60" t="n">
        <x:v>0.9</x:v>
      </x:c>
      <x:c r="E1097" s="62" t="b">
        <x:v>1</x:v>
      </x:c>
      <x:c r="F1097" s="62" t="b">
        <x:v>0</x:v>
      </x:c>
      <x:c r="G1097" s="85" t="n">
        <x:v>2983607.09355407</x:v>
      </x:c>
      <x:c r="H1097" s="85" t="n">
        <x:v>11682623.57215758</x:v>
      </x:c>
      <x:c r="I1097" s="85" t="n">
        <x:v>13398584.981647938</x:v>
      </x:c>
      <x:c r="J1097" s="85" t="n">
        <x:v>14493440</x:v>
      </x:c>
      <x:c r="K1097" s="85" t="n">
        <x:v>13927.603945205876</x:v>
      </x:c>
      <x:c r="L1097" s="28" t="n">
        <x:v>43</x:v>
      </x:c>
      <x:c r="M1097" s="28" t="n">
        <x:v>38</x:v>
      </x:c>
      <x:c r="N1097" s="28" t="n">
        <x:v>2.3283064365386963e-10</x:v>
      </x:c>
      <x:c r="O1097" s="28" t="n">
        <x:v>3.725290298461914e-9</x:v>
      </x:c>
      <x:c r="P1097" s="28" t="n">
        <x:v>0</x:v>
      </x:c>
      <x:c r="Q1097" s="62" t="b">
        <x:v>1</x:v>
      </x:c>
      <x:c r="R1097" s="28" t="n">
        <x:v>0</x:v>
      </x:c>
      <x:c r="S1097" s="28" t="str">
        <x:v>e3d35523768bc65e</x:v>
      </x:c>
    </x:row>
    <x:row r="1098" ht="21" customHeight="1">
      <x:c r="A1098" s="60" t="n">
        <x:v>0.64</x:v>
      </x:c>
      <x:c r="B1098" s="28" t="str">
        <x:v>middle_flat</x:v>
      </x:c>
      <x:c r="C1098" s="60" t="n">
        <x:v>0.95</x:v>
      </x:c>
      <x:c r="D1098" s="60" t="n">
        <x:v>0.9270639118581285</x:v>
      </x:c>
      <x:c r="E1098" s="62" t="b">
        <x:v>0</x:v>
      </x:c>
      <x:c r="F1098" s="62" t="b">
        <x:v>0</x:v>
      </x:c>
      <x:c r="G1098" s="85" t="n">
        <x:v>3343060.6502793534</x:v>
      </x:c>
      <x:c r="H1098" s="85" t="n">
        <x:v>12657328.921538146</x:v>
      </x:c>
      <x:c r="I1098" s="85" t="n">
        <x:v>13418117.558132187</x:v>
      </x:c>
      <x:c r="J1098" s="85" t="n">
        <x:v>14493440</x:v>
      </x:c>
      <x:c r="K1098" s="85" t="n">
        <x:v>12035.100821917913</x:v>
      </x:c>
      <x:c r="L1098" s="28" t="n">
        <x:v>43</x:v>
      </x:c>
      <x:c r="M1098" s="28" t="n">
        <x:v>39</x:v>
      </x:c>
      <x:c r="N1098" s="28" t="n">
        <x:v>2.3283064365386963e-10</x:v>
      </x:c>
      <x:c r="O1098" s="28" t="n">
        <x:v>3.725290298461914e-9</x:v>
      </x:c>
      <x:c r="P1098" s="28" t="n">
        <x:v>0</x:v>
      </x:c>
      <x:c r="Q1098" s="62" t="b">
        <x:v>1</x:v>
      </x:c>
      <x:c r="R1098" s="28" t="n">
        <x:v>1278549.2973804846</x:v>
      </x:c>
      <x:c r="S1098" s="28" t="str">
        <x:v>9c211ace8355a5ca</x:v>
      </x:c>
    </x:row>
    <x:row r="1099" ht="21" customHeight="1">
      <x:c r="A1099" s="60" t="n">
        <x:v>0.64</x:v>
      </x:c>
      <x:c r="B1099" s="28" t="str">
        <x:v>middle_flat</x:v>
      </x:c>
      <x:c r="C1099" s="60" t="n">
        <x:v>1</x:v>
      </x:c>
      <x:c r="D1099" s="60" t="n">
        <x:v>0.9427455891708479</x:v>
      </x:c>
      <x:c r="E1099" s="62" t="b">
        <x:v>0</x:v>
      </x:c>
      <x:c r="F1099" s="62" t="b">
        <x:v>0</x:v>
      </x:c>
      <x:c r="G1099" s="85" t="n">
        <x:v>3608514.148633382</x:v>
      </x:c>
      <x:c r="H1099" s="85" t="n">
        <x:v>13111811.255636364</x:v>
      </x:c>
      <x:c r="I1099" s="85" t="n">
        <x:v>13640019.443726022</x:v>
      </x:c>
      <x:c r="J1099" s="85" t="n">
        <x:v>14493440</x:v>
      </x:c>
      <x:c r="K1099" s="85" t="n">
        <x:v>10430.965479451967</x:v>
      </x:c>
      <x:c r="L1099" s="28" t="n">
        <x:v>44</x:v>
      </x:c>
      <x:c r="M1099" s="28" t="n">
        <x:v>40</x:v>
      </x:c>
      <x:c r="N1099" s="28" t="n">
        <x:v>2.3283064365386963e-10</x:v>
      </x:c>
      <x:c r="O1099" s="28" t="n">
        <x:v>9.313225746154785e-10</x:v>
      </x:c>
      <x:c r="P1099" s="28" t="n">
        <x:v>0</x:v>
      </x:c>
      <x:c r="Q1099" s="62" t="b">
        <x:v>1</x:v>
      </x:c>
      <x:c r="R1099" s="28" t="n">
        <x:v>3191589.877260253</x:v>
      </x:c>
      <x:c r="S1099" s="28" t="str">
        <x:v>3d8262767db49b70</x:v>
      </x:c>
    </x:row>
    <x:row r="1100" ht="21" customHeight="1">
      <x:c r="A1100" s="60" t="n">
        <x:v>0.64</x:v>
      </x:c>
      <x:c r="B1100" s="28" t="str">
        <x:v>middle_low</x:v>
      </x:c>
      <x:c r="C1100" s="60" t="n">
        <x:v>0</x:v>
      </x:c>
      <x:c r="D1100" s="60" t="n">
        <x:v>0</x:v>
      </x:c>
      <x:c r="E1100" s="62" t="b">
        <x:v>1</x:v>
      </x:c>
      <x:c r="F1100" s="62" t="b">
        <x:v>1</x:v>
      </x:c>
      <x:c r="G1100" s="85" t="n">
        <x:v>0</x:v>
      </x:c>
      <x:c r="H1100" s="85" t="n">
        <x:v>0</x:v>
      </x:c>
      <x:c r="I1100" s="85" t="n">
        <x:v>0</x:v>
      </x:c>
      <x:c r="J1100" s="85" t="n">
        <x:v>0</x:v>
      </x:c>
      <x:c r="K1100" s="85" t="n">
        <x:v>5297676.453479452</x:v>
      </x:c>
      <x:c r="L1100" s="28" t="n">
        <x:v>0</x:v>
      </x:c>
      <x:c r="M1100" s="28" t="n">
        <x:v>0</x:v>
      </x:c>
      <x:c r="N1100" s="28" t="n">
        <x:v>4.656612873077393e-10</x:v>
      </x:c>
      <x:c r="O1100" s="28" t="n">
        <x:v>0</x:v>
      </x:c>
      <x:c r="P1100" s="28" t="n">
        <x:v>0</x:v>
      </x:c>
      <x:c r="Q1100" s="62" t="b">
        <x:v>1</x:v>
      </x:c>
      <x:c r="R1100" s="28" t="n">
        <x:v>0</x:v>
      </x:c>
      <x:c r="S1100" s="28" t="str">
        <x:v>c18f21f1eb3b3ce6</x:v>
      </x:c>
    </x:row>
    <x:row r="1101" ht="21" customHeight="1">
      <x:c r="A1101" s="60" t="n">
        <x:v>0.64</x:v>
      </x:c>
      <x:c r="B1101" s="28" t="str">
        <x:v>middle_low</x:v>
      </x:c>
      <x:c r="C1101" s="60" t="n">
        <x:v>0.05</x:v>
      </x:c>
      <x:c r="D1101" s="60" t="n">
        <x:v>0.05</x:v>
      </x:c>
      <x:c r="E1101" s="62" t="b">
        <x:v>1</x:v>
      </x:c>
      <x:c r="F1101" s="62" t="b">
        <x:v>1</x:v>
      </x:c>
      <x:c r="G1101" s="85" t="n">
        <x:v>0</x:v>
      </x:c>
      <x:c r="H1101" s="85" t="n">
        <x:v>0</x:v>
      </x:c>
      <x:c r="I1101" s="85" t="n">
        <x:v>0</x:v>
      </x:c>
      <x:c r="J1101" s="85" t="n">
        <x:v>0</x:v>
      </x:c>
      <x:c r="K1101" s="85" t="n">
        <x:v>3285183.7670218693</x:v>
      </x:c>
      <x:c r="L1101" s="28" t="n">
        <x:v>0</x:v>
      </x:c>
      <x:c r="M1101" s="28" t="n">
        <x:v>0</x:v>
      </x:c>
      <x:c r="N1101" s="28" t="n">
        <x:v>2.3283064365386963e-10</x:v>
      </x:c>
      <x:c r="O1101" s="28" t="n">
        <x:v>7.450580596923828e-9</x:v>
      </x:c>
      <x:c r="P1101" s="28" t="n">
        <x:v>0</x:v>
      </x:c>
      <x:c r="Q1101" s="62" t="b">
        <x:v>1</x:v>
      </x:c>
      <x:c r="R1101" s="28" t="n">
        <x:v>0</x:v>
      </x:c>
      <x:c r="S1101" s="28" t="str">
        <x:v>5087687d72b4c049</x:v>
      </x:c>
    </x:row>
    <x:row r="1102" ht="21" customHeight="1">
      <x:c r="A1102" s="60" t="n">
        <x:v>0.64</x:v>
      </x:c>
      <x:c r="B1102" s="28" t="str">
        <x:v>middle_low</x:v>
      </x:c>
      <x:c r="C1102" s="60" t="n">
        <x:v>0.1</x:v>
      </x:c>
      <x:c r="D1102" s="60" t="n">
        <x:v>0.1</x:v>
      </x:c>
      <x:c r="E1102" s="62" t="b">
        <x:v>1</x:v>
      </x:c>
      <x:c r="F1102" s="62" t="b">
        <x:v>1</x:v>
      </x:c>
      <x:c r="G1102" s="85" t="n">
        <x:v>0</x:v>
      </x:c>
      <x:c r="H1102" s="85" t="n">
        <x:v>0</x:v>
      </x:c>
      <x:c r="I1102" s="85" t="n">
        <x:v>0</x:v>
      </x:c>
      <x:c r="J1102" s="85" t="n">
        <x:v>0</x:v>
      </x:c>
      <x:c r="K1102" s="85" t="n">
        <x:v>1275117.5338919566</x:v>
      </x:c>
      <x:c r="L1102" s="28" t="n">
        <x:v>0</x:v>
      </x:c>
      <x:c r="M1102" s="28" t="n">
        <x:v>0</x:v>
      </x:c>
      <x:c r="N1102" s="28" t="n">
        <x:v>9.313225746154785e-10</x:v>
      </x:c>
      <x:c r="O1102" s="28" t="n">
        <x:v>7.450580596923828e-9</x:v>
      </x:c>
      <x:c r="P1102" s="28" t="n">
        <x:v>0</x:v>
      </x:c>
      <x:c r="Q1102" s="62" t="b">
        <x:v>1</x:v>
      </x:c>
      <x:c r="R1102" s="28" t="n">
        <x:v>0</x:v>
      </x:c>
      <x:c r="S1102" s="28" t="str">
        <x:v>7652311abe13339e</x:v>
      </x:c>
    </x:row>
    <x:row r="1103" ht="21" customHeight="1">
      <x:c r="A1103" s="60" t="n">
        <x:v>0.64</x:v>
      </x:c>
      <x:c r="B1103" s="28" t="str">
        <x:v>middle_low</x:v>
      </x:c>
      <x:c r="C1103" s="60" t="n">
        <x:v>0.15</x:v>
      </x:c>
      <x:c r="D1103" s="60" t="n">
        <x:v>0.15</x:v>
      </x:c>
      <x:c r="E1103" s="62" t="b">
        <x:v>1</x:v>
      </x:c>
      <x:c r="F1103" s="62" t="b">
        <x:v>1</x:v>
      </x:c>
      <x:c r="G1103" s="85" t="n">
        <x:v>0</x:v>
      </x:c>
      <x:c r="H1103" s="85" t="n">
        <x:v>0</x:v>
      </x:c>
      <x:c r="I1103" s="85" t="n">
        <x:v>612393.4070761376</x:v>
      </x:c>
      <x:c r="J1103" s="85" t="n">
        <x:v>0</x:v>
      </x:c>
      <x:c r="K1103" s="85" t="n">
        <x:v>59300.639123451736</x:v>
      </x:c>
      <x:c r="L1103" s="28" t="n">
        <x:v>0</x:v>
      </x:c>
      <x:c r="M1103" s="28" t="n">
        <x:v>0</x:v>
      </x:c>
      <x:c r="N1103" s="28" t="n">
        <x:v>4.656612873077393e-10</x:v>
      </x:c>
      <x:c r="O1103" s="28" t="n">
        <x:v>7.450580596923828e-9</x:v>
      </x:c>
      <x:c r="P1103" s="28" t="n">
        <x:v>0</x:v>
      </x:c>
      <x:c r="Q1103" s="62" t="b">
        <x:v>1</x:v>
      </x:c>
      <x:c r="R1103" s="28" t="n">
        <x:v>0</x:v>
      </x:c>
      <x:c r="S1103" s="28" t="str">
        <x:v>4f181e2496a329cd</x:v>
      </x:c>
    </x:row>
    <x:row r="1104" ht="21" customHeight="1">
      <x:c r="A1104" s="60" t="n">
        <x:v>0.64</x:v>
      </x:c>
      <x:c r="B1104" s="28" t="str">
        <x:v>middle_low</x:v>
      </x:c>
      <x:c r="C1104" s="60" t="n">
        <x:v>0.2</x:v>
      </x:c>
      <x:c r="D1104" s="60" t="n">
        <x:v>0.2</x:v>
      </x:c>
      <x:c r="E1104" s="62" t="b">
        <x:v>1</x:v>
      </x:c>
      <x:c r="F1104" s="62" t="b">
        <x:v>1</x:v>
      </x:c>
      <x:c r="G1104" s="85" t="n">
        <x:v>0</x:v>
      </x:c>
      <x:c r="H1104" s="85" t="n">
        <x:v>0</x:v>
      </x:c>
      <x:c r="I1104" s="85" t="n">
        <x:v>1747948.0114384608</x:v>
      </x:c>
      <x:c r="J1104" s="85" t="n">
        <x:v>1253157.2790409096</x:v>
      </x:c>
      <x:c r="K1104" s="85" t="n">
        <x:v>42504.302356164226</x:v>
      </x:c>
      <x:c r="L1104" s="28" t="n">
        <x:v>0</x:v>
      </x:c>
      <x:c r="M1104" s="28" t="n">
        <x:v>0</x:v>
      </x:c>
      <x:c r="N1104" s="28" t="n">
        <x:v>4.656612873077393e-10</x:v>
      </x:c>
      <x:c r="O1104" s="28" t="n">
        <x:v>7.450580596923828e-9</x:v>
      </x:c>
      <x:c r="P1104" s="28" t="n">
        <x:v>0</x:v>
      </x:c>
      <x:c r="Q1104" s="62" t="b">
        <x:v>1</x:v>
      </x:c>
      <x:c r="R1104" s="28" t="n">
        <x:v>0</x:v>
      </x:c>
      <x:c r="S1104" s="28" t="str">
        <x:v>d901988a80771668</x:v>
      </x:c>
    </x:row>
    <x:row r="1105" ht="21" customHeight="1">
      <x:c r="A1105" s="60" t="n">
        <x:v>0.64</x:v>
      </x:c>
      <x:c r="B1105" s="28" t="str">
        <x:v>middle_low</x:v>
      </x:c>
      <x:c r="C1105" s="60" t="n">
        <x:v>0.25</x:v>
      </x:c>
      <x:c r="D1105" s="60" t="n">
        <x:v>0.25</x:v>
      </x:c>
      <x:c r="E1105" s="62" t="b">
        <x:v>1</x:v>
      </x:c>
      <x:c r="F1105" s="62" t="b">
        <x:v>1</x:v>
      </x:c>
      <x:c r="G1105" s="85" t="n">
        <x:v>0</x:v>
      </x:c>
      <x:c r="H1105" s="85" t="n">
        <x:v>0</x:v>
      </x:c>
      <x:c r="I1105" s="85" t="n">
        <x:v>2530075.2407090436</x:v>
      </x:c>
      <x:c r="J1105" s="85" t="n">
        <x:v>2960046.598801156</x:v>
      </x:c>
      <x:c r="K1105" s="85" t="n">
        <x:v>33762.48794520492</x:v>
      </x:c>
      <x:c r="L1105" s="28" t="n">
        <x:v>0</x:v>
      </x:c>
      <x:c r="M1105" s="28" t="n">
        <x:v>0</x:v>
      </x:c>
      <x:c r="N1105" s="28" t="n">
        <x:v>4.656612873077393e-10</x:v>
      </x:c>
      <x:c r="O1105" s="28" t="n">
        <x:v>7.450580596923828e-9</x:v>
      </x:c>
      <x:c r="P1105" s="28" t="n">
        <x:v>0</x:v>
      </x:c>
      <x:c r="Q1105" s="62" t="b">
        <x:v>1</x:v>
      </x:c>
      <x:c r="R1105" s="28" t="n">
        <x:v>0</x:v>
      </x:c>
      <x:c r="S1105" s="28" t="str">
        <x:v>bd546104db9dc03c</x:v>
      </x:c>
    </x:row>
    <x:row r="1106" ht="21" customHeight="1">
      <x:c r="A1106" s="60" t="n">
        <x:v>0.64</x:v>
      </x:c>
      <x:c r="B1106" s="28" t="str">
        <x:v>middle_low</x:v>
      </x:c>
      <x:c r="C1106" s="60" t="n">
        <x:v>0.3</x:v>
      </x:c>
      <x:c r="D1106" s="60" t="n">
        <x:v>0.3</x:v>
      </x:c>
      <x:c r="E1106" s="62" t="b">
        <x:v>1</x:v>
      </x:c>
      <x:c r="F1106" s="62" t="b">
        <x:v>1</x:v>
      </x:c>
      <x:c r="G1106" s="85" t="n">
        <x:v>0</x:v>
      </x:c>
      <x:c r="H1106" s="85" t="n">
        <x:v>0</x:v>
      </x:c>
      <x:c r="I1106" s="85" t="n">
        <x:v>3319959.958979065</x:v>
      </x:c>
      <x:c r="J1106" s="85" t="n">
        <x:v>4666935.918561376</x:v>
      </x:c>
      <x:c r="K1106" s="85" t="n">
        <x:v>25020.673534246507</x:v>
      </x:c>
      <x:c r="L1106" s="28" t="n">
        <x:v>0</x:v>
      </x:c>
      <x:c r="M1106" s="28" t="n">
        <x:v>0</x:v>
      </x:c>
      <x:c r="N1106" s="28" t="n">
        <x:v>2.3283064365386963e-10</x:v>
      </x:c>
      <x:c r="O1106" s="28" t="n">
        <x:v>7.450580596923828e-9</x:v>
      </x:c>
      <x:c r="P1106" s="28" t="n">
        <x:v>0</x:v>
      </x:c>
      <x:c r="Q1106" s="62" t="b">
        <x:v>1</x:v>
      </x:c>
      <x:c r="R1106" s="28" t="n">
        <x:v>0</x:v>
      </x:c>
      <x:c r="S1106" s="28" t="str">
        <x:v>d023fed565778a7f</x:v>
      </x:c>
    </x:row>
    <x:row r="1107" ht="21" customHeight="1">
      <x:c r="A1107" s="60" t="n">
        <x:v>0.64</x:v>
      </x:c>
      <x:c r="B1107" s="28" t="str">
        <x:v>middle_low</x:v>
      </x:c>
      <x:c r="C1107" s="60" t="n">
        <x:v>0.35</x:v>
      </x:c>
      <x:c r="D1107" s="60" t="n">
        <x:v>0.35</x:v>
      </x:c>
      <x:c r="E1107" s="62" t="b">
        <x:v>1</x:v>
      </x:c>
      <x:c r="F1107" s="62" t="b">
        <x:v>1</x:v>
      </x:c>
      <x:c r="G1107" s="85" t="n">
        <x:v>0</x:v>
      </x:c>
      <x:c r="H1107" s="85" t="n">
        <x:v>0</x:v>
      </x:c>
      <x:c r="I1107" s="85" t="n">
        <x:v>4109869.1557919676</x:v>
      </x:c>
      <x:c r="J1107" s="85" t="n">
        <x:v>6373825.238321624</x:v>
      </x:c>
      <x:c r="K1107" s="85" t="n">
        <x:v>19430.80432876697</x:v>
      </x:c>
      <x:c r="L1107" s="28" t="n">
        <x:v>0</x:v>
      </x:c>
      <x:c r="M1107" s="28" t="n">
        <x:v>0</x:v>
      </x:c>
      <x:c r="N1107" s="28" t="n">
        <x:v>4.656612873077393e-10</x:v>
      </x:c>
      <x:c r="O1107" s="28" t="n">
        <x:v>7.450580596923828e-9</x:v>
      </x:c>
      <x:c r="P1107" s="28" t="n">
        <x:v>0</x:v>
      </x:c>
      <x:c r="Q1107" s="62" t="b">
        <x:v>1</x:v>
      </x:c>
      <x:c r="R1107" s="28" t="n">
        <x:v>0</x:v>
      </x:c>
      <x:c r="S1107" s="28" t="str">
        <x:v>f954fb076a913bf6</x:v>
      </x:c>
    </x:row>
    <x:row r="1108" ht="21" customHeight="1">
      <x:c r="A1108" s="60" t="n">
        <x:v>0.64</x:v>
      </x:c>
      <x:c r="B1108" s="28" t="str">
        <x:v>middle_low</x:v>
      </x:c>
      <x:c r="C1108" s="60" t="n">
        <x:v>0.4</x:v>
      </x:c>
      <x:c r="D1108" s="60" t="n">
        <x:v>0.4</x:v>
      </x:c>
      <x:c r="E1108" s="62" t="b">
        <x:v>1</x:v>
      </x:c>
      <x:c r="F1108" s="62" t="b">
        <x:v>1</x:v>
      </x:c>
      <x:c r="G1108" s="85" t="n">
        <x:v>0</x:v>
      </x:c>
      <x:c r="H1108" s="85" t="n">
        <x:v>0</x:v>
      </x:c>
      <x:c r="I1108" s="85" t="n">
        <x:v>4901697.4464749135</x:v>
      </x:c>
      <x:c r="J1108" s="85" t="n">
        <x:v>8080714.558081838</x:v>
      </x:c>
      <x:c r="K1108" s="85" t="n">
        <x:v>16718.43298630117</x:v>
      </x:c>
      <x:c r="L1108" s="28" t="n">
        <x:v>0</x:v>
      </x:c>
      <x:c r="M1108" s="28" t="n">
        <x:v>0</x:v>
      </x:c>
      <x:c r="N1108" s="28" t="n">
        <x:v>2.3283064365386963e-10</x:v>
      </x:c>
      <x:c r="O1108" s="28" t="n">
        <x:v>3.725290298461914e-9</x:v>
      </x:c>
      <x:c r="P1108" s="28" t="n">
        <x:v>0</x:v>
      </x:c>
      <x:c r="Q1108" s="62" t="b">
        <x:v>1</x:v>
      </x:c>
      <x:c r="R1108" s="28" t="n">
        <x:v>0</x:v>
      </x:c>
      <x:c r="S1108" s="28" t="str">
        <x:v>e671bd5aa619da52</x:v>
      </x:c>
    </x:row>
    <x:row r="1109" ht="21" customHeight="1">
      <x:c r="A1109" s="60" t="n">
        <x:v>0.64</x:v>
      </x:c>
      <x:c r="B1109" s="28" t="str">
        <x:v>middle_low</x:v>
      </x:c>
      <x:c r="C1109" s="60" t="n">
        <x:v>0.45</x:v>
      </x:c>
      <x:c r="D1109" s="60" t="n">
        <x:v>0.45</x:v>
      </x:c>
      <x:c r="E1109" s="62" t="b">
        <x:v>1</x:v>
      </x:c>
      <x:c r="F1109" s="62" t="b">
        <x:v>1</x:v>
      </x:c>
      <x:c r="G1109" s="85" t="n">
        <x:v>0</x:v>
      </x:c>
      <x:c r="H1109" s="85" t="n">
        <x:v>0</x:v>
      </x:c>
      <x:c r="I1109" s="85" t="n">
        <x:v>6164662.224480861</x:v>
      </x:c>
      <x:c r="J1109" s="85" t="n">
        <x:v>9032304.741118843</x:v>
      </x:c>
      <x:c r="K1109" s="85" t="n">
        <x:v>14006.061643835365</x:v>
      </x:c>
      <x:c r="L1109" s="28" t="n">
        <x:v>7</x:v>
      </x:c>
      <x:c r="M1109" s="28" t="n">
        <x:v>0</x:v>
      </x:c>
      <x:c r="N1109" s="28" t="n">
        <x:v>2.3283064365386963e-10</x:v>
      </x:c>
      <x:c r="O1109" s="28" t="n">
        <x:v>1.862645149230957e-9</x:v>
      </x:c>
      <x:c r="P1109" s="28" t="n">
        <x:v>0</x:v>
      </x:c>
      <x:c r="Q1109" s="62" t="b">
        <x:v>1</x:v>
      </x:c>
      <x:c r="R1109" s="28" t="n">
        <x:v>0</x:v>
      </x:c>
      <x:c r="S1109" s="28" t="str">
        <x:v>3b8cc079451e1d5f</x:v>
      </x:c>
    </x:row>
    <x:row r="1110" ht="21" customHeight="1">
      <x:c r="A1110" s="60" t="n">
        <x:v>0.64</x:v>
      </x:c>
      <x:c r="B1110" s="28" t="str">
        <x:v>middle_low</x:v>
      </x:c>
      <x:c r="C1110" s="60" t="n">
        <x:v>0.5</x:v>
      </x:c>
      <x:c r="D1110" s="60" t="n">
        <x:v>0.5</x:v>
      </x:c>
      <x:c r="E1110" s="62" t="b">
        <x:v>1</x:v>
      </x:c>
      <x:c r="F1110" s="62" t="b">
        <x:v>1</x:v>
      </x:c>
      <x:c r="G1110" s="85" t="n">
        <x:v>0</x:v>
      </x:c>
      <x:c r="H1110" s="85" t="n">
        <x:v>0</x:v>
      </x:c>
      <x:c r="I1110" s="85" t="n">
        <x:v>7037028.412350488</x:v>
      </x:c>
      <x:c r="J1110" s="85" t="n">
        <x:v>10594732.804967627</x:v>
      </x:c>
      <x:c r="K1110" s="85" t="n">
        <x:v>11293.69030136968</x:v>
      </x:c>
      <x:c r="L1110" s="28" t="n">
        <x:v>10</x:v>
      </x:c>
      <x:c r="M1110" s="28" t="n">
        <x:v>0</x:v>
      </x:c>
      <x:c r="N1110" s="28" t="n">
        <x:v>4.656612873077393e-10</x:v>
      </x:c>
      <x:c r="O1110" s="28" t="n">
        <x:v>7.450580596923828e-9</x:v>
      </x:c>
      <x:c r="P1110" s="28" t="n">
        <x:v>0</x:v>
      </x:c>
      <x:c r="Q1110" s="62" t="b">
        <x:v>1</x:v>
      </x:c>
      <x:c r="R1110" s="28" t="n">
        <x:v>0</x:v>
      </x:c>
      <x:c r="S1110" s="28" t="str">
        <x:v>8854d678a76bef44</x:v>
      </x:c>
    </x:row>
    <x:row r="1111" ht="21" customHeight="1">
      <x:c r="A1111" s="60" t="n">
        <x:v>0.64</x:v>
      </x:c>
      <x:c r="B1111" s="28" t="str">
        <x:v>middle_low</x:v>
      </x:c>
      <x:c r="C1111" s="60" t="n">
        <x:v>0.55</x:v>
      </x:c>
      <x:c r="D1111" s="60" t="n">
        <x:v>0.55</x:v>
      </x:c>
      <x:c r="E1111" s="62" t="b">
        <x:v>1</x:v>
      </x:c>
      <x:c r="F1111" s="62" t="b">
        <x:v>1</x:v>
      </x:c>
      <x:c r="G1111" s="85" t="n">
        <x:v>0</x:v>
      </x:c>
      <x:c r="H1111" s="85" t="n">
        <x:v>0</x:v>
      </x:c>
      <x:c r="I1111" s="85" t="n">
        <x:v>7889504.802501439</x:v>
      </x:c>
      <x:c r="J1111" s="85" t="n">
        <x:v>12178168.258434933</x:v>
      </x:c>
      <x:c r="K1111" s="85" t="n">
        <x:v>8581.318958904103</x:v>
      </x:c>
      <x:c r="L1111" s="28" t="n">
        <x:v>14</x:v>
      </x:c>
      <x:c r="M1111" s="28" t="n">
        <x:v>0</x:v>
      </x:c>
      <x:c r="N1111" s="28" t="n">
        <x:v>4.656612873077393e-10</x:v>
      </x:c>
      <x:c r="O1111" s="28" t="n">
        <x:v>7.450580596923828e-9</x:v>
      </x:c>
      <x:c r="P1111" s="28" t="n">
        <x:v>0</x:v>
      </x:c>
      <x:c r="Q1111" s="62" t="b">
        <x:v>1</x:v>
      </x:c>
      <x:c r="R1111" s="28" t="n">
        <x:v>0</x:v>
      </x:c>
      <x:c r="S1111" s="28" t="str">
        <x:v>926f27765be63952</x:v>
      </x:c>
    </x:row>
    <x:row r="1112" ht="21" customHeight="1">
      <x:c r="A1112" s="60" t="n">
        <x:v>0.64</x:v>
      </x:c>
      <x:c r="B1112" s="28" t="str">
        <x:v>middle_low</x:v>
      </x:c>
      <x:c r="C1112" s="60" t="n">
        <x:v>0.6</x:v>
      </x:c>
      <x:c r="D1112" s="60" t="n">
        <x:v>0.6</x:v>
      </x:c>
      <x:c r="E1112" s="62" t="b">
        <x:v>1</x:v>
      </x:c>
      <x:c r="F1112" s="62" t="b">
        <x:v>1</x:v>
      </x:c>
      <x:c r="G1112" s="85" t="n">
        <x:v>0</x:v>
      </x:c>
      <x:c r="H1112" s="85" t="n">
        <x:v>0</x:v>
      </x:c>
      <x:c r="I1112" s="85" t="n">
        <x:v>8675734.946367381</x:v>
      </x:c>
      <x:c r="J1112" s="85" t="n">
        <x:v>13859817.958103256</x:v>
      </x:c>
      <x:c r="K1112" s="85" t="n">
        <x:v>5868.947616438476</x:v>
      </x:c>
      <x:c r="L1112" s="28" t="n">
        <x:v>20</x:v>
      </x:c>
      <x:c r="M1112" s="28" t="n">
        <x:v>0</x:v>
      </x:c>
      <x:c r="N1112" s="28" t="n">
        <x:v>4.656612873077393e-10</x:v>
      </x:c>
      <x:c r="O1112" s="28" t="n">
        <x:v>3.725290298461914e-9</x:v>
      </x:c>
      <x:c r="P1112" s="28" t="n">
        <x:v>0</x:v>
      </x:c>
      <x:c r="Q1112" s="62" t="b">
        <x:v>1</x:v>
      </x:c>
      <x:c r="R1112" s="28" t="n">
        <x:v>0</x:v>
      </x:c>
      <x:c r="S1112" s="28" t="str">
        <x:v>69040c420654e97f</x:v>
      </x:c>
    </x:row>
    <x:row r="1113" ht="21" customHeight="1">
      <x:c r="A1113" s="60" t="n">
        <x:v>0.64</x:v>
      </x:c>
      <x:c r="B1113" s="28" t="str">
        <x:v>middle_low</x:v>
      </x:c>
      <x:c r="C1113" s="60" t="n">
        <x:v>0.65</x:v>
      </x:c>
      <x:c r="D1113" s="60" t="n">
        <x:v>0.65</x:v>
      </x:c>
      <x:c r="E1113" s="62" t="b">
        <x:v>1</x:v>
      </x:c>
      <x:c r="F1113" s="62" t="b">
        <x:v>0</x:v>
      </x:c>
      <x:c r="G1113" s="85" t="n">
        <x:v>94523.327663797</x:v>
      </x:c>
      <x:c r="H1113" s="85" t="n">
        <x:v>1179445.0933639593</x:v>
      </x:c>
      <x:c r="I1113" s="85" t="n">
        <x:v>9031900.1443274</x:v>
      </x:c>
      <x:c r="J1113" s="85" t="n">
        <x:v>14493440</x:v>
      </x:c>
      <x:c r="K1113" s="85" t="n">
        <x:v>3156.576273972554</x:v>
      </x:c>
      <x:c r="L1113" s="28" t="n">
        <x:v>41</x:v>
      </x:c>
      <x:c r="M1113" s="28" t="n">
        <x:v>27</x:v>
      </x:c>
      <x:c r="N1113" s="28" t="n">
        <x:v>2.3283064365386963e-10</x:v>
      </x:c>
      <x:c r="O1113" s="28" t="n">
        <x:v>1.862645149230957e-9</x:v>
      </x:c>
      <x:c r="P1113" s="28" t="n">
        <x:v>0</x:v>
      </x:c>
      <x:c r="Q1113" s="62" t="b">
        <x:v>1</x:v>
      </x:c>
      <x:c r="R1113" s="28" t="n">
        <x:v>0</x:v>
      </x:c>
      <x:c r="S1113" s="28" t="str">
        <x:v>33e4aeb09c6f888f</x:v>
      </x:c>
    </x:row>
    <x:row r="1114" ht="21" customHeight="1">
      <x:c r="A1114" s="60" t="n">
        <x:v>0.64</x:v>
      </x:c>
      <x:c r="B1114" s="28" t="str">
        <x:v>middle_low</x:v>
      </x:c>
      <x:c r="C1114" s="60" t="n">
        <x:v>0.7</x:v>
      </x:c>
      <x:c r="D1114" s="60" t="n">
        <x:v>0.7</x:v>
      </x:c>
      <x:c r="E1114" s="62" t="b">
        <x:v>1</x:v>
      </x:c>
      <x:c r="F1114" s="62" t="b">
        <x:v>0</x:v>
      </x:c>
      <x:c r="G1114" s="85" t="n">
        <x:v>258123.9523243734</x:v>
      </x:c>
      <x:c r="H1114" s="85" t="n">
        <x:v>3213794.1759684435</x:v>
      </x:c>
      <x:c r="I1114" s="85" t="n">
        <x:v>9055409.75972877</x:v>
      </x:c>
      <x:c r="J1114" s="85" t="n">
        <x:v>14493440</x:v>
      </x:c>
      <x:c r="K1114" s="85" t="n">
        <x:v>444.20493150657785</x:v>
      </x:c>
      <x:c r="L1114" s="28" t="n">
        <x:v>41</x:v>
      </x:c>
      <x:c r="M1114" s="28" t="n">
        <x:v>32</x:v>
      </x:c>
      <x:c r="N1114" s="28" t="n">
        <x:v>4.656612873077393e-10</x:v>
      </x:c>
      <x:c r="O1114" s="28" t="n">
        <x:v>3.725290298461914e-9</x:v>
      </x:c>
      <x:c r="P1114" s="28" t="n">
        <x:v>0</x:v>
      </x:c>
      <x:c r="Q1114" s="62" t="b">
        <x:v>1</x:v>
      </x:c>
      <x:c r="R1114" s="28" t="n">
        <x:v>0</x:v>
      </x:c>
      <x:c r="S1114" s="28" t="str">
        <x:v>9d65ca6179793221</x:v>
      </x:c>
    </x:row>
    <x:row r="1115" ht="21" customHeight="1">
      <x:c r="A1115" s="60" t="n">
        <x:v>0.64</x:v>
      </x:c>
      <x:c r="B1115" s="28" t="str">
        <x:v>middle_low</x:v>
      </x:c>
      <x:c r="C1115" s="60" t="n">
        <x:v>0.75</x:v>
      </x:c>
      <x:c r="D1115" s="60" t="n">
        <x:v>0.75</x:v>
      </x:c>
      <x:c r="E1115" s="62" t="b">
        <x:v>1</x:v>
      </x:c>
      <x:c r="F1115" s="62" t="b">
        <x:v>0</x:v>
      </x:c>
      <x:c r="G1115" s="85" t="n">
        <x:v>407859.33066006086</x:v>
      </x:c>
      <x:c r="H1115" s="85" t="n">
        <x:v>5075672.521786279</x:v>
      </x:c>
      <x:c r="I1115" s="85" t="n">
        <x:v>9230057.904985484</x:v>
      </x:c>
      <x:c r="J1115" s="85" t="n">
        <x:v>14493440</x:v>
      </x:c>
      <x:c r="K1115" s="85" t="n">
        <x:v>0</x:v>
      </x:c>
      <x:c r="L1115" s="28" t="n">
        <x:v>42</x:v>
      </x:c>
      <x:c r="M1115" s="28" t="n">
        <x:v>33</x:v>
      </x:c>
      <x:c r="N1115" s="28" t="n">
        <x:v>2.3283064365386963e-10</x:v>
      </x:c>
      <x:c r="O1115" s="28" t="n">
        <x:v>3.725290298461914e-9</x:v>
      </x:c>
      <x:c r="P1115" s="28" t="n">
        <x:v>0</x:v>
      </x:c>
      <x:c r="Q1115" s="62" t="b">
        <x:v>1</x:v>
      </x:c>
      <x:c r="R1115" s="28" t="n">
        <x:v>0</x:v>
      </x:c>
      <x:c r="S1115" s="28" t="str">
        <x:v>9f8474e82b611c80</x:v>
      </x:c>
    </x:row>
    <x:row r="1116" ht="21" customHeight="1">
      <x:c r="A1116" s="60" t="n">
        <x:v>0.64</x:v>
      </x:c>
      <x:c r="B1116" s="28" t="str">
        <x:v>middle_low</x:v>
      </x:c>
      <x:c r="C1116" s="60" t="n">
        <x:v>0.8</x:v>
      </x:c>
      <x:c r="D1116" s="60" t="n">
        <x:v>0.8</x:v>
      </x:c>
      <x:c r="E1116" s="62" t="b">
        <x:v>1</x:v>
      </x:c>
      <x:c r="F1116" s="62" t="b">
        <x:v>0</x:v>
      </x:c>
      <x:c r="G1116" s="85" t="n">
        <x:v>602714.4800604349</x:v>
      </x:c>
      <x:c r="H1116" s="85" t="n">
        <x:v>7065912.44474466</x:v>
      </x:c>
      <x:c r="I1116" s="85" t="n">
        <x:v>9246883.298936114</x:v>
      </x:c>
      <x:c r="J1116" s="85" t="n">
        <x:v>14493440</x:v>
      </x:c>
      <x:c r="K1116" s="85" t="n">
        <x:v>0</x:v>
      </x:c>
      <x:c r="L1116" s="28" t="n">
        <x:v>42</x:v>
      </x:c>
      <x:c r="M1116" s="28" t="n">
        <x:v>34</x:v>
      </x:c>
      <x:c r="N1116" s="28" t="n">
        <x:v>4.656612873077393e-10</x:v>
      </x:c>
      <x:c r="O1116" s="28" t="n">
        <x:v>1.862645149230957e-9</x:v>
      </x:c>
      <x:c r="P1116" s="28" t="n">
        <x:v>0</x:v>
      </x:c>
      <x:c r="Q1116" s="62" t="b">
        <x:v>1</x:v>
      </x:c>
      <x:c r="R1116" s="28" t="n">
        <x:v>0</x:v>
      </x:c>
      <x:c r="S1116" s="28" t="str">
        <x:v>1023b087593dd9eb</x:v>
      </x:c>
    </x:row>
    <x:row r="1117" ht="21" customHeight="1">
      <x:c r="A1117" s="60" t="n">
        <x:v>0.64</x:v>
      </x:c>
      <x:c r="B1117" s="28" t="str">
        <x:v>middle_low</x:v>
      </x:c>
      <x:c r="C1117" s="60" t="n">
        <x:v>0.85</x:v>
      </x:c>
      <x:c r="D1117" s="60" t="n">
        <x:v>0.85</x:v>
      </x:c>
      <x:c r="E1117" s="62" t="b">
        <x:v>1</x:v>
      </x:c>
      <x:c r="F1117" s="62" t="b">
        <x:v>0</x:v>
      </x:c>
      <x:c r="G1117" s="85" t="n">
        <x:v>756053.3337856762</x:v>
      </x:c>
      <x:c r="H1117" s="85" t="n">
        <x:v>8850254.53492895</x:v>
      </x:c>
      <x:c r="I1117" s="85" t="n">
        <x:v>9427681.015283564</x:v>
      </x:c>
      <x:c r="J1117" s="85" t="n">
        <x:v>14493440</x:v>
      </x:c>
      <x:c r="K1117" s="85" t="n">
        <x:v>0</x:v>
      </x:c>
      <x:c r="L1117" s="28" t="n">
        <x:v>43</x:v>
      </x:c>
      <x:c r="M1117" s="28" t="n">
        <x:v>36</x:v>
      </x:c>
      <x:c r="N1117" s="28" t="n">
        <x:v>4.656612873077393e-10</x:v>
      </x:c>
      <x:c r="O1117" s="28" t="n">
        <x:v>3.725290298461914e-9</x:v>
      </x:c>
      <x:c r="P1117" s="28" t="n">
        <x:v>0</x:v>
      </x:c>
      <x:c r="Q1117" s="62" t="b">
        <x:v>1</x:v>
      </x:c>
      <x:c r="R1117" s="28" t="n">
        <x:v>0</x:v>
      </x:c>
      <x:c r="S1117" s="28" t="str">
        <x:v>ae7c06883d8c6a6b</x:v>
      </x:c>
    </x:row>
    <x:row r="1118" ht="21" customHeight="1">
      <x:c r="A1118" s="60" t="n">
        <x:v>0.64</x:v>
      </x:c>
      <x:c r="B1118" s="28" t="str">
        <x:v>middle_low</x:v>
      </x:c>
      <x:c r="C1118" s="60" t="n">
        <x:v>0.9</x:v>
      </x:c>
      <x:c r="D1118" s="60" t="n">
        <x:v>0.9</x:v>
      </x:c>
      <x:c r="E1118" s="62" t="b">
        <x:v>1</x:v>
      </x:c>
      <x:c r="F1118" s="62" t="b">
        <x:v>0</x:v>
      </x:c>
      <x:c r="G1118" s="85" t="n">
        <x:v>1036887.0216975769</x:v>
      </x:c>
      <x:c r="H1118" s="85" t="n">
        <x:v>10704236.43252696</x:v>
      </x:c>
      <x:c r="I1118" s="85" t="n">
        <x:v>9438615.713394523</x:v>
      </x:c>
      <x:c r="J1118" s="85" t="n">
        <x:v>14493440</x:v>
      </x:c>
      <x:c r="K1118" s="85" t="n">
        <x:v>0</x:v>
      </x:c>
      <x:c r="L1118" s="28" t="n">
        <x:v>43</x:v>
      </x:c>
      <x:c r="M1118" s="28" t="n">
        <x:v>36</x:v>
      </x:c>
      <x:c r="N1118" s="28" t="n">
        <x:v>2.3283064365386963e-10</x:v>
      </x:c>
      <x:c r="O1118" s="28" t="n">
        <x:v>3.725290298461914e-9</x:v>
      </x:c>
      <x:c r="P1118" s="28" t="n">
        <x:v>0</x:v>
      </x:c>
      <x:c r="Q1118" s="62" t="b">
        <x:v>1</x:v>
      </x:c>
      <x:c r="R1118" s="28" t="n">
        <x:v>0</x:v>
      </x:c>
      <x:c r="S1118" s="28" t="str">
        <x:v>16ee26bb2c6df4d1</x:v>
      </x:c>
    </x:row>
    <x:row r="1119" ht="21" customHeight="1">
      <x:c r="A1119" s="60" t="n">
        <x:v>0.64</x:v>
      </x:c>
      <x:c r="B1119" s="28" t="str">
        <x:v>middle_low</x:v>
      </x:c>
      <x:c r="C1119" s="60" t="n">
        <x:v>0.95</x:v>
      </x:c>
      <x:c r="D1119" s="60" t="n">
        <x:v>0.9270639118581285</x:v>
      </x:c>
      <x:c r="E1119" s="62" t="b">
        <x:v>0</x:v>
      </x:c>
      <x:c r="F1119" s="62" t="b">
        <x:v>0</x:v>
      </x:c>
      <x:c r="G1119" s="85" t="n">
        <x:v>1322550.4654678227</x:v>
      </x:c>
      <x:c r="H1119" s="85" t="n">
        <x:v>11596024.883993259</x:v>
      </x:c>
      <x:c r="I1119" s="85" t="n">
        <x:v>9449550.411505481</x:v>
      </x:c>
      <x:c r="J1119" s="85" t="n">
        <x:v>14493440</x:v>
      </x:c>
      <x:c r="K1119" s="85" t="n">
        <x:v>0</x:v>
      </x:c>
      <x:c r="L1119" s="28" t="n">
        <x:v>43</x:v>
      </x:c>
      <x:c r="M1119" s="28" t="n">
        <x:v>37</x:v>
      </x:c>
      <x:c r="N1119" s="28" t="n">
        <x:v>2.3283064365386963e-10</x:v>
      </x:c>
      <x:c r="O1119" s="28" t="n">
        <x:v>3.725290298461914e-9</x:v>
      </x:c>
      <x:c r="P1119" s="28" t="n">
        <x:v>0</x:v>
      </x:c>
      <x:c r="Q1119" s="62" t="b">
        <x:v>1</x:v>
      </x:c>
      <x:c r="R1119" s="28" t="n">
        <x:v>1278549.2973804846</x:v>
      </x:c>
      <x:c r="S1119" s="28" t="str">
        <x:v>4f761762159cb077</x:v>
      </x:c>
    </x:row>
    <x:row r="1120" ht="21" customHeight="1">
      <x:c r="A1120" s="60" t="n">
        <x:v>0.64</x:v>
      </x:c>
      <x:c r="B1120" s="28" t="str">
        <x:v>middle_low</x:v>
      </x:c>
      <x:c r="C1120" s="60" t="n">
        <x:v>1</x:v>
      </x:c>
      <x:c r="D1120" s="60" t="n">
        <x:v>0.9427455891708479</x:v>
      </x:c>
      <x:c r="E1120" s="62" t="b">
        <x:v>0</x:v>
      </x:c>
      <x:c r="F1120" s="62" t="b">
        <x:v>0</x:v>
      </x:c>
      <x:c r="G1120" s="85" t="n">
        <x:v>1435519.5202328</x:v>
      </x:c>
      <x:c r="H1120" s="85" t="n">
        <x:v>12079319.106553515</x:v>
      </x:c>
      <x:c r="I1120" s="85" t="n">
        <x:v>9616416.090301372</x:v>
      </x:c>
      <x:c r="J1120" s="85" t="n">
        <x:v>14493440</x:v>
      </x:c>
      <x:c r="K1120" s="85" t="n">
        <x:v>0</x:v>
      </x:c>
      <x:c r="L1120" s="28" t="n">
        <x:v>44</x:v>
      </x:c>
      <x:c r="M1120" s="28" t="n">
        <x:v>37</x:v>
      </x:c>
      <x:c r="N1120" s="28" t="n">
        <x:v>2.3283064365386963e-10</x:v>
      </x:c>
      <x:c r="O1120" s="28" t="n">
        <x:v>9.313225746154785e-10</x:v>
      </x:c>
      <x:c r="P1120" s="28" t="n">
        <x:v>0</x:v>
      </x:c>
      <x:c r="Q1120" s="62" t="b">
        <x:v>1</x:v>
      </x:c>
      <x:c r="R1120" s="28" t="n">
        <x:v>3191589.877260253</x:v>
      </x:c>
      <x:c r="S1120" s="28" t="str">
        <x:v>b7d40f148d365030</x:v>
      </x:c>
    </x:row>
    <x:row r="1121" ht="21" customHeight="1">
      <x:c r="A1121" s="60" t="n">
        <x:v>0.64</x:v>
      </x:c>
      <x:c r="B1121" s="28" t="str">
        <x:v>middle_high</x:v>
      </x:c>
      <x:c r="C1121" s="60" t="n">
        <x:v>0</x:v>
      </x:c>
      <x:c r="D1121" s="60" t="n">
        <x:v>0</x:v>
      </x:c>
      <x:c r="E1121" s="62" t="b">
        <x:v>1</x:v>
      </x:c>
      <x:c r="F1121" s="62" t="b">
        <x:v>1</x:v>
      </x:c>
      <x:c r="G1121" s="85" t="n">
        <x:v>0</x:v>
      </x:c>
      <x:c r="H1121" s="85" t="n">
        <x:v>0</x:v>
      </x:c>
      <x:c r="I1121" s="85" t="n">
        <x:v>0</x:v>
      </x:c>
      <x:c r="J1121" s="85" t="n">
        <x:v>0</x:v>
      </x:c>
      <x:c r="K1121" s="85" t="n">
        <x:v>6986973.094575343</x:v>
      </x:c>
      <x:c r="L1121" s="28" t="n">
        <x:v>0</x:v>
      </x:c>
      <x:c r="M1121" s="28" t="n">
        <x:v>0</x:v>
      </x:c>
      <x:c r="N1121" s="28" t="n">
        <x:v>9.313225746154785e-10</x:v>
      </x:c>
      <x:c r="O1121" s="28" t="n">
        <x:v>0</x:v>
      </x:c>
      <x:c r="P1121" s="28" t="n">
        <x:v>0</x:v>
      </x:c>
      <x:c r="Q1121" s="62" t="b">
        <x:v>1</x:v>
      </x:c>
      <x:c r="R1121" s="28" t="n">
        <x:v>0</x:v>
      </x:c>
      <x:c r="S1121" s="28" t="str">
        <x:v>b8095e103ccdc4ca</x:v>
      </x:c>
    </x:row>
    <x:row r="1122" ht="21" customHeight="1">
      <x:c r="A1122" s="60" t="n">
        <x:v>0.64</x:v>
      </x:c>
      <x:c r="B1122" s="28" t="str">
        <x:v>middle_high</x:v>
      </x:c>
      <x:c r="C1122" s="60" t="n">
        <x:v>0.05</x:v>
      </x:c>
      <x:c r="D1122" s="60" t="n">
        <x:v>0.05</x:v>
      </x:c>
      <x:c r="E1122" s="62" t="b">
        <x:v>1</x:v>
      </x:c>
      <x:c r="F1122" s="62" t="b">
        <x:v>1</x:v>
      </x:c>
      <x:c r="G1122" s="85" t="n">
        <x:v>0</x:v>
      </x:c>
      <x:c r="H1122" s="85" t="n">
        <x:v>0</x:v>
      </x:c>
      <x:c r="I1122" s="85" t="n">
        <x:v>0</x:v>
      </x:c>
      <x:c r="J1122" s="85" t="n">
        <x:v>0</x:v>
      </x:c>
      <x:c r="K1122" s="85" t="n">
        <x:v>4477380.394195434</x:v>
      </x:c>
      <x:c r="L1122" s="28" t="n">
        <x:v>0</x:v>
      </x:c>
      <x:c r="M1122" s="28" t="n">
        <x:v>0</x:v>
      </x:c>
      <x:c r="N1122" s="28" t="n">
        <x:v>4.656612873077393e-10</x:v>
      </x:c>
      <x:c r="O1122" s="28" t="n">
        <x:v>7.450580596923828e-9</x:v>
      </x:c>
      <x:c r="P1122" s="28" t="n">
        <x:v>0</x:v>
      </x:c>
      <x:c r="Q1122" s="62" t="b">
        <x:v>1</x:v>
      </x:c>
      <x:c r="R1122" s="28" t="n">
        <x:v>0</x:v>
      </x:c>
      <x:c r="S1122" s="28" t="str">
        <x:v>69337dfd3e0bdcc4</x:v>
      </x:c>
    </x:row>
    <x:row r="1123" ht="21" customHeight="1">
      <x:c r="A1123" s="60" t="n">
        <x:v>0.64</x:v>
      </x:c>
      <x:c r="B1123" s="28" t="str">
        <x:v>middle_high</x:v>
      </x:c>
      <x:c r="C1123" s="60" t="n">
        <x:v>0.1</x:v>
      </x:c>
      <x:c r="D1123" s="60" t="n">
        <x:v>0.1</x:v>
      </x:c>
      <x:c r="E1123" s="62" t="b">
        <x:v>1</x:v>
      </x:c>
      <x:c r="F1123" s="62" t="b">
        <x:v>1</x:v>
      </x:c>
      <x:c r="G1123" s="85" t="n">
        <x:v>0</x:v>
      </x:c>
      <x:c r="H1123" s="85" t="n">
        <x:v>0</x:v>
      </x:c>
      <x:c r="I1123" s="85" t="n">
        <x:v>0</x:v>
      </x:c>
      <x:c r="J1123" s="85" t="n">
        <x:v>0</x:v>
      </x:c>
      <x:c r="K1123" s="85" t="n">
        <x:v>1970016.0975924898</x:v>
      </x:c>
      <x:c r="L1123" s="28" t="n">
        <x:v>0</x:v>
      </x:c>
      <x:c r="M1123" s="28" t="n">
        <x:v>0</x:v>
      </x:c>
      <x:c r="N1123" s="28" t="n">
        <x:v>4.656612873077393e-10</x:v>
      </x:c>
      <x:c r="O1123" s="28" t="n">
        <x:v>7.450580596923828e-9</x:v>
      </x:c>
      <x:c r="P1123" s="28" t="n">
        <x:v>0</x:v>
      </x:c>
      <x:c r="Q1123" s="62" t="b">
        <x:v>1</x:v>
      </x:c>
      <x:c r="R1123" s="28" t="n">
        <x:v>0</x:v>
      </x:c>
      <x:c r="S1123" s="28" t="str">
        <x:v>f0bc84f02371e76b</x:v>
      </x:c>
    </x:row>
    <x:row r="1124" ht="21" customHeight="1">
      <x:c r="A1124" s="60" t="n">
        <x:v>0.64</x:v>
      </x:c>
      <x:c r="B1124" s="28" t="str">
        <x:v>middle_high</x:v>
      </x:c>
      <x:c r="C1124" s="60" t="n">
        <x:v>0.15</x:v>
      </x:c>
      <x:c r="D1124" s="60" t="n">
        <x:v>0.15</x:v>
      </x:c>
      <x:c r="E1124" s="62" t="b">
        <x:v>1</x:v>
      </x:c>
      <x:c r="F1124" s="62" t="b">
        <x:v>1</x:v>
      </x:c>
      <x:c r="G1124" s="85" t="n">
        <x:v>0</x:v>
      </x:c>
      <x:c r="H1124" s="85" t="n">
        <x:v>0</x:v>
      </x:c>
      <x:c r="I1124" s="85" t="n">
        <x:v>869278.570528348</x:v>
      </x:c>
      <x:c r="J1124" s="85" t="n">
        <x:v>0</x:v>
      </x:c>
      <x:c r="K1124" s="85" t="n">
        <x:v>429127.32997778046</x:v>
      </x:c>
      <x:c r="L1124" s="28" t="n">
        <x:v>0</x:v>
      </x:c>
      <x:c r="M1124" s="28" t="n">
        <x:v>0</x:v>
      </x:c>
      <x:c r="N1124" s="28" t="n">
        <x:v>9.313225746154785e-10</x:v>
      </x:c>
      <x:c r="O1124" s="28" t="n">
        <x:v>7.450580596923828e-9</x:v>
      </x:c>
      <x:c r="P1124" s="28" t="n">
        <x:v>0</x:v>
      </x:c>
      <x:c r="Q1124" s="62" t="b">
        <x:v>1</x:v>
      </x:c>
      <x:c r="R1124" s="28" t="n">
        <x:v>0</x:v>
      </x:c>
      <x:c r="S1124" s="28" t="str">
        <x:v>d4ed464d5b2d8ed4</x:v>
      </x:c>
    </x:row>
    <x:row r="1125" ht="21" customHeight="1">
      <x:c r="A1125" s="60" t="n">
        <x:v>0.64</x:v>
      </x:c>
      <x:c r="B1125" s="28" t="str">
        <x:v>middle_high</x:v>
      </x:c>
      <x:c r="C1125" s="60" t="n">
        <x:v>0.2</x:v>
      </x:c>
      <x:c r="D1125" s="60" t="n">
        <x:v>0.2</x:v>
      </x:c>
      <x:c r="E1125" s="62" t="b">
        <x:v>1</x:v>
      </x:c>
      <x:c r="F1125" s="62" t="b">
        <x:v>1</x:v>
      </x:c>
      <x:c r="G1125" s="85" t="n">
        <x:v>0</x:v>
      </x:c>
      <x:c r="H1125" s="85" t="n">
        <x:v>0</x:v>
      </x:c>
      <x:c r="I1125" s="85" t="n">
        <x:v>2797127.883507882</x:v>
      </x:c>
      <x:c r="J1125" s="85" t="n">
        <x:v>1253157.2790409096</x:v>
      </x:c>
      <x:c r="K1125" s="85" t="n">
        <x:v>335932.0400643291</x:v>
      </x:c>
      <x:c r="L1125" s="28" t="n">
        <x:v>0</x:v>
      </x:c>
      <x:c r="M1125" s="28" t="n">
        <x:v>0</x:v>
      </x:c>
      <x:c r="N1125" s="28" t="n">
        <x:v>4.656612873077393e-10</x:v>
      </x:c>
      <x:c r="O1125" s="28" t="n">
        <x:v>7.450580596923828e-9</x:v>
      </x:c>
      <x:c r="P1125" s="28" t="n">
        <x:v>0</x:v>
      </x:c>
      <x:c r="Q1125" s="62" t="b">
        <x:v>1</x:v>
      </x:c>
      <x:c r="R1125" s="28" t="n">
        <x:v>0</x:v>
      </x:c>
      <x:c r="S1125" s="28" t="str">
        <x:v>859ff286299ce64f</x:v>
      </x:c>
    </x:row>
    <x:row r="1126" ht="21" customHeight="1">
      <x:c r="A1126" s="60" t="n">
        <x:v>0.64</x:v>
      </x:c>
      <x:c r="B1126" s="28" t="str">
        <x:v>middle_high</x:v>
      </x:c>
      <x:c r="C1126" s="60" t="n">
        <x:v>0.25</x:v>
      </x:c>
      <x:c r="D1126" s="60" t="n">
        <x:v>0.25</x:v>
      </x:c>
      <x:c r="E1126" s="62" t="b">
        <x:v>1</x:v>
      </x:c>
      <x:c r="F1126" s="62" t="b">
        <x:v>1</x:v>
      </x:c>
      <x:c r="G1126" s="85" t="n">
        <x:v>0</x:v>
      </x:c>
      <x:c r="H1126" s="85" t="n">
        <x:v>0</x:v>
      </x:c>
      <x:c r="I1126" s="85" t="n">
        <x:v>4481733.460247885</x:v>
      </x:c>
      <x:c r="J1126" s="85" t="n">
        <x:v>2960046.598801156</x:v>
      </x:c>
      <x:c r="K1126" s="85" t="n">
        <x:v>262809.94068041025</x:v>
      </x:c>
      <x:c r="L1126" s="28" t="n">
        <x:v>0</x:v>
      </x:c>
      <x:c r="M1126" s="28" t="n">
        <x:v>0</x:v>
      </x:c>
      <x:c r="N1126" s="28" t="n">
        <x:v>4.656612873077393e-10</x:v>
      </x:c>
      <x:c r="O1126" s="28" t="n">
        <x:v>7.450580596923828e-9</x:v>
      </x:c>
      <x:c r="P1126" s="28" t="n">
        <x:v>0</x:v>
      </x:c>
      <x:c r="Q1126" s="62" t="b">
        <x:v>1</x:v>
      </x:c>
      <x:c r="R1126" s="28" t="n">
        <x:v>0</x:v>
      </x:c>
      <x:c r="S1126" s="28" t="str">
        <x:v>b52dbf03e360f9e6</x:v>
      </x:c>
    </x:row>
    <x:row r="1127" ht="21" customHeight="1">
      <x:c r="A1127" s="60" t="n">
        <x:v>0.64</x:v>
      </x:c>
      <x:c r="B1127" s="28" t="str">
        <x:v>middle_high</x:v>
      </x:c>
      <x:c r="C1127" s="60" t="n">
        <x:v>0.3</x:v>
      </x:c>
      <x:c r="D1127" s="60" t="n">
        <x:v>0.3</x:v>
      </x:c>
      <x:c r="E1127" s="62" t="b">
        <x:v>1</x:v>
      </x:c>
      <x:c r="F1127" s="62" t="b">
        <x:v>1</x:v>
      </x:c>
      <x:c r="G1127" s="85" t="n">
        <x:v>0</x:v>
      </x:c>
      <x:c r="H1127" s="85" t="n">
        <x:v>0</x:v>
      </x:c>
      <x:c r="I1127" s="85" t="n">
        <x:v>6184666.215811973</x:v>
      </x:c>
      <x:c r="J1127" s="85" t="n">
        <x:v>4666935.918561376</x:v>
      </x:c>
      <x:c r="K1127" s="85" t="n">
        <x:v>210643.5905589592</x:v>
      </x:c>
      <x:c r="L1127" s="28" t="n">
        <x:v>0</x:v>
      </x:c>
      <x:c r="M1127" s="28" t="n">
        <x:v>0</x:v>
      </x:c>
      <x:c r="N1127" s="28" t="n">
        <x:v>9.313225746154785e-10</x:v>
      </x:c>
      <x:c r="O1127" s="28" t="n">
        <x:v>7.450580596923828e-9</x:v>
      </x:c>
      <x:c r="P1127" s="28" t="n">
        <x:v>0</x:v>
      </x:c>
      <x:c r="Q1127" s="62" t="b">
        <x:v>1</x:v>
      </x:c>
      <x:c r="R1127" s="28" t="n">
        <x:v>0</x:v>
      </x:c>
      <x:c r="S1127" s="28" t="str">
        <x:v>9237a35073279c7a</x:v>
      </x:c>
    </x:row>
    <x:row r="1128" ht="21" customHeight="1">
      <x:c r="A1128" s="60" t="n">
        <x:v>0.64</x:v>
      </x:c>
      <x:c r="B1128" s="28" t="str">
        <x:v>middle_high</x:v>
      </x:c>
      <x:c r="C1128" s="60" t="n">
        <x:v>0.35</x:v>
      </x:c>
      <x:c r="D1128" s="60" t="n">
        <x:v>0.35</x:v>
      </x:c>
      <x:c r="E1128" s="62" t="b">
        <x:v>1</x:v>
      </x:c>
      <x:c r="F1128" s="62" t="b">
        <x:v>1</x:v>
      </x:c>
      <x:c r="G1128" s="85" t="n">
        <x:v>0</x:v>
      </x:c>
      <x:c r="H1128" s="85" t="n">
        <x:v>0</x:v>
      </x:c>
      <x:c r="I1128" s="85" t="n">
        <x:v>7901663.470042237</x:v>
      </x:c>
      <x:c r="J1128" s="85" t="n">
        <x:v>6373825.238321624</x:v>
      </x:c>
      <x:c r="K1128" s="85" t="n">
        <x:v>181719.47150685007</x:v>
      </x:c>
      <x:c r="L1128" s="28" t="n">
        <x:v>0</x:v>
      </x:c>
      <x:c r="M1128" s="28" t="n">
        <x:v>0</x:v>
      </x:c>
      <x:c r="N1128" s="28" t="n">
        <x:v>9.313225746154785e-10</x:v>
      </x:c>
      <x:c r="O1128" s="28" t="n">
        <x:v>7.450580596923828e-9</x:v>
      </x:c>
      <x:c r="P1128" s="28" t="n">
        <x:v>0</x:v>
      </x:c>
      <x:c r="Q1128" s="62" t="b">
        <x:v>1</x:v>
      </x:c>
      <x:c r="R1128" s="28" t="n">
        <x:v>0</x:v>
      </x:c>
      <x:c r="S1128" s="28" t="str">
        <x:v>367a22929db3715a</x:v>
      </x:c>
    </x:row>
    <x:row r="1129" ht="21" customHeight="1">
      <x:c r="A1129" s="60" t="n">
        <x:v>0.64</x:v>
      </x:c>
      <x:c r="B1129" s="28" t="str">
        <x:v>middle_high</x:v>
      </x:c>
      <x:c r="C1129" s="60" t="n">
        <x:v>0.4</x:v>
      </x:c>
      <x:c r="D1129" s="60" t="n">
        <x:v>0.4</x:v>
      </x:c>
      <x:c r="E1129" s="62" t="b">
        <x:v>1</x:v>
      </x:c>
      <x:c r="F1129" s="62" t="b">
        <x:v>1</x:v>
      </x:c>
      <x:c r="G1129" s="85" t="n">
        <x:v>0</x:v>
      </x:c>
      <x:c r="H1129" s="85" t="n">
        <x:v>0</x:v>
      </x:c>
      <x:c r="I1129" s="85" t="n">
        <x:v>9629128.06963514</x:v>
      </x:c>
      <x:c r="J1129" s="85" t="n">
        <x:v>8080714.558081838</x:v>
      </x:c>
      <x:c r="K1129" s="85" t="n">
        <x:v>157763.17315068393</x:v>
      </x:c>
      <x:c r="L1129" s="28" t="n">
        <x:v>0</x:v>
      </x:c>
      <x:c r="M1129" s="28" t="n">
        <x:v>0</x:v>
      </x:c>
      <x:c r="N1129" s="28" t="n">
        <x:v>4.656612873077393e-10</x:v>
      </x:c>
      <x:c r="O1129" s="28" t="n">
        <x:v>3.725290298461914e-9</x:v>
      </x:c>
      <x:c r="P1129" s="28" t="n">
        <x:v>0</x:v>
      </x:c>
      <x:c r="Q1129" s="62" t="b">
        <x:v>1</x:v>
      </x:c>
      <x:c r="R1129" s="28" t="n">
        <x:v>0</x:v>
      </x:c>
      <x:c r="S1129" s="28" t="str">
        <x:v>c1f10b557c388a09</x:v>
      </x:c>
    </x:row>
    <x:row r="1130" ht="21" customHeight="1">
      <x:c r="A1130" s="60" t="n">
        <x:v>0.64</x:v>
      </x:c>
      <x:c r="B1130" s="28" t="str">
        <x:v>middle_high</x:v>
      </x:c>
      <x:c r="C1130" s="60" t="n">
        <x:v>0.45</x:v>
      </x:c>
      <x:c r="D1130" s="60" t="n">
        <x:v>0.45</x:v>
      </x:c>
      <x:c r="E1130" s="62" t="b">
        <x:v>1</x:v>
      </x:c>
      <x:c r="F1130" s="62" t="b">
        <x:v>1</x:v>
      </x:c>
      <x:c r="G1130" s="85" t="n">
        <x:v>0</x:v>
      </x:c>
      <x:c r="H1130" s="85" t="n">
        <x:v>0</x:v>
      </x:c>
      <x:c r="I1130" s="85" t="n">
        <x:v>11505445.363425406</x:v>
      </x:c>
      <x:c r="J1130" s="85" t="n">
        <x:v>8845383.838615438</x:v>
      </x:c>
      <x:c r="K1130" s="85" t="n">
        <x:v>133806.87479452125</x:v>
      </x:c>
      <x:c r="L1130" s="28" t="n">
        <x:v>5</x:v>
      </x:c>
      <x:c r="M1130" s="28" t="n">
        <x:v>0</x:v>
      </x:c>
      <x:c r="N1130" s="28" t="n">
        <x:v>9.313225746154785e-10</x:v>
      </x:c>
      <x:c r="O1130" s="28" t="n">
        <x:v>1.862645149230957e-9</x:v>
      </x:c>
      <x:c r="P1130" s="28" t="n">
        <x:v>0</x:v>
      </x:c>
      <x:c r="Q1130" s="62" t="b">
        <x:v>1</x:v>
      </x:c>
      <x:c r="R1130" s="28" t="n">
        <x:v>0</x:v>
      </x:c>
      <x:c r="S1130" s="28" t="str">
        <x:v>74952ed4ea24f525</x:v>
      </x:c>
    </x:row>
    <x:row r="1131" ht="21" customHeight="1">
      <x:c r="A1131" s="60" t="n">
        <x:v>0.64</x:v>
      </x:c>
      <x:c r="B1131" s="28" t="str">
        <x:v>middle_high</x:v>
      </x:c>
      <x:c r="C1131" s="60" t="n">
        <x:v>0.5</x:v>
      </x:c>
      <x:c r="D1131" s="60" t="n">
        <x:v>0.5</x:v>
      </x:c>
      <x:c r="E1131" s="62" t="b">
        <x:v>1</x:v>
      </x:c>
      <x:c r="F1131" s="62" t="b">
        <x:v>1</x:v>
      </x:c>
      <x:c r="G1131" s="85" t="n">
        <x:v>0</x:v>
      </x:c>
      <x:c r="H1131" s="85" t="n">
        <x:v>0</x:v>
      </x:c>
      <x:c r="I1131" s="85" t="n">
        <x:v>13312842.299674945</x:v>
      </x:c>
      <x:c r="J1131" s="85" t="n">
        <x:v>10167453.08476738</x:v>
      </x:c>
      <x:c r="K1131" s="85" t="n">
        <x:v>110426.43090410996</x:v>
      </x:c>
      <x:c r="L1131" s="28" t="n">
        <x:v>10</x:v>
      </x:c>
      <x:c r="M1131" s="28" t="n">
        <x:v>0</x:v>
      </x:c>
      <x:c r="N1131" s="28" t="n">
        <x:v>9.313225746154785e-10</x:v>
      </x:c>
      <x:c r="O1131" s="28" t="n">
        <x:v>7.450580596923828e-9</x:v>
      </x:c>
      <x:c r="P1131" s="28" t="n">
        <x:v>0</x:v>
      </x:c>
      <x:c r="Q1131" s="62" t="b">
        <x:v>1</x:v>
      </x:c>
      <x:c r="R1131" s="28" t="n">
        <x:v>0</x:v>
      </x:c>
      <x:c r="S1131" s="28" t="str">
        <x:v>672d92466ef0e359</x:v>
      </x:c>
    </x:row>
    <x:row r="1132" ht="21" customHeight="1">
      <x:c r="A1132" s="60" t="n">
        <x:v>0.64</x:v>
      </x:c>
      <x:c r="B1132" s="28" t="str">
        <x:v>middle_high</x:v>
      </x:c>
      <x:c r="C1132" s="60" t="n">
        <x:v>0.55</x:v>
      </x:c>
      <x:c r="D1132" s="60" t="n">
        <x:v>0.55</x:v>
      </x:c>
      <x:c r="E1132" s="62" t="b">
        <x:v>1</x:v>
      </x:c>
      <x:c r="F1132" s="62" t="b">
        <x:v>1</x:v>
      </x:c>
      <x:c r="G1132" s="85" t="n">
        <x:v>0</x:v>
      </x:c>
      <x:c r="H1132" s="85" t="n">
        <x:v>0</x:v>
      </x:c>
      <x:c r="I1132" s="85" t="n">
        <x:v>15012029.101525502</x:v>
      </x:c>
      <x:c r="J1132" s="85" t="n">
        <x:v>11892290.316401847</x:v>
      </x:c>
      <x:c r="K1132" s="85" t="n">
        <x:v>96057.36936986296</x:v>
      </x:c>
      <x:c r="L1132" s="28" t="n">
        <x:v>13</x:v>
      </x:c>
      <x:c r="M1132" s="28" t="n">
        <x:v>5</x:v>
      </x:c>
      <x:c r="N1132" s="28" t="n">
        <x:v>4.656612873077393e-10</x:v>
      </x:c>
      <x:c r="O1132" s="28" t="n">
        <x:v>7.450580596923828e-9</x:v>
      </x:c>
      <x:c r="P1132" s="28" t="n">
        <x:v>0</x:v>
      </x:c>
      <x:c r="Q1132" s="62" t="b">
        <x:v>1</x:v>
      </x:c>
      <x:c r="R1132" s="28" t="n">
        <x:v>0</x:v>
      </x:c>
      <x:c r="S1132" s="28" t="str">
        <x:v>0226d9f482eb15be</x:v>
      </x:c>
    </x:row>
    <x:row r="1133" ht="21" customHeight="1">
      <x:c r="A1133" s="60" t="n">
        <x:v>0.64</x:v>
      </x:c>
      <x:c r="B1133" s="28" t="str">
        <x:v>middle_high</x:v>
      </x:c>
      <x:c r="C1133" s="60" t="n">
        <x:v>0.6</x:v>
      </x:c>
      <x:c r="D1133" s="60" t="n">
        <x:v>0.6</x:v>
      </x:c>
      <x:c r="E1133" s="62" t="b">
        <x:v>1</x:v>
      </x:c>
      <x:c r="F1133" s="62" t="b">
        <x:v>1</x:v>
      </x:c>
      <x:c r="G1133" s="85" t="n">
        <x:v>0</x:v>
      </x:c>
      <x:c r="H1133" s="85" t="n">
        <x:v>0</x:v>
      </x:c>
      <x:c r="I1133" s="85" t="n">
        <x:v>16673882.504418505</x:v>
      </x:c>
      <x:c r="J1133" s="85" t="n">
        <x:v>13771221.659469955</x:v>
      </x:c>
      <x:c r="K1133" s="85" t="n">
        <x:v>86508.32142465777</x:v>
      </x:c>
      <x:c r="L1133" s="28" t="n">
        <x:v>19</x:v>
      </x:c>
      <x:c r="M1133" s="28" t="n">
        <x:v>12</x:v>
      </x:c>
      <x:c r="N1133" s="28" t="n">
        <x:v>4.656612873077393e-10</x:v>
      </x:c>
      <x:c r="O1133" s="28" t="n">
        <x:v>3.725290298461914e-9</x:v>
      </x:c>
      <x:c r="P1133" s="28" t="n">
        <x:v>0</x:v>
      </x:c>
      <x:c r="Q1133" s="62" t="b">
        <x:v>1</x:v>
      </x:c>
      <x:c r="R1133" s="28" t="n">
        <x:v>0</x:v>
      </x:c>
      <x:c r="S1133" s="28" t="str">
        <x:v>bb7de712a827939f</x:v>
      </x:c>
    </x:row>
    <x:row r="1134" ht="21" customHeight="1">
      <x:c r="A1134" s="60" t="n">
        <x:v>0.64</x:v>
      </x:c>
      <x:c r="B1134" s="28" t="str">
        <x:v>middle_high</x:v>
      </x:c>
      <x:c r="C1134" s="60" t="n">
        <x:v>0.65</x:v>
      </x:c>
      <x:c r="D1134" s="60" t="n">
        <x:v>0.65</x:v>
      </x:c>
      <x:c r="E1134" s="62" t="b">
        <x:v>1</x:v>
      </x:c>
      <x:c r="F1134" s="62" t="b">
        <x:v>0</x:v>
      </x:c>
      <x:c r="G1134" s="85" t="n">
        <x:v>499814.53003048676</x:v>
      </x:c>
      <x:c r="H1134" s="85" t="n">
        <x:v>1602263.612318228</x:v>
      </x:c>
      <x:c r="I1134" s="85" t="n">
        <x:v>17398158.020258214</x:v>
      </x:c>
      <x:c r="J1134" s="85" t="n">
        <x:v>14493440</x:v>
      </x:c>
      <x:c r="K1134" s="85" t="n">
        <x:v>79278.11205479433</x:v>
      </x:c>
      <x:c r="L1134" s="28" t="n">
        <x:v>41</x:v>
      </x:c>
      <x:c r="M1134" s="28" t="n">
        <x:v>36</x:v>
      </x:c>
      <x:c r="N1134" s="28" t="n">
        <x:v>4.656612873077393e-10</x:v>
      </x:c>
      <x:c r="O1134" s="28" t="n">
        <x:v>1.862645149230957e-9</x:v>
      </x:c>
      <x:c r="P1134" s="28" t="n">
        <x:v>0</x:v>
      </x:c>
      <x:c r="Q1134" s="62" t="b">
        <x:v>1</x:v>
      </x:c>
      <x:c r="R1134" s="28" t="n">
        <x:v>0</x:v>
      </x:c>
      <x:c r="S1134" s="28" t="str">
        <x:v>13bbf67fe16c149d</x:v>
      </x:c>
    </x:row>
    <x:row r="1135" ht="21" customHeight="1">
      <x:c r="A1135" s="60" t="n">
        <x:v>0.64</x:v>
      </x:c>
      <x:c r="B1135" s="28" t="str">
        <x:v>middle_high</x:v>
      </x:c>
      <x:c r="C1135" s="60" t="n">
        <x:v>0.7</x:v>
      </x:c>
      <x:c r="D1135" s="60" t="n">
        <x:v>0.7</x:v>
      </x:c>
      <x:c r="E1135" s="62" t="b">
        <x:v>1</x:v>
      </x:c>
      <x:c r="F1135" s="62" t="b">
        <x:v>0</x:v>
      </x:c>
      <x:c r="G1135" s="85" t="n">
        <x:v>1431928.4354402572</x:v>
      </x:c>
      <x:c r="H1135" s="85" t="n">
        <x:v>4326157.400448455</x:v>
      </x:c>
      <x:c r="I1135" s="85" t="n">
        <x:v>17454748.31951095</x:v>
      </x:c>
      <x:c r="J1135" s="85" t="n">
        <x:v>14493440</x:v>
      </x:c>
      <x:c r="K1135" s="85" t="n">
        <x:v>72047.90268493113</x:v>
      </x:c>
      <x:c r="L1135" s="28" t="n">
        <x:v>41</x:v>
      </x:c>
      <x:c r="M1135" s="28" t="n">
        <x:v>38</x:v>
      </x:c>
      <x:c r="N1135" s="28" t="n">
        <x:v>2.3283064365386963e-10</x:v>
      </x:c>
      <x:c r="O1135" s="28" t="n">
        <x:v>3.725290298461914e-9</x:v>
      </x:c>
      <x:c r="P1135" s="28" t="n">
        <x:v>0</x:v>
      </x:c>
      <x:c r="Q1135" s="62" t="b">
        <x:v>1</x:v>
      </x:c>
      <x:c r="R1135" s="28" t="n">
        <x:v>0</x:v>
      </x:c>
      <x:c r="S1135" s="28" t="str">
        <x:v>431663d2091b7698</x:v>
      </x:c>
    </x:row>
    <x:row r="1136" ht="21" customHeight="1">
      <x:c r="A1136" s="60" t="n">
        <x:v>0.64</x:v>
      </x:c>
      <x:c r="B1136" s="28" t="str">
        <x:v>middle_high</x:v>
      </x:c>
      <x:c r="C1136" s="60" t="n">
        <x:v>0.75</x:v>
      </x:c>
      <x:c r="D1136" s="60" t="n">
        <x:v>0.75</x:v>
      </x:c>
      <x:c r="E1136" s="62" t="b">
        <x:v>1</x:v>
      </x:c>
      <x:c r="F1136" s="62" t="b">
        <x:v>0</x:v>
      </x:c>
      <x:c r="G1136" s="85" t="n">
        <x:v>2203088.6389311766</x:v>
      </x:c>
      <x:c r="H1136" s="85" t="n">
        <x:v>6569469.095166454</x:v>
      </x:c>
      <x:c r="I1136" s="85" t="n">
        <x:v>17765701.063109446</x:v>
      </x:c>
      <x:c r="J1136" s="85" t="n">
        <x:v>14493440</x:v>
      </x:c>
      <x:c r="K1136" s="85" t="n">
        <x:v>64817.69331506885</x:v>
      </x:c>
      <x:c r="L1136" s="28" t="n">
        <x:v>42</x:v>
      </x:c>
      <x:c r="M1136" s="28" t="n">
        <x:v>38</x:v>
      </x:c>
      <x:c r="N1136" s="28" t="n">
        <x:v>2.3283064365386963e-10</x:v>
      </x:c>
      <x:c r="O1136" s="28" t="n">
        <x:v>3.725290298461914e-9</x:v>
      </x:c>
      <x:c r="P1136" s="28" t="n">
        <x:v>0</x:v>
      </x:c>
      <x:c r="Q1136" s="62" t="b">
        <x:v>1</x:v>
      </x:c>
      <x:c r="R1136" s="28" t="n">
        <x:v>0</x:v>
      </x:c>
      <x:c r="S1136" s="28" t="str">
        <x:v>6b7044efb51c262c</x:v>
      </x:c>
    </x:row>
    <x:row r="1137" ht="21" customHeight="1">
      <x:c r="A1137" s="60" t="n">
        <x:v>0.64</x:v>
      </x:c>
      <x:c r="B1137" s="28" t="str">
        <x:v>middle_high</x:v>
      </x:c>
      <x:c r="C1137" s="60" t="n">
        <x:v>0.8</x:v>
      </x:c>
      <x:c r="D1137" s="60" t="n">
        <x:v>0.8</x:v>
      </x:c>
      <x:c r="E1137" s="62" t="b">
        <x:v>1</x:v>
      </x:c>
      <x:c r="F1137" s="62" t="b">
        <x:v>0</x:v>
      </x:c>
      <x:c r="G1137" s="85" t="n">
        <x:v>3254422.183472539</x:v>
      </x:c>
      <x:c r="H1137" s="85" t="n">
        <x:v>9005567.326549446</x:v>
      </x:c>
      <x:c r="I1137" s="85" t="n">
        <x:v>17811241.4440035</x:v>
      </x:c>
      <x:c r="J1137" s="85" t="n">
        <x:v>14493440</x:v>
      </x:c>
      <x:c r="K1137" s="85" t="n">
        <x:v>57587.483945205415</x:v>
      </x:c>
      <x:c r="L1137" s="28" t="n">
        <x:v>42</x:v>
      </x:c>
      <x:c r="M1137" s="28" t="n">
        <x:v>39</x:v>
      </x:c>
      <x:c r="N1137" s="28" t="n">
        <x:v>4.656612873077393e-10</x:v>
      </x:c>
      <x:c r="O1137" s="28" t="n">
        <x:v>1.862645149230957e-9</x:v>
      </x:c>
      <x:c r="P1137" s="28" t="n">
        <x:v>0</x:v>
      </x:c>
      <x:c r="Q1137" s="62" t="b">
        <x:v>1</x:v>
      </x:c>
      <x:c r="R1137" s="28" t="n">
        <x:v>0</x:v>
      </x:c>
      <x:c r="S1137" s="28" t="str">
        <x:v>1a49379152f8d2d1</x:v>
      </x:c>
    </x:row>
    <x:row r="1138" ht="21" customHeight="1">
      <x:c r="A1138" s="60" t="n">
        <x:v>0.64</x:v>
      </x:c>
      <x:c r="B1138" s="28" t="str">
        <x:v>middle_high</x:v>
      </x:c>
      <x:c r="C1138" s="60" t="n">
        <x:v>0.85</x:v>
      </x:c>
      <x:c r="D1138" s="60" t="n">
        <x:v>0.85</x:v>
      </x:c>
      <x:c r="E1138" s="62" t="b">
        <x:v>1</x:v>
      </x:c>
      <x:c r="F1138" s="62" t="b">
        <x:v>0</x:v>
      </x:c>
      <x:c r="G1138" s="85" t="n">
        <x:v>4150023.303365816</x:v>
      </x:c>
      <x:c r="H1138" s="85" t="n">
        <x:v>11043236.79671992</x:v>
      </x:c>
      <x:c r="I1138" s="85" t="n">
        <x:v>18120698.07301986</x:v>
      </x:c>
      <x:c r="J1138" s="85" t="n">
        <x:v>14493440</x:v>
      </x:c>
      <x:c r="K1138" s="85" t="n">
        <x:v>50357.27457534244</x:v>
      </x:c>
      <x:c r="L1138" s="28" t="n">
        <x:v>43</x:v>
      </x:c>
      <x:c r="M1138" s="28" t="n">
        <x:v>40</x:v>
      </x:c>
      <x:c r="N1138" s="28" t="n">
        <x:v>4.656612873077393e-10</x:v>
      </x:c>
      <x:c r="O1138" s="28" t="n">
        <x:v>3.725290298461914e-9</x:v>
      </x:c>
      <x:c r="P1138" s="28" t="n">
        <x:v>0</x:v>
      </x:c>
      <x:c r="Q1138" s="62" t="b">
        <x:v>1</x:v>
      </x:c>
      <x:c r="R1138" s="28" t="n">
        <x:v>0</x:v>
      </x:c>
      <x:c r="S1138" s="28" t="str">
        <x:v>6e44e49ab2d95592</x:v>
      </x:c>
    </x:row>
    <x:row r="1139" ht="21" customHeight="1">
      <x:c r="A1139" s="60" t="n">
        <x:v>0.64</x:v>
      </x:c>
      <x:c r="B1139" s="28" t="str">
        <x:v>middle_high</x:v>
      </x:c>
      <x:c r="C1139" s="60" t="n">
        <x:v>0.9</x:v>
      </x:c>
      <x:c r="D1139" s="60" t="n">
        <x:v>0.9</x:v>
      </x:c>
      <x:c r="E1139" s="62" t="b">
        <x:v>1</x:v>
      </x:c>
      <x:c r="F1139" s="62" t="b">
        <x:v>0</x:v>
      </x:c>
      <x:c r="G1139" s="85" t="n">
        <x:v>5613867.909693837</x:v>
      </x:c>
      <x:c r="H1139" s="85" t="n">
        <x:v>12829346.650515556</x:v>
      </x:c>
      <x:c r="I1139" s="85" t="n">
        <x:v>18150548.10355205</x:v>
      </x:c>
      <x:c r="J1139" s="85" t="n">
        <x:v>14493440</x:v>
      </x:c>
      <x:c r="K1139" s="85" t="n">
        <x:v>43127.065205479696</x:v>
      </x:c>
      <x:c r="L1139" s="28" t="n">
        <x:v>43</x:v>
      </x:c>
      <x:c r="M1139" s="28" t="n">
        <x:v>40</x:v>
      </x:c>
      <x:c r="N1139" s="28" t="n">
        <x:v>4.656612873077393e-10</x:v>
      </x:c>
      <x:c r="O1139" s="28" t="n">
        <x:v>3.725290298461914e-9</x:v>
      </x:c>
      <x:c r="P1139" s="28" t="n">
        <x:v>0</x:v>
      </x:c>
      <x:c r="Q1139" s="62" t="b">
        <x:v>1</x:v>
      </x:c>
      <x:c r="R1139" s="28" t="n">
        <x:v>0</x:v>
      </x:c>
      <x:c r="S1139" s="28" t="str">
        <x:v>ec6f1b24962ee11a</x:v>
      </x:c>
    </x:row>
    <x:row r="1140" ht="21" customHeight="1">
      <x:c r="A1140" s="60" t="n">
        <x:v>0.64</x:v>
      </x:c>
      <x:c r="B1140" s="28" t="str">
        <x:v>middle_high</x:v>
      </x:c>
      <x:c r="C1140" s="60" t="n">
        <x:v>0.95</x:v>
      </x:c>
      <x:c r="D1140" s="60" t="n">
        <x:v>0.9270639118581285</x:v>
      </x:c>
      <x:c r="E1140" s="62" t="b">
        <x:v>0</x:v>
      </x:c>
      <x:c r="F1140" s="62" t="b">
        <x:v>0</x:v>
      </x:c>
      <x:c r="G1140" s="85" t="n">
        <x:v>6275043.435390068</x:v>
      </x:c>
      <x:c r="H1140" s="85" t="n">
        <x:v>13944166.73320894</x:v>
      </x:c>
      <x:c r="I1140" s="85" t="n">
        <x:v>18180398.13408424</x:v>
      </x:c>
      <x:c r="J1140" s="85" t="n">
        <x:v>14493440</x:v>
      </x:c>
      <x:c r="K1140" s="85" t="n">
        <x:v>35896.85583561649</x:v>
      </x:c>
      <x:c r="L1140" s="28" t="n">
        <x:v>43</x:v>
      </x:c>
      <x:c r="M1140" s="28" t="n">
        <x:v>40</x:v>
      </x:c>
      <x:c r="N1140" s="28" t="n">
        <x:v>4.656612873077393e-10</x:v>
      </x:c>
      <x:c r="O1140" s="28" t="n">
        <x:v>3.725290298461914e-9</x:v>
      </x:c>
      <x:c r="P1140" s="28" t="n">
        <x:v>0</x:v>
      </x:c>
      <x:c r="Q1140" s="62" t="b">
        <x:v>1</x:v>
      </x:c>
      <x:c r="R1140" s="28" t="n">
        <x:v>1278549.2973804846</x:v>
      </x:c>
      <x:c r="S1140" s="28" t="str">
        <x:v>2f2ac6ece91307e0</x:v>
      </x:c>
    </x:row>
    <x:row r="1141" ht="21" customHeight="1">
      <x:c r="A1141" s="60" t="n">
        <x:v>0.64</x:v>
      </x:c>
      <x:c r="B1141" s="28" t="str">
        <x:v>middle_high</x:v>
      </x:c>
      <x:c r="C1141" s="60" t="n">
        <x:v>1</x:v>
      </x:c>
      <x:c r="D1141" s="60" t="n">
        <x:v>0.9427455891708479</x:v>
      </x:c>
      <x:c r="E1141" s="62" t="b">
        <x:v>0</x:v>
      </x:c>
      <x:c r="F1141" s="62" t="b">
        <x:v>0</x:v>
      </x:c>
      <x:c r="G1141" s="85" t="n">
        <x:v>6730178.75267474</x:v>
      </x:c>
      <x:c r="H1141" s="85" t="n">
        <x:v>14332473.798215825</x:v>
      </x:c>
      <x:c r="I1141" s="85" t="n">
        <x:v>18468343.46783561</x:v>
      </x:c>
      <x:c r="J1141" s="85" t="n">
        <x:v>14493440</x:v>
      </x:c>
      <x:c r="K1141" s="85" t="n">
        <x:v>30698.275068493305</x:v>
      </x:c>
      <x:c r="L1141" s="28" t="n">
        <x:v>44</x:v>
      </x:c>
      <x:c r="M1141" s="28" t="n">
        <x:v>40</x:v>
      </x:c>
      <x:c r="N1141" s="28" t="n">
        <x:v>2.3283064365386963e-10</x:v>
      </x:c>
      <x:c r="O1141" s="28" t="n">
        <x:v>9.313225746154785e-10</x:v>
      </x:c>
      <x:c r="P1141" s="28" t="n">
        <x:v>0</x:v>
      </x:c>
      <x:c r="Q1141" s="62" t="b">
        <x:v>1</x:v>
      </x:c>
      <x:c r="R1141" s="28" t="n">
        <x:v>3191589.877260253</x:v>
      </x:c>
      <x:c r="S1141" s="28" t="str">
        <x:v>cc3e658949a1017a</x:v>
      </x:c>
    </x:row>
    <x:row r="1142" ht="21" customHeight="1">
      <x:c r="A1142" s="60" t="n">
        <x:v>0.64</x:v>
      </x:c>
      <x:c r="B1142" s="28" t="str">
        <x:v>back_flat</x:v>
      </x:c>
      <x:c r="C1142" s="60" t="n">
        <x:v>0</x:v>
      </x:c>
      <x:c r="D1142" s="60" t="n">
        <x:v>0</x:v>
      </x:c>
      <x:c r="E1142" s="62" t="b">
        <x:v>1</x:v>
      </x:c>
      <x:c r="F1142" s="62" t="b">
        <x:v>1</x:v>
      </x:c>
      <x:c r="G1142" s="85" t="n">
        <x:v>0</x:v>
      </x:c>
      <x:c r="H1142" s="85" t="n">
        <x:v>0</x:v>
      </x:c>
      <x:c r="I1142" s="85" t="n">
        <x:v>0</x:v>
      </x:c>
      <x:c r="J1142" s="85" t="n">
        <x:v>0</x:v>
      </x:c>
      <x:c r="K1142" s="85" t="n">
        <x:v>6065538.563068496</x:v>
      </x:c>
      <x:c r="L1142" s="28" t="n">
        <x:v>0</x:v>
      </x:c>
      <x:c r="M1142" s="28" t="n">
        <x:v>0</x:v>
      </x:c>
      <x:c r="N1142" s="28" t="n">
        <x:v>9.313225746154785e-10</x:v>
      </x:c>
      <x:c r="O1142" s="28" t="n">
        <x:v>0</x:v>
      </x:c>
      <x:c r="P1142" s="28" t="n">
        <x:v>0</x:v>
      </x:c>
      <x:c r="Q1142" s="62" t="b">
        <x:v>1</x:v>
      </x:c>
      <x:c r="R1142" s="28" t="n">
        <x:v>0</x:v>
      </x:c>
      <x:c r="S1142" s="28" t="str">
        <x:v>678f1944664a5c3d</x:v>
      </x:c>
    </x:row>
    <x:row r="1143" ht="21" customHeight="1">
      <x:c r="A1143" s="60" t="n">
        <x:v>0.64</x:v>
      </x:c>
      <x:c r="B1143" s="28" t="str">
        <x:v>back_flat</x:v>
      </x:c>
      <x:c r="C1143" s="60" t="n">
        <x:v>0.05</x:v>
      </x:c>
      <x:c r="D1143" s="60" t="n">
        <x:v>0.05</x:v>
      </x:c>
      <x:c r="E1143" s="62" t="b">
        <x:v>1</x:v>
      </x:c>
      <x:c r="F1143" s="62" t="b">
        <x:v>1</x:v>
      </x:c>
      <x:c r="G1143" s="85" t="n">
        <x:v>0</x:v>
      </x:c>
      <x:c r="H1143" s="85" t="n">
        <x:v>0</x:v>
      </x:c>
      <x:c r="I1143" s="85" t="n">
        <x:v>0</x:v>
      </x:c>
      <x:c r="J1143" s="85" t="n">
        <x:v>0</x:v>
      </x:c>
      <x:c r="K1143" s="85" t="n">
        <x:v>3866996.871109473</x:v>
      </x:c>
      <x:c r="L1143" s="28" t="n">
        <x:v>0</x:v>
      </x:c>
      <x:c r="M1143" s="28" t="n">
        <x:v>0</x:v>
      </x:c>
      <x:c r="N1143" s="28" t="n">
        <x:v>4.656612873077393e-10</x:v>
      </x:c>
      <x:c r="O1143" s="28" t="n">
        <x:v>7.450580596923828e-9</x:v>
      </x:c>
      <x:c r="P1143" s="28" t="n">
        <x:v>0</x:v>
      </x:c>
      <x:c r="Q1143" s="62" t="b">
        <x:v>1</x:v>
      </x:c>
      <x:c r="R1143" s="28" t="n">
        <x:v>0</x:v>
      </x:c>
      <x:c r="S1143" s="28" t="str">
        <x:v>038738e3cc13a39b</x:v>
      </x:c>
    </x:row>
    <x:row r="1144" ht="21" customHeight="1">
      <x:c r="A1144" s="60" t="n">
        <x:v>0.64</x:v>
      </x:c>
      <x:c r="B1144" s="28" t="str">
        <x:v>back_flat</x:v>
      </x:c>
      <x:c r="C1144" s="60" t="n">
        <x:v>0.1</x:v>
      </x:c>
      <x:c r="D1144" s="60" t="n">
        <x:v>0.1</x:v>
      </x:c>
      <x:c r="E1144" s="62" t="b">
        <x:v>1</x:v>
      </x:c>
      <x:c r="F1144" s="62" t="b">
        <x:v>1</x:v>
      </x:c>
      <x:c r="G1144" s="85" t="n">
        <x:v>0</x:v>
      </x:c>
      <x:c r="H1144" s="85" t="n">
        <x:v>0</x:v>
      </x:c>
      <x:c r="I1144" s="85" t="n">
        <x:v>0</x:v>
      </x:c>
      <x:c r="J1144" s="85" t="n">
        <x:v>0</x:v>
      </x:c>
      <x:c r="K1144" s="85" t="n">
        <x:v>1670007.5461478652</x:v>
      </x:c>
      <x:c r="L1144" s="28" t="n">
        <x:v>0</x:v>
      </x:c>
      <x:c r="M1144" s="28" t="n">
        <x:v>0</x:v>
      </x:c>
      <x:c r="N1144" s="28" t="n">
        <x:v>4.656612873077393e-10</x:v>
      </x:c>
      <x:c r="O1144" s="28" t="n">
        <x:v>7.450580596923828e-9</x:v>
      </x:c>
      <x:c r="P1144" s="28" t="n">
        <x:v>0</x:v>
      </x:c>
      <x:c r="Q1144" s="62" t="b">
        <x:v>1</x:v>
      </x:c>
      <x:c r="R1144" s="28" t="n">
        <x:v>0</x:v>
      </x:c>
      <x:c r="S1144" s="28" t="str">
        <x:v>16314331ef694c6c</x:v>
      </x:c>
    </x:row>
    <x:row r="1145" ht="21" customHeight="1">
      <x:c r="A1145" s="60" t="n">
        <x:v>0.64</x:v>
      </x:c>
      <x:c r="B1145" s="28" t="str">
        <x:v>back_flat</x:v>
      </x:c>
      <x:c r="C1145" s="60" t="n">
        <x:v>0.15</x:v>
      </x:c>
      <x:c r="D1145" s="60" t="n">
        <x:v>0.15</x:v>
      </x:c>
      <x:c r="E1145" s="62" t="b">
        <x:v>1</x:v>
      </x:c>
      <x:c r="F1145" s="62" t="b">
        <x:v>1</x:v>
      </x:c>
      <x:c r="G1145" s="85" t="n">
        <x:v>0</x:v>
      </x:c>
      <x:c r="H1145" s="85" t="n">
        <x:v>0</x:v>
      </x:c>
      <x:c r="I1145" s="85" t="n">
        <x:v>687790.0492848677</x:v>
      </x:c>
      <x:c r="J1145" s="85" t="n">
        <x:v>0</x:v>
      </x:c>
      <x:c r="K1145" s="85" t="n">
        <x:v>273413.3394120082</x:v>
      </x:c>
      <x:c r="L1145" s="28" t="n">
        <x:v>0</x:v>
      </x:c>
      <x:c r="M1145" s="28" t="n">
        <x:v>0</x:v>
      </x:c>
      <x:c r="N1145" s="28" t="n">
        <x:v>9.313225746154785e-10</x:v>
      </x:c>
      <x:c r="O1145" s="28" t="n">
        <x:v>7.450580596923828e-9</x:v>
      </x:c>
      <x:c r="P1145" s="28" t="n">
        <x:v>0</x:v>
      </x:c>
      <x:c r="Q1145" s="62" t="b">
        <x:v>1</x:v>
      </x:c>
      <x:c r="R1145" s="28" t="n">
        <x:v>0</x:v>
      </x:c>
      <x:c r="S1145" s="28" t="str">
        <x:v>b5e73203c06fbe87</x:v>
      </x:c>
    </x:row>
    <x:row r="1146" ht="21" customHeight="1">
      <x:c r="A1146" s="60" t="n">
        <x:v>0.64</x:v>
      </x:c>
      <x:c r="B1146" s="28" t="str">
        <x:v>back_flat</x:v>
      </x:c>
      <x:c r="C1146" s="60" t="n">
        <x:v>0.2</x:v>
      </x:c>
      <x:c r="D1146" s="60" t="n">
        <x:v>0.2</x:v>
      </x:c>
      <x:c r="E1146" s="62" t="b">
        <x:v>1</x:v>
      </x:c>
      <x:c r="F1146" s="62" t="b">
        <x:v>1</x:v>
      </x:c>
      <x:c r="G1146" s="85" t="n">
        <x:v>0</x:v>
      </x:c>
      <x:c r="H1146" s="85" t="n">
        <x:v>0</x:v>
      </x:c>
      <x:c r="I1146" s="85" t="n">
        <x:v>2142215.9854614707</x:v>
      </x:c>
      <x:c r="J1146" s="85" t="n">
        <x:v>1245718.905732936</x:v>
      </x:c>
      <x:c r="K1146" s="85" t="n">
        <x:v>221536.9861155075</x:v>
      </x:c>
      <x:c r="L1146" s="28" t="n">
        <x:v>0</x:v>
      </x:c>
      <x:c r="M1146" s="28" t="n">
        <x:v>0</x:v>
      </x:c>
      <x:c r="N1146" s="28" t="n">
        <x:v>2.3283064365386963e-10</x:v>
      </x:c>
      <x:c r="O1146" s="28" t="n">
        <x:v>7.450580596923828e-9</x:v>
      </x:c>
      <x:c r="P1146" s="28" t="n">
        <x:v>0</x:v>
      </x:c>
      <x:c r="Q1146" s="62" t="b">
        <x:v>1</x:v>
      </x:c>
      <x:c r="R1146" s="28" t="n">
        <x:v>0</x:v>
      </x:c>
      <x:c r="S1146" s="28" t="str">
        <x:v>7486f803f01bd14b</x:v>
      </x:c>
    </x:row>
    <x:row r="1147" ht="21" customHeight="1">
      <x:c r="A1147" s="60" t="n">
        <x:v>0.64</x:v>
      </x:c>
      <x:c r="B1147" s="28" t="str">
        <x:v>back_flat</x:v>
      </x:c>
      <x:c r="C1147" s="60" t="n">
        <x:v>0.25</x:v>
      </x:c>
      <x:c r="D1147" s="60" t="n">
        <x:v>0.25</x:v>
      </x:c>
      <x:c r="E1147" s="62" t="b">
        <x:v>1</x:v>
      </x:c>
      <x:c r="F1147" s="62" t="b">
        <x:v>1</x:v>
      </x:c>
      <x:c r="G1147" s="85" t="n">
        <x:v>0</x:v>
      </x:c>
      <x:c r="H1147" s="85" t="n">
        <x:v>0</x:v>
      </x:c>
      <x:c r="I1147" s="85" t="n">
        <x:v>3289281.285913563</x:v>
      </x:c>
      <x:c r="J1147" s="85" t="n">
        <x:v>2950748.632166205</x:v>
      </x:c>
      <x:c r="K1147" s="85" t="n">
        <x:v>176242.72554849306</x:v>
      </x:c>
      <x:c r="L1147" s="28" t="n">
        <x:v>0</x:v>
      </x:c>
      <x:c r="M1147" s="28" t="n">
        <x:v>0</x:v>
      </x:c>
      <x:c r="N1147" s="28" t="n">
        <x:v>9.313225746154785e-10</x:v>
      </x:c>
      <x:c r="O1147" s="28" t="n">
        <x:v>7.450580596923828e-9</x:v>
      </x:c>
      <x:c r="P1147" s="28" t="n">
        <x:v>0</x:v>
      </x:c>
      <x:c r="Q1147" s="62" t="b">
        <x:v>1</x:v>
      </x:c>
      <x:c r="R1147" s="28" t="n">
        <x:v>0</x:v>
      </x:c>
      <x:c r="S1147" s="28" t="str">
        <x:v>b4558552bfa5f681</x:v>
      </x:c>
    </x:row>
    <x:row r="1148" ht="21" customHeight="1">
      <x:c r="A1148" s="60" t="n">
        <x:v>0.64</x:v>
      </x:c>
      <x:c r="B1148" s="28" t="str">
        <x:v>back_flat</x:v>
      </x:c>
      <x:c r="C1148" s="60" t="n">
        <x:v>0.3</x:v>
      </x:c>
      <x:c r="D1148" s="60" t="n">
        <x:v>0.3</x:v>
      </x:c>
      <x:c r="E1148" s="62" t="b">
        <x:v>1</x:v>
      </x:c>
      <x:c r="F1148" s="62" t="b">
        <x:v>1</x:v>
      </x:c>
      <x:c r="G1148" s="85" t="n">
        <x:v>0</x:v>
      </x:c>
      <x:c r="H1148" s="85" t="n">
        <x:v>0</x:v>
      </x:c>
      <x:c r="I1148" s="85" t="n">
        <x:v>4456043.680389405</x:v>
      </x:c>
      <x:c r="J1148" s="85" t="n">
        <x:v>4655778.358599421</x:v>
      </x:c>
      <x:c r="K1148" s="85" t="n">
        <x:v>146824.26950093207</x:v>
      </x:c>
      <x:c r="L1148" s="28" t="n">
        <x:v>0</x:v>
      </x:c>
      <x:c r="M1148" s="28" t="n">
        <x:v>0</x:v>
      </x:c>
      <x:c r="N1148" s="28" t="n">
        <x:v>4.656612873077393e-10</x:v>
      </x:c>
      <x:c r="O1148" s="28" t="n">
        <x:v>7.450580596923828e-9</x:v>
      </x:c>
      <x:c r="P1148" s="28" t="n">
        <x:v>0</x:v>
      </x:c>
      <x:c r="Q1148" s="62" t="b">
        <x:v>1</x:v>
      </x:c>
      <x:c r="R1148" s="28" t="n">
        <x:v>0</x:v>
      </x:c>
      <x:c r="S1148" s="28" t="str">
        <x:v>f6ce4928520a5129</x:v>
      </x:c>
    </x:row>
    <x:row r="1149" ht="21" customHeight="1">
      <x:c r="A1149" s="60" t="n">
        <x:v>0.64</x:v>
      </x:c>
      <x:c r="B1149" s="28" t="str">
        <x:v>back_flat</x:v>
      </x:c>
      <x:c r="C1149" s="60" t="n">
        <x:v>0.35</x:v>
      </x:c>
      <x:c r="D1149" s="60" t="n">
        <x:v>0.35</x:v>
      </x:c>
      <x:c r="E1149" s="62" t="b">
        <x:v>1</x:v>
      </x:c>
      <x:c r="F1149" s="62" t="b">
        <x:v>1</x:v>
      </x:c>
      <x:c r="G1149" s="85" t="n">
        <x:v>0</x:v>
      </x:c>
      <x:c r="H1149" s="85" t="n">
        <x:v>0</x:v>
      </x:c>
      <x:c r="I1149" s="85" t="n">
        <x:v>5618691.33449734</x:v>
      </x:c>
      <x:c r="J1149" s="85" t="n">
        <x:v>6360808.085032671</x:v>
      </x:c>
      <x:c r="K1149" s="85" t="n">
        <x:v>121070.50011638406</x:v>
      </x:c>
      <x:c r="L1149" s="28" t="n">
        <x:v>0</x:v>
      </x:c>
      <x:c r="M1149" s="28" t="n">
        <x:v>0</x:v>
      </x:c>
      <x:c r="N1149" s="28" t="n">
        <x:v>2.3283064365386963e-10</x:v>
      </x:c>
      <x:c r="O1149" s="28" t="n">
        <x:v>3.725290298461914e-9</x:v>
      </x:c>
      <x:c r="P1149" s="28" t="n">
        <x:v>0</x:v>
      </x:c>
      <x:c r="Q1149" s="62" t="b">
        <x:v>1</x:v>
      </x:c>
      <x:c r="R1149" s="28" t="n">
        <x:v>0</x:v>
      </x:c>
      <x:c r="S1149" s="28" t="str">
        <x:v>1cd33419ec950b03</x:v>
      </x:c>
    </x:row>
    <x:row r="1150" ht="21" customHeight="1">
      <x:c r="A1150" s="60" t="n">
        <x:v>0.64</x:v>
      </x:c>
      <x:c r="B1150" s="28" t="str">
        <x:v>back_flat</x:v>
      </x:c>
      <x:c r="C1150" s="60" t="n">
        <x:v>0.4</x:v>
      </x:c>
      <x:c r="D1150" s="60" t="n">
        <x:v>0.4</x:v>
      </x:c>
      <x:c r="E1150" s="62" t="b">
        <x:v>1</x:v>
      </x:c>
      <x:c r="F1150" s="62" t="b">
        <x:v>1</x:v>
      </x:c>
      <x:c r="G1150" s="85" t="n">
        <x:v>0</x:v>
      </x:c>
      <x:c r="H1150" s="85" t="n">
        <x:v>0</x:v>
      </x:c>
      <x:c r="I1150" s="85" t="n">
        <x:v>6793113.05271461</x:v>
      </x:c>
      <x:c r="J1150" s="85" t="n">
        <x:v>8065837.811465903</x:v>
      </x:c>
      <x:c r="K1150" s="85" t="n">
        <x:v>107136.6264109599</x:v>
      </x:c>
      <x:c r="L1150" s="28" t="n">
        <x:v>0</x:v>
      </x:c>
      <x:c r="M1150" s="28" t="n">
        <x:v>0</x:v>
      </x:c>
      <x:c r="N1150" s="28" t="n">
        <x:v>9.313225746154785e-10</x:v>
      </x:c>
      <x:c r="O1150" s="28" t="n">
        <x:v>7.450580596923828e-9</x:v>
      </x:c>
      <x:c r="P1150" s="28" t="n">
        <x:v>0</x:v>
      </x:c>
      <x:c r="Q1150" s="62" t="b">
        <x:v>1</x:v>
      </x:c>
      <x:c r="R1150" s="28" t="n">
        <x:v>0</x:v>
      </x:c>
      <x:c r="S1150" s="28" t="str">
        <x:v>480b6e0bc8451b0c</x:v>
      </x:c>
    </x:row>
    <x:row r="1151" ht="21" customHeight="1">
      <x:c r="A1151" s="60" t="n">
        <x:v>0.64</x:v>
      </x:c>
      <x:c r="B1151" s="28" t="str">
        <x:v>back_flat</x:v>
      </x:c>
      <x:c r="C1151" s="60" t="n">
        <x:v>0.45</x:v>
      </x:c>
      <x:c r="D1151" s="60" t="n">
        <x:v>0.45</x:v>
      </x:c>
      <x:c r="E1151" s="62" t="b">
        <x:v>1</x:v>
      </x:c>
      <x:c r="F1151" s="62" t="b">
        <x:v>1</x:v>
      </x:c>
      <x:c r="G1151" s="85" t="n">
        <x:v>0</x:v>
      </x:c>
      <x:c r="H1151" s="85" t="n">
        <x:v>0</x:v>
      </x:c>
      <x:c r="I1151" s="85" t="n">
        <x:v>8185807.721276047</x:v>
      </x:c>
      <x:c r="J1151" s="85" t="n">
        <x:v>9281155.646572236</x:v>
      </x:c>
      <x:c r="K1151" s="85" t="n">
        <x:v>95393.5097123285</x:v>
      </x:c>
      <x:c r="L1151" s="28" t="n">
        <x:v>5</x:v>
      </x:c>
      <x:c r="M1151" s="28" t="n">
        <x:v>0</x:v>
      </x:c>
      <x:c r="N1151" s="28" t="n">
        <x:v>4.656612873077393e-10</x:v>
      </x:c>
      <x:c r="O1151" s="28" t="n">
        <x:v>7.450580596923828e-9</x:v>
      </x:c>
      <x:c r="P1151" s="28" t="n">
        <x:v>0</x:v>
      </x:c>
      <x:c r="Q1151" s="62" t="b">
        <x:v>1</x:v>
      </x:c>
      <x:c r="R1151" s="28" t="n">
        <x:v>0</x:v>
      </x:c>
      <x:c r="S1151" s="28" t="str">
        <x:v>64664459c90570fa</x:v>
      </x:c>
    </x:row>
    <x:row r="1152" ht="21" customHeight="1">
      <x:c r="A1152" s="60" t="n">
        <x:v>0.64</x:v>
      </x:c>
      <x:c r="B1152" s="28" t="str">
        <x:v>back_flat</x:v>
      </x:c>
      <x:c r="C1152" s="60" t="n">
        <x:v>0.5</x:v>
      </x:c>
      <x:c r="D1152" s="60" t="n">
        <x:v>0.5</x:v>
      </x:c>
      <x:c r="E1152" s="62" t="b">
        <x:v>1</x:v>
      </x:c>
      <x:c r="F1152" s="62" t="b">
        <x:v>1</x:v>
      </x:c>
      <x:c r="G1152" s="85" t="n">
        <x:v>0</x:v>
      </x:c>
      <x:c r="H1152" s="85" t="n">
        <x:v>0</x:v>
      </x:c>
      <x:c r="I1152" s="85" t="n">
        <x:v>9467974.317836672</x:v>
      </x:c>
      <x:c r="J1152" s="85" t="n">
        <x:v>10709543.153848322</x:v>
      </x:c>
      <x:c r="K1152" s="85" t="n">
        <x:v>83650.39301369859</x:v>
      </x:c>
      <x:c r="L1152" s="28" t="n">
        <x:v>9</x:v>
      </x:c>
      <x:c r="M1152" s="28" t="n">
        <x:v>0</x:v>
      </x:c>
      <x:c r="N1152" s="28" t="n">
        <x:v>9.313225746154785e-10</x:v>
      </x:c>
      <x:c r="O1152" s="28" t="n">
        <x:v>1.862645149230957e-9</x:v>
      </x:c>
      <x:c r="P1152" s="28" t="n">
        <x:v>0</x:v>
      </x:c>
      <x:c r="Q1152" s="62" t="b">
        <x:v>1</x:v>
      </x:c>
      <x:c r="R1152" s="28" t="n">
        <x:v>0</x:v>
      </x:c>
      <x:c r="S1152" s="28" t="str">
        <x:v>1fc910588b8fe5e3</x:v>
      </x:c>
    </x:row>
    <x:row r="1153" ht="21" customHeight="1">
      <x:c r="A1153" s="60" t="n">
        <x:v>0.64</x:v>
      </x:c>
      <x:c r="B1153" s="28" t="str">
        <x:v>back_flat</x:v>
      </x:c>
      <x:c r="C1153" s="60" t="n">
        <x:v>0.55</x:v>
      </x:c>
      <x:c r="D1153" s="60" t="n">
        <x:v>0.55</x:v>
      </x:c>
      <x:c r="E1153" s="62" t="b">
        <x:v>1</x:v>
      </x:c>
      <x:c r="F1153" s="62" t="b">
        <x:v>1</x:v>
      </x:c>
      <x:c r="G1153" s="85" t="n">
        <x:v>0</x:v>
      </x:c>
      <x:c r="H1153" s="85" t="n">
        <x:v>0</x:v>
      </x:c>
      <x:c r="I1153" s="85" t="n">
        <x:v>10699972.179075724</x:v>
      </x:c>
      <x:c r="J1153" s="85" t="n">
        <x:v>12236887.145928701</x:v>
      </x:c>
      <x:c r="K1153" s="85" t="n">
        <x:v>71907.27631506926</x:v>
      </x:c>
      <x:c r="L1153" s="28" t="n">
        <x:v>12</x:v>
      </x:c>
      <x:c r="M1153" s="28" t="n">
        <x:v>4</x:v>
      </x:c>
      <x:c r="N1153" s="28" t="n">
        <x:v>4.656612873077393e-10</x:v>
      </x:c>
      <x:c r="O1153" s="28" t="n">
        <x:v>7.450580596923828e-9</x:v>
      </x:c>
      <x:c r="P1153" s="28" t="n">
        <x:v>0</x:v>
      </x:c>
      <x:c r="Q1153" s="62" t="b">
        <x:v>1</x:v>
      </x:c>
      <x:c r="R1153" s="28" t="n">
        <x:v>0</x:v>
      </x:c>
      <x:c r="S1153" s="28" t="str">
        <x:v>cba68e52a9e1fd00</x:v>
      </x:c>
    </x:row>
    <x:row r="1154" ht="21" customHeight="1">
      <x:c r="A1154" s="60" t="n">
        <x:v>0.64</x:v>
      </x:c>
      <x:c r="B1154" s="28" t="str">
        <x:v>back_flat</x:v>
      </x:c>
      <x:c r="C1154" s="60" t="n">
        <x:v>0.6</x:v>
      </x:c>
      <x:c r="D1154" s="60" t="n">
        <x:v>0.6</x:v>
      </x:c>
      <x:c r="E1154" s="62" t="b">
        <x:v>1</x:v>
      </x:c>
      <x:c r="F1154" s="62" t="b">
        <x:v>1</x:v>
      </x:c>
      <x:c r="G1154" s="85" t="n">
        <x:v>0</x:v>
      </x:c>
      <x:c r="H1154" s="85" t="n">
        <x:v>0</x:v>
      </x:c>
      <x:c r="I1154" s="85" t="n">
        <x:v>11834342.80543222</x:v>
      </x:c>
      <x:c r="J1154" s="85" t="n">
        <x:v>13985673.421824044</x:v>
      </x:c>
      <x:c r="K1154" s="85" t="n">
        <x:v>60164.15961643867</x:v>
      </x:c>
      <x:c r="L1154" s="28" t="n">
        <x:v>18</x:v>
      </x:c>
      <x:c r="M1154" s="28" t="n">
        <x:v>9</x:v>
      </x:c>
      <x:c r="N1154" s="28" t="n">
        <x:v>4.656612873077393e-10</x:v>
      </x:c>
      <x:c r="O1154" s="28" t="n">
        <x:v>7.450580596923828e-9</x:v>
      </x:c>
      <x:c r="P1154" s="28" t="n">
        <x:v>0</x:v>
      </x:c>
      <x:c r="Q1154" s="62" t="b">
        <x:v>1</x:v>
      </x:c>
      <x:c r="R1154" s="28" t="n">
        <x:v>0</x:v>
      </x:c>
      <x:c r="S1154" s="28" t="str">
        <x:v>69226ab5bdc9b82f</x:v>
      </x:c>
    </x:row>
    <x:row r="1155" ht="21" customHeight="1">
      <x:c r="A1155" s="60" t="n">
        <x:v>0.64</x:v>
      </x:c>
      <x:c r="B1155" s="28" t="str">
        <x:v>back_flat</x:v>
      </x:c>
      <x:c r="C1155" s="60" t="n">
        <x:v>0.65</x:v>
      </x:c>
      <x:c r="D1155" s="60" t="n">
        <x:v>0.65</x:v>
      </x:c>
      <x:c r="E1155" s="62" t="b">
        <x:v>1</x:v>
      </x:c>
      <x:c r="F1155" s="62" t="b">
        <x:v>0</x:v>
      </x:c>
      <x:c r="G1155" s="85" t="n">
        <x:v>325266.36554449395</x:v>
      </x:c>
      <x:c r="H1155" s="85" t="n">
        <x:v>1748424.1768459862</x:v>
      </x:c>
      <x:c r="I1155" s="85" t="n">
        <x:v>12089525.1167281</x:v>
      </x:c>
      <x:c r="J1155" s="85" t="n">
        <x:v>14493440</x:v>
      </x:c>
      <x:c r="K1155" s="85" t="n">
        <x:v>53246.56012328798</x:v>
      </x:c>
      <x:c r="L1155" s="28" t="n">
        <x:v>38</x:v>
      </x:c>
      <x:c r="M1155" s="28" t="n">
        <x:v>32</x:v>
      </x:c>
      <x:c r="N1155" s="28" t="n">
        <x:v>2.3283064365386963e-10</x:v>
      </x:c>
      <x:c r="O1155" s="28" t="n">
        <x:v>7.450580596923828e-9</x:v>
      </x:c>
      <x:c r="P1155" s="28" t="n">
        <x:v>0</x:v>
      </x:c>
      <x:c r="Q1155" s="62" t="b">
        <x:v>1</x:v>
      </x:c>
      <x:c r="R1155" s="28" t="n">
        <x:v>0</x:v>
      </x:c>
      <x:c r="S1155" s="28" t="str">
        <x:v>df53d55978e5f0fa</x:v>
      </x:c>
    </x:row>
    <x:row r="1156" ht="21" customHeight="1">
      <x:c r="A1156" s="60" t="n">
        <x:v>0.64</x:v>
      </x:c>
      <x:c r="B1156" s="28" t="str">
        <x:v>back_flat</x:v>
      </x:c>
      <x:c r="C1156" s="60" t="n">
        <x:v>0.7</x:v>
      </x:c>
      <x:c r="D1156" s="60" t="n">
        <x:v>0.7</x:v>
      </x:c>
      <x:c r="E1156" s="62" t="b">
        <x:v>1</x:v>
      </x:c>
      <x:c r="F1156" s="62" t="b">
        <x:v>0</x:v>
      </x:c>
      <x:c r="G1156" s="85" t="n">
        <x:v>734287.0406166429</x:v>
      </x:c>
      <x:c r="H1156" s="85" t="n">
        <x:v>3769768.469553517</x:v>
      </x:c>
      <x:c r="I1156" s="85" t="n">
        <x:v>12334991.961796816</x:v>
      </x:c>
      <x:c r="J1156" s="85" t="n">
        <x:v>14493440</x:v>
      </x:c>
      <x:c r="K1156" s="85" t="n">
        <x:v>49672.109561644065</x:v>
      </x:c>
      <x:c r="L1156" s="28" t="n">
        <x:v>39</x:v>
      </x:c>
      <x:c r="M1156" s="28" t="n">
        <x:v>33</x:v>
      </x:c>
      <x:c r="N1156" s="28" t="n">
        <x:v>4.656612873077393e-10</x:v>
      </x:c>
      <x:c r="O1156" s="28" t="n">
        <x:v>3.725290298461914e-9</x:v>
      </x:c>
      <x:c r="P1156" s="28" t="n">
        <x:v>0</x:v>
      </x:c>
      <x:c r="Q1156" s="62" t="b">
        <x:v>1</x:v>
      </x:c>
      <x:c r="R1156" s="28" t="n">
        <x:v>0</x:v>
      </x:c>
      <x:c r="S1156" s="28" t="str">
        <x:v>80a28511951e5ceb</x:v>
      </x:c>
    </x:row>
    <x:row r="1157" ht="21" customHeight="1">
      <x:c r="A1157" s="60" t="n">
        <x:v>0.64</x:v>
      </x:c>
      <x:c r="B1157" s="28" t="str">
        <x:v>back_flat</x:v>
      </x:c>
      <x:c r="C1157" s="60" t="n">
        <x:v>0.75</x:v>
      </x:c>
      <x:c r="D1157" s="60" t="n">
        <x:v>0.75</x:v>
      </x:c>
      <x:c r="E1157" s="62" t="b">
        <x:v>1</x:v>
      </x:c>
      <x:c r="F1157" s="62" t="b">
        <x:v>0</x:v>
      </x:c>
      <x:c r="G1157" s="85" t="n">
        <x:v>1131366.77619773</x:v>
      </x:c>
      <x:c r="H1157" s="85" t="n">
        <x:v>5730378.477143776</x:v>
      </x:c>
      <x:c r="I1157" s="85" t="n">
        <x:v>12555770.15232712</x:v>
      </x:c>
      <x:c r="J1157" s="85" t="n">
        <x:v>14493440</x:v>
      </x:c>
      <x:c r="K1157" s="85" t="n">
        <x:v>46097.65899999992</x:v>
      </x:c>
      <x:c r="L1157" s="28" t="n">
        <x:v>40</x:v>
      </x:c>
      <x:c r="M1157" s="28" t="n">
        <x:v>34</x:v>
      </x:c>
      <x:c r="N1157" s="28" t="n">
        <x:v>4.656612873077393e-10</x:v>
      </x:c>
      <x:c r="O1157" s="28" t="n">
        <x:v>7.450580596923828e-9</x:v>
      </x:c>
      <x:c r="P1157" s="28" t="n">
        <x:v>0</x:v>
      </x:c>
      <x:c r="Q1157" s="62" t="b">
        <x:v>1</x:v>
      </x:c>
      <x:c r="R1157" s="28" t="n">
        <x:v>0</x:v>
      </x:c>
      <x:c r="S1157" s="28" t="str">
        <x:v>53b9eb9af2ee26b7</x:v>
      </x:c>
    </x:row>
    <x:row r="1158" ht="21" customHeight="1">
      <x:c r="A1158" s="60" t="n">
        <x:v>0.64</x:v>
      </x:c>
      <x:c r="B1158" s="28" t="str">
        <x:v>back_flat</x:v>
      </x:c>
      <x:c r="C1158" s="60" t="n">
        <x:v>0.8</x:v>
      </x:c>
      <x:c r="D1158" s="60" t="n">
        <x:v>0.8</x:v>
      </x:c>
      <x:c r="E1158" s="62" t="b">
        <x:v>1</x:v>
      </x:c>
      <x:c r="F1158" s="62" t="b">
        <x:v>0</x:v>
      </x:c>
      <x:c r="G1158" s="85" t="n">
        <x:v>1668188.2004655702</x:v>
      </x:c>
      <x:c r="H1158" s="85" t="n">
        <x:v>7824112.211825361</x:v>
      </x:c>
      <x:c r="I1158" s="85" t="n">
        <x:v>12590108.374748927</x:v>
      </x:c>
      <x:c r="J1158" s="85" t="n">
        <x:v>14493440</x:v>
      </x:c>
      <x:c r="K1158" s="85" t="n">
        <x:v>42523.20843835624</x:v>
      </x:c>
      <x:c r="L1158" s="28" t="n">
        <x:v>40</x:v>
      </x:c>
      <x:c r="M1158" s="28" t="n">
        <x:v>35</x:v>
      </x:c>
      <x:c r="N1158" s="28" t="n">
        <x:v>4.656612873077393e-10</x:v>
      </x:c>
      <x:c r="O1158" s="28" t="n">
        <x:v>3.725290298461914e-9</x:v>
      </x:c>
      <x:c r="P1158" s="28" t="n">
        <x:v>0</x:v>
      </x:c>
      <x:c r="Q1158" s="62" t="b">
        <x:v>1</x:v>
      </x:c>
      <x:c r="R1158" s="28" t="n">
        <x:v>0</x:v>
      </x:c>
      <x:c r="S1158" s="28" t="str">
        <x:v>2898864063128c20</x:v>
      </x:c>
    </x:row>
    <x:row r="1159" ht="21" customHeight="1">
      <x:c r="A1159" s="60" t="n">
        <x:v>0.64</x:v>
      </x:c>
      <x:c r="B1159" s="28" t="str">
        <x:v>back_flat</x:v>
      </x:c>
      <x:c r="C1159" s="60" t="n">
        <x:v>0.85</x:v>
      </x:c>
      <x:c r="D1159" s="60" t="n">
        <x:v>0.85</x:v>
      </x:c>
      <x:c r="E1159" s="62" t="b">
        <x:v>1</x:v>
      </x:c>
      <x:c r="F1159" s="62" t="b">
        <x:v>0</x:v>
      </x:c>
      <x:c r="G1159" s="85" t="n">
        <x:v>2217007.485786659</x:v>
      </x:c>
      <x:c r="H1159" s="85" t="n">
        <x:v>9575590.873149676</x:v>
      </x:c>
      <x:c r="I1159" s="85" t="n">
        <x:v>12832514.081120543</x:v>
      </x:c>
      <x:c r="J1159" s="85" t="n">
        <x:v>14493440</x:v>
      </x:c>
      <x:c r="K1159" s="85" t="n">
        <x:v>38948.75787671244</x:v>
      </x:c>
      <x:c r="L1159" s="28" t="n">
        <x:v>41</x:v>
      </x:c>
      <x:c r="M1159" s="28" t="n">
        <x:v>36</x:v>
      </x:c>
      <x:c r="N1159" s="28" t="n">
        <x:v>4.656612873077393e-10</x:v>
      </x:c>
      <x:c r="O1159" s="28" t="n">
        <x:v>9.313225746154785e-10</x:v>
      </x:c>
      <x:c r="P1159" s="28" t="n">
        <x:v>0</x:v>
      </x:c>
      <x:c r="Q1159" s="62" t="b">
        <x:v>1</x:v>
      </x:c>
      <x:c r="R1159" s="28" t="n">
        <x:v>0</x:v>
      </x:c>
      <x:c r="S1159" s="28" t="str">
        <x:v>46544e9f3fdd7c18</x:v>
      </x:c>
    </x:row>
    <x:row r="1160" ht="21" customHeight="1">
      <x:c r="A1160" s="60" t="n">
        <x:v>0.64</x:v>
      </x:c>
      <x:c r="B1160" s="28" t="str">
        <x:v>back_flat</x:v>
      </x:c>
      <x:c r="C1160" s="60" t="n">
        <x:v>0.9</x:v>
      </x:c>
      <x:c r="D1160" s="60" t="n">
        <x:v>0.880265491166173</x:v>
      </x:c>
      <x:c r="E1160" s="62" t="b">
        <x:v>0</x:v>
      </x:c>
      <x:c r="F1160" s="62" t="b">
        <x:v>0</x:v>
      </x:c>
      <x:c r="G1160" s="85" t="n">
        <x:v>2766568.988313088</x:v>
      </x:c>
      <x:c r="H1160" s="85" t="n">
        <x:v>10474645.043092374</x:v>
      </x:c>
      <x:c r="I1160" s="85" t="n">
        <x:v>12860825.862098623</x:v>
      </x:c>
      <x:c r="J1160" s="85" t="n">
        <x:v>14493440</x:v>
      </x:c>
      <x:c r="K1160" s="85" t="n">
        <x:v>35374.30731506865</x:v>
      </x:c>
      <x:c r="L1160" s="28" t="n">
        <x:v>41</x:v>
      </x:c>
      <x:c r="M1160" s="28" t="n">
        <x:v>36</x:v>
      </x:c>
      <x:c r="N1160" s="28" t="n">
        <x:v>2.3283064365386963e-10</x:v>
      </x:c>
      <x:c r="O1160" s="28" t="n">
        <x:v>3.725290298461914e-9</x:v>
      </x:c>
      <x:c r="P1160" s="28" t="n">
        <x:v>0</x:v>
      </x:c>
      <x:c r="Q1160" s="62" t="b">
        <x:v>1</x:v>
      </x:c>
      <x:c r="R1160" s="28" t="n">
        <x:v>1100080.4604328498</x:v>
      </x:c>
      <x:c r="S1160" s="28" t="str">
        <x:v>8acfbba815d54e91</x:v>
      </x:c>
    </x:row>
    <x:row r="1161" ht="21" customHeight="1">
      <x:c r="A1161" s="60" t="n">
        <x:v>0.64</x:v>
      </x:c>
      <x:c r="B1161" s="28" t="str">
        <x:v>back_flat</x:v>
      </x:c>
      <x:c r="C1161" s="60" t="n">
        <x:v>0.95</x:v>
      </x:c>
      <x:c r="D1161" s="60" t="n">
        <x:v>0.8954794051096439</x:v>
      </x:c>
      <x:c r="E1161" s="62" t="b">
        <x:v>0</x:v>
      </x:c>
      <x:c r="F1161" s="62" t="b">
        <x:v>0</x:v>
      </x:c>
      <x:c r="G1161" s="85" t="n">
        <x:v>2922596.476445221</x:v>
      </x:c>
      <x:c r="H1161" s="85" t="n">
        <x:v>11017363.237406038</x:v>
      </x:c>
      <x:c r="I1161" s="85" t="n">
        <x:v>13091785.405887228</x:v>
      </x:c>
      <x:c r="J1161" s="85" t="n">
        <x:v>14493440</x:v>
      </x:c>
      <x:c r="K1161" s="85" t="n">
        <x:v>31799.856753424618</x:v>
      </x:c>
      <x:c r="L1161" s="28" t="n">
        <x:v>42</x:v>
      </x:c>
      <x:c r="M1161" s="28" t="n">
        <x:v>37</x:v>
      </x:c>
      <x:c r="N1161" s="28" t="n">
        <x:v>4.656612873077393e-10</x:v>
      </x:c>
      <x:c r="O1161" s="28" t="n">
        <x:v>3.725290298461914e-9</x:v>
      </x:c>
      <x:c r="P1161" s="28" t="n">
        <x:v>0</x:v>
      </x:c>
      <x:c r="Q1161" s="62" t="b">
        <x:v>1</x:v>
      </x:c>
      <x:c r="R1161" s="28" t="n">
        <x:v>3039196.041568011</x:v>
      </x:c>
      <x:c r="S1161" s="28" t="str">
        <x:v>70c4905e822b3151</x:v>
      </x:c>
    </x:row>
    <x:row r="1162" ht="21" customHeight="1">
      <x:c r="A1162" s="60" t="n">
        <x:v>0.64</x:v>
      </x:c>
      <x:c r="B1162" s="28" t="str">
        <x:v>back_flat</x:v>
      </x:c>
      <x:c r="C1162" s="60" t="n">
        <x:v>1</x:v>
      </x:c>
      <x:c r="D1162" s="60" t="n">
        <x:v>0.9093341115290656</x:v>
      </x:c>
      <x:c r="E1162" s="62" t="b">
        <x:v>0</x:v>
      </x:c>
      <x:c r="F1162" s="62" t="b">
        <x:v>0</x:v>
      </x:c>
      <x:c r="G1162" s="85" t="n">
        <x:v>3200802.3836102146</x:v>
      </x:c>
      <x:c r="H1162" s="85" t="n">
        <x:v>11630359.475348707</x:v>
      </x:c>
      <x:c r="I1162" s="85" t="n">
        <x:v>13114419.859197803</x:v>
      </x:c>
      <x:c r="J1162" s="85" t="n">
        <x:v>14493440</x:v>
      </x:c>
      <x:c r="K1162" s="85" t="n">
        <x:v>28225.406191780705</x:v>
      </x:c>
      <x:c r="L1162" s="28" t="n">
        <x:v>42</x:v>
      </x:c>
      <x:c r="M1162" s="28" t="n">
        <x:v>38</x:v>
      </x:c>
      <x:c r="N1162" s="28" t="n">
        <x:v>2.3283064365386963e-10</x:v>
      </x:c>
      <x:c r="O1162" s="28" t="n">
        <x:v>3.725290298461914e-9</x:v>
      </x:c>
      <x:c r="P1162" s="28" t="n">
        <x:v>0</x:v>
      </x:c>
      <x:c r="Q1162" s="62" t="b">
        <x:v>1</x:v>
      </x:c>
      <x:c r="R1162" s="28" t="n">
        <x:v>5054079.286923766</x:v>
      </x:c>
      <x:c r="S1162" s="28" t="str">
        <x:v>3f9fc9baaf90a773</x:v>
      </x:c>
    </x:row>
    <x:row r="1163" ht="21" customHeight="1">
      <x:c r="A1163" s="60" t="n">
        <x:v>0.64</x:v>
      </x:c>
      <x:c r="B1163" s="28" t="str">
        <x:v>back_low</x:v>
      </x:c>
      <x:c r="C1163" s="60" t="n">
        <x:v>0</x:v>
      </x:c>
      <x:c r="D1163" s="60" t="n">
        <x:v>0</x:v>
      </x:c>
      <x:c r="E1163" s="62" t="b">
        <x:v>1</x:v>
      </x:c>
      <x:c r="F1163" s="62" t="b">
        <x:v>1</x:v>
      </x:c>
      <x:c r="G1163" s="85" t="n">
        <x:v>0</x:v>
      </x:c>
      <x:c r="H1163" s="85" t="n">
        <x:v>0</x:v>
      </x:c>
      <x:c r="I1163" s="85" t="n">
        <x:v>0</x:v>
      </x:c>
      <x:c r="J1163" s="85" t="n">
        <x:v>0</x:v>
      </x:c>
      <x:c r="K1163" s="85" t="n">
        <x:v>5297676.453479452</x:v>
      </x:c>
      <x:c r="L1163" s="28" t="n">
        <x:v>0</x:v>
      </x:c>
      <x:c r="M1163" s="28" t="n">
        <x:v>0</x:v>
      </x:c>
      <x:c r="N1163" s="28" t="n">
        <x:v>4.656612873077393e-10</x:v>
      </x:c>
      <x:c r="O1163" s="28" t="n">
        <x:v>0</x:v>
      </x:c>
      <x:c r="P1163" s="28" t="n">
        <x:v>0</x:v>
      </x:c>
      <x:c r="Q1163" s="62" t="b">
        <x:v>1</x:v>
      </x:c>
      <x:c r="R1163" s="28" t="n">
        <x:v>0</x:v>
      </x:c>
      <x:c r="S1163" s="28" t="str">
        <x:v>05d0da7e84c021c4</x:v>
      </x:c>
    </x:row>
    <x:row r="1164" ht="21" customHeight="1">
      <x:c r="A1164" s="60" t="n">
        <x:v>0.64</x:v>
      </x:c>
      <x:c r="B1164" s="28" t="str">
        <x:v>back_low</x:v>
      </x:c>
      <x:c r="C1164" s="60" t="n">
        <x:v>0.05</x:v>
      </x:c>
      <x:c r="D1164" s="60" t="n">
        <x:v>0.05</x:v>
      </x:c>
      <x:c r="E1164" s="62" t="b">
        <x:v>1</x:v>
      </x:c>
      <x:c r="F1164" s="62" t="b">
        <x:v>1</x:v>
      </x:c>
      <x:c r="G1164" s="85" t="n">
        <x:v>0</x:v>
      </x:c>
      <x:c r="H1164" s="85" t="n">
        <x:v>0</x:v>
      </x:c>
      <x:c r="I1164" s="85" t="n">
        <x:v>0</x:v>
      </x:c>
      <x:c r="J1164" s="85" t="n">
        <x:v>0</x:v>
      </x:c>
      <x:c r="K1164" s="85" t="n">
        <x:v>3309107.8815859277</x:v>
      </x:c>
      <x:c r="L1164" s="28" t="n">
        <x:v>0</x:v>
      </x:c>
      <x:c r="M1164" s="28" t="n">
        <x:v>0</x:v>
      </x:c>
      <x:c r="N1164" s="28" t="n">
        <x:v>9.313225746154785e-10</x:v>
      </x:c>
      <x:c r="O1164" s="28" t="n">
        <x:v>7.450580596923828e-9</x:v>
      </x:c>
      <x:c r="P1164" s="28" t="n">
        <x:v>0</x:v>
      </x:c>
      <x:c r="Q1164" s="62" t="b">
        <x:v>1</x:v>
      </x:c>
      <x:c r="R1164" s="28" t="n">
        <x:v>0</x:v>
      </x:c>
      <x:c r="S1164" s="28" t="str">
        <x:v>0ba3f33e058e86e4</x:v>
      </x:c>
    </x:row>
    <x:row r="1165" ht="21" customHeight="1">
      <x:c r="A1165" s="60" t="n">
        <x:v>0.64</x:v>
      </x:c>
      <x:c r="B1165" s="28" t="str">
        <x:v>back_low</x:v>
      </x:c>
      <x:c r="C1165" s="60" t="n">
        <x:v>0.1</x:v>
      </x:c>
      <x:c r="D1165" s="60" t="n">
        <x:v>0.1</x:v>
      </x:c>
      <x:c r="E1165" s="62" t="b">
        <x:v>1</x:v>
      </x:c>
      <x:c r="F1165" s="62" t="b">
        <x:v>1</x:v>
      </x:c>
      <x:c r="G1165" s="85" t="n">
        <x:v>0</x:v>
      </x:c>
      <x:c r="H1165" s="85" t="n">
        <x:v>0</x:v>
      </x:c>
      <x:c r="I1165" s="85" t="n">
        <x:v>0</x:v>
      </x:c>
      <x:c r="J1165" s="85" t="n">
        <x:v>0</x:v>
      </x:c>
      <x:c r="K1165" s="85" t="n">
        <x:v>1322091.6766898124</x:v>
      </x:c>
      <x:c r="L1165" s="28" t="n">
        <x:v>0</x:v>
      </x:c>
      <x:c r="M1165" s="28" t="n">
        <x:v>0</x:v>
      </x:c>
      <x:c r="N1165" s="28" t="n">
        <x:v>4.656612873077393e-10</x:v>
      </x:c>
      <x:c r="O1165" s="28" t="n">
        <x:v>7.450580596923828e-9</x:v>
      </x:c>
      <x:c r="P1165" s="28" t="n">
        <x:v>0</x:v>
      </x:c>
      <x:c r="Q1165" s="62" t="b">
        <x:v>1</x:v>
      </x:c>
      <x:c r="R1165" s="28" t="n">
        <x:v>0</x:v>
      </x:c>
      <x:c r="S1165" s="28" t="str">
        <x:v>6155d9f19f48b5f5</x:v>
      </x:c>
    </x:row>
    <x:row r="1166" ht="21" customHeight="1">
      <x:c r="A1166" s="60" t="n">
        <x:v>0.64</x:v>
      </x:c>
      <x:c r="B1166" s="28" t="str">
        <x:v>back_low</x:v>
      </x:c>
      <x:c r="C1166" s="60" t="n">
        <x:v>0.15</x:v>
      </x:c>
      <x:c r="D1166" s="60" t="n">
        <x:v>0.15</x:v>
      </x:c>
      <x:c r="E1166" s="62" t="b">
        <x:v>1</x:v>
      </x:c>
      <x:c r="F1166" s="62" t="b">
        <x:v>1</x:v>
      </x:c>
      <x:c r="G1166" s="85" t="n">
        <x:v>0</x:v>
      </x:c>
      <x:c r="H1166" s="85" t="n">
        <x:v>0</x:v>
      </x:c>
      <x:c r="I1166" s="85" t="n">
        <x:v>580300.6212785654</x:v>
      </x:c>
      <x:c r="J1166" s="85" t="n">
        <x:v>0</x:v>
      </x:c>
      <x:c r="K1166" s="85" t="n">
        <x:v>79403.30556231482</x:v>
      </x:c>
      <x:c r="L1166" s="28" t="n">
        <x:v>0</x:v>
      </x:c>
      <x:c r="M1166" s="28" t="n">
        <x:v>0</x:v>
      </x:c>
      <x:c r="N1166" s="28" t="n">
        <x:v>9.313225746154785e-10</x:v>
      </x:c>
      <x:c r="O1166" s="28" t="n">
        <x:v>7.450580596923828e-9</x:v>
      </x:c>
      <x:c r="P1166" s="28" t="n">
        <x:v>0</x:v>
      </x:c>
      <x:c r="Q1166" s="62" t="b">
        <x:v>1</x:v>
      </x:c>
      <x:c r="R1166" s="28" t="n">
        <x:v>0</x:v>
      </x:c>
      <x:c r="S1166" s="28" t="str">
        <x:v>0b2e42f39ce9f6d6</x:v>
      </x:c>
    </x:row>
    <x:row r="1167" ht="21" customHeight="1">
      <x:c r="A1167" s="60" t="n">
        <x:v>0.64</x:v>
      </x:c>
      <x:c r="B1167" s="28" t="str">
        <x:v>back_low</x:v>
      </x:c>
      <x:c r="C1167" s="60" t="n">
        <x:v>0.2</x:v>
      </x:c>
      <x:c r="D1167" s="60" t="n">
        <x:v>0.2</x:v>
      </x:c>
      <x:c r="E1167" s="62" t="b">
        <x:v>1</x:v>
      </x:c>
      <x:c r="F1167" s="62" t="b">
        <x:v>1</x:v>
      </x:c>
      <x:c r="G1167" s="85" t="n">
        <x:v>0</x:v>
      </x:c>
      <x:c r="H1167" s="85" t="n">
        <x:v>0</x:v>
      </x:c>
      <x:c r="I1167" s="85" t="n">
        <x:v>1694842.4688252208</x:v>
      </x:c>
      <x:c r="J1167" s="85" t="n">
        <x:v>1245718.905732936</x:v>
      </x:c>
      <x:c r="K1167" s="85" t="n">
        <x:v>58790.08424673953</x:v>
      </x:c>
      <x:c r="L1167" s="28" t="n">
        <x:v>0</x:v>
      </x:c>
      <x:c r="M1167" s="28" t="n">
        <x:v>0</x:v>
      </x:c>
      <x:c r="N1167" s="28" t="n">
        <x:v>2.3283064365386963e-10</x:v>
      </x:c>
      <x:c r="O1167" s="28" t="n">
        <x:v>7.450580596923828e-9</x:v>
      </x:c>
      <x:c r="P1167" s="28" t="n">
        <x:v>0</x:v>
      </x:c>
      <x:c r="Q1167" s="62" t="b">
        <x:v>1</x:v>
      </x:c>
      <x:c r="R1167" s="28" t="n">
        <x:v>0</x:v>
      </x:c>
      <x:c r="S1167" s="28" t="str">
        <x:v>db730a6568ab428a</x:v>
      </x:c>
    </x:row>
    <x:row r="1168" ht="21" customHeight="1">
      <x:c r="A1168" s="60" t="n">
        <x:v>0.64</x:v>
      </x:c>
      <x:c r="B1168" s="28" t="str">
        <x:v>back_low</x:v>
      </x:c>
      <x:c r="C1168" s="60" t="n">
        <x:v>0.25</x:v>
      </x:c>
      <x:c r="D1168" s="60" t="n">
        <x:v>0.25</x:v>
      </x:c>
      <x:c r="E1168" s="62" t="b">
        <x:v>1</x:v>
      </x:c>
      <x:c r="F1168" s="62" t="b">
        <x:v>1</x:v>
      </x:c>
      <x:c r="G1168" s="85" t="n">
        <x:v>0</x:v>
      </x:c>
      <x:c r="H1168" s="85" t="n">
        <x:v>0</x:v>
      </x:c>
      <x:c r="I1168" s="85" t="n">
        <x:v>2452725.008446844</x:v>
      </x:c>
      <x:c r="J1168" s="85" t="n">
        <x:v>2950748.632166205</x:v>
      </x:c>
      <x:c r="K1168" s="85" t="n">
        <x:v>44689.75595890391</x:v>
      </x:c>
      <x:c r="L1168" s="28" t="n">
        <x:v>0</x:v>
      </x:c>
      <x:c r="M1168" s="28" t="n">
        <x:v>0</x:v>
      </x:c>
      <x:c r="N1168" s="28" t="n">
        <x:v>4.656612873077393e-10</x:v>
      </x:c>
      <x:c r="O1168" s="28" t="n">
        <x:v>7.450580596923828e-9</x:v>
      </x:c>
      <x:c r="P1168" s="28" t="n">
        <x:v>0</x:v>
      </x:c>
      <x:c r="Q1168" s="62" t="b">
        <x:v>1</x:v>
      </x:c>
      <x:c r="R1168" s="28" t="n">
        <x:v>0</x:v>
      </x:c>
      <x:c r="S1168" s="28" t="str">
        <x:v>f9ba1210cc7b2441</x:v>
      </x:c>
    </x:row>
    <x:row r="1169" ht="21" customHeight="1">
      <x:c r="A1169" s="60" t="n">
        <x:v>0.64</x:v>
      </x:c>
      <x:c r="B1169" s="28" t="str">
        <x:v>back_low</x:v>
      </x:c>
      <x:c r="C1169" s="60" t="n">
        <x:v>0.3</x:v>
      </x:c>
      <x:c r="D1169" s="60" t="n">
        <x:v>0.3</x:v>
      </x:c>
      <x:c r="E1169" s="62" t="b">
        <x:v>1</x:v>
      </x:c>
      <x:c r="F1169" s="62" t="b">
        <x:v>1</x:v>
      </x:c>
      <x:c r="G1169" s="85" t="n">
        <x:v>0</x:v>
      </x:c>
      <x:c r="H1169" s="85" t="n">
        <x:v>0</x:v>
      </x:c>
      <x:c r="I1169" s="85" t="n">
        <x:v>3219382.1912649674</x:v>
      </x:c>
      <x:c r="J1169" s="85" t="n">
        <x:v>4655778.358599421</x:v>
      </x:c>
      <x:c r="K1169" s="85" t="n">
        <x:v>38133.39515068469</x:v>
      </x:c>
      <x:c r="L1169" s="28" t="n">
        <x:v>0</x:v>
      </x:c>
      <x:c r="M1169" s="28" t="n">
        <x:v>0</x:v>
      </x:c>
      <x:c r="N1169" s="28" t="n">
        <x:v>4.656612873077393e-10</x:v>
      </x:c>
      <x:c r="O1169" s="28" t="n">
        <x:v>7.450580596923828e-9</x:v>
      </x:c>
      <x:c r="P1169" s="28" t="n">
        <x:v>0</x:v>
      </x:c>
      <x:c r="Q1169" s="62" t="b">
        <x:v>1</x:v>
      </x:c>
      <x:c r="R1169" s="28" t="n">
        <x:v>0</x:v>
      </x:c>
      <x:c r="S1169" s="28" t="str">
        <x:v>46afc0f086d98905</x:v>
      </x:c>
    </x:row>
    <x:row r="1170" ht="21" customHeight="1">
      <x:c r="A1170" s="60" t="n">
        <x:v>0.64</x:v>
      </x:c>
      <x:c r="B1170" s="28" t="str">
        <x:v>back_low</x:v>
      </x:c>
      <x:c r="C1170" s="60" t="n">
        <x:v>0.35</x:v>
      </x:c>
      <x:c r="D1170" s="60" t="n">
        <x:v>0.35</x:v>
      </x:c>
      <x:c r="E1170" s="62" t="b">
        <x:v>1</x:v>
      </x:c>
      <x:c r="F1170" s="62" t="b">
        <x:v>1</x:v>
      </x:c>
      <x:c r="G1170" s="85" t="n">
        <x:v>0</x:v>
      </x:c>
      <x:c r="H1170" s="85" t="n">
        <x:v>0</x:v>
      </x:c>
      <x:c r="I1170" s="85" t="n">
        <x:v>3981924.6337151714</x:v>
      </x:c>
      <x:c r="J1170" s="85" t="n">
        <x:v>6360808.085032671</x:v>
      </x:c>
      <x:c r="K1170" s="85" t="n">
        <x:v>31577.03434246548</x:v>
      </x:c>
      <x:c r="L1170" s="28" t="n">
        <x:v>0</x:v>
      </x:c>
      <x:c r="M1170" s="28" t="n">
        <x:v>0</x:v>
      </x:c>
      <x:c r="N1170" s="28" t="n">
        <x:v>9.313225746154785e-10</x:v>
      </x:c>
      <x:c r="O1170" s="28" t="n">
        <x:v>3.725290298461914e-9</x:v>
      </x:c>
      <x:c r="P1170" s="28" t="n">
        <x:v>0</x:v>
      </x:c>
      <x:c r="Q1170" s="62" t="b">
        <x:v>1</x:v>
      </x:c>
      <x:c r="R1170" s="28" t="n">
        <x:v>0</x:v>
      </x:c>
      <x:c r="S1170" s="28" t="str">
        <x:v>88e3df479f110a66</x:v>
      </x:c>
    </x:row>
    <x:row r="1171" ht="21" customHeight="1">
      <x:c r="A1171" s="60" t="n">
        <x:v>0.64</x:v>
      </x:c>
      <x:c r="B1171" s="28" t="str">
        <x:v>back_low</x:v>
      </x:c>
      <x:c r="C1171" s="60" t="n">
        <x:v>0.4</x:v>
      </x:c>
      <x:c r="D1171" s="60" t="n">
        <x:v>0.4</x:v>
      </x:c>
      <x:c r="E1171" s="62" t="b">
        <x:v>1</x:v>
      </x:c>
      <x:c r="F1171" s="62" t="b">
        <x:v>1</x:v>
      </x:c>
      <x:c r="G1171" s="85" t="n">
        <x:v>0</x:v>
      </x:c>
      <x:c r="H1171" s="85" t="n">
        <x:v>0</x:v>
      </x:c>
      <x:c r="I1171" s="85" t="n">
        <x:v>4749613.443891152</x:v>
      </x:c>
      <x:c r="J1171" s="85" t="n">
        <x:v>8065837.811465903</x:v>
      </x:c>
      <x:c r="K1171" s="85" t="n">
        <x:v>25020.673534246507</x:v>
      </x:c>
      <x:c r="L1171" s="28" t="n">
        <x:v>0</x:v>
      </x:c>
      <x:c r="M1171" s="28" t="n">
        <x:v>0</x:v>
      </x:c>
      <x:c r="N1171" s="28" t="n">
        <x:v>9.313225746154785e-10</x:v>
      </x:c>
      <x:c r="O1171" s="28" t="n">
        <x:v>7.450580596923828e-9</x:v>
      </x:c>
      <x:c r="P1171" s="28" t="n">
        <x:v>0</x:v>
      </x:c>
      <x:c r="Q1171" s="62" t="b">
        <x:v>1</x:v>
      </x:c>
      <x:c r="R1171" s="28" t="n">
        <x:v>0</x:v>
      </x:c>
      <x:c r="S1171" s="28" t="str">
        <x:v>f4c4bfb782a7ab0b</x:v>
      </x:c>
    </x:row>
    <x:row r="1172" ht="21" customHeight="1">
      <x:c r="A1172" s="60" t="n">
        <x:v>0.64</x:v>
      </x:c>
      <x:c r="B1172" s="28" t="str">
        <x:v>back_low</x:v>
      </x:c>
      <x:c r="C1172" s="60" t="n">
        <x:v>0.45</x:v>
      </x:c>
      <x:c r="D1172" s="60" t="n">
        <x:v>0.45</x:v>
      </x:c>
      <x:c r="E1172" s="62" t="b">
        <x:v>1</x:v>
      </x:c>
      <x:c r="F1172" s="62" t="b">
        <x:v>1</x:v>
      </x:c>
      <x:c r="G1172" s="85" t="n">
        <x:v>0</x:v>
      </x:c>
      <x:c r="H1172" s="85" t="n">
        <x:v>0</x:v>
      </x:c>
      <x:c r="I1172" s="85" t="n">
        <x:v>5768815.40898456</x:v>
      </x:c>
      <x:c r="J1172" s="85" t="n">
        <x:v>9372486.860784918</x:v>
      </x:c>
      <x:c r="K1172" s="85" t="n">
        <x:v>20108.8971643836</x:v>
      </x:c>
      <x:c r="L1172" s="28" t="n">
        <x:v>5</x:v>
      </x:c>
      <x:c r="M1172" s="28" t="n">
        <x:v>0</x:v>
      </x:c>
      <x:c r="N1172" s="28" t="n">
        <x:v>9.313225746154785e-10</x:v>
      </x:c>
      <x:c r="O1172" s="28" t="n">
        <x:v>7.450580596923828e-9</x:v>
      </x:c>
      <x:c r="P1172" s="28" t="n">
        <x:v>0</x:v>
      </x:c>
      <x:c r="Q1172" s="62" t="b">
        <x:v>1</x:v>
      </x:c>
      <x:c r="R1172" s="28" t="n">
        <x:v>0</x:v>
      </x:c>
      <x:c r="S1172" s="28" t="str">
        <x:v>36e68f2faa3eafa5</x:v>
      </x:c>
    </x:row>
    <x:row r="1173" ht="21" customHeight="1">
      <x:c r="A1173" s="60" t="n">
        <x:v>0.64</x:v>
      </x:c>
      <x:c r="B1173" s="28" t="str">
        <x:v>back_low</x:v>
      </x:c>
      <x:c r="C1173" s="60" t="n">
        <x:v>0.5</x:v>
      </x:c>
      <x:c r="D1173" s="60" t="n">
        <x:v>0.5</x:v>
      </x:c>
      <x:c r="E1173" s="62" t="b">
        <x:v>1</x:v>
      </x:c>
      <x:c r="F1173" s="62" t="b">
        <x:v>1</x:v>
      </x:c>
      <x:c r="G1173" s="85" t="n">
        <x:v>0</x:v>
      </x:c>
      <x:c r="H1173" s="85" t="n">
        <x:v>0</x:v>
      </x:c>
      <x:c r="I1173" s="85" t="n">
        <x:v>6679709.706201812</x:v>
      </x:c>
      <x:c r="J1173" s="85" t="n">
        <x:v>10828833.646848243</x:v>
      </x:c>
      <x:c r="K1173" s="85" t="n">
        <x:v>18074.618657534073</x:v>
      </x:c>
      <x:c r="L1173" s="28" t="n">
        <x:v>9</x:v>
      </x:c>
      <x:c r="M1173" s="28" t="n">
        <x:v>0</x:v>
      </x:c>
      <x:c r="N1173" s="28" t="n">
        <x:v>9.313225746154785e-10</x:v>
      </x:c>
      <x:c r="O1173" s="28" t="n">
        <x:v>1.862645149230957e-9</x:v>
      </x:c>
      <x:c r="P1173" s="28" t="n">
        <x:v>0</x:v>
      </x:c>
      <x:c r="Q1173" s="62" t="b">
        <x:v>1</x:v>
      </x:c>
      <x:c r="R1173" s="28" t="n">
        <x:v>0</x:v>
      </x:c>
      <x:c r="S1173" s="28" t="str">
        <x:v>cec5f82bd476394b</x:v>
      </x:c>
    </x:row>
    <x:row r="1174" ht="21" customHeight="1">
      <x:c r="A1174" s="60" t="n">
        <x:v>0.64</x:v>
      </x:c>
      <x:c r="B1174" s="28" t="str">
        <x:v>back_low</x:v>
      </x:c>
      <x:c r="C1174" s="60" t="n">
        <x:v>0.55</x:v>
      </x:c>
      <x:c r="D1174" s="60" t="n">
        <x:v>0.55</x:v>
      </x:c>
      <x:c r="E1174" s="62" t="b">
        <x:v>1</x:v>
      </x:c>
      <x:c r="F1174" s="62" t="b">
        <x:v>1</x:v>
      </x:c>
      <x:c r="G1174" s="85" t="n">
        <x:v>0</x:v>
      </x:c>
      <x:c r="H1174" s="85" t="n">
        <x:v>0</x:v>
      </x:c>
      <x:c r="I1174" s="85" t="n">
        <x:v>7544917.751575903</x:v>
      </x:c>
      <x:c r="J1174" s="85" t="n">
        <x:v>12353349.701849451</x:v>
      </x:c>
      <x:c r="K1174" s="85" t="n">
        <x:v>16040.340150684893</x:v>
      </x:c>
      <x:c r="L1174" s="28" t="n">
        <x:v>12</x:v>
      </x:c>
      <x:c r="M1174" s="28" t="n">
        <x:v>0</x:v>
      </x:c>
      <x:c r="N1174" s="28" t="n">
        <x:v>4.656612873077393e-10</x:v>
      </x:c>
      <x:c r="O1174" s="28" t="n">
        <x:v>7.450580596923828e-9</x:v>
      </x:c>
      <x:c r="P1174" s="28" t="n">
        <x:v>0</x:v>
      </x:c>
      <x:c r="Q1174" s="62" t="b">
        <x:v>1</x:v>
      </x:c>
      <x:c r="R1174" s="28" t="n">
        <x:v>0</x:v>
      </x:c>
      <x:c r="S1174" s="28" t="str">
        <x:v>c1059da2efeada72</x:v>
      </x:c>
    </x:row>
    <x:row r="1175" ht="21" customHeight="1">
      <x:c r="A1175" s="60" t="n">
        <x:v>0.64</x:v>
      </x:c>
      <x:c r="B1175" s="28" t="str">
        <x:v>back_low</x:v>
      </x:c>
      <x:c r="C1175" s="60" t="n">
        <x:v>0.6</x:v>
      </x:c>
      <x:c r="D1175" s="60" t="n">
        <x:v>0.6</x:v>
      </x:c>
      <x:c r="E1175" s="62" t="b">
        <x:v>1</x:v>
      </x:c>
      <x:c r="F1175" s="62" t="b">
        <x:v>1</x:v>
      </x:c>
      <x:c r="G1175" s="85" t="n">
        <x:v>0</x:v>
      </x:c>
      <x:c r="H1175" s="85" t="n">
        <x:v>0</x:v>
      </x:c>
      <x:c r="I1175" s="85" t="n">
        <x:v>8323583.642587969</x:v>
      </x:c>
      <x:c r="J1175" s="85" t="n">
        <x:v>14009597.08113918</x:v>
      </x:c>
      <x:c r="K1175" s="85" t="n">
        <x:v>14006.061643835365</x:v>
      </x:c>
      <x:c r="L1175" s="28" t="n">
        <x:v>18</x:v>
      </x:c>
      <x:c r="M1175" s="28" t="n">
        <x:v>2</x:v>
      </x:c>
      <x:c r="N1175" s="28" t="n">
        <x:v>4.656612873077393e-10</x:v>
      </x:c>
      <x:c r="O1175" s="28" t="n">
        <x:v>7.450580596923828e-9</x:v>
      </x:c>
      <x:c r="P1175" s="28" t="n">
        <x:v>0</x:v>
      </x:c>
      <x:c r="Q1175" s="62" t="b">
        <x:v>1</x:v>
      </x:c>
      <x:c r="R1175" s="28" t="n">
        <x:v>0</x:v>
      </x:c>
      <x:c r="S1175" s="28" t="str">
        <x:v>9683b5d3b13bfd35</x:v>
      </x:c>
    </x:row>
    <x:row r="1176" ht="21" customHeight="1">
      <x:c r="A1176" s="60" t="n">
        <x:v>0.64</x:v>
      </x:c>
      <x:c r="B1176" s="28" t="str">
        <x:v>back_low</x:v>
      </x:c>
      <x:c r="C1176" s="60" t="n">
        <x:v>0.65</x:v>
      </x:c>
      <x:c r="D1176" s="60" t="n">
        <x:v>0.65</x:v>
      </x:c>
      <x:c r="E1176" s="62" t="b">
        <x:v>1</x:v>
      </x:c>
      <x:c r="F1176" s="62" t="b">
        <x:v>0</x:v>
      </x:c>
      <x:c r="G1176" s="85" t="n">
        <x:v>119141.9674388828</x:v>
      </x:c>
      <x:c r="H1176" s="85" t="n">
        <x:v>1485227.7522781044</x:v>
      </x:c>
      <x:c r="I1176" s="85" t="n">
        <x:v>8486092.36521843</x:v>
      </x:c>
      <x:c r="J1176" s="85" t="n">
        <x:v>14493440</x:v>
      </x:c>
      <x:c r="K1176" s="85" t="n">
        <x:v>11971.783136986305</x:v>
      </x:c>
      <x:c r="L1176" s="28" t="n">
        <x:v>38</x:v>
      </x:c>
      <x:c r="M1176" s="28" t="n">
        <x:v>30</x:v>
      </x:c>
      <x:c r="N1176" s="28" t="n">
        <x:v>4.656612873077393e-10</x:v>
      </x:c>
      <x:c r="O1176" s="28" t="n">
        <x:v>7.450580596923828e-9</x:v>
      </x:c>
      <x:c r="P1176" s="28" t="n">
        <x:v>0</x:v>
      </x:c>
      <x:c r="Q1176" s="62" t="b">
        <x:v>1</x:v>
      </x:c>
      <x:c r="R1176" s="28" t="n">
        <x:v>0</x:v>
      </x:c>
      <x:c r="S1176" s="28" t="str">
        <x:v>6c911ae97950501d</x:v>
      </x:c>
    </x:row>
    <x:row r="1177" ht="21" customHeight="1">
      <x:c r="A1177" s="60" t="n">
        <x:v>0.64</x:v>
      </x:c>
      <x:c r="B1177" s="28" t="str">
        <x:v>back_low</x:v>
      </x:c>
      <x:c r="C1177" s="60" t="n">
        <x:v>0.7</x:v>
      </x:c>
      <x:c r="D1177" s="60" t="n">
        <x:v>0.7</x:v>
      </x:c>
      <x:c r="E1177" s="62" t="b">
        <x:v>1</x:v>
      </x:c>
      <x:c r="F1177" s="62" t="b">
        <x:v>0</x:v>
      </x:c>
      <x:c r="G1177" s="85" t="n">
        <x:v>265960.7614030302</x:v>
      </x:c>
      <x:c r="H1177" s="85" t="n">
        <x:v>3310791.8719721725</x:v>
      </x:c>
      <x:c r="I1177" s="85" t="n">
        <x:v>8667545.483535865</x:v>
      </x:c>
      <x:c r="J1177" s="85" t="n">
        <x:v>14493440</x:v>
      </x:c>
      <x:c r="K1177" s="85" t="n">
        <x:v>9937.504630136893</x:v>
      </x:c>
      <x:c r="L1177" s="28" t="n">
        <x:v>39</x:v>
      </x:c>
      <x:c r="M1177" s="28" t="n">
        <x:v>31</x:v>
      </x:c>
      <x:c r="N1177" s="28" t="n">
        <x:v>4.656612873077393e-10</x:v>
      </x:c>
      <x:c r="O1177" s="28" t="n">
        <x:v>3.725290298461914e-9</x:v>
      </x:c>
      <x:c r="P1177" s="28" t="n">
        <x:v>0</x:v>
      </x:c>
      <x:c r="Q1177" s="62" t="b">
        <x:v>1</x:v>
      </x:c>
      <x:c r="R1177" s="28" t="n">
        <x:v>0</x:v>
      </x:c>
      <x:c r="S1177" s="28" t="str">
        <x:v>ea7f7fbb32afe953</x:v>
      </x:c>
    </x:row>
    <x:row r="1178" ht="21" customHeight="1">
      <x:c r="A1178" s="60" t="n">
        <x:v>0.64</x:v>
      </x:c>
      <x:c r="B1178" s="28" t="str">
        <x:v>back_low</x:v>
      </x:c>
      <x:c r="C1178" s="60" t="n">
        <x:v>0.75</x:v>
      </x:c>
      <x:c r="D1178" s="60" t="n">
        <x:v>0.75</x:v>
      </x:c>
      <x:c r="E1178" s="62" t="b">
        <x:v>1</x:v>
      </x:c>
      <x:c r="F1178" s="62" t="b">
        <x:v>0</x:v>
      </x:c>
      <x:c r="G1178" s="85" t="n">
        <x:v>420475.1031689545</x:v>
      </x:c>
      <x:c r="H1178" s="85" t="n">
        <x:v>5148715.844879841</x:v>
      </x:c>
      <x:c r="I1178" s="85" t="n">
        <x:v>8831521.163407605</x:v>
      </x:c>
      <x:c r="J1178" s="85" t="n">
        <x:v>14493440</x:v>
      </x:c>
      <x:c r="K1178" s="85" t="n">
        <x:v>7903.226123287481</x:v>
      </x:c>
      <x:c r="L1178" s="28" t="n">
        <x:v>40</x:v>
      </x:c>
      <x:c r="M1178" s="28" t="n">
        <x:v>32</x:v>
      </x:c>
      <x:c r="N1178" s="28" t="n">
        <x:v>4.656612873077393e-10</x:v>
      </x:c>
      <x:c r="O1178" s="28" t="n">
        <x:v>7.450580596923828e-9</x:v>
      </x:c>
      <x:c r="P1178" s="28" t="n">
        <x:v>0</x:v>
      </x:c>
      <x:c r="Q1178" s="62" t="b">
        <x:v>1</x:v>
      </x:c>
      <x:c r="R1178" s="28" t="n">
        <x:v>0</x:v>
      </x:c>
      <x:c r="S1178" s="28" t="str">
        <x:v>7aae8c0688ba8971</x:v>
      </x:c>
    </x:row>
    <x:row r="1179" ht="21" customHeight="1">
      <x:c r="A1179" s="60" t="n">
        <x:v>0.64</x:v>
      </x:c>
      <x:c r="B1179" s="28" t="str">
        <x:v>back_low</x:v>
      </x:c>
      <x:c r="C1179" s="60" t="n">
        <x:v>0.8</x:v>
      </x:c>
      <x:c r="D1179" s="60" t="n">
        <x:v>0.8</x:v>
      </x:c>
      <x:c r="E1179" s="62" t="b">
        <x:v>1</x:v>
      </x:c>
      <x:c r="F1179" s="62" t="b">
        <x:v>0</x:v>
      </x:c>
      <x:c r="G1179" s="85" t="n">
        <x:v>604701.1972588925</x:v>
      </x:c>
      <x:c r="H1179" s="85" t="n">
        <x:v>7082399.014900134</x:v>
      </x:c>
      <x:c r="I1179" s="85" t="n">
        <x:v>8851002.56958181</x:v>
      </x:c>
      <x:c r="J1179" s="85" t="n">
        <x:v>14493440</x:v>
      </x:c>
      <x:c r="K1179" s="85" t="n">
        <x:v>5868.947616438476</x:v>
      </x:c>
      <x:c r="L1179" s="28" t="n">
        <x:v>40</x:v>
      </x:c>
      <x:c r="M1179" s="28" t="n">
        <x:v>32</x:v>
      </x:c>
      <x:c r="N1179" s="28" t="n">
        <x:v>4.656612873077393e-10</x:v>
      </x:c>
      <x:c r="O1179" s="28" t="n">
        <x:v>3.725290298461914e-9</x:v>
      </x:c>
      <x:c r="P1179" s="28" t="n">
        <x:v>0</x:v>
      </x:c>
      <x:c r="Q1179" s="62" t="b">
        <x:v>1</x:v>
      </x:c>
      <x:c r="R1179" s="28" t="n">
        <x:v>0</x:v>
      </x:c>
      <x:c r="S1179" s="28" t="str">
        <x:v>e4739363f260b751</x:v>
      </x:c>
    </x:row>
    <x:row r="1180" ht="21" customHeight="1">
      <x:c r="A1180" s="60" t="n">
        <x:v>0.64</x:v>
      </x:c>
      <x:c r="B1180" s="28" t="str">
        <x:v>back_low</x:v>
      </x:c>
      <x:c r="C1180" s="60" t="n">
        <x:v>0.85</x:v>
      </x:c>
      <x:c r="D1180" s="60" t="n">
        <x:v>0.85</x:v>
      </x:c>
      <x:c r="E1180" s="62" t="b">
        <x:v>1</x:v>
      </x:c>
      <x:c r="F1180" s="62" t="b">
        <x:v>0</x:v>
      </x:c>
      <x:c r="G1180" s="85" t="n">
        <x:v>827617.247708192</x:v>
      </x:c>
      <x:c r="H1180" s="85" t="n">
        <x:v>8757232.225437803</x:v>
      </x:c>
      <x:c r="I1180" s="85" t="n">
        <x:v>9031867.93786062</x:v>
      </x:c>
      <x:c r="J1180" s="85" t="n">
        <x:v>14493440</x:v>
      </x:c>
      <x:c r="K1180" s="85" t="n">
        <x:v>3834.6691095886563</x:v>
      </x:c>
      <x:c r="L1180" s="28" t="n">
        <x:v>41</x:v>
      </x:c>
      <x:c r="M1180" s="28" t="n">
        <x:v>33</x:v>
      </x:c>
      <x:c r="N1180" s="28" t="n">
        <x:v>4.656612873077393e-10</x:v>
      </x:c>
      <x:c r="O1180" s="28" t="n">
        <x:v>9.313225746154785e-10</x:v>
      </x:c>
      <x:c r="P1180" s="28" t="n">
        <x:v>0</x:v>
      </x:c>
      <x:c r="Q1180" s="62" t="b">
        <x:v>1</x:v>
      </x:c>
      <x:c r="R1180" s="28" t="n">
        <x:v>0</x:v>
      </x:c>
      <x:c r="S1180" s="28" t="str">
        <x:v>556702c6e820400b</x:v>
      </x:c>
    </x:row>
    <x:row r="1181" ht="21" customHeight="1">
      <x:c r="A1181" s="60" t="n">
        <x:v>0.64</x:v>
      </x:c>
      <x:c r="B1181" s="28" t="str">
        <x:v>back_low</x:v>
      </x:c>
      <x:c r="C1181" s="60" t="n">
        <x:v>0.9</x:v>
      </x:c>
      <x:c r="D1181" s="60" t="n">
        <x:v>0.880265491166173</x:v>
      </x:c>
      <x:c r="E1181" s="62" t="b">
        <x:v>0</x:v>
      </x:c>
      <x:c r="F1181" s="62" t="b">
        <x:v>0</x:v>
      </x:c>
      <x:c r="G1181" s="85" t="n">
        <x:v>1111703.6742815464</x:v>
      </x:c>
      <x:c r="H1181" s="85" t="n">
        <x:v>9747335.778249888</x:v>
      </x:c>
      <x:c r="I1181" s="85" t="n">
        <x:v>9048172.597644525</x:v>
      </x:c>
      <x:c r="J1181" s="85" t="n">
        <x:v>14493440</x:v>
      </x:c>
      <x:c r="K1181" s="85" t="n">
        <x:v>1800.3906027394187</x:v>
      </x:c>
      <x:c r="L1181" s="28" t="n">
        <x:v>41</x:v>
      </x:c>
      <x:c r="M1181" s="28" t="n">
        <x:v>34</x:v>
      </x:c>
      <x:c r="N1181" s="28" t="n">
        <x:v>4.656612873077393e-10</x:v>
      </x:c>
      <x:c r="O1181" s="28" t="n">
        <x:v>3.725290298461914e-9</x:v>
      </x:c>
      <x:c r="P1181" s="28" t="n">
        <x:v>0</x:v>
      </x:c>
      <x:c r="Q1181" s="62" t="b">
        <x:v>1</x:v>
      </x:c>
      <x:c r="R1181" s="28" t="n">
        <x:v>1100080.4604328498</x:v>
      </x:c>
      <x:c r="S1181" s="28" t="str">
        <x:v>de5725ce4eb3def0</x:v>
      </x:c>
    </x:row>
    <x:row r="1182" ht="21" customHeight="1">
      <x:c r="A1182" s="60" t="n">
        <x:v>0.64</x:v>
      </x:c>
      <x:c r="B1182" s="28" t="str">
        <x:v>back_low</x:v>
      </x:c>
      <x:c r="C1182" s="60" t="n">
        <x:v>0.95</x:v>
      </x:c>
      <x:c r="D1182" s="60" t="n">
        <x:v>0.8954794051096439</x:v>
      </x:c>
      <x:c r="E1182" s="62" t="b">
        <x:v>0</x:v>
      </x:c>
      <x:c r="F1182" s="62" t="b">
        <x:v>0</x:v>
      </x:c>
      <x:c r="G1182" s="85" t="n">
        <x:v>1170424.9601015854</x:v>
      </x:c>
      <x:c r="H1182" s="85" t="n">
        <x:v>10262199.678999705</x:v>
      </x:c>
      <x:c r="I1182" s="85" t="n">
        <x:v>9219901.12842251</x:v>
      </x:c>
      <x:c r="J1182" s="85" t="n">
        <x:v>14493440</x:v>
      </x:c>
      <x:c r="K1182" s="85" t="n">
        <x:v>0</x:v>
      </x:c>
      <x:c r="L1182" s="28" t="n">
        <x:v>42</x:v>
      </x:c>
      <x:c r="M1182" s="28" t="n">
        <x:v>34</x:v>
      </x:c>
      <x:c r="N1182" s="28" t="n">
        <x:v>4.656612873077393e-10</x:v>
      </x:c>
      <x:c r="O1182" s="28" t="n">
        <x:v>3.725290298461914e-9</x:v>
      </x:c>
      <x:c r="P1182" s="28" t="n">
        <x:v>0</x:v>
      </x:c>
      <x:c r="Q1182" s="62" t="b">
        <x:v>1</x:v>
      </x:c>
      <x:c r="R1182" s="28" t="n">
        <x:v>3039196.041568011</x:v>
      </x:c>
      <x:c r="S1182" s="28" t="str">
        <x:v>9758032b861c70d2</x:v>
      </x:c>
    </x:row>
    <x:row r="1183" ht="21" customHeight="1">
      <x:c r="A1183" s="60" t="n">
        <x:v>0.64</x:v>
      </x:c>
      <x:c r="B1183" s="28" t="str">
        <x:v>back_low</x:v>
      </x:c>
      <x:c r="C1183" s="60" t="n">
        <x:v>1</x:v>
      </x:c>
      <x:c r="D1183" s="60" t="n">
        <x:v>0.9093341115290656</x:v>
      </x:c>
      <x:c r="E1183" s="62" t="b">
        <x:v>0</x:v>
      </x:c>
      <x:c r="F1183" s="62" t="b">
        <x:v>0</x:v>
      </x:c>
      <x:c r="G1183" s="85" t="n">
        <x:v>1286860.329381277</x:v>
      </x:c>
      <x:c r="H1183" s="85" t="n">
        <x:v>10828411.836322615</x:v>
      </x:c>
      <x:c r="I1183" s="85" t="n">
        <x:v>9232649.766985483</x:v>
      </x:c>
      <x:c r="J1183" s="85" t="n">
        <x:v>14493440</x:v>
      </x:c>
      <x:c r="K1183" s="85" t="n">
        <x:v>0</x:v>
      </x:c>
      <x:c r="L1183" s="28" t="n">
        <x:v>42</x:v>
      </x:c>
      <x:c r="M1183" s="28" t="n">
        <x:v>35</x:v>
      </x:c>
      <x:c r="N1183" s="28" t="n">
        <x:v>2.3283064365386963e-10</x:v>
      </x:c>
      <x:c r="O1183" s="28" t="n">
        <x:v>3.725290298461914e-9</x:v>
      </x:c>
      <x:c r="P1183" s="28" t="n">
        <x:v>0</x:v>
      </x:c>
      <x:c r="Q1183" s="62" t="b">
        <x:v>1</x:v>
      </x:c>
      <x:c r="R1183" s="28" t="n">
        <x:v>5054079.286923766</x:v>
      </x:c>
      <x:c r="S1183" s="28" t="str">
        <x:v>981b6d26e2a00f54</x:v>
      </x:c>
    </x:row>
    <x:row r="1184" ht="21" customHeight="1">
      <x:c r="A1184" s="60" t="n">
        <x:v>0.64</x:v>
      </x:c>
      <x:c r="B1184" s="28" t="str">
        <x:v>back_high</x:v>
      </x:c>
      <x:c r="C1184" s="60" t="n">
        <x:v>0</x:v>
      </x:c>
      <x:c r="D1184" s="60" t="n">
        <x:v>0</x:v>
      </x:c>
      <x:c r="E1184" s="62" t="b">
        <x:v>1</x:v>
      </x:c>
      <x:c r="F1184" s="62" t="b">
        <x:v>1</x:v>
      </x:c>
      <x:c r="G1184" s="85" t="n">
        <x:v>0</x:v>
      </x:c>
      <x:c r="H1184" s="85" t="n">
        <x:v>0</x:v>
      </x:c>
      <x:c r="I1184" s="85" t="n">
        <x:v>0</x:v>
      </x:c>
      <x:c r="J1184" s="85" t="n">
        <x:v>0</x:v>
      </x:c>
      <x:c r="K1184" s="85" t="n">
        <x:v>6986973.094575343</x:v>
      </x:c>
      <x:c r="L1184" s="28" t="n">
        <x:v>0</x:v>
      </x:c>
      <x:c r="M1184" s="28" t="n">
        <x:v>0</x:v>
      </x:c>
      <x:c r="N1184" s="28" t="n">
        <x:v>9.313225746154785e-10</x:v>
      </x:c>
      <x:c r="O1184" s="28" t="n">
        <x:v>0</x:v>
      </x:c>
      <x:c r="P1184" s="28" t="n">
        <x:v>0</x:v>
      </x:c>
      <x:c r="Q1184" s="62" t="b">
        <x:v>1</x:v>
      </x:c>
      <x:c r="R1184" s="28" t="n">
        <x:v>0</x:v>
      </x:c>
      <x:c r="S1184" s="28" t="str">
        <x:v>c2097498eaf6cd99</x:v>
      </x:c>
    </x:row>
    <x:row r="1185" ht="21" customHeight="1">
      <x:c r="A1185" s="60" t="n">
        <x:v>0.64</x:v>
      </x:c>
      <x:c r="B1185" s="28" t="str">
        <x:v>back_high</x:v>
      </x:c>
      <x:c r="C1185" s="60" t="n">
        <x:v>0.05</x:v>
      </x:c>
      <x:c r="D1185" s="60" t="n">
        <x:v>0.05</x:v>
      </x:c>
      <x:c r="E1185" s="62" t="b">
        <x:v>1</x:v>
      </x:c>
      <x:c r="F1185" s="62" t="b">
        <x:v>1</x:v>
      </x:c>
      <x:c r="G1185" s="85" t="n">
        <x:v>0</x:v>
      </x:c>
      <x:c r="H1185" s="85" t="n">
        <x:v>0</x:v>
      </x:c>
      <x:c r="I1185" s="85" t="n">
        <x:v>0</x:v>
      </x:c>
      <x:c r="J1185" s="85" t="n">
        <x:v>0</x:v>
      </x:c>
      <x:c r="K1185" s="85" t="n">
        <x:v>4536463.658537729</x:v>
      </x:c>
      <x:c r="L1185" s="28" t="n">
        <x:v>0</x:v>
      </x:c>
      <x:c r="M1185" s="28" t="n">
        <x:v>0</x:v>
      </x:c>
      <x:c r="N1185" s="28" t="n">
        <x:v>4.656612873077393e-10</x:v>
      </x:c>
      <x:c r="O1185" s="28" t="n">
        <x:v>7.450580596923828e-9</x:v>
      </x:c>
      <x:c r="P1185" s="28" t="n">
        <x:v>0</x:v>
      </x:c>
      <x:c r="Q1185" s="62" t="b">
        <x:v>1</x:v>
      </x:c>
      <x:c r="R1185" s="28" t="n">
        <x:v>0</x:v>
      </x:c>
      <x:c r="S1185" s="28" t="str">
        <x:v>6b1a1dfa538b9f5c</x:v>
      </x:c>
    </x:row>
    <x:row r="1186" ht="21" customHeight="1">
      <x:c r="A1186" s="60" t="n">
        <x:v>0.64</x:v>
      </x:c>
      <x:c r="B1186" s="28" t="str">
        <x:v>back_high</x:v>
      </x:c>
      <x:c r="C1186" s="60" t="n">
        <x:v>0.1</x:v>
      </x:c>
      <x:c r="D1186" s="60" t="n">
        <x:v>0.1</x:v>
      </x:c>
      <x:c r="E1186" s="62" t="b">
        <x:v>1</x:v>
      </x:c>
      <x:c r="F1186" s="62" t="b">
        <x:v>1</x:v>
      </x:c>
      <x:c r="G1186" s="85" t="n">
        <x:v>0</x:v>
      </x:c>
      <x:c r="H1186" s="85" t="n">
        <x:v>0</x:v>
      </x:c>
      <x:c r="I1186" s="85" t="n">
        <x:v>0</x:v>
      </x:c>
      <x:c r="J1186" s="85" t="n">
        <x:v>0</x:v>
      </x:c>
      <x:c r="K1186" s="85" t="n">
        <x:v>2087506.5894975269</x:v>
      </x:c>
      <x:c r="L1186" s="28" t="n">
        <x:v>0</x:v>
      </x:c>
      <x:c r="M1186" s="28" t="n">
        <x:v>0</x:v>
      </x:c>
      <x:c r="N1186" s="28" t="n">
        <x:v>9.313225746154785e-10</x:v>
      </x:c>
      <x:c r="O1186" s="28" t="n">
        <x:v>7.450580596923828e-9</x:v>
      </x:c>
      <x:c r="P1186" s="28" t="n">
        <x:v>0</x:v>
      </x:c>
      <x:c r="Q1186" s="62" t="b">
        <x:v>1</x:v>
      </x:c>
      <x:c r="R1186" s="28" t="n">
        <x:v>0</x:v>
      </x:c>
      <x:c r="S1186" s="28" t="str">
        <x:v>820afd03acdd36f0</x:v>
      </x:c>
    </x:row>
    <x:row r="1187" ht="21" customHeight="1">
      <x:c r="A1187" s="60" t="n">
        <x:v>0.64</x:v>
      </x:c>
      <x:c r="B1187" s="28" t="str">
        <x:v>back_high</x:v>
      </x:c>
      <x:c r="C1187" s="60" t="n">
        <x:v>0.15</x:v>
      </x:c>
      <x:c r="D1187" s="60" t="n">
        <x:v>0.15</x:v>
      </x:c>
      <x:c r="E1187" s="62" t="b">
        <x:v>1</x:v>
      </x:c>
      <x:c r="F1187" s="62" t="b">
        <x:v>1</x:v>
      </x:c>
      <x:c r="G1187" s="85" t="n">
        <x:v>0</x:v>
      </x:c>
      <x:c r="H1187" s="85" t="n">
        <x:v>0</x:v>
      </x:c>
      <x:c r="I1187" s="85" t="n">
        <x:v>816777.362892431</x:v>
      </x:c>
      <x:c r="J1187" s="85" t="n">
        <x:v>0</x:v>
      </x:c>
      <x:c r="K1187" s="85" t="n">
        <x:v>524700.3155966825</x:v>
      </x:c>
      <x:c r="L1187" s="28" t="n">
        <x:v>0</x:v>
      </x:c>
      <x:c r="M1187" s="28" t="n">
        <x:v>0</x:v>
      </x:c>
      <x:c r="N1187" s="28" t="n">
        <x:v>9.313225746154785e-10</x:v>
      </x:c>
      <x:c r="O1187" s="28" t="n">
        <x:v>7.450580596923828e-9</x:v>
      </x:c>
      <x:c r="P1187" s="28" t="n">
        <x:v>0</x:v>
      </x:c>
      <x:c r="Q1187" s="62" t="b">
        <x:v>1</x:v>
      </x:c>
      <x:c r="R1187" s="28" t="n">
        <x:v>0</x:v>
      </x:c>
      <x:c r="S1187" s="28" t="str">
        <x:v>390f7b53010c05e6</x:v>
      </x:c>
    </x:row>
    <x:row r="1188" ht="21" customHeight="1">
      <x:c r="A1188" s="60" t="n">
        <x:v>0.64</x:v>
      </x:c>
      <x:c r="B1188" s="28" t="str">
        <x:v>back_high</x:v>
      </x:c>
      <x:c r="C1188" s="60" t="n">
        <x:v>0.2</x:v>
      </x:c>
      <x:c r="D1188" s="60" t="n">
        <x:v>0.2</x:v>
      </x:c>
      <x:c r="E1188" s="62" t="b">
        <x:v>1</x:v>
      </x:c>
      <x:c r="F1188" s="62" t="b">
        <x:v>1</x:v>
      </x:c>
      <x:c r="G1188" s="85" t="n">
        <x:v>0</x:v>
      </x:c>
      <x:c r="H1188" s="85" t="n">
        <x:v>0</x:v>
      </x:c>
      <x:c r="I1188" s="85" t="n">
        <x:v>2679064.205424972</x:v>
      </x:c>
      <x:c r="J1188" s="85" t="n">
        <x:v>1245718.905732936</x:v>
      </x:c>
      <x:c r="K1188" s="85" t="n">
        <x:v>422398.2288941385</x:v>
      </x:c>
      <x:c r="L1188" s="28" t="n">
        <x:v>0</x:v>
      </x:c>
      <x:c r="M1188" s="28" t="n">
        <x:v>0</x:v>
      </x:c>
      <x:c r="N1188" s="28" t="n">
        <x:v>9.313225746154785e-10</x:v>
      </x:c>
      <x:c r="O1188" s="28" t="n">
        <x:v>7.450580596923828e-9</x:v>
      </x:c>
      <x:c r="P1188" s="28" t="n">
        <x:v>0</x:v>
      </x:c>
      <x:c r="Q1188" s="62" t="b">
        <x:v>1</x:v>
      </x:c>
      <x:c r="R1188" s="28" t="n">
        <x:v>0</x:v>
      </x:c>
      <x:c r="S1188" s="28" t="str">
        <x:v>10cdf7a4ab2e44e5</x:v>
      </x:c>
    </x:row>
    <x:row r="1189" ht="21" customHeight="1">
      <x:c r="A1189" s="60" t="n">
        <x:v>0.64</x:v>
      </x:c>
      <x:c r="B1189" s="28" t="str">
        <x:v>back_high</x:v>
      </x:c>
      <x:c r="C1189" s="60" t="n">
        <x:v>0.25</x:v>
      </x:c>
      <x:c r="D1189" s="60" t="n">
        <x:v>0.25</x:v>
      </x:c>
      <x:c r="E1189" s="62" t="b">
        <x:v>1</x:v>
      </x:c>
      <x:c r="F1189" s="62" t="b">
        <x:v>1</x:v>
      </x:c>
      <x:c r="G1189" s="85" t="n">
        <x:v>0</x:v>
      </x:c>
      <x:c r="H1189" s="85" t="n">
        <x:v>0</x:v>
      </x:c>
      <x:c r="I1189" s="85" t="n">
        <x:v>4293148.818873623</x:v>
      </x:c>
      <x:c r="J1189" s="85" t="n">
        <x:v>2950748.632166205</x:v>
      </x:c>
      <x:c r="K1189" s="85" t="n">
        <x:v>353051.68176150584</x:v>
      </x:c>
      <x:c r="L1189" s="28" t="n">
        <x:v>0</x:v>
      </x:c>
      <x:c r="M1189" s="28" t="n">
        <x:v>0</x:v>
      </x:c>
      <x:c r="N1189" s="28" t="n">
        <x:v>9.313225746154785e-10</x:v>
      </x:c>
      <x:c r="O1189" s="28" t="n">
        <x:v>7.450580596923828e-9</x:v>
      </x:c>
      <x:c r="P1189" s="28" t="n">
        <x:v>0</x:v>
      </x:c>
      <x:c r="Q1189" s="62" t="b">
        <x:v>1</x:v>
      </x:c>
      <x:c r="R1189" s="28" t="n">
        <x:v>0</x:v>
      </x:c>
      <x:c r="S1189" s="28" t="str">
        <x:v>90e955d16cd87a4a</x:v>
      </x:c>
    </x:row>
    <x:row r="1190" ht="21" customHeight="1">
      <x:c r="A1190" s="60" t="n">
        <x:v>0.64</x:v>
      </x:c>
      <x:c r="B1190" s="28" t="str">
        <x:v>back_high</x:v>
      </x:c>
      <x:c r="C1190" s="60" t="n">
        <x:v>0.3</x:v>
      </x:c>
      <x:c r="D1190" s="60" t="n">
        <x:v>0.3</x:v>
      </x:c>
      <x:c r="E1190" s="62" t="b">
        <x:v>1</x:v>
      </x:c>
      <x:c r="F1190" s="62" t="b">
        <x:v>1</x:v>
      </x:c>
      <x:c r="G1190" s="85" t="n">
        <x:v>0</x:v>
      </x:c>
      <x:c r="H1190" s="85" t="n">
        <x:v>0</x:v>
      </x:c>
      <x:c r="I1190" s="85" t="n">
        <x:v>5940037.46733874</x:v>
      </x:c>
      <x:c r="J1190" s="85" t="n">
        <x:v>4655778.358599421</x:v>
      </x:c>
      <x:c r="K1190" s="85" t="n">
        <x:v>286851.9700031244</x:v>
      </x:c>
      <x:c r="L1190" s="28" t="n">
        <x:v>0</x:v>
      </x:c>
      <x:c r="M1190" s="28" t="n">
        <x:v>0</x:v>
      </x:c>
      <x:c r="N1190" s="28" t="n">
        <x:v>4.656612873077393e-10</x:v>
      </x:c>
      <x:c r="O1190" s="28" t="n">
        <x:v>7.450580596923828e-9</x:v>
      </x:c>
      <x:c r="P1190" s="28" t="n">
        <x:v>0</x:v>
      </x:c>
      <x:c r="Q1190" s="62" t="b">
        <x:v>1</x:v>
      </x:c>
      <x:c r="R1190" s="28" t="n">
        <x:v>0</x:v>
      </x:c>
      <x:c r="S1190" s="28" t="str">
        <x:v>1301b93f78e1521c</x:v>
      </x:c>
    </x:row>
    <x:row r="1191" ht="21" customHeight="1">
      <x:c r="A1191" s="60" t="n">
        <x:v>0.64</x:v>
      </x:c>
      <x:c r="B1191" s="28" t="str">
        <x:v>back_high</x:v>
      </x:c>
      <x:c r="C1191" s="60" t="n">
        <x:v>0.35</x:v>
      </x:c>
      <x:c r="D1191" s="60" t="n">
        <x:v>0.35</x:v>
      </x:c>
      <x:c r="E1191" s="62" t="b">
        <x:v>1</x:v>
      </x:c>
      <x:c r="F1191" s="62" t="b">
        <x:v>1</x:v>
      </x:c>
      <x:c r="G1191" s="85" t="n">
        <x:v>0</x:v>
      </x:c>
      <x:c r="H1191" s="85" t="n">
        <x:v>0</x:v>
      </x:c>
      <x:c r="I1191" s="85" t="n">
        <x:v>7582811.375435944</x:v>
      </x:c>
      <x:c r="J1191" s="85" t="n">
        <x:v>6360808.085032671</x:v>
      </x:c>
      <x:c r="K1191" s="85" t="n">
        <x:v>247387.01645569957</x:v>
      </x:c>
      <x:c r="L1191" s="28" t="n">
        <x:v>0</x:v>
      </x:c>
      <x:c r="M1191" s="28" t="n">
        <x:v>0</x:v>
      </x:c>
      <x:c r="N1191" s="28" t="n">
        <x:v>4.656612873077393e-10</x:v>
      </x:c>
      <x:c r="O1191" s="28" t="n">
        <x:v>3.725290298461914e-9</x:v>
      </x:c>
      <x:c r="P1191" s="28" t="n">
        <x:v>0</x:v>
      </x:c>
      <x:c r="Q1191" s="62" t="b">
        <x:v>1</x:v>
      </x:c>
      <x:c r="R1191" s="28" t="n">
        <x:v>0</x:v>
      </x:c>
      <x:c r="S1191" s="28" t="str">
        <x:v>5c9258e3fa2aa733</x:v>
      </x:c>
    </x:row>
    <x:row r="1192" ht="21" customHeight="1">
      <x:c r="A1192" s="60" t="n">
        <x:v>0.64</x:v>
      </x:c>
      <x:c r="B1192" s="28" t="str">
        <x:v>back_high</x:v>
      </x:c>
      <x:c r="C1192" s="60" t="n">
        <x:v>0.4</x:v>
      </x:c>
      <x:c r="D1192" s="60" t="n">
        <x:v>0.4</x:v>
      </x:c>
      <x:c r="E1192" s="62" t="b">
        <x:v>1</x:v>
      </x:c>
      <x:c r="F1192" s="62" t="b">
        <x:v>1</x:v>
      </x:c>
      <x:c r="G1192" s="85" t="n">
        <x:v>0</x:v>
      </x:c>
      <x:c r="H1192" s="85" t="n">
        <x:v>0</x:v>
      </x:c>
      <x:c r="I1192" s="85" t="n">
        <x:v>9245312.583302755</x:v>
      </x:c>
      <x:c r="J1192" s="85" t="n">
        <x:v>8065837.811465903</x:v>
      </x:c>
      <x:c r="K1192" s="85" t="n">
        <x:v>208247.36005479458</x:v>
      </x:c>
      <x:c r="L1192" s="28" t="n">
        <x:v>0</x:v>
      </x:c>
      <x:c r="M1192" s="28" t="n">
        <x:v>0</x:v>
      </x:c>
      <x:c r="N1192" s="28" t="n">
        <x:v>2.3283064365386963e-10</x:v>
      </x:c>
      <x:c r="O1192" s="28" t="n">
        <x:v>7.450580596923828e-9</x:v>
      </x:c>
      <x:c r="P1192" s="28" t="n">
        <x:v>0</x:v>
      </x:c>
      <x:c r="Q1192" s="62" t="b">
        <x:v>1</x:v>
      </x:c>
      <x:c r="R1192" s="28" t="n">
        <x:v>0</x:v>
      </x:c>
      <x:c r="S1192" s="28" t="str">
        <x:v>7f8712eb6d687647</x:v>
      </x:c>
    </x:row>
    <x:row r="1193" ht="21" customHeight="1">
      <x:c r="A1193" s="60" t="n">
        <x:v>0.64</x:v>
      </x:c>
      <x:c r="B1193" s="28" t="str">
        <x:v>back_high</x:v>
      </x:c>
      <x:c r="C1193" s="60" t="n">
        <x:v>0.45</x:v>
      </x:c>
      <x:c r="D1193" s="60" t="n">
        <x:v>0.45</x:v>
      </x:c>
      <x:c r="E1193" s="62" t="b">
        <x:v>1</x:v>
      </x:c>
      <x:c r="F1193" s="62" t="b">
        <x:v>1</x:v>
      </x:c>
      <x:c r="G1193" s="85" t="n">
        <x:v>0</x:v>
      </x:c>
      <x:c r="H1193" s="85" t="n">
        <x:v>0</x:v>
      </x:c>
      <x:c r="I1193" s="85" t="n">
        <x:v>11007729.60106408</x:v>
      </x:c>
      <x:c r="J1193" s="85" t="n">
        <x:v>9327080.696594287</x:v>
      </x:c>
      <x:c r="K1193" s="85" t="n">
        <x:v>187708.5460958904</x:v>
      </x:c>
      <x:c r="L1193" s="28" t="n">
        <x:v>4</x:v>
      </x:c>
      <x:c r="M1193" s="28" t="n">
        <x:v>0</x:v>
      </x:c>
      <x:c r="N1193" s="28" t="n">
        <x:v>2.3283064365386963e-10</x:v>
      </x:c>
      <x:c r="O1193" s="28" t="n">
        <x:v>7.450580596923828e-9</x:v>
      </x:c>
      <x:c r="P1193" s="28" t="n">
        <x:v>0</x:v>
      </x:c>
      <x:c r="Q1193" s="62" t="b">
        <x:v>1</x:v>
      </x:c>
      <x:c r="R1193" s="28" t="n">
        <x:v>0</x:v>
      </x:c>
      <x:c r="S1193" s="28" t="str">
        <x:v>72bb8f3c8696eb50</x:v>
      </x:c>
    </x:row>
    <x:row r="1194" ht="21" customHeight="1">
      <x:c r="A1194" s="60" t="n">
        <x:v>0.64</x:v>
      </x:c>
      <x:c r="B1194" s="28" t="str">
        <x:v>back_high</x:v>
      </x:c>
      <x:c r="C1194" s="60" t="n">
        <x:v>0.5</x:v>
      </x:c>
      <x:c r="D1194" s="60" t="n">
        <x:v>0.5</x:v>
      </x:c>
      <x:c r="E1194" s="62" t="b">
        <x:v>1</x:v>
      </x:c>
      <x:c r="F1194" s="62" t="b">
        <x:v>1</x:v>
      </x:c>
      <x:c r="G1194" s="85" t="n">
        <x:v>0</x:v>
      </x:c>
      <x:c r="H1194" s="85" t="n">
        <x:v>0</x:v>
      </x:c>
      <x:c r="I1194" s="85" t="n">
        <x:v>12756668.374745272</x:v>
      </x:c>
      <x:c r="J1194" s="85" t="n">
        <x:v>10553559.96560778</x:v>
      </x:c>
      <x:c r="K1194" s="85" t="n">
        <x:v>169741.32232876756</x:v>
      </x:c>
      <x:c r="L1194" s="28" t="n">
        <x:v>9</x:v>
      </x:c>
      <x:c r="M1194" s="28" t="n">
        <x:v>2</x:v>
      </x:c>
      <x:c r="N1194" s="28" t="n">
        <x:v>4.656612873077393e-10</x:v>
      </x:c>
      <x:c r="O1194" s="28" t="n">
        <x:v>1.862645149230957e-9</x:v>
      </x:c>
      <x:c r="P1194" s="28" t="n">
        <x:v>0</x:v>
      </x:c>
      <x:c r="Q1194" s="62" t="b">
        <x:v>1</x:v>
      </x:c>
      <x:c r="R1194" s="28" t="n">
        <x:v>0</x:v>
      </x:c>
      <x:c r="S1194" s="28" t="str">
        <x:v>ba8b939d6d8344ca</x:v>
      </x:c>
    </x:row>
    <x:row r="1195" ht="21" customHeight="1">
      <x:c r="A1195" s="60" t="n">
        <x:v>0.64</x:v>
      </x:c>
      <x:c r="B1195" s="28" t="str">
        <x:v>back_high</x:v>
      </x:c>
      <x:c r="C1195" s="60" t="n">
        <x:v>0.55</x:v>
      </x:c>
      <x:c r="D1195" s="60" t="n">
        <x:v>0.55</x:v>
      </x:c>
      <x:c r="E1195" s="62" t="b">
        <x:v>1</x:v>
      </x:c>
      <x:c r="F1195" s="62" t="b">
        <x:v>1</x:v>
      </x:c>
      <x:c r="G1195" s="85" t="n">
        <x:v>0</x:v>
      </x:c>
      <x:c r="H1195" s="85" t="n">
        <x:v>0</x:v>
      </x:c>
      <x:c r="I1195" s="85" t="n">
        <x:v>14422850.098892365</x:v>
      </x:c>
      <x:c r="J1195" s="85" t="n">
        <x:v>12074511.600780342</x:v>
      </x:c>
      <x:c r="K1195" s="85" t="n">
        <x:v>151774.09856164266</x:v>
      </x:c>
      <x:c r="L1195" s="28" t="n">
        <x:v>12</x:v>
      </x:c>
      <x:c r="M1195" s="28" t="n">
        <x:v>5</x:v>
      </x:c>
      <x:c r="N1195" s="28" t="n">
        <x:v>4.656612873077393e-10</x:v>
      </x:c>
      <x:c r="O1195" s="28" t="n">
        <x:v>7.450580596923828e-9</x:v>
      </x:c>
      <x:c r="P1195" s="28" t="n">
        <x:v>0</x:v>
      </x:c>
      <x:c r="Q1195" s="62" t="b">
        <x:v>1</x:v>
      </x:c>
      <x:c r="R1195" s="28" t="n">
        <x:v>0</x:v>
      </x:c>
      <x:c r="S1195" s="28" t="str">
        <x:v>c29fad84736967e4</x:v>
      </x:c>
    </x:row>
    <x:row r="1196" ht="21" customHeight="1">
      <x:c r="A1196" s="60" t="n">
        <x:v>0.64</x:v>
      </x:c>
      <x:c r="B1196" s="28" t="str">
        <x:v>back_high</x:v>
      </x:c>
      <x:c r="C1196" s="60" t="n">
        <x:v>0.6</x:v>
      </x:c>
      <x:c r="D1196" s="60" t="n">
        <x:v>0.6</x:v>
      </x:c>
      <x:c r="E1196" s="62" t="b">
        <x:v>1</x:v>
      </x:c>
      <x:c r="F1196" s="62" t="b">
        <x:v>1</x:v>
      </x:c>
      <x:c r="G1196" s="85" t="n">
        <x:v>0</x:v>
      </x:c>
      <x:c r="H1196" s="85" t="n">
        <x:v>0</x:v>
      </x:c>
      <x:c r="I1196" s="85" t="n">
        <x:v>16025078.150423957</x:v>
      </x:c>
      <x:c r="J1196" s="85" t="n">
        <x:v>13930752.720209751</x:v>
      </x:c>
      <x:c r="K1196" s="85" t="n">
        <x:v>133806.87479452125</x:v>
      </x:c>
      <x:c r="L1196" s="28" t="n">
        <x:v>18</x:v>
      </x:c>
      <x:c r="M1196" s="28" t="n">
        <x:v>10</x:v>
      </x:c>
      <x:c r="N1196" s="28" t="n">
        <x:v>4.656612873077393e-10</x:v>
      </x:c>
      <x:c r="O1196" s="28" t="n">
        <x:v>7.450580596923828e-9</x:v>
      </x:c>
      <x:c r="P1196" s="28" t="n">
        <x:v>0</x:v>
      </x:c>
      <x:c r="Q1196" s="62" t="b">
        <x:v>1</x:v>
      </x:c>
      <x:c r="R1196" s="28" t="n">
        <x:v>0</x:v>
      </x:c>
      <x:c r="S1196" s="28" t="str">
        <x:v>94ed9f25477e4e73</x:v>
      </x:c>
    </x:row>
    <x:row r="1197" ht="21" customHeight="1">
      <x:c r="A1197" s="60" t="n">
        <x:v>0.64</x:v>
      </x:c>
      <x:c r="B1197" s="28" t="str">
        <x:v>back_high</x:v>
      </x:c>
      <x:c r="C1197" s="60" t="n">
        <x:v>0.65</x:v>
      </x:c>
      <x:c r="D1197" s="60" t="n">
        <x:v>0.65</x:v>
      </x:c>
      <x:c r="E1197" s="62" t="b">
        <x:v>1</x:v>
      </x:c>
      <x:c r="F1197" s="62" t="b">
        <x:v>0</x:v>
      </x:c>
      <x:c r="G1197" s="85" t="n">
        <x:v>650240.0432508106</x:v>
      </x:c>
      <x:c r="H1197" s="85" t="n">
        <x:v>2091058.012571442</x:v>
      </x:c>
      <x:c r="I1197" s="85" t="n">
        <x:v>16413644.418539708</x:v>
      </x:c>
      <x:c r="J1197" s="85" t="n">
        <x:v>14493440</x:v>
      </x:c>
      <x:c r="K1197" s="85" t="n">
        <x:v>115839.65102739798</x:v>
      </x:c>
      <x:c r="L1197" s="28" t="n">
        <x:v>38</x:v>
      </x:c>
      <x:c r="M1197" s="28" t="n">
        <x:v>34</x:v>
      </x:c>
      <x:c r="N1197" s="28" t="n">
        <x:v>4.656612873077393e-10</x:v>
      </x:c>
      <x:c r="O1197" s="28" t="n">
        <x:v>7.450580596923828e-9</x:v>
      </x:c>
      <x:c r="P1197" s="28" t="n">
        <x:v>0</x:v>
      </x:c>
      <x:c r="Q1197" s="62" t="b">
        <x:v>1</x:v>
      </x:c>
      <x:c r="R1197" s="28" t="n">
        <x:v>0</x:v>
      </x:c>
      <x:c r="S1197" s="28" t="str">
        <x:v>48e36f56d0242fc2</x:v>
      </x:c>
    </x:row>
    <x:row r="1198" ht="21" customHeight="1">
      <x:c r="A1198" s="60" t="n">
        <x:v>0.64</x:v>
      </x:c>
      <x:c r="B1198" s="28" t="str">
        <x:v>back_high</x:v>
      </x:c>
      <x:c r="C1198" s="60" t="n">
        <x:v>0.7</x:v>
      </x:c>
      <x:c r="D1198" s="60" t="n">
        <x:v>0.7</x:v>
      </x:c>
      <x:c r="E1198" s="62" t="b">
        <x:v>1</x:v>
      </x:c>
      <x:c r="F1198" s="62" t="b">
        <x:v>0</x:v>
      </x:c>
      <x:c r="G1198" s="85" t="n">
        <x:v>1415582.576426421</x:v>
      </x:c>
      <x:c r="H1198" s="85" t="n">
        <x:v>4273516.057164008</x:v>
      </x:c>
      <x:c r="I1198" s="85" t="n">
        <x:v>16735927.735709967</x:v>
      </x:c>
      <x:c r="J1198" s="85" t="n">
        <x:v>14493440</x:v>
      </x:c>
      <x:c r="K1198" s="85" t="n">
        <x:v>103241.90013698646</x:v>
      </x:c>
      <x:c r="L1198" s="28" t="n">
        <x:v>39</x:v>
      </x:c>
      <x:c r="M1198" s="28" t="n">
        <x:v>34</x:v>
      </x:c>
      <x:c r="N1198" s="28" t="n">
        <x:v>4.656612873077393e-10</x:v>
      </x:c>
      <x:c r="O1198" s="28" t="n">
        <x:v>3.725290298461914e-9</x:v>
      </x:c>
      <x:c r="P1198" s="28" t="n">
        <x:v>0</x:v>
      </x:c>
      <x:c r="Q1198" s="62" t="b">
        <x:v>1</x:v>
      </x:c>
      <x:c r="R1198" s="28" t="n">
        <x:v>0</x:v>
      </x:c>
      <x:c r="S1198" s="28" t="str">
        <x:v>4c88efbdebbcb571</x:v>
      </x:c>
    </x:row>
    <x:row r="1199" ht="21" customHeight="1">
      <x:c r="A1199" s="60" t="n">
        <x:v>0.64</x:v>
      </x:c>
      <x:c r="B1199" s="28" t="str">
        <x:v>back_high</x:v>
      </x:c>
      <x:c r="C1199" s="60" t="n">
        <x:v>0.75</x:v>
      </x:c>
      <x:c r="D1199" s="60" t="n">
        <x:v>0.75</x:v>
      </x:c>
      <x:c r="E1199" s="62" t="b">
        <x:v>1</x:v>
      </x:c>
      <x:c r="F1199" s="62" t="b">
        <x:v>0</x:v>
      </x:c>
      <x:c r="G1199" s="85" t="n">
        <x:v>2240862.495340231</x:v>
      </x:c>
      <x:c r="H1199" s="85" t="n">
        <x:v>6391790.929480875</x:v>
      </x:c>
      <x:c r="I1199" s="85" t="n">
        <x:v>17024868.939030543</x:v>
      </x:c>
      <x:c r="J1199" s="85" t="n">
        <x:v>14493440</x:v>
      </x:c>
      <x:c r="K1199" s="85" t="n">
        <x:v>92465.10398630111</x:v>
      </x:c>
      <x:c r="L1199" s="28" t="n">
        <x:v>40</x:v>
      </x:c>
      <x:c r="M1199" s="28" t="n">
        <x:v>36</x:v>
      </x:c>
      <x:c r="N1199" s="28" t="n">
        <x:v>4.656612873077393e-10</x:v>
      </x:c>
      <x:c r="O1199" s="28" t="n">
        <x:v>7.450580596923828e-9</x:v>
      </x:c>
      <x:c r="P1199" s="28" t="n">
        <x:v>0</x:v>
      </x:c>
      <x:c r="Q1199" s="62" t="b">
        <x:v>1</x:v>
      </x:c>
      <x:c r="R1199" s="28" t="n">
        <x:v>0</x:v>
      </x:c>
      <x:c r="S1199" s="28" t="str">
        <x:v>3ec78bee0887a7ee</x:v>
      </x:c>
    </x:row>
    <x:row r="1200" ht="21" customHeight="1">
      <x:c r="A1200" s="60" t="n">
        <x:v>0.64</x:v>
      </x:c>
      <x:c r="B1200" s="28" t="str">
        <x:v>back_high</x:v>
      </x:c>
      <x:c r="C1200" s="60" t="n">
        <x:v>0.8</x:v>
      </x:c>
      <x:c r="D1200" s="60" t="n">
        <x:v>0.8</x:v>
      </x:c>
      <x:c r="E1200" s="62" t="b">
        <x:v>1</x:v>
      </x:c>
      <x:c r="F1200" s="62" t="b">
        <x:v>0</x:v>
      </x:c>
      <x:c r="G1200" s="85" t="n">
        <x:v>3224033.2041663895</x:v>
      </x:c>
      <x:c r="H1200" s="85" t="n">
        <x:v>8710891.809156487</x:v>
      </x:c>
      <x:c r="I1200" s="85" t="n">
        <x:v>17077227.313946735</x:v>
      </x:c>
      <x:c r="J1200" s="85" t="n">
        <x:v>14493440</x:v>
      </x:c>
      <x:c r="K1200" s="85" t="n">
        <x:v>86508.32142465777</x:v>
      </x:c>
      <x:c r="L1200" s="28" t="n">
        <x:v>40</x:v>
      </x:c>
      <x:c r="M1200" s="28" t="n">
        <x:v>36</x:v>
      </x:c>
      <x:c r="N1200" s="28" t="n">
        <x:v>4.656612873077393e-10</x:v>
      </x:c>
      <x:c r="O1200" s="28" t="n">
        <x:v>3.725290298461914e-9</x:v>
      </x:c>
      <x:c r="P1200" s="28" t="n">
        <x:v>0</x:v>
      </x:c>
      <x:c r="Q1200" s="62" t="b">
        <x:v>1</x:v>
      </x:c>
      <x:c r="R1200" s="28" t="n">
        <x:v>0</x:v>
      </x:c>
      <x:c r="S1200" s="28" t="str">
        <x:v>3dfcdeafa39f8f22</x:v>
      </x:c>
    </x:row>
    <x:row r="1201" ht="21" customHeight="1">
      <x:c r="A1201" s="60" t="n">
        <x:v>0.64</x:v>
      </x:c>
      <x:c r="B1201" s="28" t="str">
        <x:v>back_high</x:v>
      </x:c>
      <x:c r="C1201" s="60" t="n">
        <x:v>0.85</x:v>
      </x:c>
      <x:c r="D1201" s="60" t="n">
        <x:v>0.85</x:v>
      </x:c>
      <x:c r="E1201" s="62" t="b">
        <x:v>1</x:v>
      </x:c>
      <x:c r="F1201" s="62" t="b">
        <x:v>0</x:v>
      </x:c>
      <x:c r="G1201" s="85" t="n">
        <x:v>4425982.292478592</x:v>
      </x:c>
      <x:c r="H1201" s="85" t="n">
        <x:v>10319180.073682671</x:v>
      </x:c>
      <x:c r="I1201" s="85" t="n">
        <x:v>17395582.868151363</x:v>
      </x:c>
      <x:c r="J1201" s="85" t="n">
        <x:v>14493440</x:v>
      </x:c>
      <x:c r="K1201" s="85" t="n">
        <x:v>81085.6643972605</x:v>
      </x:c>
      <x:c r="L1201" s="28" t="n">
        <x:v>41</x:v>
      </x:c>
      <x:c r="M1201" s="28" t="n">
        <x:v>37</x:v>
      </x:c>
      <x:c r="N1201" s="28" t="n">
        <x:v>4.656612873077393e-10</x:v>
      </x:c>
      <x:c r="O1201" s="28" t="n">
        <x:v>9.313225746154785e-10</x:v>
      </x:c>
      <x:c r="P1201" s="28" t="n">
        <x:v>0</x:v>
      </x:c>
      <x:c r="Q1201" s="62" t="b">
        <x:v>1</x:v>
      </x:c>
      <x:c r="R1201" s="28" t="n">
        <x:v>0</x:v>
      </x:c>
      <x:c r="S1201" s="28" t="str">
        <x:v>9ee675d77d9e938c</x:v>
      </x:c>
    </x:row>
    <x:row r="1202" ht="21" customHeight="1">
      <x:c r="A1202" s="60" t="n">
        <x:v>0.64</x:v>
      </x:c>
      <x:c r="B1202" s="28" t="str">
        <x:v>back_high</x:v>
      </x:c>
      <x:c r="C1202" s="60" t="n">
        <x:v>0.9</x:v>
      </x:c>
      <x:c r="D1202" s="60" t="n">
        <x:v>0.880265491166173</x:v>
      </x:c>
      <x:c r="E1202" s="62" t="b">
        <x:v>0</x:v>
      </x:c>
      <x:c r="F1202" s="62" t="b">
        <x:v>0</x:v>
      </x:c>
      <x:c r="G1202" s="85" t="n">
        <x:v>5058311.766148608</x:v>
      </x:c>
      <x:c r="H1202" s="85" t="n">
        <x:v>11387394.344457317</x:v>
      </x:c>
      <x:c r="I1202" s="85" t="n">
        <x:v>17438706.32333835</x:v>
      </x:c>
      <x:c r="J1202" s="85" t="n">
        <x:v>14493440</x:v>
      </x:c>
      <x:c r="K1202" s="85" t="n">
        <x:v>75663.00736986272</x:v>
      </x:c>
      <x:c r="L1202" s="28" t="n">
        <x:v>41</x:v>
      </x:c>
      <x:c r="M1202" s="28" t="n">
        <x:v>38</x:v>
      </x:c>
      <x:c r="N1202" s="28" t="n">
        <x:v>4.656612873077393e-10</x:v>
      </x:c>
      <x:c r="O1202" s="28" t="n">
        <x:v>3.725290298461914e-9</x:v>
      </x:c>
      <x:c r="P1202" s="28" t="n">
        <x:v>0</x:v>
      </x:c>
      <x:c r="Q1202" s="62" t="b">
        <x:v>1</x:v>
      </x:c>
      <x:c r="R1202" s="28" t="n">
        <x:v>1100080.4604328498</x:v>
      </x:c>
      <x:c r="S1202" s="28" t="str">
        <x:v>fcbae1d2802ca587</x:v>
      </x:c>
    </x:row>
    <x:row r="1203" ht="21" customHeight="1">
      <x:c r="A1203" s="60" t="n">
        <x:v>0.64</x:v>
      </x:c>
      <x:c r="B1203" s="28" t="str">
        <x:v>back_high</x:v>
      </x:c>
      <x:c r="C1203" s="60" t="n">
        <x:v>0.95</x:v>
      </x:c>
      <x:c r="D1203" s="60" t="n">
        <x:v>0.8954794051096439</x:v>
      </x:c>
      <x:c r="E1203" s="62" t="b">
        <x:v>0</x:v>
      </x:c>
      <x:c r="F1203" s="62" t="b">
        <x:v>0</x:v>
      </x:c>
      <x:c r="G1203" s="85" t="n">
        <x:v>5388674.194090411</x:v>
      </x:c>
      <x:c r="H1203" s="85" t="n">
        <x:v>11878837.345742363</x:v>
      </x:c>
      <x:c r="I1203" s="85" t="n">
        <x:v>17738046.5388449</x:v>
      </x:c>
      <x:c r="J1203" s="85" t="n">
        <x:v>14493440</x:v>
      </x:c>
      <x:c r="K1203" s="85" t="n">
        <x:v>70240.35034246591</x:v>
      </x:c>
      <x:c r="L1203" s="28" t="n">
        <x:v>42</x:v>
      </x:c>
      <x:c r="M1203" s="28" t="n">
        <x:v>38</x:v>
      </x:c>
      <x:c r="N1203" s="28" t="n">
        <x:v>4.656612873077393e-10</x:v>
      </x:c>
      <x:c r="O1203" s="28" t="n">
        <x:v>3.725290298461914e-9</x:v>
      </x:c>
      <x:c r="P1203" s="28" t="n">
        <x:v>0</x:v>
      </x:c>
      <x:c r="Q1203" s="62" t="b">
        <x:v>1</x:v>
      </x:c>
      <x:c r="R1203" s="28" t="n">
        <x:v>3039196.041568011</x:v>
      </x:c>
      <x:c r="S1203" s="28" t="str">
        <x:v>212d5a616ca91c6e</x:v>
      </x:c>
    </x:row>
    <x:row r="1204" ht="21" customHeight="1">
      <x:c r="A1204" s="60" t="n">
        <x:v>0.64</x:v>
      </x:c>
      <x:c r="B1204" s="28" t="str">
        <x:v>back_high</x:v>
      </x:c>
      <x:c r="C1204" s="60" t="n">
        <x:v>1</x:v>
      </x:c>
      <x:c r="D1204" s="60" t="n">
        <x:v>0.9093341115290656</x:v>
      </x:c>
      <x:c r="E1204" s="62" t="b">
        <x:v>0</x:v>
      </x:c>
      <x:c r="F1204" s="62" t="b">
        <x:v>0</x:v>
      </x:c>
      <x:c r="G1204" s="85" t="n">
        <x:v>5849075.540738458</x:v>
      </x:c>
      <x:c r="H1204" s="85" t="n">
        <x:v>12636955.714798791</x:v>
      </x:c>
      <x:c r="I1204" s="85" t="n">
        <x:v>17772543.969852597</x:v>
      </x:c>
      <x:c r="J1204" s="85" t="n">
        <x:v>14493440</x:v>
      </x:c>
      <x:c r="K1204" s="85" t="n">
        <x:v>64817.69331506885</x:v>
      </x:c>
      <x:c r="L1204" s="28" t="n">
        <x:v>42</x:v>
      </x:c>
      <x:c r="M1204" s="28" t="n">
        <x:v>38</x:v>
      </x:c>
      <x:c r="N1204" s="28" t="n">
        <x:v>4.656612873077393e-10</x:v>
      </x:c>
      <x:c r="O1204" s="28" t="n">
        <x:v>3.725290298461914e-9</x:v>
      </x:c>
      <x:c r="P1204" s="28" t="n">
        <x:v>0</x:v>
      </x:c>
      <x:c r="Q1204" s="62" t="b">
        <x:v>1</x:v>
      </x:c>
      <x:c r="R1204" s="28" t="n">
        <x:v>5054079.286923766</x:v>
      </x:c>
      <x:c r="S1204" s="28" t="str">
        <x:v>933adfba24488f1b</x:v>
      </x:c>
    </x:row>
    <x:row r="1205" ht="21" customHeight="1">
      <x:c r="A1205" s="60" t="n">
        <x:v>0.64</x:v>
      </x:c>
      <x:c r="B1205" s="28" t="str">
        <x:v>level_flat</x:v>
      </x:c>
      <x:c r="C1205" s="60" t="n">
        <x:v>0</x:v>
      </x:c>
      <x:c r="D1205" s="60" t="n">
        <x:v>0</x:v>
      </x:c>
      <x:c r="E1205" s="62" t="b">
        <x:v>1</x:v>
      </x:c>
      <x:c r="F1205" s="62" t="b">
        <x:v>1</x:v>
      </x:c>
      <x:c r="G1205" s="85" t="n">
        <x:v>0</x:v>
      </x:c>
      <x:c r="H1205" s="85" t="n">
        <x:v>0</x:v>
      </x:c>
      <x:c r="I1205" s="85" t="n">
        <x:v>0</x:v>
      </x:c>
      <x:c r="J1205" s="85" t="n">
        <x:v>0</x:v>
      </x:c>
      <x:c r="K1205" s="85" t="n">
        <x:v>6065538.563068496</x:v>
      </x:c>
      <x:c r="L1205" s="28" t="n">
        <x:v>0</x:v>
      </x:c>
      <x:c r="M1205" s="28" t="n">
        <x:v>0</x:v>
      </x:c>
      <x:c r="N1205" s="28" t="n">
        <x:v>9.313225746154785e-10</x:v>
      </x:c>
      <x:c r="O1205" s="28" t="n">
        <x:v>0</x:v>
      </x:c>
      <x:c r="P1205" s="28" t="n">
        <x:v>0</x:v>
      </x:c>
      <x:c r="Q1205" s="62" t="b">
        <x:v>1</x:v>
      </x:c>
      <x:c r="R1205" s="28" t="n">
        <x:v>0</x:v>
      </x:c>
      <x:c r="S1205" s="28" t="str">
        <x:v>fe979662cef5c337</x:v>
      </x:c>
    </x:row>
    <x:row r="1206" ht="21" customHeight="1">
      <x:c r="A1206" s="60" t="n">
        <x:v>0.64</x:v>
      </x:c>
      <x:c r="B1206" s="28" t="str">
        <x:v>level_flat</x:v>
      </x:c>
      <x:c r="C1206" s="60" t="n">
        <x:v>0.05</x:v>
      </x:c>
      <x:c r="D1206" s="60" t="n">
        <x:v>0.05</x:v>
      </x:c>
      <x:c r="E1206" s="62" t="b">
        <x:v>1</x:v>
      </x:c>
      <x:c r="F1206" s="62" t="b">
        <x:v>1</x:v>
      </x:c>
      <x:c r="G1206" s="85" t="n">
        <x:v>0</x:v>
      </x:c>
      <x:c r="H1206" s="85" t="n">
        <x:v>0</x:v>
      </x:c>
      <x:c r="I1206" s="85" t="n">
        <x:v>0</x:v>
      </x:c>
      <x:c r="J1206" s="85" t="n">
        <x:v>0</x:v>
      </x:c>
      <x:c r="K1206" s="85" t="n">
        <x:v>3835073.583309139</x:v>
      </x:c>
      <x:c r="L1206" s="28" t="n">
        <x:v>0</x:v>
      </x:c>
      <x:c r="M1206" s="28" t="n">
        <x:v>0</x:v>
      </x:c>
      <x:c r="N1206" s="28" t="n">
        <x:v>2.3283064365386963e-10</x:v>
      </x:c>
      <x:c r="O1206" s="28" t="n">
        <x:v>7.450580596923828e-9</x:v>
      </x:c>
      <x:c r="P1206" s="28" t="n">
        <x:v>0</x:v>
      </x:c>
      <x:c r="Q1206" s="62" t="b">
        <x:v>1</x:v>
      </x:c>
      <x:c r="R1206" s="28" t="n">
        <x:v>0</x:v>
      </x:c>
      <x:c r="S1206" s="28" t="str">
        <x:v>d9674a7a737f0610</x:v>
      </x:c>
    </x:row>
    <x:row r="1207" ht="21" customHeight="1">
      <x:c r="A1207" s="60" t="n">
        <x:v>0.64</x:v>
      </x:c>
      <x:c r="B1207" s="28" t="str">
        <x:v>level_flat</x:v>
      </x:c>
      <x:c r="C1207" s="60" t="n">
        <x:v>0.1</x:v>
      </x:c>
      <x:c r="D1207" s="60" t="n">
        <x:v>0.1</x:v>
      </x:c>
      <x:c r="E1207" s="62" t="b">
        <x:v>1</x:v>
      </x:c>
      <x:c r="F1207" s="62" t="b">
        <x:v>1</x:v>
      </x:c>
      <x:c r="G1207" s="85" t="n">
        <x:v>0</x:v>
      </x:c>
      <x:c r="H1207" s="85" t="n">
        <x:v>0</x:v>
      </x:c>
      <x:c r="I1207" s="85" t="n">
        <x:v>0</x:v>
      </x:c>
      <x:c r="J1207" s="85" t="n">
        <x:v>0</x:v>
      </x:c>
      <x:c r="K1207" s="85" t="n">
        <x:v>1606577.1777078402</x:v>
      </x:c>
      <x:c r="L1207" s="28" t="n">
        <x:v>0</x:v>
      </x:c>
      <x:c r="M1207" s="28" t="n">
        <x:v>0</x:v>
      </x:c>
      <x:c r="N1207" s="28" t="n">
        <x:v>4.656612873077393e-10</x:v>
      </x:c>
      <x:c r="O1207" s="28" t="n">
        <x:v>7.450580596923828e-9</x:v>
      </x:c>
      <x:c r="P1207" s="28" t="n">
        <x:v>0</x:v>
      </x:c>
      <x:c r="Q1207" s="62" t="b">
        <x:v>1</x:v>
      </x:c>
      <x:c r="R1207" s="28" t="n">
        <x:v>0</x:v>
      </x:c>
      <x:c r="S1207" s="28" t="str">
        <x:v>2d684d1669059f9b</x:v>
      </x:c>
    </x:row>
    <x:row r="1208" ht="21" customHeight="1">
      <x:c r="A1208" s="60" t="n">
        <x:v>0.64</x:v>
      </x:c>
      <x:c r="B1208" s="28" t="str">
        <x:v>level_flat</x:v>
      </x:c>
      <x:c r="C1208" s="60" t="n">
        <x:v>0.15</x:v>
      </x:c>
      <x:c r="D1208" s="60" t="n">
        <x:v>0.15</x:v>
      </x:c>
      <x:c r="E1208" s="62" t="b">
        <x:v>1</x:v>
      </x:c>
      <x:c r="F1208" s="62" t="b">
        <x:v>1</x:v>
      </x:c>
      <x:c r="G1208" s="85" t="n">
        <x:v>0</x:v>
      </x:c>
      <x:c r="H1208" s="85" t="n">
        <x:v>0</x:v>
      </x:c>
      <x:c r="I1208" s="85" t="n">
        <x:v>697183.0457478433</x:v>
      </x:c>
      <x:c r="J1208" s="85" t="n">
        <x:v>0</x:v>
      </x:c>
      <x:c r="K1208" s="85" t="n">
        <x:v>205634.52578821927</x:v>
      </x:c>
      <x:c r="L1208" s="28" t="n">
        <x:v>0</x:v>
      </x:c>
      <x:c r="M1208" s="28" t="n">
        <x:v>0</x:v>
      </x:c>
      <x:c r="N1208" s="28" t="n">
        <x:v>4.656612873077393e-10</x:v>
      </x:c>
      <x:c r="O1208" s="28" t="n">
        <x:v>7.450580596923828e-9</x:v>
      </x:c>
      <x:c r="P1208" s="28" t="n">
        <x:v>0</x:v>
      </x:c>
      <x:c r="Q1208" s="62" t="b">
        <x:v>1</x:v>
      </x:c>
      <x:c r="R1208" s="28" t="n">
        <x:v>0</x:v>
      </x:c>
      <x:c r="S1208" s="28" t="str">
        <x:v>42ae74b5f1d9cf21</x:v>
      </x:c>
    </x:row>
    <x:row r="1209" ht="21" customHeight="1">
      <x:c r="A1209" s="60" t="n">
        <x:v>0.64</x:v>
      </x:c>
      <x:c r="B1209" s="28" t="str">
        <x:v>level_flat</x:v>
      </x:c>
      <x:c r="C1209" s="60" t="n">
        <x:v>0.2</x:v>
      </x:c>
      <x:c r="D1209" s="60" t="n">
        <x:v>0.2</x:v>
      </x:c>
      <x:c r="E1209" s="62" t="b">
        <x:v>1</x:v>
      </x:c>
      <x:c r="F1209" s="62" t="b">
        <x:v>1</x:v>
      </x:c>
      <x:c r="G1209" s="85" t="n">
        <x:v>0</x:v>
      </x:c>
      <x:c r="H1209" s="85" t="n">
        <x:v>0</x:v>
      </x:c>
      <x:c r="I1209" s="85" t="n">
        <x:v>2169358.0113599957</x:v>
      </x:c>
      <x:c r="J1209" s="85" t="n">
        <x:v>1248509.6821692996</x:v>
      </x:c>
      <x:c r="K1209" s="85" t="n">
        <x:v>141615.26977424655</x:v>
      </x:c>
      <x:c r="L1209" s="28" t="n">
        <x:v>0</x:v>
      </x:c>
      <x:c r="M1209" s="28" t="n">
        <x:v>0</x:v>
      </x:c>
      <x:c r="N1209" s="28" t="n">
        <x:v>9.313225746154785e-10</x:v>
      </x:c>
      <x:c r="O1209" s="28" t="n">
        <x:v>7.450580596923828e-9</x:v>
      </x:c>
      <x:c r="P1209" s="28" t="n">
        <x:v>0</x:v>
      </x:c>
      <x:c r="Q1209" s="62" t="b">
        <x:v>1</x:v>
      </x:c>
      <x:c r="R1209" s="28" t="n">
        <x:v>0</x:v>
      </x:c>
      <x:c r="S1209" s="28" t="str">
        <x:v>74b5999f34606a65</x:v>
      </x:c>
    </x:row>
    <x:row r="1210" ht="21" customHeight="1">
      <x:c r="A1210" s="60" t="n">
        <x:v>0.64</x:v>
      </x:c>
      <x:c r="B1210" s="28" t="str">
        <x:v>level_flat</x:v>
      </x:c>
      <x:c r="C1210" s="60" t="n">
        <x:v>0.25</x:v>
      </x:c>
      <x:c r="D1210" s="60" t="n">
        <x:v>0.25</x:v>
      </x:c>
      <x:c r="E1210" s="62" t="b">
        <x:v>1</x:v>
      </x:c>
      <x:c r="F1210" s="62" t="b">
        <x:v>1</x:v>
      </x:c>
      <x:c r="G1210" s="85" t="n">
        <x:v>0</x:v>
      </x:c>
      <x:c r="H1210" s="85" t="n">
        <x:v>0</x:v>
      </x:c>
      <x:c r="I1210" s="85" t="n">
        <x:v>3347830.185816434</x:v>
      </x:c>
      <x:c r="J1210" s="85" t="n">
        <x:v>2954237.102711633</x:v>
      </x:c>
      <x:c r="K1210" s="85" t="n">
        <x:v>103222.2541780824</x:v>
      </x:c>
      <x:c r="L1210" s="28" t="n">
        <x:v>0</x:v>
      </x:c>
      <x:c r="M1210" s="28" t="n">
        <x:v>0</x:v>
      </x:c>
      <x:c r="N1210" s="28" t="n">
        <x:v>4.656612873077393e-10</x:v>
      </x:c>
      <x:c r="O1210" s="28" t="n">
        <x:v>7.450580596923828e-9</x:v>
      </x:c>
      <x:c r="P1210" s="28" t="n">
        <x:v>0</x:v>
      </x:c>
      <x:c r="Q1210" s="62" t="b">
        <x:v>1</x:v>
      </x:c>
      <x:c r="R1210" s="28" t="n">
        <x:v>0</x:v>
      </x:c>
      <x:c r="S1210" s="28" t="str">
        <x:v>f4c200a37e8f565c</x:v>
      </x:c>
    </x:row>
    <x:row r="1211" ht="21" customHeight="1">
      <x:c r="A1211" s="60" t="n">
        <x:v>0.64</x:v>
      </x:c>
      <x:c r="B1211" s="28" t="str">
        <x:v>level_flat</x:v>
      </x:c>
      <x:c r="C1211" s="60" t="n">
        <x:v>0.3</x:v>
      </x:c>
      <x:c r="D1211" s="60" t="n">
        <x:v>0.3</x:v>
      </x:c>
      <x:c r="E1211" s="62" t="b">
        <x:v>1</x:v>
      </x:c>
      <x:c r="F1211" s="62" t="b">
        <x:v>1</x:v>
      </x:c>
      <x:c r="G1211" s="85" t="n">
        <x:v>0</x:v>
      </x:c>
      <x:c r="H1211" s="85" t="n">
        <x:v>0</x:v>
      </x:c>
      <x:c r="I1211" s="85" t="n">
        <x:v>4541454.955111221</x:v>
      </x:c>
      <x:c r="J1211" s="85" t="n">
        <x:v>4659964.523253945</x:v>
      </x:c>
      <x:c r="K1211" s="85" t="n">
        <x:v>83650.39301369859</x:v>
      </x:c>
      <x:c r="L1211" s="28" t="n">
        <x:v>0</x:v>
      </x:c>
      <x:c r="M1211" s="28" t="n">
        <x:v>0</x:v>
      </x:c>
      <x:c r="N1211" s="28" t="n">
        <x:v>4.656612873077393e-10</x:v>
      </x:c>
      <x:c r="O1211" s="28" t="n">
        <x:v>7.450580596923828e-9</x:v>
      </x:c>
      <x:c r="P1211" s="28" t="n">
        <x:v>0</x:v>
      </x:c>
      <x:c r="Q1211" s="62" t="b">
        <x:v>1</x:v>
      </x:c>
      <x:c r="R1211" s="28" t="n">
        <x:v>0</x:v>
      </x:c>
      <x:c r="S1211" s="28" t="str">
        <x:v>c576db9551f8be02</x:v>
      </x:c>
    </x:row>
    <x:row r="1212" ht="21" customHeight="1">
      <x:c r="A1212" s="60" t="n">
        <x:v>0.64</x:v>
      </x:c>
      <x:c r="B1212" s="28" t="str">
        <x:v>level_flat</x:v>
      </x:c>
      <x:c r="C1212" s="60" t="n">
        <x:v>0.35</x:v>
      </x:c>
      <x:c r="D1212" s="60" t="n">
        <x:v>0.35</x:v>
      </x:c>
      <x:c r="E1212" s="62" t="b">
        <x:v>1</x:v>
      </x:c>
      <x:c r="F1212" s="62" t="b">
        <x:v>1</x:v>
      </x:c>
      <x:c r="G1212" s="85" t="n">
        <x:v>0</x:v>
      </x:c>
      <x:c r="H1212" s="85" t="n">
        <x:v>0</x:v>
      </x:c>
      <x:c r="I1212" s="85" t="n">
        <x:v>5744686.578885815</x:v>
      </x:c>
      <x:c r="J1212" s="85" t="n">
        <x:v>6365691.9437962575</x:v>
      </x:c>
      <x:c r="K1212" s="85" t="n">
        <x:v>64078.53184931569</x:v>
      </x:c>
      <x:c r="L1212" s="28" t="n">
        <x:v>0</x:v>
      </x:c>
      <x:c r="M1212" s="28" t="n">
        <x:v>0</x:v>
      </x:c>
      <x:c r="N1212" s="28" t="n">
        <x:v>2.3283064365386963e-10</x:v>
      </x:c>
      <x:c r="O1212" s="28" t="n">
        <x:v>7.450580596923828e-9</x:v>
      </x:c>
      <x:c r="P1212" s="28" t="n">
        <x:v>0</x:v>
      </x:c>
      <x:c r="Q1212" s="62" t="b">
        <x:v>1</x:v>
      </x:c>
      <x:c r="R1212" s="28" t="n">
        <x:v>0</x:v>
      </x:c>
      <x:c r="S1212" s="28" t="str">
        <x:v>bebb1a31cd22ddff</x:v>
      </x:c>
    </x:row>
    <x:row r="1213" ht="21" customHeight="1">
      <x:c r="A1213" s="60" t="n">
        <x:v>0.64</x:v>
      </x:c>
      <x:c r="B1213" s="28" t="str">
        <x:v>level_flat</x:v>
      </x:c>
      <x:c r="C1213" s="60" t="n">
        <x:v>0.4</x:v>
      </x:c>
      <x:c r="D1213" s="60" t="n">
        <x:v>0.4</x:v>
      </x:c>
      <x:c r="E1213" s="62" t="b">
        <x:v>1</x:v>
      </x:c>
      <x:c r="F1213" s="62" t="b">
        <x:v>1</x:v>
      </x:c>
      <x:c r="G1213" s="85" t="n">
        <x:v>0</x:v>
      </x:c>
      <x:c r="H1213" s="85" t="n">
        <x:v>0</x:v>
      </x:c>
      <x:c r="I1213" s="85" t="n">
        <x:v>6961164.864511397</x:v>
      </x:c>
      <x:c r="J1213" s="85" t="n">
        <x:v>8071419.3643386</x:v>
      </x:c>
      <x:c r="K1213" s="85" t="n">
        <x:v>52055.07660274028</x:v>
      </x:c>
      <x:c r="L1213" s="28" t="n">
        <x:v>0</x:v>
      </x:c>
      <x:c r="M1213" s="28" t="n">
        <x:v>0</x:v>
      </x:c>
      <x:c r="N1213" s="28" t="n">
        <x:v>9.313225746154785e-10</x:v>
      </x:c>
      <x:c r="O1213" s="28" t="n">
        <x:v>7.450580596923828e-9</x:v>
      </x:c>
      <x:c r="P1213" s="28" t="n">
        <x:v>0</x:v>
      </x:c>
      <x:c r="Q1213" s="62" t="b">
        <x:v>1</x:v>
      </x:c>
      <x:c r="R1213" s="28" t="n">
        <x:v>0</x:v>
      </x:c>
      <x:c r="S1213" s="28" t="str">
        <x:v>39ee16097a7a8886</x:v>
      </x:c>
    </x:row>
    <x:row r="1214" ht="21" customHeight="1">
      <x:c r="A1214" s="60" t="n">
        <x:v>0.64</x:v>
      </x:c>
      <x:c r="B1214" s="28" t="str">
        <x:v>level_flat</x:v>
      </x:c>
      <x:c r="C1214" s="60" t="n">
        <x:v>0.45</x:v>
      </x:c>
      <x:c r="D1214" s="60" t="n">
        <x:v>0.45</x:v>
      </x:c>
      <x:c r="E1214" s="62" t="b">
        <x:v>1</x:v>
      </x:c>
      <x:c r="F1214" s="62" t="b">
        <x:v>1</x:v>
      </x:c>
      <x:c r="G1214" s="85" t="n">
        <x:v>0</x:v>
      </x:c>
      <x:c r="H1214" s="85" t="n">
        <x:v>0</x:v>
      </x:c>
      <x:c r="I1214" s="85" t="n">
        <x:v>8392547.221649095</x:v>
      </x:c>
      <x:c r="J1214" s="85" t="n">
        <x:v>9286008.477880737</x:v>
      </x:c>
      <x:c r="K1214" s="85" t="n">
        <x:v>46097.65899999992</x:v>
      </x:c>
      <x:c r="L1214" s="28" t="n">
        <x:v>5</x:v>
      </x:c>
      <x:c r="M1214" s="28" t="n">
        <x:v>0</x:v>
      </x:c>
      <x:c r="N1214" s="28" t="n">
        <x:v>4.656612873077393e-10</x:v>
      </x:c>
      <x:c r="O1214" s="28" t="n">
        <x:v>3.725290298461914e-9</x:v>
      </x:c>
      <x:c r="P1214" s="28" t="n">
        <x:v>0</x:v>
      </x:c>
      <x:c r="Q1214" s="62" t="b">
        <x:v>1</x:v>
      </x:c>
      <x:c r="R1214" s="28" t="n">
        <x:v>0</x:v>
      </x:c>
      <x:c r="S1214" s="28" t="str">
        <x:v>08829a85d7e128ef</x:v>
      </x:c>
    </x:row>
    <x:row r="1215" ht="21" customHeight="1">
      <x:c r="A1215" s="60" t="n">
        <x:v>0.64</x:v>
      </x:c>
      <x:c r="B1215" s="28" t="str">
        <x:v>level_flat</x:v>
      </x:c>
      <x:c r="C1215" s="60" t="n">
        <x:v>0.5</x:v>
      </x:c>
      <x:c r="D1215" s="60" t="n">
        <x:v>0.5</x:v>
      </x:c>
      <x:c r="E1215" s="62" t="b">
        <x:v>1</x:v>
      </x:c>
      <x:c r="F1215" s="62" t="b">
        <x:v>1</x:v>
      </x:c>
      <x:c r="G1215" s="85" t="n">
        <x:v>0</x:v>
      </x:c>
      <x:c r="H1215" s="85" t="n">
        <x:v>0</x:v>
      </x:c>
      <x:c r="I1215" s="85" t="n">
        <x:v>9749299.517431721</x:v>
      </x:c>
      <x:c r="J1215" s="85" t="n">
        <x:v>10613598.879281348</x:v>
      </x:c>
      <x:c r="K1215" s="85" t="n">
        <x:v>40140.241397260375</x:v>
      </x:c>
      <x:c r="L1215" s="28" t="n">
        <x:v>9</x:v>
      </x:c>
      <x:c r="M1215" s="28" t="n">
        <x:v>0</x:v>
      </x:c>
      <x:c r="N1215" s="28" t="n">
        <x:v>2.3283064365386963e-10</x:v>
      </x:c>
      <x:c r="O1215" s="28" t="n">
        <x:v>3.725290298461914e-9</x:v>
      </x:c>
      <x:c r="P1215" s="28" t="n">
        <x:v>0</x:v>
      </x:c>
      <x:c r="Q1215" s="62" t="b">
        <x:v>1</x:v>
      </x:c>
      <x:c r="R1215" s="28" t="n">
        <x:v>0</x:v>
      </x:c>
      <x:c r="S1215" s="28" t="str">
        <x:v>15eb860a25ad7735</x:v>
      </x:c>
    </x:row>
    <x:row r="1216" ht="21" customHeight="1">
      <x:c r="A1216" s="60" t="n">
        <x:v>0.64</x:v>
      </x:c>
      <x:c r="B1216" s="28" t="str">
        <x:v>level_flat</x:v>
      </x:c>
      <x:c r="C1216" s="60" t="n">
        <x:v>0.55</x:v>
      </x:c>
      <x:c r="D1216" s="60" t="n">
        <x:v>0.55</x:v>
      </x:c>
      <x:c r="E1216" s="62" t="b">
        <x:v>1</x:v>
      </x:c>
      <x:c r="F1216" s="62" t="b">
        <x:v>1</x:v>
      </x:c>
      <x:c r="G1216" s="85" t="n">
        <x:v>0</x:v>
      </x:c>
      <x:c r="H1216" s="85" t="n">
        <x:v>0</x:v>
      </x:c>
      <x:c r="I1216" s="85" t="n">
        <x:v>11033319.479791611</x:v>
      </x:c>
      <x:c r="J1216" s="85" t="n">
        <x:v>12099532.140357912</x:v>
      </x:c>
      <x:c r="K1216" s="85" t="n">
        <x:v>34182.82379452049</x:v>
      </x:c>
      <x:c r="L1216" s="28" t="n">
        <x:v>13</x:v>
      </x:c>
      <x:c r="M1216" s="28" t="n">
        <x:v>2</x:v>
      </x:c>
      <x:c r="N1216" s="28" t="n">
        <x:v>4.656612873077393e-10</x:v>
      </x:c>
      <x:c r="O1216" s="28" t="n">
        <x:v>3.725290298461914e-9</x:v>
      </x:c>
      <x:c r="P1216" s="28" t="n">
        <x:v>0</x:v>
      </x:c>
      <x:c r="Q1216" s="62" t="b">
        <x:v>1</x:v>
      </x:c>
      <x:c r="R1216" s="28" t="n">
        <x:v>0</x:v>
      </x:c>
      <x:c r="S1216" s="28" t="str">
        <x:v>3f316880fb2d4ad3</x:v>
      </x:c>
    </x:row>
    <x:row r="1217" ht="21" customHeight="1">
      <x:c r="A1217" s="60" t="n">
        <x:v>0.64</x:v>
      </x:c>
      <x:c r="B1217" s="28" t="str">
        <x:v>level_flat</x:v>
      </x:c>
      <x:c r="C1217" s="60" t="n">
        <x:v>0.6</x:v>
      </x:c>
      <x:c r="D1217" s="60" t="n">
        <x:v>0.6</x:v>
      </x:c>
      <x:c r="E1217" s="62" t="b">
        <x:v>1</x:v>
      </x:c>
      <x:c r="F1217" s="62" t="b">
        <x:v>1</x:v>
      </x:c>
      <x:c r="G1217" s="85" t="n">
        <x:v>0</x:v>
      </x:c>
      <x:c r="H1217" s="85" t="n">
        <x:v>0</x:v>
      </x:c>
      <x:c r="I1217" s="85" t="n">
        <x:v>12282446.033078745</x:v>
      </x:c>
      <x:c r="J1217" s="85" t="n">
        <x:v>13651417.329698833</x:v>
      </x:c>
      <x:c r="K1217" s="85" t="n">
        <x:v>28225.406191780705</x:v>
      </x:c>
      <x:c r="L1217" s="28" t="n">
        <x:v>18</x:v>
      </x:c>
      <x:c r="M1217" s="28" t="n">
        <x:v>9</x:v>
      </x:c>
      <x:c r="N1217" s="28" t="n">
        <x:v>4.656612873077393e-10</x:v>
      </x:c>
      <x:c r="O1217" s="28" t="n">
        <x:v>7.450580596923828e-9</x:v>
      </x:c>
      <x:c r="P1217" s="28" t="n">
        <x:v>0</x:v>
      </x:c>
      <x:c r="Q1217" s="62" t="b">
        <x:v>1</x:v>
      </x:c>
      <x:c r="R1217" s="28" t="n">
        <x:v>0</x:v>
      </x:c>
      <x:c r="S1217" s="28" t="str">
        <x:v>3ec375cb4945b909</x:v>
      </x:c>
    </x:row>
    <x:row r="1218" ht="21" customHeight="1">
      <x:c r="A1218" s="60" t="n">
        <x:v>0.64</x:v>
      </x:c>
      <x:c r="B1218" s="28" t="str">
        <x:v>level_flat</x:v>
      </x:c>
      <x:c r="C1218" s="60" t="n">
        <x:v>0.65</x:v>
      </x:c>
      <x:c r="D1218" s="60" t="n">
        <x:v>0.65</x:v>
      </x:c>
      <x:c r="E1218" s="62" t="b">
        <x:v>1</x:v>
      </x:c>
      <x:c r="F1218" s="62" t="b">
        <x:v>0</x:v>
      </x:c>
      <x:c r="G1218" s="85" t="n">
        <x:v>213002.85042695468</x:v>
      </x:c>
      <x:c r="H1218" s="85" t="n">
        <x:v>1140978.3745574476</x:v>
      </x:c>
      <x:c r="I1218" s="85" t="n">
        <x:v>12899263.603897255</x:v>
      </x:c>
      <x:c r="J1218" s="85" t="n">
        <x:v>14493440</x:v>
      </x:c>
      <x:c r="K1218" s="85" t="n">
        <x:v>22267.98858904128</x:v>
      </x:c>
      <x:c r="L1218" s="28" t="n">
        <x:v>41</x:v>
      </x:c>
      <x:c r="M1218" s="28" t="n">
        <x:v>32</x:v>
      </x:c>
      <x:c r="N1218" s="28" t="n">
        <x:v>4.656612873077393e-10</x:v>
      </x:c>
      <x:c r="O1218" s="28" t="n">
        <x:v>3.725290298461914e-9</x:v>
      </x:c>
      <x:c r="P1218" s="28" t="n">
        <x:v>0</x:v>
      </x:c>
      <x:c r="Q1218" s="62" t="b">
        <x:v>1</x:v>
      </x:c>
      <x:c r="R1218" s="28" t="n">
        <x:v>0</x:v>
      </x:c>
      <x:c r="S1218" s="28" t="str">
        <x:v>c65b6909dd679e05</x:v>
      </x:c>
    </x:row>
    <x:row r="1219" ht="21" customHeight="1">
      <x:c r="A1219" s="60" t="n">
        <x:v>0.64</x:v>
      </x:c>
      <x:c r="B1219" s="28" t="str">
        <x:v>level_flat</x:v>
      </x:c>
      <x:c r="C1219" s="60" t="n">
        <x:v>0.7</x:v>
      </x:c>
      <x:c r="D1219" s="60" t="n">
        <x:v>0.7</x:v>
      </x:c>
      <x:c r="E1219" s="62" t="b">
        <x:v>1</x:v>
      </x:c>
      <x:c r="F1219" s="62" t="b">
        <x:v>0</x:v>
      </x:c>
      <x:c r="G1219" s="85" t="n">
        <x:v>658614.2272283132</x:v>
      </x:c>
      <x:c r="H1219" s="85" t="n">
        <x:v>3498316.6198474723</x:v>
      </x:c>
      <x:c r="I1219" s="85" t="n">
        <x:v>12946385.45264383</x:v>
      </x:c>
      <x:c r="J1219" s="85" t="n">
        <x:v>14493440</x:v>
      </x:c>
      <x:c r="K1219" s="85" t="n">
        <x:v>16310.570986301504</x:v>
      </x:c>
      <x:c r="L1219" s="28" t="n">
        <x:v>41</x:v>
      </x:c>
      <x:c r="M1219" s="28" t="n">
        <x:v>34</x:v>
      </x:c>
      <x:c r="N1219" s="28" t="n">
        <x:v>4.656612873077393e-10</x:v>
      </x:c>
      <x:c r="O1219" s="28" t="n">
        <x:v>3.725290298461914e-9</x:v>
      </x:c>
      <x:c r="P1219" s="28" t="n">
        <x:v>0</x:v>
      </x:c>
      <x:c r="Q1219" s="62" t="b">
        <x:v>1</x:v>
      </x:c>
      <x:c r="R1219" s="28" t="n">
        <x:v>0</x:v>
      </x:c>
      <x:c r="S1219" s="28" t="str">
        <x:v>48e3662ea0df1b2a</x:v>
      </x:c>
    </x:row>
    <x:row r="1220" ht="21" customHeight="1">
      <x:c r="A1220" s="60" t="n">
        <x:v>0.64</x:v>
      </x:c>
      <x:c r="B1220" s="28" t="str">
        <x:v>level_flat</x:v>
      </x:c>
      <x:c r="C1220" s="60" t="n">
        <x:v>0.75</x:v>
      </x:c>
      <x:c r="D1220" s="60" t="n">
        <x:v>0.75</x:v>
      </x:c>
      <x:c r="E1220" s="62" t="b">
        <x:v>1</x:v>
      </x:c>
      <x:c r="F1220" s="62" t="b">
        <x:v>0</x:v>
      </x:c>
      <x:c r="G1220" s="85" t="n">
        <x:v>1082154.4711429905</x:v>
      </x:c>
      <x:c r="H1220" s="85" t="n">
        <x:v>5483900.0982039105</x:v>
      </x:c>
      <x:c r="I1220" s="85" t="n">
        <x:v>13182350.575099993</x:v>
      </x:c>
      <x:c r="J1220" s="85" t="n">
        <x:v>14493440</x:v>
      </x:c>
      <x:c r="K1220" s="85" t="n">
        <x:v>12436.134657534341</x:v>
      </x:c>
      <x:c r="L1220" s="28" t="n">
        <x:v>42</x:v>
      </x:c>
      <x:c r="M1220" s="28" t="n">
        <x:v>35</x:v>
      </x:c>
      <x:c r="N1220" s="28" t="n">
        <x:v>9.313225746154785e-10</x:v>
      </x:c>
      <x:c r="O1220" s="28" t="n">
        <x:v>3.725290298461914e-9</x:v>
      </x:c>
      <x:c r="P1220" s="28" t="n">
        <x:v>0</x:v>
      </x:c>
      <x:c r="Q1220" s="62" t="b">
        <x:v>1</x:v>
      </x:c>
      <x:c r="R1220" s="28" t="n">
        <x:v>0</x:v>
      </x:c>
      <x:c r="S1220" s="28" t="str">
        <x:v>32c55a986edf2096</x:v>
      </x:c>
    </x:row>
    <x:row r="1221" ht="21" customHeight="1">
      <x:c r="A1221" s="60" t="n">
        <x:v>0.64</x:v>
      </x:c>
      <x:c r="B1221" s="28" t="str">
        <x:v>level_flat</x:v>
      </x:c>
      <x:c r="C1221" s="60" t="n">
        <x:v>0.8</x:v>
      </x:c>
      <x:c r="D1221" s="60" t="n">
        <x:v>0.8</x:v>
      </x:c>
      <x:c r="E1221" s="62" t="b">
        <x:v>1</x:v>
      </x:c>
      <x:c r="F1221" s="62" t="b">
        <x:v>0</x:v>
      </x:c>
      <x:c r="G1221" s="85" t="n">
        <x:v>1530121.309713539</x:v>
      </x:c>
      <x:c r="H1221" s="85" t="n">
        <x:v>7410157.661662104</x:v>
      </x:c>
      <x:c r="I1221" s="85" t="n">
        <x:v>13423457.992767118</x:v>
      </x:c>
      <x:c r="J1221" s="85" t="n">
        <x:v>14493440</x:v>
      </x:c>
      <x:c r="K1221" s="85" t="n">
        <x:v>10430.965479451967</x:v>
      </x:c>
      <x:c r="L1221" s="28" t="n">
        <x:v>43</x:v>
      </x:c>
      <x:c r="M1221" s="28" t="n">
        <x:v>36</x:v>
      </x:c>
      <x:c r="N1221" s="28" t="n">
        <x:v>4.656612873077393e-10</x:v>
      </x:c>
      <x:c r="O1221" s="28" t="n">
        <x:v>3.725290298461914e-9</x:v>
      </x:c>
      <x:c r="P1221" s="28" t="n">
        <x:v>0</x:v>
      </x:c>
      <x:c r="Q1221" s="62" t="b">
        <x:v>1</x:v>
      </x:c>
      <x:c r="R1221" s="28" t="n">
        <x:v>0</x:v>
      </x:c>
      <x:c r="S1221" s="28" t="str">
        <x:v>f66b2e9bf1e38397</x:v>
      </x:c>
    </x:row>
    <x:row r="1222" ht="21" customHeight="1">
      <x:c r="A1222" s="60" t="n">
        <x:v>0.64</x:v>
      </x:c>
      <x:c r="B1222" s="28" t="str">
        <x:v>level_flat</x:v>
      </x:c>
      <x:c r="C1222" s="60" t="n">
        <x:v>0.85</x:v>
      </x:c>
      <x:c r="D1222" s="60" t="n">
        <x:v>0.85</x:v>
      </x:c>
      <x:c r="E1222" s="62" t="b">
        <x:v>1</x:v>
      </x:c>
      <x:c r="F1222" s="62" t="b">
        <x:v>0</x:v>
      </x:c>
      <x:c r="G1222" s="85" t="n">
        <x:v>2103372.944617957</x:v>
      </x:c>
      <x:c r="H1222" s="85" t="n">
        <x:v>9496598.234853467</x:v>
      </x:c>
      <x:c r="I1222" s="85" t="n">
        <x:v>13446986.704506844</x:v>
      </x:c>
      <x:c r="J1222" s="85" t="n">
        <x:v>14493440</x:v>
      </x:c>
      <x:c r="K1222" s="85" t="n">
        <x:v>8425.796301370174</x:v>
      </x:c>
      <x:c r="L1222" s="28" t="n">
        <x:v>43</x:v>
      </x:c>
      <x:c r="M1222" s="28" t="n">
        <x:v>37</x:v>
      </x:c>
      <x:c r="N1222" s="28" t="n">
        <x:v>4.656612873077393e-10</x:v>
      </x:c>
      <x:c r="O1222" s="28" t="n">
        <x:v>3.725290298461914e-9</x:v>
      </x:c>
      <x:c r="P1222" s="28" t="n">
        <x:v>0</x:v>
      </x:c>
      <x:c r="Q1222" s="62" t="b">
        <x:v>1</x:v>
      </x:c>
      <x:c r="R1222" s="28" t="n">
        <x:v>0</x:v>
      </x:c>
      <x:c r="S1222" s="28" t="str">
        <x:v>ff3b601af5d11c25</x:v>
      </x:c>
    </x:row>
    <x:row r="1223" ht="21" customHeight="1">
      <x:c r="A1223" s="60" t="n">
        <x:v>0.64</x:v>
      </x:c>
      <x:c r="B1223" s="28" t="str">
        <x:v>level_flat</x:v>
      </x:c>
      <x:c r="C1223" s="60" t="n">
        <x:v>0.9</x:v>
      </x:c>
      <x:c r="D1223" s="60" t="n">
        <x:v>0.8949513562027351</x:v>
      </x:c>
      <x:c r="E1223" s="62" t="b">
        <x:v>0</x:v>
      </x:c>
      <x:c r="F1223" s="62" t="b">
        <x:v>0</x:v>
      </x:c>
      <x:c r="G1223" s="85" t="n">
        <x:v>2820247.256947838</x:v>
      </x:c>
      <x:c r="H1223" s="85" t="n">
        <x:v>10677879.017322525</x:v>
      </x:c>
      <x:c r="I1223" s="85" t="n">
        <x:v>13667775.226191774</x:v>
      </x:c>
      <x:c r="J1223" s="85" t="n">
        <x:v>14493440</x:v>
      </x:c>
      <x:c r="K1223" s="85" t="n">
        <x:v>6420.6271232876825</x:v>
      </x:c>
      <x:c r="L1223" s="28" t="n">
        <x:v>44</x:v>
      </x:c>
      <x:c r="M1223" s="28" t="n">
        <x:v>38</x:v>
      </x:c>
      <x:c r="N1223" s="28" t="n">
        <x:v>4.656612873077393e-10</x:v>
      </x:c>
      <x:c r="O1223" s="28" t="n">
        <x:v>3.725290298461914e-9</x:v>
      </x:c>
      <x:c r="P1223" s="28" t="n">
        <x:v>0</x:v>
      </x:c>
      <x:c r="Q1223" s="62" t="b">
        <x:v>1</x:v>
      </x:c>
      <x:c r="R1223" s="28" t="n">
        <x:v>281431.5998347327</x:v>
      </x:c>
      <x:c r="S1223" s="28" t="str">
        <x:v>bdbe7f1a6230250b</x:v>
      </x:c>
    </x:row>
    <x:row r="1224" ht="21" customHeight="1">
      <x:c r="A1224" s="60" t="n">
        <x:v>0.64</x:v>
      </x:c>
      <x:c r="B1224" s="28" t="str">
        <x:v>level_flat</x:v>
      </x:c>
      <x:c r="C1224" s="60" t="n">
        <x:v>0.95</x:v>
      </x:c>
      <x:c r="D1224" s="60" t="n">
        <x:v>0.9109811515371262</x:v>
      </x:c>
      <x:c r="E1224" s="62" t="b">
        <x:v>0</x:v>
      </x:c>
      <x:c r="F1224" s="62" t="b">
        <x:v>0</x:v>
      </x:c>
      <x:c r="G1224" s="85" t="n">
        <x:v>3053738.3156720824</x:v>
      </x:c>
      <x:c r="H1224" s="85" t="n">
        <x:v>11561911.178170096</x:v>
      </x:c>
      <x:c r="I1224" s="85" t="n">
        <x:v>13681653.117424652</x:v>
      </x:c>
      <x:c r="J1224" s="85" t="n">
        <x:v>14493440</x:v>
      </x:c>
      <x:c r="K1224" s="85" t="n">
        <x:v>4415.457945205657</x:v>
      </x:c>
      <x:c r="L1224" s="28" t="n">
        <x:v>44</x:v>
      </x:c>
      <x:c r="M1224" s="28" t="n">
        <x:v>38</x:v>
      </x:c>
      <x:c r="N1224" s="28" t="n">
        <x:v>2.3283064365386963e-10</x:v>
      </x:c>
      <x:c r="O1224" s="28" t="n">
        <x:v>3.725290298461914e-9</x:v>
      </x:c>
      <x:c r="P1224" s="28" t="n">
        <x:v>0</x:v>
      </x:c>
      <x:c r="Q1224" s="62" t="b">
        <x:v>1</x:v>
      </x:c>
      <x:c r="R1224" s="28" t="n">
        <x:v>2175066.688714437</x:v>
      </x:c>
      <x:c r="S1224" s="28" t="str">
        <x:v>a4d96c3d5c82898f</x:v>
      </x:c>
    </x:row>
    <x:row r="1225" ht="21" customHeight="1">
      <x:c r="A1225" s="60" t="n">
        <x:v>0.64</x:v>
      </x:c>
      <x:c r="B1225" s="28" t="str">
        <x:v>level_flat</x:v>
      </x:c>
      <x:c r="C1225" s="60" t="n">
        <x:v>1</x:v>
      </x:c>
      <x:c r="D1225" s="60" t="n">
        <x:v>0.9258453085724337</x:v>
      </x:c>
      <x:c r="E1225" s="62" t="b">
        <x:v>0</x:v>
      </x:c>
      <x:c r="F1225" s="62" t="b">
        <x:v>0</x:v>
      </x:c>
      <x:c r="G1225" s="85" t="n">
        <x:v>3369481.302830524</x:v>
      </x:c>
      <x:c r="H1225" s="85" t="n">
        <x:v>12243267.187643263</x:v>
      </x:c>
      <x:c r="I1225" s="85" t="n">
        <x:v>13697570.83972602</x:v>
      </x:c>
      <x:c r="J1225" s="85" t="n">
        <x:v>14493440</x:v>
      </x:c>
      <x:c r="K1225" s="85" t="n">
        <x:v>2410.288767123515</x:v>
      </x:c>
      <x:c r="L1225" s="28" t="n">
        <x:v>44</x:v>
      </x:c>
      <x:c r="M1225" s="28" t="n">
        <x:v>39</x:v>
      </x:c>
      <x:c r="N1225" s="28" t="n">
        <x:v>4.656612873077393e-10</x:v>
      </x:c>
      <x:c r="O1225" s="28" t="n">
        <x:v>1.862645149230957e-9</x:v>
      </x:c>
      <x:c r="P1225" s="28" t="n">
        <x:v>0</x:v>
      </x:c>
      <x:c r="Q1225" s="62" t="b">
        <x:v>1</x:v>
      </x:c>
      <x:c r="R1225" s="28" t="n">
        <x:v>4133679.1189382523</x:v>
      </x:c>
      <x:c r="S1225" s="28" t="str">
        <x:v>293b07c0dc6fb4d0</x:v>
      </x:c>
    </x:row>
    <x:row r="1226" ht="21" customHeight="1">
      <x:c r="A1226" s="60" t="n">
        <x:v>0.64</x:v>
      </x:c>
      <x:c r="B1226" s="28" t="str">
        <x:v>level_low</x:v>
      </x:c>
      <x:c r="C1226" s="60" t="n">
        <x:v>0</x:v>
      </x:c>
      <x:c r="D1226" s="60" t="n">
        <x:v>0</x:v>
      </x:c>
      <x:c r="E1226" s="62" t="b">
        <x:v>1</x:v>
      </x:c>
      <x:c r="F1226" s="62" t="b">
        <x:v>1</x:v>
      </x:c>
      <x:c r="G1226" s="85" t="n">
        <x:v>0</x:v>
      </x:c>
      <x:c r="H1226" s="85" t="n">
        <x:v>0</x:v>
      </x:c>
      <x:c r="I1226" s="85" t="n">
        <x:v>0</x:v>
      </x:c>
      <x:c r="J1226" s="85" t="n">
        <x:v>0</x:v>
      </x:c>
      <x:c r="K1226" s="85" t="n">
        <x:v>5297676.453479452</x:v>
      </x:c>
      <x:c r="L1226" s="28" t="n">
        <x:v>0</x:v>
      </x:c>
      <x:c r="M1226" s="28" t="n">
        <x:v>0</x:v>
      </x:c>
      <x:c r="N1226" s="28" t="n">
        <x:v>4.656612873077393e-10</x:v>
      </x:c>
      <x:c r="O1226" s="28" t="n">
        <x:v>0</x:v>
      </x:c>
      <x:c r="P1226" s="28" t="n">
        <x:v>0</x:v>
      </x:c>
      <x:c r="Q1226" s="62" t="b">
        <x:v>1</x:v>
      </x:c>
      <x:c r="R1226" s="28" t="n">
        <x:v>0</x:v>
      </x:c>
      <x:c r="S1226" s="28" t="str">
        <x:v>7c1590e56dad7040</x:v>
      </x:c>
    </x:row>
    <x:row r="1227" ht="21" customHeight="1">
      <x:c r="A1227" s="60" t="n">
        <x:v>0.64</x:v>
      </x:c>
      <x:c r="B1227" s="28" t="str">
        <x:v>level_low</x:v>
      </x:c>
      <x:c r="C1227" s="60" t="n">
        <x:v>0.05</x:v>
      </x:c>
      <x:c r="D1227" s="60" t="n">
        <x:v>0.05</x:v>
      </x:c>
      <x:c r="E1227" s="62" t="b">
        <x:v>1</x:v>
      </x:c>
      <x:c r="F1227" s="62" t="b">
        <x:v>1</x:v>
      </x:c>
      <x:c r="G1227" s="85" t="n">
        <x:v>0</x:v>
      </x:c>
      <x:c r="H1227" s="85" t="n">
        <x:v>0</x:v>
      </x:c>
      <x:c r="I1227" s="85" t="n">
        <x:v>0</x:v>
      </x:c>
      <x:c r="J1227" s="85" t="n">
        <x:v>0</x:v>
      </x:c>
      <x:c r="K1227" s="85" t="n">
        <x:v>3290198.452530501</x:v>
      </x:c>
      <x:c r="L1227" s="28" t="n">
        <x:v>0</x:v>
      </x:c>
      <x:c r="M1227" s="28" t="n">
        <x:v>0</x:v>
      </x:c>
      <x:c r="N1227" s="28" t="n">
        <x:v>4.656612873077393e-10</x:v>
      </x:c>
      <x:c r="O1227" s="28" t="n">
        <x:v>7.450580596923828e-9</x:v>
      </x:c>
      <x:c r="P1227" s="28" t="n">
        <x:v>0</x:v>
      </x:c>
      <x:c r="Q1227" s="62" t="b">
        <x:v>1</x:v>
      </x:c>
      <x:c r="R1227" s="28" t="n">
        <x:v>0</x:v>
      </x:c>
      <x:c r="S1227" s="28" t="str">
        <x:v>e09079f3ee1207f1</x:v>
      </x:c>
    </x:row>
    <x:row r="1228" ht="21" customHeight="1">
      <x:c r="A1228" s="60" t="n">
        <x:v>0.64</x:v>
      </x:c>
      <x:c r="B1228" s="28" t="str">
        <x:v>level_low</x:v>
      </x:c>
      <x:c r="C1228" s="60" t="n">
        <x:v>0.1</x:v>
      </x:c>
      <x:c r="D1228" s="60" t="n">
        <x:v>0.1</x:v>
      </x:c>
      <x:c r="E1228" s="62" t="b">
        <x:v>1</x:v>
      </x:c>
      <x:c r="F1228" s="62" t="b">
        <x:v>1</x:v>
      </x:c>
      <x:c r="G1228" s="85" t="n">
        <x:v>0</x:v>
      </x:c>
      <x:c r="H1228" s="85" t="n">
        <x:v>0</x:v>
      </x:c>
      <x:c r="I1228" s="85" t="n">
        <x:v>0</x:v>
      </x:c>
      <x:c r="J1228" s="85" t="n">
        <x:v>0</x:v>
      </x:c>
      <x:c r="K1228" s="85" t="n">
        <x:v>1284722.6989991833</x:v>
      </x:c>
      <x:c r="L1228" s="28" t="n">
        <x:v>0</x:v>
      </x:c>
      <x:c r="M1228" s="28" t="n">
        <x:v>0</x:v>
      </x:c>
      <x:c r="N1228" s="28" t="n">
        <x:v>2.3283064365386963e-10</x:v>
      </x:c>
      <x:c r="O1228" s="28" t="n">
        <x:v>7.450580596923828e-9</x:v>
      </x:c>
      <x:c r="P1228" s="28" t="n">
        <x:v>0</x:v>
      </x:c>
      <x:c r="Q1228" s="62" t="b">
        <x:v>1</x:v>
      </x:c>
      <x:c r="R1228" s="28" t="n">
        <x:v>0</x:v>
      </x:c>
      <x:c r="S1228" s="28" t="str">
        <x:v>d0051f18b754349e</x:v>
      </x:c>
    </x:row>
    <x:row r="1229" ht="21" customHeight="1">
      <x:c r="A1229" s="60" t="n">
        <x:v>0.64</x:v>
      </x:c>
      <x:c r="B1229" s="28" t="str">
        <x:v>level_low</x:v>
      </x:c>
      <x:c r="C1229" s="60" t="n">
        <x:v>0.15</x:v>
      </x:c>
      <x:c r="D1229" s="60" t="n">
        <x:v>0.15</x:v>
      </x:c>
      <x:c r="E1229" s="62" t="b">
        <x:v>1</x:v>
      </x:c>
      <x:c r="F1229" s="62" t="b">
        <x:v>1</x:v>
      </x:c>
      <x:c r="G1229" s="85" t="n">
        <x:v>0</x:v>
      </x:c>
      <x:c r="H1229" s="85" t="n">
        <x:v>0</x:v>
      </x:c>
      <x:c r="I1229" s="85" t="n">
        <x:v>588818.3237180565</x:v>
      </x:c>
      <x:c r="J1229" s="85" t="n">
        <x:v>0</x:v>
      </x:c>
      <x:c r="K1229" s="85" t="n">
        <x:v>49567.85043171205</x:v>
      </x:c>
      <x:c r="L1229" s="28" t="n">
        <x:v>0</x:v>
      </x:c>
      <x:c r="M1229" s="28" t="n">
        <x:v>0</x:v>
      </x:c>
      <x:c r="N1229" s="28" t="n">
        <x:v>2.3283064365386963e-10</x:v>
      </x:c>
      <x:c r="O1229" s="28" t="n">
        <x:v>7.450580596923828e-9</x:v>
      </x:c>
      <x:c r="P1229" s="28" t="n">
        <x:v>0</x:v>
      </x:c>
      <x:c r="Q1229" s="62" t="b">
        <x:v>1</x:v>
      </x:c>
      <x:c r="R1229" s="28" t="n">
        <x:v>0</x:v>
      </x:c>
      <x:c r="S1229" s="28" t="str">
        <x:v>edc3d2a1cdcae8c9</x:v>
      </x:c>
    </x:row>
    <x:row r="1230" ht="21" customHeight="1">
      <x:c r="A1230" s="60" t="n">
        <x:v>0.64</x:v>
      </x:c>
      <x:c r="B1230" s="28" t="str">
        <x:v>level_low</x:v>
      </x:c>
      <x:c r="C1230" s="60" t="n">
        <x:v>0.2</x:v>
      </x:c>
      <x:c r="D1230" s="60" t="n">
        <x:v>0.2</x:v>
      </x:c>
      <x:c r="E1230" s="62" t="b">
        <x:v>1</x:v>
      </x:c>
      <x:c r="F1230" s="62" t="b">
        <x:v>1</x:v>
      </x:c>
      <x:c r="G1230" s="85" t="n">
        <x:v>0</x:v>
      </x:c>
      <x:c r="H1230" s="85" t="n">
        <x:v>0</x:v>
      </x:c>
      <x:c r="I1230" s="85" t="n">
        <x:v>1716355.934465705</x:v>
      </x:c>
      <x:c r="J1230" s="85" t="n">
        <x:v>1248509.6821692996</x:v>
      </x:c>
      <x:c r="K1230" s="85" t="n">
        <x:v>33762.48794520492</x:v>
      </x:c>
      <x:c r="L1230" s="28" t="n">
        <x:v>0</x:v>
      </x:c>
      <x:c r="M1230" s="28" t="n">
        <x:v>0</x:v>
      </x:c>
      <x:c r="N1230" s="28" t="n">
        <x:v>4.656612873077393e-10</x:v>
      </x:c>
      <x:c r="O1230" s="28" t="n">
        <x:v>7.450580596923828e-9</x:v>
      </x:c>
      <x:c r="P1230" s="28" t="n">
        <x:v>0</x:v>
      </x:c>
      <x:c r="Q1230" s="62" t="b">
        <x:v>1</x:v>
      </x:c>
      <x:c r="R1230" s="28" t="n">
        <x:v>0</x:v>
      </x:c>
      <x:c r="S1230" s="28" t="str">
        <x:v>eea8501fb43454ee</x:v>
      </x:c>
    </x:row>
    <x:row r="1231" ht="21" customHeight="1">
      <x:c r="A1231" s="60" t="n">
        <x:v>0.64</x:v>
      </x:c>
      <x:c r="B1231" s="28" t="str">
        <x:v>level_low</x:v>
      </x:c>
      <x:c r="C1231" s="60" t="n">
        <x:v>0.25</x:v>
      </x:c>
      <x:c r="D1231" s="60" t="n">
        <x:v>0.25</x:v>
      </x:c>
      <x:c r="E1231" s="62" t="b">
        <x:v>1</x:v>
      </x:c>
      <x:c r="F1231" s="62" t="b">
        <x:v>1</x:v>
      </x:c>
      <x:c r="G1231" s="85" t="n">
        <x:v>0</x:v>
      </x:c>
      <x:c r="H1231" s="85" t="n">
        <x:v>0</x:v>
      </x:c>
      <x:c r="I1231" s="85" t="n">
        <x:v>2490585.1444930937</x:v>
      </x:c>
      <x:c r="J1231" s="85" t="n">
        <x:v>2954237.102711633</x:v>
      </x:c>
      <x:c r="K1231" s="85" t="n">
        <x:v>22835.219931506585</x:v>
      </x:c>
      <x:c r="L1231" s="28" t="n">
        <x:v>0</x:v>
      </x:c>
      <x:c r="M1231" s="28" t="n">
        <x:v>0</x:v>
      </x:c>
      <x:c r="N1231" s="28" t="n">
        <x:v>4.656612873077393e-10</x:v>
      </x:c>
      <x:c r="O1231" s="28" t="n">
        <x:v>7.450580596923828e-9</x:v>
      </x:c>
      <x:c r="P1231" s="28" t="n">
        <x:v>0</x:v>
      </x:c>
      <x:c r="Q1231" s="62" t="b">
        <x:v>1</x:v>
      </x:c>
      <x:c r="R1231" s="28" t="n">
        <x:v>0</x:v>
      </x:c>
      <x:c r="S1231" s="28" t="str">
        <x:v>1b51dbd7fa489e0c</x:v>
      </x:c>
    </x:row>
    <x:row r="1232" ht="21" customHeight="1">
      <x:c r="A1232" s="60" t="n">
        <x:v>0.64</x:v>
      </x:c>
      <x:c r="B1232" s="28" t="str">
        <x:v>level_low</x:v>
      </x:c>
      <x:c r="C1232" s="60" t="n">
        <x:v>0.3</x:v>
      </x:c>
      <x:c r="D1232" s="60" t="n">
        <x:v>0.3</x:v>
      </x:c>
      <x:c r="E1232" s="62" t="b">
        <x:v>1</x:v>
      </x:c>
      <x:c r="F1232" s="62" t="b">
        <x:v>1</x:v>
      </x:c>
      <x:c r="G1232" s="85" t="n">
        <x:v>0</x:v>
      </x:c>
      <x:c r="H1232" s="85" t="n">
        <x:v>0</x:v>
      </x:c>
      <x:c r="I1232" s="85" t="n">
        <x:v>3274337.001482116</x:v>
      </x:c>
      <x:c r="J1232" s="85" t="n">
        <x:v>4659964.523253945</x:v>
      </x:c>
      <x:c r="K1232" s="85" t="n">
        <x:v>18074.618657534073</x:v>
      </x:c>
      <x:c r="L1232" s="28" t="n">
        <x:v>0</x:v>
      </x:c>
      <x:c r="M1232" s="28" t="n">
        <x:v>0</x:v>
      </x:c>
      <x:c r="N1232" s="28" t="n">
        <x:v>4.656612873077393e-10</x:v>
      </x:c>
      <x:c r="O1232" s="28" t="n">
        <x:v>7.450580596923828e-9</x:v>
      </x:c>
      <x:c r="P1232" s="28" t="n">
        <x:v>0</x:v>
      </x:c>
      <x:c r="Q1232" s="62" t="b">
        <x:v>1</x:v>
      </x:c>
      <x:c r="R1232" s="28" t="n">
        <x:v>0</x:v>
      </x:c>
      <x:c r="S1232" s="28" t="str">
        <x:v>1169756d26d2fa5f</x:v>
      </x:c>
    </x:row>
    <x:row r="1233" ht="21" customHeight="1">
      <x:c r="A1233" s="60" t="n">
        <x:v>0.64</x:v>
      </x:c>
      <x:c r="B1233" s="28" t="str">
        <x:v>level_low</x:v>
      </x:c>
      <x:c r="C1233" s="60" t="n">
        <x:v>0.35</x:v>
      </x:c>
      <x:c r="D1233" s="60" t="n">
        <x:v>0.35</x:v>
      </x:c>
      <x:c r="E1233" s="62" t="b">
        <x:v>1</x:v>
      </x:c>
      <x:c r="F1233" s="62" t="b">
        <x:v>1</x:v>
      </x:c>
      <x:c r="G1233" s="85" t="n">
        <x:v>0</x:v>
      </x:c>
      <x:c r="H1233" s="85" t="n">
        <x:v>0</x:v>
      </x:c>
      <x:c r="I1233" s="85" t="n">
        <x:v>4059863.8500280045</x:v>
      </x:c>
      <x:c r="J1233" s="85" t="n">
        <x:v>6365691.9437962575</x:v>
      </x:c>
      <x:c r="K1233" s="85" t="n">
        <x:v>14684.154479452107</x:v>
      </x:c>
      <x:c r="L1233" s="28" t="n">
        <x:v>0</x:v>
      </x:c>
      <x:c r="M1233" s="28" t="n">
        <x:v>0</x:v>
      </x:c>
      <x:c r="N1233" s="28" t="n">
        <x:v>9.313225746154785e-10</x:v>
      </x:c>
      <x:c r="O1233" s="28" t="n">
        <x:v>7.450580596923828e-9</x:v>
      </x:c>
      <x:c r="P1233" s="28" t="n">
        <x:v>0</x:v>
      </x:c>
      <x:c r="Q1233" s="62" t="b">
        <x:v>1</x:v>
      </x:c>
      <x:c r="R1233" s="28" t="n">
        <x:v>0</x:v>
      </x:c>
      <x:c r="S1233" s="28" t="str">
        <x:v>aa63741825882af0</x:v>
      </x:c>
    </x:row>
    <x:row r="1234" ht="21" customHeight="1">
      <x:c r="A1234" s="60" t="n">
        <x:v>0.64</x:v>
      </x:c>
      <x:c r="B1234" s="28" t="str">
        <x:v>level_low</x:v>
      </x:c>
      <x:c r="C1234" s="60" t="n">
        <x:v>0.4</x:v>
      </x:c>
      <x:c r="D1234" s="60" t="n">
        <x:v>0.4</x:v>
      </x:c>
      <x:c r="E1234" s="62" t="b">
        <x:v>1</x:v>
      </x:c>
      <x:c r="F1234" s="62" t="b">
        <x:v>1</x:v>
      </x:c>
      <x:c r="G1234" s="85" t="n">
        <x:v>0</x:v>
      </x:c>
      <x:c r="H1234" s="85" t="n">
        <x:v>0</x:v>
      </x:c>
      <x:c r="I1234" s="85" t="n">
        <x:v>4851664.826051582</x:v>
      </x:c>
      <x:c r="J1234" s="85" t="n">
        <x:v>8071419.3643386</x:v>
      </x:c>
      <x:c r="K1234" s="85" t="n">
        <x:v>11293.69030136968</x:v>
      </x:c>
      <x:c r="L1234" s="28" t="n">
        <x:v>0</x:v>
      </x:c>
      <x:c r="M1234" s="28" t="n">
        <x:v>0</x:v>
      </x:c>
      <x:c r="N1234" s="28" t="n">
        <x:v>9.313225746154785e-10</x:v>
      </x:c>
      <x:c r="O1234" s="28" t="n">
        <x:v>7.450580596923828e-9</x:v>
      </x:c>
      <x:c r="P1234" s="28" t="n">
        <x:v>0</x:v>
      </x:c>
      <x:c r="Q1234" s="62" t="b">
        <x:v>1</x:v>
      </x:c>
      <x:c r="R1234" s="28" t="n">
        <x:v>0</x:v>
      </x:c>
      <x:c r="S1234" s="28" t="str">
        <x:v>fb58fbaf32b5c6d7</x:v>
      </x:c>
    </x:row>
    <x:row r="1235" ht="21" customHeight="1">
      <x:c r="A1235" s="60" t="n">
        <x:v>0.64</x:v>
      </x:c>
      <x:c r="B1235" s="28" t="str">
        <x:v>level_low</x:v>
      </x:c>
      <x:c r="C1235" s="60" t="n">
        <x:v>0.45</x:v>
      </x:c>
      <x:c r="D1235" s="60" t="n">
        <x:v>0.45</x:v>
      </x:c>
      <x:c r="E1235" s="62" t="b">
        <x:v>1</x:v>
      </x:c>
      <x:c r="F1235" s="62" t="b">
        <x:v>1</x:v>
      </x:c>
      <x:c r="G1235" s="85" t="n">
        <x:v>0</x:v>
      </x:c>
      <x:c r="H1235" s="85" t="n">
        <x:v>0</x:v>
      </x:c>
      <x:c r="I1235" s="85" t="n">
        <x:v>5891842.550052356</x:v>
      </x:c>
      <x:c r="J1235" s="85" t="n">
        <x:v>9379573.567169027</x:v>
      </x:c>
      <x:c r="K1235" s="85" t="n">
        <x:v>7903.226123287481</x:v>
      </x:c>
      <x:c r="L1235" s="28" t="n">
        <x:v>5</x:v>
      </x:c>
      <x:c r="M1235" s="28" t="n">
        <x:v>0</x:v>
      </x:c>
      <x:c r="N1235" s="28" t="n">
        <x:v>9.313225746154785e-10</x:v>
      </x:c>
      <x:c r="O1235" s="28" t="n">
        <x:v>3.725290298461914e-9</x:v>
      </x:c>
      <x:c r="P1235" s="28" t="n">
        <x:v>0</x:v>
      </x:c>
      <x:c r="Q1235" s="62" t="b">
        <x:v>1</x:v>
      </x:c>
      <x:c r="R1235" s="28" t="n">
        <x:v>0</x:v>
      </x:c>
      <x:c r="S1235" s="28" t="str">
        <x:v>90f27af96105f1c7</x:v>
      </x:c>
    </x:row>
    <x:row r="1236" ht="21" customHeight="1">
      <x:c r="A1236" s="60" t="n">
        <x:v>0.64</x:v>
      </x:c>
      <x:c r="B1236" s="28" t="str">
        <x:v>level_low</x:v>
      </x:c>
      <x:c r="C1236" s="60" t="n">
        <x:v>0.5</x:v>
      </x:c>
      <x:c r="D1236" s="60" t="n">
        <x:v>0.5</x:v>
      </x:c>
      <x:c r="E1236" s="62" t="b">
        <x:v>1</x:v>
      </x:c>
      <x:c r="F1236" s="62" t="b">
        <x:v>1</x:v>
      </x:c>
      <x:c r="G1236" s="85" t="n">
        <x:v>0</x:v>
      </x:c>
      <x:c r="H1236" s="85" t="n">
        <x:v>0</x:v>
      </x:c>
      <x:c r="I1236" s="85" t="n">
        <x:v>6865951.5030052895</x:v>
      </x:c>
      <x:c r="J1236" s="85" t="n">
        <x:v>10766757.752583813</x:v>
      </x:c>
      <x:c r="K1236" s="85" t="n">
        <x:v>4512.76194520534</x:v>
      </x:c>
      <x:c r="L1236" s="28" t="n">
        <x:v>9</x:v>
      </x:c>
      <x:c r="M1236" s="28" t="n">
        <x:v>0</x:v>
      </x:c>
      <x:c r="N1236" s="28" t="n">
        <x:v>2.3283064365386963e-10</x:v>
      </x:c>
      <x:c r="O1236" s="28" t="n">
        <x:v>3.725290298461914e-9</x:v>
      </x:c>
      <x:c r="P1236" s="28" t="n">
        <x:v>0</x:v>
      </x:c>
      <x:c r="Q1236" s="62" t="b">
        <x:v>1</x:v>
      </x:c>
      <x:c r="R1236" s="28" t="n">
        <x:v>0</x:v>
      </x:c>
      <x:c r="S1236" s="28" t="str">
        <x:v>4cc68833e2188d10</x:v>
      </x:c>
    </x:row>
    <x:row r="1237" ht="21" customHeight="1">
      <x:c r="A1237" s="60" t="n">
        <x:v>0.64</x:v>
      </x:c>
      <x:c r="B1237" s="28" t="str">
        <x:v>level_low</x:v>
      </x:c>
      <x:c r="C1237" s="60" t="n">
        <x:v>0.55</x:v>
      </x:c>
      <x:c r="D1237" s="60" t="n">
        <x:v>0.55</x:v>
      </x:c>
      <x:c r="E1237" s="62" t="b">
        <x:v>1</x:v>
      </x:c>
      <x:c r="F1237" s="62" t="b">
        <x:v>1</x:v>
      </x:c>
      <x:c r="G1237" s="85" t="n">
        <x:v>0</x:v>
      </x:c>
      <x:c r="H1237" s="85" t="n">
        <x:v>0</x:v>
      </x:c>
      <x:c r="I1237" s="85" t="n">
        <x:v>7776919.755084731</x:v>
      </x:c>
      <x:c r="J1237" s="85" t="n">
        <x:v>12250693.057491794</x:v>
      </x:c>
      <x:c r="K1237" s="85" t="n">
        <x:v>1122.297767123262</x:v>
      </x:c>
      <x:c r="L1237" s="28" t="n">
        <x:v>13</x:v>
      </x:c>
      <x:c r="M1237" s="28" t="n">
        <x:v>0</x:v>
      </x:c>
      <x:c r="N1237" s="28" t="n">
        <x:v>4.656612873077393e-10</x:v>
      </x:c>
      <x:c r="O1237" s="28" t="n">
        <x:v>3.725290298461914e-9</x:v>
      </x:c>
      <x:c r="P1237" s="28" t="n">
        <x:v>0</x:v>
      </x:c>
      <x:c r="Q1237" s="62" t="b">
        <x:v>1</x:v>
      </x:c>
      <x:c r="R1237" s="28" t="n">
        <x:v>0</x:v>
      </x:c>
      <x:c r="S1237" s="28" t="str">
        <x:v>8ea6a20e9c628d5c</x:v>
      </x:c>
    </x:row>
    <x:row r="1238" ht="21" customHeight="1">
      <x:c r="A1238" s="60" t="n">
        <x:v>0.64</x:v>
      </x:c>
      <x:c r="B1238" s="28" t="str">
        <x:v>level_low</x:v>
      </x:c>
      <x:c r="C1238" s="60" t="n">
        <x:v>0.6</x:v>
      </x:c>
      <x:c r="D1238" s="60" t="n">
        <x:v>0.6</x:v>
      </x:c>
      <x:c r="E1238" s="62" t="b">
        <x:v>1</x:v>
      </x:c>
      <x:c r="F1238" s="62" t="b">
        <x:v>1</x:v>
      </x:c>
      <x:c r="G1238" s="85" t="n">
        <x:v>0</x:v>
      </x:c>
      <x:c r="H1238" s="85" t="n">
        <x:v>0</x:v>
      </x:c>
      <x:c r="I1238" s="85" t="n">
        <x:v>8661922.786488283</x:v>
      </x:c>
      <x:c r="J1238" s="85" t="n">
        <x:v>13773633.280700313</x:v>
      </x:c>
      <x:c r="K1238" s="85" t="n">
        <x:v>0</x:v>
      </x:c>
      <x:c r="L1238" s="28" t="n">
        <x:v>18</x:v>
      </x:c>
      <x:c r="M1238" s="28" t="n">
        <x:v>0</x:v>
      </x:c>
      <x:c r="N1238" s="28" t="n">
        <x:v>4.656612873077393e-10</x:v>
      </x:c>
      <x:c r="O1238" s="28" t="n">
        <x:v>7.450580596923828e-9</x:v>
      </x:c>
      <x:c r="P1238" s="28" t="n">
        <x:v>0</x:v>
      </x:c>
      <x:c r="Q1238" s="62" t="b">
        <x:v>1</x:v>
      </x:c>
      <x:c r="R1238" s="28" t="n">
        <x:v>0</x:v>
      </x:c>
      <x:c r="S1238" s="28" t="str">
        <x:v>dd287b095542dc7f</x:v>
      </x:c>
    </x:row>
    <x:row r="1239" ht="21" customHeight="1">
      <x:c r="A1239" s="60" t="n">
        <x:v>0.64</x:v>
      </x:c>
      <x:c r="B1239" s="28" t="str">
        <x:v>level_low</x:v>
      </x:c>
      <x:c r="C1239" s="60" t="n">
        <x:v>0.65</x:v>
      </x:c>
      <x:c r="D1239" s="60" t="n">
        <x:v>0.65</x:v>
      </x:c>
      <x:c r="E1239" s="62" t="b">
        <x:v>1</x:v>
      </x:c>
      <x:c r="F1239" s="62" t="b">
        <x:v>0</x:v>
      </x:c>
      <x:c r="G1239" s="85" t="n">
        <x:v>85275.429706466</x:v>
      </x:c>
      <x:c r="H1239" s="85" t="n">
        <x:v>1064180.5906198635</x:v>
      </x:c>
      <x:c r="I1239" s="85" t="n">
        <x:v>9070077.791354455</x:v>
      </x:c>
      <x:c r="J1239" s="85" t="n">
        <x:v>14493440</x:v>
      </x:c>
      <x:c r="K1239" s="85" t="n">
        <x:v>0</x:v>
      </x:c>
      <x:c r="L1239" s="28" t="n">
        <x:v>41</x:v>
      </x:c>
      <x:c r="M1239" s="28" t="n">
        <x:v>29</x:v>
      </x:c>
      <x:c r="N1239" s="28" t="n">
        <x:v>4.656612873077393e-10</x:v>
      </x:c>
      <x:c r="O1239" s="28" t="n">
        <x:v>3.725290298461914e-9</x:v>
      </x:c>
      <x:c r="P1239" s="28" t="n">
        <x:v>0</x:v>
      </x:c>
      <x:c r="Q1239" s="62" t="b">
        <x:v>1</x:v>
      </x:c>
      <x:c r="R1239" s="28" t="n">
        <x:v>0</x:v>
      </x:c>
      <x:c r="S1239" s="28" t="str">
        <x:v>a0983d66aeef1280</x:v>
      </x:c>
    </x:row>
    <x:row r="1240" ht="21" customHeight="1">
      <x:c r="A1240" s="60" t="n">
        <x:v>0.64</x:v>
      </x:c>
      <x:c r="B1240" s="28" t="str">
        <x:v>level_low</x:v>
      </x:c>
      <x:c r="C1240" s="60" t="n">
        <x:v>0.7</x:v>
      </x:c>
      <x:c r="D1240" s="60" t="n">
        <x:v>0.7</x:v>
      </x:c>
      <x:c r="E1240" s="62" t="b">
        <x:v>1</x:v>
      </x:c>
      <x:c r="F1240" s="62" t="b">
        <x:v>0</x:v>
      </x:c>
      <x:c r="G1240" s="85" t="n">
        <x:v>248164.6776010957</x:v>
      </x:c>
      <x:c r="H1240" s="85" t="n">
        <x:v>3089663.173013286</x:v>
      </x:c>
      <x:c r="I1240" s="85" t="n">
        <x:v>9096613.71437329</x:v>
      </x:c>
      <x:c r="J1240" s="85" t="n">
        <x:v>14493440</x:v>
      </x:c>
      <x:c r="K1240" s="85" t="n">
        <x:v>0</x:v>
      </x:c>
      <x:c r="L1240" s="28" t="n">
        <x:v>41</x:v>
      </x:c>
      <x:c r="M1240" s="28" t="n">
        <x:v>31</x:v>
      </x:c>
      <x:c r="N1240" s="28" t="n">
        <x:v>4.656612873077393e-10</x:v>
      </x:c>
      <x:c r="O1240" s="28" t="n">
        <x:v>3.725290298461914e-9</x:v>
      </x:c>
      <x:c r="P1240" s="28" t="n">
        <x:v>0</x:v>
      </x:c>
      <x:c r="Q1240" s="62" t="b">
        <x:v>1</x:v>
      </x:c>
      <x:c r="R1240" s="28" t="n">
        <x:v>0</x:v>
      </x:c>
      <x:c r="S1240" s="28" t="str">
        <x:v>8cfc95bfa0b97c5d</x:v>
      </x:c>
    </x:row>
    <x:row r="1241" ht="21" customHeight="1">
      <x:c r="A1241" s="60" t="n">
        <x:v>0.64</x:v>
      </x:c>
      <x:c r="B1241" s="28" t="str">
        <x:v>level_low</x:v>
      </x:c>
      <x:c r="C1241" s="60" t="n">
        <x:v>0.75</x:v>
      </x:c>
      <x:c r="D1241" s="60" t="n">
        <x:v>0.75</x:v>
      </x:c>
      <x:c r="E1241" s="62" t="b">
        <x:v>1</x:v>
      </x:c>
      <x:c r="F1241" s="62" t="b">
        <x:v>0</x:v>
      </x:c>
      <x:c r="G1241" s="85" t="n">
        <x:v>397531.11330592976</x:v>
      </x:c>
      <x:c r="H1241" s="85" t="n">
        <x:v>4946934.579986411</x:v>
      </x:c>
      <x:c r="I1241" s="85" t="n">
        <x:v>9270474.339800345</x:v>
      </x:c>
      <x:c r="J1241" s="85" t="n">
        <x:v>14493440</x:v>
      </x:c>
      <x:c r="K1241" s="85" t="n">
        <x:v>0</x:v>
      </x:c>
      <x:c r="L1241" s="28" t="n">
        <x:v>42</x:v>
      </x:c>
      <x:c r="M1241" s="28" t="n">
        <x:v>32</x:v>
      </x:c>
      <x:c r="N1241" s="28" t="n">
        <x:v>2.3283064365386963e-10</x:v>
      </x:c>
      <x:c r="O1241" s="28" t="n">
        <x:v>3.725290298461914e-9</x:v>
      </x:c>
      <x:c r="P1241" s="28" t="n">
        <x:v>0</x:v>
      </x:c>
      <x:c r="Q1241" s="62" t="b">
        <x:v>1</x:v>
      </x:c>
      <x:c r="R1241" s="28" t="n">
        <x:v>0</x:v>
      </x:c>
      <x:c r="S1241" s="28" t="str">
        <x:v>11f1b009e147df47</x:v>
      </x:c>
    </x:row>
    <x:row r="1242" ht="21" customHeight="1">
      <x:c r="A1242" s="60" t="n">
        <x:v>0.64</x:v>
      </x:c>
      <x:c r="B1242" s="28" t="str">
        <x:v>level_low</x:v>
      </x:c>
      <x:c r="C1242" s="60" t="n">
        <x:v>0.8</x:v>
      </x:c>
      <x:c r="D1242" s="60" t="n">
        <x:v>0.8</x:v>
      </x:c>
      <x:c r="E1242" s="62" t="b">
        <x:v>1</x:v>
      </x:c>
      <x:c r="F1242" s="62" t="b">
        <x:v>0</x:v>
      </x:c>
      <x:c r="G1242" s="85" t="n">
        <x:v>574625.7084922853</x:v>
      </x:c>
      <x:c r="H1242" s="85" t="n">
        <x:v>6734084.612027836</x:v>
      </x:c>
      <x:c r="I1242" s="85" t="n">
        <x:v>9452304.546191784</x:v>
      </x:c>
      <x:c r="J1242" s="85" t="n">
        <x:v>14493440</x:v>
      </x:c>
      <x:c r="K1242" s="85" t="n">
        <x:v>0</x:v>
      </x:c>
      <x:c r="L1242" s="28" t="n">
        <x:v>43</x:v>
      </x:c>
      <x:c r="M1242" s="28" t="n">
        <x:v>33</x:v>
      </x:c>
      <x:c r="N1242" s="28" t="n">
        <x:v>4.656612873077393e-10</x:v>
      </x:c>
      <x:c r="O1242" s="28" t="n">
        <x:v>3.725290298461914e-9</x:v>
      </x:c>
      <x:c r="P1242" s="28" t="n">
        <x:v>0</x:v>
      </x:c>
      <x:c r="Q1242" s="62" t="b">
        <x:v>1</x:v>
      </x:c>
      <x:c r="R1242" s="28" t="n">
        <x:v>0</x:v>
      </x:c>
      <x:c r="S1242" s="28" t="str">
        <x:v>7cdeca506c6027f4</x:v>
      </x:c>
    </x:row>
    <x:row r="1243" ht="21" customHeight="1">
      <x:c r="A1243" s="60" t="n">
        <x:v>0.64</x:v>
      </x:c>
      <x:c r="B1243" s="28" t="str">
        <x:v>level_low</x:v>
      </x:c>
      <x:c r="C1243" s="60" t="n">
        <x:v>0.85</x:v>
      </x:c>
      <x:c r="D1243" s="60" t="n">
        <x:v>0.85</x:v>
      </x:c>
      <x:c r="E1243" s="62" t="b">
        <x:v>1</x:v>
      </x:c>
      <x:c r="F1243" s="62" t="b">
        <x:v>0</x:v>
      </x:c>
      <x:c r="G1243" s="85" t="n">
        <x:v>786391.7868857369</x:v>
      </x:c>
      <x:c r="H1243" s="85" t="n">
        <x:v>8665753.321047232</x:v>
      </x:c>
      <x:c r="I1243" s="85" t="n">
        <x:v>9465461.63361644</x:v>
      </x:c>
      <x:c r="J1243" s="85" t="n">
        <x:v>14493440</x:v>
      </x:c>
      <x:c r="K1243" s="85" t="n">
        <x:v>0</x:v>
      </x:c>
      <x:c r="L1243" s="28" t="n">
        <x:v>43</x:v>
      </x:c>
      <x:c r="M1243" s="28" t="n">
        <x:v>34</x:v>
      </x:c>
      <x:c r="N1243" s="28" t="n">
        <x:v>4.656612873077393e-10</x:v>
      </x:c>
      <x:c r="O1243" s="28" t="n">
        <x:v>3.725290298461914e-9</x:v>
      </x:c>
      <x:c r="P1243" s="28" t="n">
        <x:v>0</x:v>
      </x:c>
      <x:c r="Q1243" s="62" t="b">
        <x:v>1</x:v>
      </x:c>
      <x:c r="R1243" s="28" t="n">
        <x:v>0</x:v>
      </x:c>
      <x:c r="S1243" s="28" t="str">
        <x:v>b5c408c7a0fdd14b</x:v>
      </x:c>
    </x:row>
    <x:row r="1244" ht="21" customHeight="1">
      <x:c r="A1244" s="60" t="n">
        <x:v>0.64</x:v>
      </x:c>
      <x:c r="B1244" s="28" t="str">
        <x:v>level_low</x:v>
      </x:c>
      <x:c r="C1244" s="60" t="n">
        <x:v>0.9</x:v>
      </x:c>
      <x:c r="D1244" s="60" t="n">
        <x:v>0.8949513562027351</x:v>
      </x:c>
      <x:c r="E1244" s="62" t="b">
        <x:v>0</x:v>
      </x:c>
      <x:c r="F1244" s="62" t="b">
        <x:v>0</x:v>
      </x:c>
      <x:c r="G1244" s="85" t="n">
        <x:v>1138105.423943183</x:v>
      </x:c>
      <x:c r="H1244" s="85" t="n">
        <x:v>9978824.370973645</x:v>
      </x:c>
      <x:c r="I1244" s="85" t="n">
        <x:v>9632016.59331507</x:v>
      </x:c>
      <x:c r="J1244" s="85" t="n">
        <x:v>14493440</x:v>
      </x:c>
      <x:c r="K1244" s="85" t="n">
        <x:v>0</x:v>
      </x:c>
      <x:c r="L1244" s="28" t="n">
        <x:v>44</x:v>
      </x:c>
      <x:c r="M1244" s="28" t="n">
        <x:v>34</x:v>
      </x:c>
      <x:c r="N1244" s="28" t="n">
        <x:v>4.656612873077393e-10</x:v>
      </x:c>
      <x:c r="O1244" s="28" t="n">
        <x:v>3.725290298461914e-9</x:v>
      </x:c>
      <x:c r="P1244" s="28" t="n">
        <x:v>0</x:v>
      </x:c>
      <x:c r="Q1244" s="62" t="b">
        <x:v>1</x:v>
      </x:c>
      <x:c r="R1244" s="28" t="n">
        <x:v>281431.5998347327</x:v>
      </x:c>
      <x:c r="S1244" s="28" t="str">
        <x:v>e0003f71a17cffa1</x:v>
      </x:c>
    </x:row>
    <x:row r="1245" ht="21" customHeight="1">
      <x:c r="A1245" s="60" t="n">
        <x:v>0.64</x:v>
      </x:c>
      <x:c r="B1245" s="28" t="str">
        <x:v>level_low</x:v>
      </x:c>
      <x:c r="C1245" s="60" t="n">
        <x:v>0.95</x:v>
      </x:c>
      <x:c r="D1245" s="60" t="n">
        <x:v>0.9109811515371262</x:v>
      </x:c>
      <x:c r="E1245" s="62" t="b">
        <x:v>0</x:v>
      </x:c>
      <x:c r="F1245" s="62" t="b">
        <x:v>0</x:v>
      </x:c>
      <x:c r="G1245" s="85" t="n">
        <x:v>1222595.305947299</x:v>
      </x:c>
      <x:c r="H1245" s="85" t="n">
        <x:v>10719625.421479356</x:v>
      </x:c>
      <x:c r="I1245" s="85" t="n">
        <x:v>9639816.84482192</x:v>
      </x:c>
      <x:c r="J1245" s="85" t="n">
        <x:v>14493440</x:v>
      </x:c>
      <x:c r="K1245" s="85" t="n">
        <x:v>0</x:v>
      </x:c>
      <x:c r="L1245" s="28" t="n">
        <x:v>44</x:v>
      </x:c>
      <x:c r="M1245" s="28" t="n">
        <x:v>36</x:v>
      </x:c>
      <x:c r="N1245" s="28" t="n">
        <x:v>2.3283064365386963e-10</x:v>
      </x:c>
      <x:c r="O1245" s="28" t="n">
        <x:v>3.725290298461914e-9</x:v>
      </x:c>
      <x:c r="P1245" s="28" t="n">
        <x:v>0</x:v>
      </x:c>
      <x:c r="Q1245" s="62" t="b">
        <x:v>1</x:v>
      </x:c>
      <x:c r="R1245" s="28" t="n">
        <x:v>2175066.688714437</x:v>
      </x:c>
      <x:c r="S1245" s="28" t="str">
        <x:v>9f2b51e973329026</x:v>
      </x:c>
    </x:row>
    <x:row r="1246" ht="21" customHeight="1">
      <x:c r="A1246" s="60" t="n">
        <x:v>0.64</x:v>
      </x:c>
      <x:c r="B1246" s="28" t="str">
        <x:v>level_low</x:v>
      </x:c>
      <x:c r="C1246" s="60" t="n">
        <x:v>1</x:v>
      </x:c>
      <x:c r="D1246" s="60" t="n">
        <x:v>0.9258453085724337</x:v>
      </x:c>
      <x:c r="E1246" s="62" t="b">
        <x:v>0</x:v>
      </x:c>
      <x:c r="F1246" s="62" t="b">
        <x:v>0</x:v>
      </x:c>
      <x:c r="G1246" s="85" t="n">
        <x:v>1348466.6162657603</x:v>
      </x:c>
      <x:c r="H1246" s="85" t="n">
        <x:v>11346803.949950488</x:v>
      </x:c>
      <x:c r="I1246" s="85" t="n">
        <x:v>9647617.09632877</x:v>
      </x:c>
      <x:c r="J1246" s="85" t="n">
        <x:v>14493440</x:v>
      </x:c>
      <x:c r="K1246" s="85" t="n">
        <x:v>0</x:v>
      </x:c>
      <x:c r="L1246" s="28" t="n">
        <x:v>44</x:v>
      </x:c>
      <x:c r="M1246" s="28" t="n">
        <x:v>36</x:v>
      </x:c>
      <x:c r="N1246" s="28" t="n">
        <x:v>2.3283064365386963e-10</x:v>
      </x:c>
      <x:c r="O1246" s="28" t="n">
        <x:v>1.862645149230957e-9</x:v>
      </x:c>
      <x:c r="P1246" s="28" t="n">
        <x:v>0</x:v>
      </x:c>
      <x:c r="Q1246" s="62" t="b">
        <x:v>1</x:v>
      </x:c>
      <x:c r="R1246" s="28" t="n">
        <x:v>4133679.1189382523</x:v>
      </x:c>
      <x:c r="S1246" s="28" t="str">
        <x:v>cfe23e7806cc7a37</x:v>
      </x:c>
    </x:row>
    <x:row r="1247" ht="21" customHeight="1">
      <x:c r="A1247" s="60" t="n">
        <x:v>0.64</x:v>
      </x:c>
      <x:c r="B1247" s="28" t="str">
        <x:v>level_high</x:v>
      </x:c>
      <x:c r="C1247" s="60" t="n">
        <x:v>0</x:v>
      </x:c>
      <x:c r="D1247" s="60" t="n">
        <x:v>0</x:v>
      </x:c>
      <x:c r="E1247" s="62" t="b">
        <x:v>1</x:v>
      </x:c>
      <x:c r="F1247" s="62" t="b">
        <x:v>1</x:v>
      </x:c>
      <x:c r="G1247" s="85" t="n">
        <x:v>0</x:v>
      </x:c>
      <x:c r="H1247" s="85" t="n">
        <x:v>0</x:v>
      </x:c>
      <x:c r="I1247" s="85" t="n">
        <x:v>0</x:v>
      </x:c>
      <x:c r="J1247" s="85" t="n">
        <x:v>0</x:v>
      </x:c>
      <x:c r="K1247" s="85" t="n">
        <x:v>6986973.094575343</x:v>
      </x:c>
      <x:c r="L1247" s="28" t="n">
        <x:v>0</x:v>
      </x:c>
      <x:c r="M1247" s="28" t="n">
        <x:v>0</x:v>
      </x:c>
      <x:c r="N1247" s="28" t="n">
        <x:v>9.313225746154785e-10</x:v>
      </x:c>
      <x:c r="O1247" s="28" t="n">
        <x:v>0</x:v>
      </x:c>
      <x:c r="P1247" s="28" t="n">
        <x:v>0</x:v>
      </x:c>
      <x:c r="Q1247" s="62" t="b">
        <x:v>1</x:v>
      </x:c>
      <x:c r="R1247" s="28" t="n">
        <x:v>0</x:v>
      </x:c>
      <x:c r="S1247" s="28" t="str">
        <x:v>34b774acbe925a1e</x:v>
      </x:c>
    </x:row>
    <x:row r="1248" ht="21" customHeight="1">
      <x:c r="A1248" s="60" t="n">
        <x:v>0.64</x:v>
      </x:c>
      <x:c r="B1248" s="28" t="str">
        <x:v>level_high</x:v>
      </x:c>
      <x:c r="C1248" s="60" t="n">
        <x:v>0.05</x:v>
      </x:c>
      <x:c r="D1248" s="60" t="n">
        <x:v>0.05</x:v>
      </x:c>
      <x:c r="E1248" s="62" t="b">
        <x:v>1</x:v>
      </x:c>
      <x:c r="F1248" s="62" t="b">
        <x:v>1</x:v>
      </x:c>
      <x:c r="G1248" s="85" t="n">
        <x:v>0</x:v>
      </x:c>
      <x:c r="H1248" s="85" t="n">
        <x:v>0</x:v>
      </x:c>
      <x:c r="I1248" s="85" t="n">
        <x:v>0</x:v>
      </x:c>
      <x:c r="J1248" s="85" t="n">
        <x:v>0</x:v>
      </x:c>
      <x:c r="K1248" s="85" t="n">
        <x:v>4488923.740243502</x:v>
      </x:c>
      <x:c r="L1248" s="28" t="n">
        <x:v>0</x:v>
      </x:c>
      <x:c r="M1248" s="28" t="n">
        <x:v>0</x:v>
      </x:c>
      <x:c r="N1248" s="28" t="n">
        <x:v>9.313225746154785e-10</x:v>
      </x:c>
      <x:c r="O1248" s="28" t="n">
        <x:v>7.450580596923828e-9</x:v>
      </x:c>
      <x:c r="P1248" s="28" t="n">
        <x:v>0</x:v>
      </x:c>
      <x:c r="Q1248" s="62" t="b">
        <x:v>1</x:v>
      </x:c>
      <x:c r="R1248" s="28" t="n">
        <x:v>0</x:v>
      </x:c>
      <x:c r="S1248" s="28" t="str">
        <x:v>132e442699cc7955</x:v>
      </x:c>
    </x:row>
    <x:row r="1249" ht="21" customHeight="1">
      <x:c r="A1249" s="60" t="n">
        <x:v>0.64</x:v>
      </x:c>
      <x:c r="B1249" s="28" t="str">
        <x:v>level_high</x:v>
      </x:c>
      <x:c r="C1249" s="60" t="n">
        <x:v>0.1</x:v>
      </x:c>
      <x:c r="D1249" s="60" t="n">
        <x:v>0.1</x:v>
      </x:c>
      <x:c r="E1249" s="62" t="b">
        <x:v>1</x:v>
      </x:c>
      <x:c r="F1249" s="62" t="b">
        <x:v>1</x:v>
      </x:c>
      <x:c r="G1249" s="85" t="n">
        <x:v>0</x:v>
      </x:c>
      <x:c r="H1249" s="85" t="n">
        <x:v>0</x:v>
      </x:c>
      <x:c r="I1249" s="85" t="n">
        <x:v>0</x:v>
      </x:c>
      <x:c r="J1249" s="85" t="n">
        <x:v>0</x:v>
      </x:c>
      <x:c r="K1249" s="85" t="n">
        <x:v>1992802.5521582272</x:v>
      </x:c>
      <x:c r="L1249" s="28" t="n">
        <x:v>0</x:v>
      </x:c>
      <x:c r="M1249" s="28" t="n">
        <x:v>0</x:v>
      </x:c>
      <x:c r="N1249" s="28" t="n">
        <x:v>4.656612873077393e-10</x:v>
      </x:c>
      <x:c r="O1249" s="28" t="n">
        <x:v>7.450580596923828e-9</x:v>
      </x:c>
      <x:c r="P1249" s="28" t="n">
        <x:v>0</x:v>
      </x:c>
      <x:c r="Q1249" s="62" t="b">
        <x:v>1</x:v>
      </x:c>
      <x:c r="R1249" s="28" t="n">
        <x:v>0</x:v>
      </x:c>
      <x:c r="S1249" s="28" t="str">
        <x:v>85c3521fb97776a5</x:v>
      </x:c>
    </x:row>
    <x:row r="1250" ht="21" customHeight="1">
      <x:c r="A1250" s="60" t="n">
        <x:v>0.64</x:v>
      </x:c>
      <x:c r="B1250" s="28" t="str">
        <x:v>level_high</x:v>
      </x:c>
      <x:c r="C1250" s="60" t="n">
        <x:v>0.15</x:v>
      </x:c>
      <x:c r="D1250" s="60" t="n">
        <x:v>0.15</x:v>
      </x:c>
      <x:c r="E1250" s="62" t="b">
        <x:v>1</x:v>
      </x:c>
      <x:c r="F1250" s="62" t="b">
        <x:v>1</x:v>
      </x:c>
      <x:c r="G1250" s="85" t="n">
        <x:v>0</x:v>
      </x:c>
      <x:c r="H1250" s="85" t="n">
        <x:v>0</x:v>
      </x:c>
      <x:c r="I1250" s="85" t="n">
        <x:v>827918.0200211396</x:v>
      </x:c>
      <x:c r="J1250" s="85" t="n">
        <x:v>0</x:v>
      </x:c>
      <x:c r="K1250" s="85" t="n">
        <x:v>409208.08024558896</x:v>
      </x:c>
      <x:c r="L1250" s="28" t="n">
        <x:v>0</x:v>
      </x:c>
      <x:c r="M1250" s="28" t="n">
        <x:v>0</x:v>
      </x:c>
      <x:c r="N1250" s="28" t="n">
        <x:v>9.313225746154785e-10</x:v>
      </x:c>
      <x:c r="O1250" s="28" t="n">
        <x:v>7.450580596923828e-9</x:v>
      </x:c>
      <x:c r="P1250" s="28" t="n">
        <x:v>0</x:v>
      </x:c>
      <x:c r="Q1250" s="62" t="b">
        <x:v>1</x:v>
      </x:c>
      <x:c r="R1250" s="28" t="n">
        <x:v>0</x:v>
      </x:c>
      <x:c r="S1250" s="28" t="str">
        <x:v>1219d9be8ebaf450</x:v>
      </x:c>
    </x:row>
    <x:row r="1251" ht="21" customHeight="1">
      <x:c r="A1251" s="60" t="n">
        <x:v>0.64</x:v>
      </x:c>
      <x:c r="B1251" s="28" t="str">
        <x:v>level_high</x:v>
      </x:c>
      <x:c r="C1251" s="60" t="n">
        <x:v>0.2</x:v>
      </x:c>
      <x:c r="D1251" s="60" t="n">
        <x:v>0.2</x:v>
      </x:c>
      <x:c r="E1251" s="62" t="b">
        <x:v>1</x:v>
      </x:c>
      <x:c r="F1251" s="62" t="b">
        <x:v>1</x:v>
      </x:c>
      <x:c r="G1251" s="85" t="n">
        <x:v>0</x:v>
      </x:c>
      <x:c r="H1251" s="85" t="n">
        <x:v>0</x:v>
      </x:c>
      <x:c r="I1251" s="85" t="n">
        <x:v>2715940.2350183157</x:v>
      </x:c>
      <x:c r="J1251" s="85" t="n">
        <x:v>1248509.6821692996</x:v>
      </x:c>
      <x:c r="K1251" s="85" t="n">
        <x:v>297432.84334410896</x:v>
      </x:c>
      <x:c r="L1251" s="28" t="n">
        <x:v>0</x:v>
      </x:c>
      <x:c r="M1251" s="28" t="n">
        <x:v>0</x:v>
      </x:c>
      <x:c r="N1251" s="28" t="n">
        <x:v>9.313225746154785e-10</x:v>
      </x:c>
      <x:c r="O1251" s="28" t="n">
        <x:v>7.450580596923828e-9</x:v>
      </x:c>
      <x:c r="P1251" s="28" t="n">
        <x:v>0</x:v>
      </x:c>
      <x:c r="Q1251" s="62" t="b">
        <x:v>1</x:v>
      </x:c>
      <x:c r="R1251" s="28" t="n">
        <x:v>0</x:v>
      </x:c>
      <x:c r="S1251" s="28" t="str">
        <x:v>58690435d2c89442</x:v>
      </x:c>
    </x:row>
    <x:row r="1252" ht="21" customHeight="1">
      <x:c r="A1252" s="60" t="n">
        <x:v>0.64</x:v>
      </x:c>
      <x:c r="B1252" s="28" t="str">
        <x:v>level_high</x:v>
      </x:c>
      <x:c r="C1252" s="60" t="n">
        <x:v>0.25</x:v>
      </x:c>
      <x:c r="D1252" s="60" t="n">
        <x:v>0.25</x:v>
      </x:c>
      <x:c r="E1252" s="62" t="b">
        <x:v>1</x:v>
      </x:c>
      <x:c r="F1252" s="62" t="b">
        <x:v>1</x:v>
      </x:c>
      <x:c r="G1252" s="85" t="n">
        <x:v>0</x:v>
      </x:c>
      <x:c r="H1252" s="85" t="n">
        <x:v>0</x:v>
      </x:c>
      <x:c r="I1252" s="85" t="n">
        <x:v>4376524.2354044495</x:v>
      </x:c>
      <x:c r="J1252" s="85" t="n">
        <x:v>2954237.102711633</x:v>
      </x:c>
      <x:c r="K1252" s="85" t="n">
        <x:v>217446.47548150615</x:v>
      </x:c>
      <x:c r="L1252" s="28" t="n">
        <x:v>0</x:v>
      </x:c>
      <x:c r="M1252" s="28" t="n">
        <x:v>0</x:v>
      </x:c>
      <x:c r="N1252" s="28" t="n">
        <x:v>4.656612873077393e-10</x:v>
      </x:c>
      <x:c r="O1252" s="28" t="n">
        <x:v>7.450580596923828e-9</x:v>
      </x:c>
      <x:c r="P1252" s="28" t="n">
        <x:v>0</x:v>
      </x:c>
      <x:c r="Q1252" s="62" t="b">
        <x:v>1</x:v>
      </x:c>
      <x:c r="R1252" s="28" t="n">
        <x:v>0</x:v>
      </x:c>
      <x:c r="S1252" s="28" t="str">
        <x:v>c5c056adcd08b84d</x:v>
      </x:c>
    </x:row>
    <x:row r="1253" ht="21" customHeight="1">
      <x:c r="A1253" s="60" t="n">
        <x:v>0.64</x:v>
      </x:c>
      <x:c r="B1253" s="28" t="str">
        <x:v>level_high</x:v>
      </x:c>
      <x:c r="C1253" s="60" t="n">
        <x:v>0.3</x:v>
      </x:c>
      <x:c r="D1253" s="60" t="n">
        <x:v>0.3</x:v>
      </x:c>
      <x:c r="E1253" s="62" t="b">
        <x:v>1</x:v>
      </x:c>
      <x:c r="F1253" s="62" t="b">
        <x:v>1</x:v>
      </x:c>
      <x:c r="G1253" s="85" t="n">
        <x:v>0</x:v>
      </x:c>
      <x:c r="H1253" s="85" t="n">
        <x:v>0</x:v>
      </x:c>
      <x:c r="I1253" s="85" t="n">
        <x:v>6061996.49946615</x:v>
      </x:c>
      <x:c r="J1253" s="85" t="n">
        <x:v>4659964.523253945</x:v>
      </x:c>
      <x:c r="K1253" s="85" t="n">
        <x:v>169741.32232876756</x:v>
      </x:c>
      <x:c r="L1253" s="28" t="n">
        <x:v>0</x:v>
      </x:c>
      <x:c r="M1253" s="28" t="n">
        <x:v>0</x:v>
      </x:c>
      <x:c r="N1253" s="28" t="n">
        <x:v>4.656612873077393e-10</x:v>
      </x:c>
      <x:c r="O1253" s="28" t="n">
        <x:v>7.450580596923828e-9</x:v>
      </x:c>
      <x:c r="P1253" s="28" t="n">
        <x:v>0</x:v>
      </x:c>
      <x:c r="Q1253" s="62" t="b">
        <x:v>1</x:v>
      </x:c>
      <x:c r="R1253" s="28" t="n">
        <x:v>0</x:v>
      </x:c>
      <x:c r="S1253" s="28" t="str">
        <x:v>a0a2ace77f861145</x:v>
      </x:c>
    </x:row>
    <x:row r="1254" ht="21" customHeight="1">
      <x:c r="A1254" s="60" t="n">
        <x:v>0.64</x:v>
      </x:c>
      <x:c r="B1254" s="28" t="str">
        <x:v>level_high</x:v>
      </x:c>
      <x:c r="C1254" s="60" t="n">
        <x:v>0.35</x:v>
      </x:c>
      <x:c r="D1254" s="60" t="n">
        <x:v>0.35</x:v>
      </x:c>
      <x:c r="E1254" s="62" t="b">
        <x:v>1</x:v>
      </x:c>
      <x:c r="F1254" s="62" t="b">
        <x:v>1</x:v>
      </x:c>
      <x:c r="G1254" s="85" t="n">
        <x:v>0</x:v>
      </x:c>
      <x:c r="H1254" s="85" t="n">
        <x:v>0</x:v>
      </x:c>
      <x:c r="I1254" s="85" t="n">
        <x:v>7766473.853515189</x:v>
      </x:c>
      <x:c r="J1254" s="85" t="n">
        <x:v>6365691.9437962575</x:v>
      </x:c>
      <x:c r="K1254" s="85" t="n">
        <x:v>139795.94938356182</x:v>
      </x:c>
      <x:c r="L1254" s="28" t="n">
        <x:v>0</x:v>
      </x:c>
      <x:c r="M1254" s="28" t="n">
        <x:v>0</x:v>
      </x:c>
      <x:c r="N1254" s="28" t="n">
        <x:v>4.656612873077393e-10</x:v>
      </x:c>
      <x:c r="O1254" s="28" t="n">
        <x:v>7.450580596923828e-9</x:v>
      </x:c>
      <x:c r="P1254" s="28" t="n">
        <x:v>0</x:v>
      </x:c>
      <x:c r="Q1254" s="62" t="b">
        <x:v>1</x:v>
      </x:c>
      <x:c r="R1254" s="28" t="n">
        <x:v>0</x:v>
      </x:c>
      <x:c r="S1254" s="28" t="str">
        <x:v>9528ee2e9e246a3c</x:v>
      </x:c>
    </x:row>
    <x:row r="1255" ht="21" customHeight="1">
      <x:c r="A1255" s="60" t="n">
        <x:v>0.64</x:v>
      </x:c>
      <x:c r="B1255" s="28" t="str">
        <x:v>level_high</x:v>
      </x:c>
      <x:c r="C1255" s="60" t="n">
        <x:v>0.4</x:v>
      </x:c>
      <x:c r="D1255" s="60" t="n">
        <x:v>0.4</x:v>
      </x:c>
      <x:c r="E1255" s="62" t="b">
        <x:v>1</x:v>
      </x:c>
      <x:c r="F1255" s="62" t="b">
        <x:v>1</x:v>
      </x:c>
      <x:c r="G1255" s="85" t="n">
        <x:v>0</x:v>
      </x:c>
      <x:c r="H1255" s="85" t="n">
        <x:v>0</x:v>
      </x:c>
      <x:c r="I1255" s="85" t="n">
        <x:v>9492564.910663174</x:v>
      </x:c>
      <x:c r="J1255" s="85" t="n">
        <x:v>8071419.3643386</x:v>
      </x:c>
      <x:c r="K1255" s="85" t="n">
        <x:v>110426.43090410996</x:v>
      </x:c>
      <x:c r="L1255" s="28" t="n">
        <x:v>0</x:v>
      </x:c>
      <x:c r="M1255" s="28" t="n">
        <x:v>0</x:v>
      </x:c>
      <x:c r="N1255" s="28" t="n">
        <x:v>2.3283064365386963e-10</x:v>
      </x:c>
      <x:c r="O1255" s="28" t="n">
        <x:v>7.450580596923828e-9</x:v>
      </x:c>
      <x:c r="P1255" s="28" t="n">
        <x:v>0</x:v>
      </x:c>
      <x:c r="Q1255" s="62" t="b">
        <x:v>1</x:v>
      </x:c>
      <x:c r="R1255" s="28" t="n">
        <x:v>0</x:v>
      </x:c>
      <x:c r="S1255" s="28" t="str">
        <x:v>400df65aa2f7b391</x:v>
      </x:c>
    </x:row>
    <x:row r="1256" ht="21" customHeight="1">
      <x:c r="A1256" s="60" t="n">
        <x:v>0.64</x:v>
      </x:c>
      <x:c r="B1256" s="28" t="str">
        <x:v>level_high</x:v>
      </x:c>
      <x:c r="C1256" s="60" t="n">
        <x:v>0.45</x:v>
      </x:c>
      <x:c r="D1256" s="60" t="n">
        <x:v>0.45</x:v>
      </x:c>
      <x:c r="E1256" s="62" t="b">
        <x:v>1</x:v>
      </x:c>
      <x:c r="F1256" s="62" t="b">
        <x:v>1</x:v>
      </x:c>
      <x:c r="G1256" s="85" t="n">
        <x:v>0</x:v>
      </x:c>
      <x:c r="H1256" s="85" t="n">
        <x:v>0</x:v>
      </x:c>
      <x:c r="I1256" s="85" t="n">
        <x:v>11322777.780340176</x:v>
      </x:c>
      <x:c r="J1256" s="85" t="n">
        <x:v>9268625.502550887</x:v>
      </x:c>
      <x:c r="K1256" s="85" t="n">
        <x:v>92465.10398630111</x:v>
      </x:c>
      <x:c r="L1256" s="28" t="n">
        <x:v>4</x:v>
      </x:c>
      <x:c r="M1256" s="28" t="n">
        <x:v>0</x:v>
      </x:c>
      <x:c r="N1256" s="28" t="n">
        <x:v>4.656612873077393e-10</x:v>
      </x:c>
      <x:c r="O1256" s="28" t="n">
        <x:v>3.725290298461914e-9</x:v>
      </x:c>
      <x:c r="P1256" s="28" t="n">
        <x:v>0</x:v>
      </x:c>
      <x:c r="Q1256" s="62" t="b">
        <x:v>1</x:v>
      </x:c>
      <x:c r="R1256" s="28" t="n">
        <x:v>0</x:v>
      </x:c>
      <x:c r="S1256" s="28" t="str">
        <x:v>e9a0386bddda64f2</x:v>
      </x:c>
    </x:row>
    <x:row r="1257" ht="21" customHeight="1">
      <x:c r="A1257" s="60" t="n">
        <x:v>0.64</x:v>
      </x:c>
      <x:c r="B1257" s="28" t="str">
        <x:v>level_high</x:v>
      </x:c>
      <x:c r="C1257" s="60" t="n">
        <x:v>0.5</x:v>
      </x:c>
      <x:c r="D1257" s="60" t="n">
        <x:v>0.5</x:v>
      </x:c>
      <x:c r="E1257" s="62" t="b">
        <x:v>1</x:v>
      </x:c>
      <x:c r="F1257" s="62" t="b">
        <x:v>1</x:v>
      </x:c>
      <x:c r="G1257" s="85" t="n">
        <x:v>0</x:v>
      </x:c>
      <x:c r="H1257" s="85" t="n">
        <x:v>0</x:v>
      </x:c>
      <x:c r="I1257" s="85" t="n">
        <x:v>13133920.960613431</x:v>
      </x:c>
      <x:c r="J1257" s="85" t="n">
        <x:v>10414950.957884412</x:v>
      </x:c>
      <x:c r="K1257" s="85" t="n">
        <x:v>82893.21673972547</x:v>
      </x:c>
      <x:c r="L1257" s="28" t="n">
        <x:v>9</x:v>
      </x:c>
      <x:c r="M1257" s="28" t="n">
        <x:v>1</x:v>
      </x:c>
      <x:c r="N1257" s="28" t="n">
        <x:v>4.656612873077393e-10</x:v>
      </x:c>
      <x:c r="O1257" s="28" t="n">
        <x:v>3.725290298461914e-9</x:v>
      </x:c>
      <x:c r="P1257" s="28" t="n">
        <x:v>0</x:v>
      </x:c>
      <x:c r="Q1257" s="62" t="b">
        <x:v>1</x:v>
      </x:c>
      <x:c r="R1257" s="28" t="n">
        <x:v>0</x:v>
      </x:c>
      <x:c r="S1257" s="28" t="str">
        <x:v>77f136ba0554f9de</x:v>
      </x:c>
    </x:row>
    <x:row r="1258" ht="21" customHeight="1">
      <x:c r="A1258" s="60" t="n">
        <x:v>0.64</x:v>
      </x:c>
      <x:c r="B1258" s="28" t="str">
        <x:v>level_high</x:v>
      </x:c>
      <x:c r="C1258" s="60" t="n">
        <x:v>0.55</x:v>
      </x:c>
      <x:c r="D1258" s="60" t="n">
        <x:v>0.55</x:v>
      </x:c>
      <x:c r="E1258" s="62" t="b">
        <x:v>1</x:v>
      </x:c>
      <x:c r="F1258" s="62" t="b">
        <x:v>1</x:v>
      </x:c>
      <x:c r="G1258" s="85" t="n">
        <x:v>0</x:v>
      </x:c>
      <x:c r="H1258" s="85" t="n">
        <x:v>0</x:v>
      </x:c>
      <x:c r="I1258" s="85" t="n">
        <x:v>14862719.05909501</x:v>
      </x:c>
      <x:c r="J1258" s="85" t="n">
        <x:v>11890469.986427505</x:v>
      </x:c>
      <x:c r="K1258" s="85" t="n">
        <x:v>73855.45502739705</x:v>
      </x:c>
      <x:c r="L1258" s="28" t="n">
        <x:v>13</x:v>
      </x:c>
      <x:c r="M1258" s="28" t="n">
        <x:v>5</x:v>
      </x:c>
      <x:c r="N1258" s="28" t="n">
        <x:v>2.3283064365386963e-10</x:v>
      </x:c>
      <x:c r="O1258" s="28" t="n">
        <x:v>3.725290298461914e-9</x:v>
      </x:c>
      <x:c r="P1258" s="28" t="n">
        <x:v>0</x:v>
      </x:c>
      <x:c r="Q1258" s="62" t="b">
        <x:v>1</x:v>
      </x:c>
      <x:c r="R1258" s="28" t="n">
        <x:v>0</x:v>
      </x:c>
      <x:c r="S1258" s="28" t="str">
        <x:v>2b0fd9449939d6d8</x:v>
      </x:c>
    </x:row>
    <x:row r="1259" ht="21" customHeight="1">
      <x:c r="A1259" s="60" t="n">
        <x:v>0.64</x:v>
      </x:c>
      <x:c r="B1259" s="28" t="str">
        <x:v>level_high</x:v>
      </x:c>
      <x:c r="C1259" s="60" t="n">
        <x:v>0.6</x:v>
      </x:c>
      <x:c r="D1259" s="60" t="n">
        <x:v>0.6</x:v>
      </x:c>
      <x:c r="E1259" s="62" t="b">
        <x:v>1</x:v>
      </x:c>
      <x:c r="F1259" s="62" t="b">
        <x:v>1</x:v>
      </x:c>
      <x:c r="G1259" s="85" t="n">
        <x:v>0</x:v>
      </x:c>
      <x:c r="H1259" s="85" t="n">
        <x:v>0</x:v>
      </x:c>
      <x:c r="I1259" s="85" t="n">
        <x:v>16541833.57223964</x:v>
      </x:c>
      <x:c r="J1259" s="85" t="n">
        <x:v>13488353.810893515</x:v>
      </x:c>
      <x:c r="K1259" s="85" t="n">
        <x:v>64817.69331506885</x:v>
      </x:c>
      <x:c r="L1259" s="28" t="n">
        <x:v>17</x:v>
      </x:c>
      <x:c r="M1259" s="28" t="n">
        <x:v>10</x:v>
      </x:c>
      <x:c r="N1259" s="28" t="n">
        <x:v>4.656612873077393e-10</x:v>
      </x:c>
      <x:c r="O1259" s="28" t="n">
        <x:v>7.450580596923828e-9</x:v>
      </x:c>
      <x:c r="P1259" s="28" t="n">
        <x:v>0</x:v>
      </x:c>
      <x:c r="Q1259" s="62" t="b">
        <x:v>1</x:v>
      </x:c>
      <x:c r="R1259" s="28" t="n">
        <x:v>0</x:v>
      </x:c>
      <x:c r="S1259" s="28" t="str">
        <x:v>70f813ee98f3f385</x:v>
      </x:c>
    </x:row>
    <x:row r="1260" ht="21" customHeight="1">
      <x:c r="A1260" s="60" t="n">
        <x:v>0.64</x:v>
      </x:c>
      <x:c r="B1260" s="28" t="str">
        <x:v>level_high</x:v>
      </x:c>
      <x:c r="C1260" s="60" t="n">
        <x:v>0.65</x:v>
      </x:c>
      <x:c r="D1260" s="60" t="n">
        <x:v>0.65</x:v>
      </x:c>
      <x:c r="E1260" s="62" t="b">
        <x:v>1</x:v>
      </x:c>
      <x:c r="F1260" s="62" t="b">
        <x:v>0</x:v>
      </x:c>
      <x:c r="G1260" s="85" t="n">
        <x:v>372598.1462997282</x:v>
      </x:c>
      <x:c r="H1260" s="85" t="n">
        <x:v>1191467.7630337477</x:v>
      </x:c>
      <x:c r="I1260" s="85" t="n">
        <x:v>17494286.578948624</x:v>
      </x:c>
      <x:c r="J1260" s="85" t="n">
        <x:v>14493440</x:v>
      </x:c>
      <x:c r="K1260" s="85" t="n">
        <x:v>55779.93160273973</x:v>
      </x:c>
      <x:c r="L1260" s="28" t="n">
        <x:v>41</x:v>
      </x:c>
      <x:c r="M1260" s="28" t="n">
        <x:v>34</x:v>
      </x:c>
      <x:c r="N1260" s="28" t="n">
        <x:v>4.656612873077393e-10</x:v>
      </x:c>
      <x:c r="O1260" s="28" t="n">
        <x:v>3.725290298461914e-9</x:v>
      </x:c>
      <x:c r="P1260" s="28" t="n">
        <x:v>0</x:v>
      </x:c>
      <x:c r="Q1260" s="62" t="b">
        <x:v>1</x:v>
      </x:c>
      <x:c r="R1260" s="28" t="n">
        <x:v>0</x:v>
      </x:c>
      <x:c r="S1260" s="28" t="str">
        <x:v>b45bcec2bf991b24</x:v>
      </x:c>
    </x:row>
    <x:row r="1261" ht="21" customHeight="1">
      <x:c r="A1261" s="60" t="n">
        <x:v>0.64</x:v>
      </x:c>
      <x:c r="B1261" s="28" t="str">
        <x:v>level_high</x:v>
      </x:c>
      <x:c r="C1261" s="60" t="n">
        <x:v>0.7</x:v>
      </x:c>
      <x:c r="D1261" s="60" t="n">
        <x:v>0.7</x:v>
      </x:c>
      <x:c r="E1261" s="62" t="b">
        <x:v>1</x:v>
      </x:c>
      <x:c r="F1261" s="62" t="b">
        <x:v>0</x:v>
      </x:c>
      <x:c r="G1261" s="85" t="n">
        <x:v>1291334.1689146583</x:v>
      </x:c>
      <x:c r="H1261" s="85" t="n">
        <x:v>3901717.383205764</x:v>
      </x:c>
      <x:c r="I1261" s="85" t="n">
        <x:v>17566111.538568486</x:v>
      </x:c>
      <x:c r="J1261" s="85" t="n">
        <x:v>14493440</x:v>
      </x:c>
      <x:c r="K1261" s="85" t="n">
        <x:v>46742.16989041107</x:v>
      </x:c>
      <x:c r="L1261" s="28" t="n">
        <x:v>41</x:v>
      </x:c>
      <x:c r="M1261" s="28" t="n">
        <x:v>36</x:v>
      </x:c>
      <x:c r="N1261" s="28" t="n">
        <x:v>4.656612873077393e-10</x:v>
      </x:c>
      <x:c r="O1261" s="28" t="n">
        <x:v>3.725290298461914e-9</x:v>
      </x:c>
      <x:c r="P1261" s="28" t="n">
        <x:v>0</x:v>
      </x:c>
      <x:c r="Q1261" s="62" t="b">
        <x:v>1</x:v>
      </x:c>
      <x:c r="R1261" s="28" t="n">
        <x:v>0</x:v>
      </x:c>
      <x:c r="S1261" s="28" t="str">
        <x:v>0e6eaeb25d2f5d88</x:v>
      </x:c>
    </x:row>
    <x:row r="1262" ht="21" customHeight="1">
      <x:c r="A1262" s="60" t="n">
        <x:v>0.64</x:v>
      </x:c>
      <x:c r="B1262" s="28" t="str">
        <x:v>level_high</x:v>
      </x:c>
      <x:c r="C1262" s="60" t="n">
        <x:v>0.75</x:v>
      </x:c>
      <x:c r="D1262" s="60" t="n">
        <x:v>0.75</x:v>
      </x:c>
      <x:c r="E1262" s="62" t="b">
        <x:v>1</x:v>
      </x:c>
      <x:c r="F1262" s="62" t="b">
        <x:v>0</x:v>
      </x:c>
      <x:c r="G1262" s="85" t="n">
        <x:v>2074761.1112709313</x:v>
      </x:c>
      <x:c r="H1262" s="85" t="n">
        <x:v>6115506.817631159</x:v>
      </x:c>
      <x:c r="I1262" s="85" t="n">
        <x:v>17876602.05745958</x:v>
      </x:c>
      <x:c r="J1262" s="85" t="n">
        <x:v>14493440</x:v>
      </x:c>
      <x:c r="K1262" s="85" t="n">
        <x:v>37704.40817808194</x:v>
      </x:c>
      <x:c r="L1262" s="28" t="n">
        <x:v>42</x:v>
      </x:c>
      <x:c r="M1262" s="28" t="n">
        <x:v>36</x:v>
      </x:c>
      <x:c r="N1262" s="28" t="n">
        <x:v>4.656612873077393e-10</x:v>
      </x:c>
      <x:c r="O1262" s="28" t="n">
        <x:v>3.725290298461914e-9</x:v>
      </x:c>
      <x:c r="P1262" s="28" t="n">
        <x:v>0</x:v>
      </x:c>
      <x:c r="Q1262" s="62" t="b">
        <x:v>1</x:v>
      </x:c>
      <x:c r="R1262" s="28" t="n">
        <x:v>0</x:v>
      </x:c>
      <x:c r="S1262" s="28" t="str">
        <x:v>7ac3803c9ab055a8</x:v>
      </x:c>
    </x:row>
    <x:row r="1263" ht="21" customHeight="1">
      <x:c r="A1263" s="60" t="n">
        <x:v>0.64</x:v>
      </x:c>
      <x:c r="B1263" s="28" t="str">
        <x:v>level_high</x:v>
      </x:c>
      <x:c r="C1263" s="60" t="n">
        <x:v>0.8</x:v>
      </x:c>
      <x:c r="D1263" s="60" t="n">
        <x:v>0.8</x:v>
      </x:c>
      <x:c r="E1263" s="62" t="b">
        <x:v>1</x:v>
      </x:c>
      <x:c r="F1263" s="62" t="b">
        <x:v>0</x:v>
      </x:c>
      <x:c r="G1263" s="85" t="n">
        <x:v>2957838.9391494943</x:v>
      </x:c>
      <x:c r="H1263" s="85" t="n">
        <x:v>8131354.3041048655</x:v>
      </x:c>
      <x:c r="I1263" s="85" t="n">
        <x:v>18188842.12865753</x:v>
      </x:c>
      <x:c r="J1263" s="85" t="n">
        <x:v>14493440</x:v>
      </x:c>
      <x:c r="K1263" s="85" t="n">
        <x:v>30698.275068493305</x:v>
      </x:c>
      <x:c r="L1263" s="28" t="n">
        <x:v>43</x:v>
      </x:c>
      <x:c r="M1263" s="28" t="n">
        <x:v>38</x:v>
      </x:c>
      <x:c r="N1263" s="28" t="n">
        <x:v>4.656612873077393e-10</x:v>
      </x:c>
      <x:c r="O1263" s="28" t="n">
        <x:v>3.725290298461914e-9</x:v>
      </x:c>
      <x:c r="P1263" s="28" t="n">
        <x:v>0</x:v>
      </x:c>
      <x:c r="Q1263" s="62" t="b">
        <x:v>1</x:v>
      </x:c>
      <x:c r="R1263" s="28" t="n">
        <x:v>0</x:v>
      </x:c>
      <x:c r="S1263" s="28" t="str">
        <x:v>c36938beba7836f5</x:v>
      </x:c>
    </x:row>
    <x:row r="1264" ht="21" customHeight="1">
      <x:c r="A1264" s="60" t="n">
        <x:v>0.64</x:v>
      </x:c>
      <x:c r="B1264" s="28" t="str">
        <x:v>level_high</x:v>
      </x:c>
      <x:c r="C1264" s="60" t="n">
        <x:v>0.85</x:v>
      </x:c>
      <x:c r="D1264" s="60" t="n">
        <x:v>0.85</x:v>
      </x:c>
      <x:c r="E1264" s="62" t="b">
        <x:v>1</x:v>
      </x:c>
      <x:c r="F1264" s="62" t="b">
        <x:v>0</x:v>
      </x:c>
      <x:c r="G1264" s="85" t="n">
        <x:v>4031596.9084550715</x:v>
      </x:c>
      <x:c r="H1264" s="85" t="n">
        <x:v>10558652.177304685</x:v>
      </x:c>
      <x:c r="I1264" s="85" t="n">
        <x:v>18224816.78957534</x:v>
      </x:c>
      <x:c r="J1264" s="85" t="n">
        <x:v>14493440</x:v>
      </x:c>
      <x:c r="K1264" s="85" t="n">
        <x:v>27673.874383561757</x:v>
      </x:c>
      <x:c r="L1264" s="28" t="n">
        <x:v>43</x:v>
      </x:c>
      <x:c r="M1264" s="28" t="n">
        <x:v>38</x:v>
      </x:c>
      <x:c r="N1264" s="28" t="n">
        <x:v>4.656612873077393e-10</x:v>
      </x:c>
      <x:c r="O1264" s="28" t="n">
        <x:v>3.725290298461914e-9</x:v>
      </x:c>
      <x:c r="P1264" s="28" t="n">
        <x:v>0</x:v>
      </x:c>
      <x:c r="Q1264" s="62" t="b">
        <x:v>1</x:v>
      </x:c>
      <x:c r="R1264" s="28" t="n">
        <x:v>0</x:v>
      </x:c>
      <x:c r="S1264" s="28" t="str">
        <x:v>6b0b09fc24026a5c</x:v>
      </x:c>
    </x:row>
    <x:row r="1265" ht="21" customHeight="1">
      <x:c r="A1265" s="60" t="n">
        <x:v>0.64</x:v>
      </x:c>
      <x:c r="B1265" s="28" t="str">
        <x:v>level_high</x:v>
      </x:c>
      <x:c r="C1265" s="60" t="n">
        <x:v>0.9</x:v>
      </x:c>
      <x:c r="D1265" s="60" t="n">
        <x:v>0.8949513562027351</x:v>
      </x:c>
      <x:c r="E1265" s="62" t="b">
        <x:v>0</x:v>
      </x:c>
      <x:c r="F1265" s="62" t="b">
        <x:v>0</x:v>
      </x:c>
      <x:c r="G1265" s="85" t="n">
        <x:v>5126472.223222214</x:v>
      </x:c>
      <x:c r="H1265" s="85" t="n">
        <x:v>11540838.821444657</x:v>
      </x:c>
      <x:c r="I1265" s="85" t="n">
        <x:v>18510685.585643828</x:v>
      </x:c>
      <x:c r="J1265" s="85" t="n">
        <x:v>14493440</x:v>
      </x:c>
      <x:c r="K1265" s="85" t="n">
        <x:v>24649.473698629976</x:v>
      </x:c>
      <x:c r="L1265" s="28" t="n">
        <x:v>44</x:v>
      </x:c>
      <x:c r="M1265" s="28" t="n">
        <x:v>40</x:v>
      </x:c>
      <x:c r="N1265" s="28" t="n">
        <x:v>4.656612873077393e-10</x:v>
      </x:c>
      <x:c r="O1265" s="28" t="n">
        <x:v>3.725290298461914e-9</x:v>
      </x:c>
      <x:c r="P1265" s="28" t="n">
        <x:v>0</x:v>
      </x:c>
      <x:c r="Q1265" s="62" t="b">
        <x:v>1</x:v>
      </x:c>
      <x:c r="R1265" s="28" t="n">
        <x:v>281431.5998347327</x:v>
      </x:c>
      <x:c r="S1265" s="28" t="str">
        <x:v>ae11bc9879c96c8b</x:v>
      </x:c>
    </x:row>
    <x:row r="1266" ht="21" customHeight="1">
      <x:c r="A1266" s="60" t="n">
        <x:v>0.64</x:v>
      </x:c>
      <x:c r="B1266" s="28" t="str">
        <x:v>level_high</x:v>
      </x:c>
      <x:c r="C1266" s="60" t="n">
        <x:v>0.95</x:v>
      </x:c>
      <x:c r="D1266" s="60" t="n">
        <x:v>0.9109811515371262</x:v>
      </x:c>
      <x:c r="E1266" s="62" t="b">
        <x:v>0</x:v>
      </x:c>
      <x:c r="F1266" s="62" t="b">
        <x:v>0</x:v>
      </x:c>
      <x:c r="G1266" s="85" t="n">
        <x:v>5631167.362320569</x:v>
      </x:c>
      <x:c r="H1266" s="85" t="n">
        <x:v>12579495.613713311</x:v>
      </x:c>
      <x:c r="I1266" s="85" t="n">
        <x:v>18532071.847082186</x:v>
      </x:c>
      <x:c r="J1266" s="85" t="n">
        <x:v>14493440</x:v>
      </x:c>
      <x:c r="K1266" s="85" t="n">
        <x:v>21625.073013698195</x:v>
      </x:c>
      <x:c r="L1266" s="28" t="n">
        <x:v>44</x:v>
      </x:c>
      <x:c r="M1266" s="28" t="n">
        <x:v>40</x:v>
      </x:c>
      <x:c r="N1266" s="28" t="n">
        <x:v>2.3283064365386963e-10</x:v>
      </x:c>
      <x:c r="O1266" s="28" t="n">
        <x:v>3.725290298461914e-9</x:v>
      </x:c>
      <x:c r="P1266" s="28" t="n">
        <x:v>0</x:v>
      </x:c>
      <x:c r="Q1266" s="62" t="b">
        <x:v>1</x:v>
      </x:c>
      <x:c r="R1266" s="28" t="n">
        <x:v>2175066.688714437</x:v>
      </x:c>
      <x:c r="S1266" s="28" t="str">
        <x:v>2c6bec38f18e0eb0</x:v>
      </x:c>
    </x:row>
    <x:row r="1267" ht="21" customHeight="1">
      <x:c r="A1267" s="60" t="n">
        <x:v>0.64</x:v>
      </x:c>
      <x:c r="B1267" s="28" t="str">
        <x:v>level_high</x:v>
      </x:c>
      <x:c r="C1267" s="60" t="n">
        <x:v>1</x:v>
      </x:c>
      <x:c r="D1267" s="60" t="n">
        <x:v>0.9258453085724337</x:v>
      </x:c>
      <x:c r="E1267" s="62" t="b">
        <x:v>0</x:v>
      </x:c>
      <x:c r="F1267" s="62" t="b">
        <x:v>0</x:v>
      </x:c>
      <x:c r="G1267" s="85" t="n">
        <x:v>6192275.5898632575</x:v>
      </x:c>
      <x:c r="H1267" s="85" t="n">
        <x:v>13378441.064389493</x:v>
      </x:c>
      <x:c r="I1267" s="85" t="n">
        <x:v>18559308.38383561</x:v>
      </x:c>
      <x:c r="J1267" s="85" t="n">
        <x:v>14493440</x:v>
      </x:c>
      <x:c r="K1267" s="85" t="n">
        <x:v>18600.672328767112</x:v>
      </x:c>
      <x:c r="L1267" s="28" t="n">
        <x:v>44</x:v>
      </x:c>
      <x:c r="M1267" s="28" t="n">
        <x:v>40</x:v>
      </x:c>
      <x:c r="N1267" s="28" t="n">
        <x:v>2.3283064365386963e-10</x:v>
      </x:c>
      <x:c r="O1267" s="28" t="n">
        <x:v>1.862645149230957e-9</x:v>
      </x:c>
      <x:c r="P1267" s="28" t="n">
        <x:v>0</x:v>
      </x:c>
      <x:c r="Q1267" s="62" t="b">
        <x:v>1</x:v>
      </x:c>
      <x:c r="R1267" s="28" t="n">
        <x:v>4133679.1189382523</x:v>
      </x:c>
      <x:c r="S1267" s="28" t="str">
        <x:v>4ac61a261c4c4833</x:v>
      </x:c>
    </x:row>
    <x:row r="1268" ht="21" customHeight="1">
      <x:c r="A1268" s="60" t="n">
        <x:v>0.65</x:v>
      </x:c>
      <x:c r="B1268" s="28" t="str">
        <x:v>front_flat</x:v>
      </x:c>
      <x:c r="C1268" s="60" t="n">
        <x:v>0</x:v>
      </x:c>
      <x:c r="D1268" s="60" t="n">
        <x:v>0</x:v>
      </x:c>
      <x:c r="E1268" s="62" t="b">
        <x:v>1</x:v>
      </x:c>
      <x:c r="F1268" s="62" t="b">
        <x:v>1</x:v>
      </x:c>
      <x:c r="G1268" s="85" t="n">
        <x:v>0</x:v>
      </x:c>
      <x:c r="H1268" s="85" t="n">
        <x:v>0</x:v>
      </x:c>
      <x:c r="I1268" s="85" t="n">
        <x:v>0</x:v>
      </x:c>
      <x:c r="J1268" s="85" t="n">
        <x:v>0</x:v>
      </x:c>
      <x:c r="K1268" s="85" t="n">
        <x:v>6202794.03616439</x:v>
      </x:c>
      <x:c r="L1268" s="28" t="n">
        <x:v>0</x:v>
      </x:c>
      <x:c r="M1268" s="28" t="n">
        <x:v>0</x:v>
      </x:c>
      <x:c r="N1268" s="28" t="n">
        <x:v>2.3283064365386963e-10</x:v>
      </x:c>
      <x:c r="O1268" s="28" t="n">
        <x:v>0</x:v>
      </x:c>
      <x:c r="P1268" s="28" t="n">
        <x:v>0</x:v>
      </x:c>
      <x:c r="Q1268" s="62" t="b">
        <x:v>1</x:v>
      </x:c>
      <x:c r="R1268" s="28" t="n">
        <x:v>0</x:v>
      </x:c>
      <x:c r="S1268" s="28" t="str">
        <x:v>902cb1a08fe8aae4</x:v>
      </x:c>
    </x:row>
    <x:row r="1269" ht="21" customHeight="1">
      <x:c r="A1269" s="60" t="n">
        <x:v>0.65</x:v>
      </x:c>
      <x:c r="B1269" s="28" t="str">
        <x:v>front_flat</x:v>
      </x:c>
      <x:c r="C1269" s="60" t="n">
        <x:v>0.05</x:v>
      </x:c>
      <x:c r="D1269" s="60" t="n">
        <x:v>0.05</x:v>
      </x:c>
      <x:c r="E1269" s="62" t="b">
        <x:v>1</x:v>
      </x:c>
      <x:c r="F1269" s="62" t="b">
        <x:v>1</x:v>
      </x:c>
      <x:c r="G1269" s="85" t="n">
        <x:v>0</x:v>
      </x:c>
      <x:c r="H1269" s="85" t="n">
        <x:v>0</x:v>
      </x:c>
      <x:c r="I1269" s="85" t="n">
        <x:v>0</x:v>
      </x:c>
      <x:c r="J1269" s="85" t="n">
        <x:v>0</x:v>
      </x:c>
      <x:c r="K1269" s="85" t="n">
        <x:v>3905168.7305574343</x:v>
      </x:c>
      <x:c r="L1269" s="28" t="n">
        <x:v>0</x:v>
      </x:c>
      <x:c r="M1269" s="28" t="n">
        <x:v>0</x:v>
      </x:c>
      <x:c r="N1269" s="28" t="n">
        <x:v>9.313225746154785e-10</x:v>
      </x:c>
      <x:c r="O1269" s="28" t="n">
        <x:v>7.450580596923828e-9</x:v>
      </x:c>
      <x:c r="P1269" s="28" t="n">
        <x:v>0</x:v>
      </x:c>
      <x:c r="Q1269" s="62" t="b">
        <x:v>1</x:v>
      </x:c>
      <x:c r="R1269" s="28" t="n">
        <x:v>0</x:v>
      </x:c>
      <x:c r="S1269" s="28" t="str">
        <x:v>4430dffdc5101d71</x:v>
      </x:c>
    </x:row>
    <x:row r="1270" ht="21" customHeight="1">
      <x:c r="A1270" s="60" t="n">
        <x:v>0.65</x:v>
      </x:c>
      <x:c r="B1270" s="28" t="str">
        <x:v>front_flat</x:v>
      </x:c>
      <x:c r="C1270" s="60" t="n">
        <x:v>0.1</x:v>
      </x:c>
      <x:c r="D1270" s="60" t="n">
        <x:v>0.1</x:v>
      </x:c>
      <x:c r="E1270" s="62" t="b">
        <x:v>1</x:v>
      </x:c>
      <x:c r="F1270" s="62" t="b">
        <x:v>1</x:v>
      </x:c>
      <x:c r="G1270" s="85" t="n">
        <x:v>0</x:v>
      </x:c>
      <x:c r="H1270" s="85" t="n">
        <x:v>0</x:v>
      </x:c>
      <x:c r="I1270" s="85" t="n">
        <x:v>0</x:v>
      </x:c>
      <x:c r="J1270" s="85" t="n">
        <x:v>0</x:v>
      </x:c>
      <x:c r="K1270" s="85" t="n">
        <x:v>1612349.547055394</x:v>
      </x:c>
      <x:c r="L1270" s="28" t="n">
        <x:v>0</x:v>
      </x:c>
      <x:c r="M1270" s="28" t="n">
        <x:v>0</x:v>
      </x:c>
      <x:c r="N1270" s="28" t="n">
        <x:v>9.313225746154785e-10</x:v>
      </x:c>
      <x:c r="O1270" s="28" t="n">
        <x:v>7.450580596923828e-9</x:v>
      </x:c>
      <x:c r="P1270" s="28" t="n">
        <x:v>0</x:v>
      </x:c>
      <x:c r="Q1270" s="62" t="b">
        <x:v>1</x:v>
      </x:c>
      <x:c r="R1270" s="28" t="n">
        <x:v>0</x:v>
      </x:c>
      <x:c r="S1270" s="28" t="str">
        <x:v>6aea1af384b436e4</x:v>
      </x:c>
    </x:row>
    <x:row r="1271" ht="21" customHeight="1">
      <x:c r="A1271" s="60" t="n">
        <x:v>0.65</x:v>
      </x:c>
      <x:c r="B1271" s="28" t="str">
        <x:v>front_flat</x:v>
      </x:c>
      <x:c r="C1271" s="60" t="n">
        <x:v>0.15</x:v>
      </x:c>
      <x:c r="D1271" s="60" t="n">
        <x:v>0.15</x:v>
      </x:c>
      <x:c r="E1271" s="62" t="b">
        <x:v>1</x:v>
      </x:c>
      <x:c r="F1271" s="62" t="b">
        <x:v>1</x:v>
      </x:c>
      <x:c r="G1271" s="85" t="n">
        <x:v>0</x:v>
      </x:c>
      <x:c r="H1271" s="85" t="n">
        <x:v>0</x:v>
      </x:c>
      <x:c r="I1271" s="85" t="n">
        <x:v>648262.5909904741</x:v>
      </x:c>
      <x:c r="J1271" s="85" t="n">
        <x:v>0</x:v>
      </x:c>
      <x:c r="K1271" s="85" t="n">
        <x:v>117239.87840990414</x:v>
      </x:c>
      <x:c r="L1271" s="28" t="n">
        <x:v>0</x:v>
      </x:c>
      <x:c r="M1271" s="28" t="n">
        <x:v>0</x:v>
      </x:c>
      <x:c r="N1271" s="28" t="n">
        <x:v>4.656612873077393e-10</x:v>
      </x:c>
      <x:c r="O1271" s="28" t="n">
        <x:v>7.450580596923828e-9</x:v>
      </x:c>
      <x:c r="P1271" s="28" t="n">
        <x:v>0</x:v>
      </x:c>
      <x:c r="Q1271" s="62" t="b">
        <x:v>1</x:v>
      </x:c>
      <x:c r="R1271" s="28" t="n">
        <x:v>0</x:v>
      </x:c>
      <x:c r="S1271" s="28" t="str">
        <x:v>33496b50b5046b5d</x:v>
      </x:c>
    </x:row>
    <x:row r="1272" ht="21" customHeight="1">
      <x:c r="A1272" s="60" t="n">
        <x:v>0.65</x:v>
      </x:c>
      <x:c r="B1272" s="28" t="str">
        <x:v>front_flat</x:v>
      </x:c>
      <x:c r="C1272" s="60" t="n">
        <x:v>0.2</x:v>
      </x:c>
      <x:c r="D1272" s="60" t="n">
        <x:v>0.2</x:v>
      </x:c>
      <x:c r="E1272" s="62" t="b">
        <x:v>1</x:v>
      </x:c>
      <x:c r="F1272" s="62" t="b">
        <x:v>1</x:v>
      </x:c>
      <x:c r="G1272" s="85" t="n">
        <x:v>0</x:v>
      </x:c>
      <x:c r="H1272" s="85" t="n">
        <x:v>0</x:v>
      </x:c>
      <x:c r="I1272" s="85" t="n">
        <x:v>2170702.0257694265</x:v>
      </x:c>
      <x:c r="J1272" s="85" t="n">
        <x:v>1254093.438872116</x:v>
      </x:c>
      <x:c r="K1272" s="85" t="n">
        <x:v>71276.08291780835</x:v>
      </x:c>
      <x:c r="L1272" s="28" t="n">
        <x:v>0</x:v>
      </x:c>
      <x:c r="M1272" s="28" t="n">
        <x:v>0</x:v>
      </x:c>
      <x:c r="N1272" s="28" t="n">
        <x:v>4.656612873077393e-10</x:v>
      </x:c>
      <x:c r="O1272" s="28" t="n">
        <x:v>7.450580596923828e-9</x:v>
      </x:c>
      <x:c r="P1272" s="28" t="n">
        <x:v>0</x:v>
      </x:c>
      <x:c r="Q1272" s="62" t="b">
        <x:v>1</x:v>
      </x:c>
      <x:c r="R1272" s="28" t="n">
        <x:v>0</x:v>
      </x:c>
      <x:c r="S1272" s="28" t="str">
        <x:v>8955ba058fc1e4e5</x:v>
      </x:c>
    </x:row>
    <x:row r="1273" ht="21" customHeight="1">
      <x:c r="A1273" s="60" t="n">
        <x:v>0.65</x:v>
      </x:c>
      <x:c r="B1273" s="28" t="str">
        <x:v>front_flat</x:v>
      </x:c>
      <x:c r="C1273" s="60" t="n">
        <x:v>0.25</x:v>
      </x:c>
      <x:c r="D1273" s="60" t="n">
        <x:v>0.25</x:v>
      </x:c>
      <x:c r="E1273" s="62" t="b">
        <x:v>1</x:v>
      </x:c>
      <x:c r="F1273" s="62" t="b">
        <x:v>1</x:v>
      </x:c>
      <x:c r="G1273" s="85" t="n">
        <x:v>0</x:v>
      </x:c>
      <x:c r="H1273" s="85" t="n">
        <x:v>0</x:v>
      </x:c>
      <x:c r="I1273" s="85" t="n">
        <x:v>3436651.3690753994</x:v>
      </x:c>
      <x:c r="J1273" s="85" t="n">
        <x:v>2961216.7985901283</x:v>
      </x:c>
      <x:c r="K1273" s="85" t="n">
        <x:v>52963.190976027414</x:v>
      </x:c>
      <x:c r="L1273" s="28" t="n">
        <x:v>0</x:v>
      </x:c>
      <x:c r="M1273" s="28" t="n">
        <x:v>0</x:v>
      </x:c>
      <x:c r="N1273" s="28" t="n">
        <x:v>4.656612873077393e-10</x:v>
      </x:c>
      <x:c r="O1273" s="28" t="n">
        <x:v>3.725290298461914e-9</x:v>
      </x:c>
      <x:c r="P1273" s="28" t="n">
        <x:v>0</x:v>
      </x:c>
      <x:c r="Q1273" s="62" t="b">
        <x:v>1</x:v>
      </x:c>
      <x:c r="R1273" s="28" t="n">
        <x:v>0</x:v>
      </x:c>
      <x:c r="S1273" s="28" t="str">
        <x:v>16684977cfb02aa5</x:v>
      </x:c>
    </x:row>
    <x:row r="1274" ht="21" customHeight="1">
      <x:c r="A1274" s="60" t="n">
        <x:v>0.65</x:v>
      </x:c>
      <x:c r="B1274" s="28" t="str">
        <x:v>front_flat</x:v>
      </x:c>
      <x:c r="C1274" s="60" t="n">
        <x:v>0.3</x:v>
      </x:c>
      <x:c r="D1274" s="60" t="n">
        <x:v>0.3</x:v>
      </x:c>
      <x:c r="E1274" s="62" t="b">
        <x:v>1</x:v>
      </x:c>
      <x:c r="F1274" s="62" t="b">
        <x:v>1</x:v>
      </x:c>
      <x:c r="G1274" s="85" t="n">
        <x:v>0</x:v>
      </x:c>
      <x:c r="H1274" s="85" t="n">
        <x:v>0</x:v>
      </x:c>
      <x:c r="I1274" s="85" t="n">
        <x:v>4718086.843417548</x:v>
      </x:c>
      <x:c r="J1274" s="85" t="n">
        <x:v>4668340.158308168</x:v>
      </x:c>
      <x:c r="K1274" s="85" t="n">
        <x:v>41346.226650685654</x:v>
      </x:c>
      <x:c r="L1274" s="28" t="n">
        <x:v>0</x:v>
      </x:c>
      <x:c r="M1274" s="28" t="n">
        <x:v>0</x:v>
      </x:c>
      <x:c r="N1274" s="28" t="n">
        <x:v>4.656612873077393e-10</x:v>
      </x:c>
      <x:c r="O1274" s="28" t="n">
        <x:v>7.450580596923828e-9</x:v>
      </x:c>
      <x:c r="P1274" s="28" t="n">
        <x:v>0</x:v>
      </x:c>
      <x:c r="Q1274" s="62" t="b">
        <x:v>1</x:v>
      </x:c>
      <x:c r="R1274" s="28" t="n">
        <x:v>0</x:v>
      </x:c>
      <x:c r="S1274" s="28" t="str">
        <x:v>90ab2ac771f00261</x:v>
      </x:c>
    </x:row>
    <x:row r="1275" ht="21" customHeight="1">
      <x:c r="A1275" s="60" t="n">
        <x:v>0.65</x:v>
      </x:c>
      <x:c r="B1275" s="28" t="str">
        <x:v>front_flat</x:v>
      </x:c>
      <x:c r="C1275" s="60" t="n">
        <x:v>0.35</x:v>
      </x:c>
      <x:c r="D1275" s="60" t="n">
        <x:v>0.35</x:v>
      </x:c>
      <x:c r="E1275" s="62" t="b">
        <x:v>1</x:v>
      </x:c>
      <x:c r="F1275" s="62" t="b">
        <x:v>1</x:v>
      </x:c>
      <x:c r="G1275" s="85" t="n">
        <x:v>0</x:v>
      </x:c>
      <x:c r="H1275" s="85" t="n">
        <x:v>0</x:v>
      </x:c>
      <x:c r="I1275" s="85" t="n">
        <x:v>6011576.536879369</x:v>
      </x:c>
      <x:c r="J1275" s="85" t="n">
        <x:v>6375463.518026184</x:v>
      </x:c>
      <x:c r="K1275" s="85" t="n">
        <x:v>29729.262325342388</x:v>
      </x:c>
      <x:c r="L1275" s="28" t="n">
        <x:v>0</x:v>
      </x:c>
      <x:c r="M1275" s="28" t="n">
        <x:v>0</x:v>
      </x:c>
      <x:c r="N1275" s="28" t="n">
        <x:v>9.313225746154785e-10</x:v>
      </x:c>
      <x:c r="O1275" s="28" t="n">
        <x:v>7.450580596923828e-9</x:v>
      </x:c>
      <x:c r="P1275" s="28" t="n">
        <x:v>0</x:v>
      </x:c>
      <x:c r="Q1275" s="62" t="b">
        <x:v>1</x:v>
      </x:c>
      <x:c r="R1275" s="28" t="n">
        <x:v>0</x:v>
      </x:c>
      <x:c r="S1275" s="28" t="str">
        <x:v>ab7f5cfc165144e1</x:v>
      </x:c>
    </x:row>
    <x:row r="1276" ht="21" customHeight="1">
      <x:c r="A1276" s="60" t="n">
        <x:v>0.65</x:v>
      </x:c>
      <x:c r="B1276" s="28" t="str">
        <x:v>front_flat</x:v>
      </x:c>
      <x:c r="C1276" s="60" t="n">
        <x:v>0.4</x:v>
      </x:c>
      <x:c r="D1276" s="60" t="n">
        <x:v>0.4</x:v>
      </x:c>
      <x:c r="E1276" s="62" t="b">
        <x:v>1</x:v>
      </x:c>
      <x:c r="F1276" s="62" t="b">
        <x:v>1</x:v>
      </x:c>
      <x:c r="G1276" s="85" t="n">
        <x:v>0</x:v>
      </x:c>
      <x:c r="H1276" s="85" t="n">
        <x:v>0</x:v>
      </x:c>
      <x:c r="I1276" s="85" t="n">
        <x:v>7366000.178174573</x:v>
      </x:c>
      <x:c r="J1276" s="85" t="n">
        <x:v>7937390.289964181</x:v>
      </x:c>
      <x:c r="K1276" s="85" t="n">
        <x:v>18112.29800000017</x:v>
      </x:c>
      <x:c r="L1276" s="28" t="n">
        <x:v>1</x:v>
      </x:c>
      <x:c r="M1276" s="28" t="n">
        <x:v>0</x:v>
      </x:c>
      <x:c r="N1276" s="28" t="n">
        <x:v>2.3283064365386963e-10</x:v>
      </x:c>
      <x:c r="O1276" s="28" t="n">
        <x:v>7.450580596923828e-9</x:v>
      </x:c>
      <x:c r="P1276" s="28" t="n">
        <x:v>0</x:v>
      </x:c>
      <x:c r="Q1276" s="62" t="b">
        <x:v>1</x:v>
      </x:c>
      <x:c r="R1276" s="28" t="n">
        <x:v>0</x:v>
      </x:c>
      <x:c r="S1276" s="28" t="str">
        <x:v>aa38668ab921bd19</x:v>
      </x:c>
    </x:row>
    <x:row r="1277" ht="21" customHeight="1">
      <x:c r="A1277" s="60" t="n">
        <x:v>0.65</x:v>
      </x:c>
      <x:c r="B1277" s="28" t="str">
        <x:v>front_flat</x:v>
      </x:c>
      <x:c r="C1277" s="60" t="n">
        <x:v>0.45</x:v>
      </x:c>
      <x:c r="D1277" s="60" t="n">
        <x:v>0.45</x:v>
      </x:c>
      <x:c r="E1277" s="62" t="b">
        <x:v>1</x:v>
      </x:c>
      <x:c r="F1277" s="62" t="b">
        <x:v>1</x:v>
      </x:c>
      <x:c r="G1277" s="85" t="n">
        <x:v>0</x:v>
      </x:c>
      <x:c r="H1277" s="85" t="n">
        <x:v>0</x:v>
      </x:c>
      <x:c r="I1277" s="85" t="n">
        <x:v>9086656.835155996</x:v>
      </x:c>
      <x:c r="J1277" s="85" t="n">
        <x:v>8465711.909414366</x:v>
      </x:c>
      <x:c r="K1277" s="85" t="n">
        <x:v>12958.442568492996</x:v>
      </x:c>
      <x:c r="L1277" s="28" t="n">
        <x:v>8</x:v>
      </x:c>
      <x:c r="M1277" s="28" t="n">
        <x:v>0</x:v>
      </x:c>
      <x:c r="N1277" s="28" t="n">
        <x:v>4.656612873077393e-10</x:v>
      </x:c>
      <x:c r="O1277" s="28" t="n">
        <x:v>3.725290298461914e-9</x:v>
      </x:c>
      <x:c r="P1277" s="28" t="n">
        <x:v>0</x:v>
      </x:c>
      <x:c r="Q1277" s="62" t="b">
        <x:v>1</x:v>
      </x:c>
      <x:c r="R1277" s="28" t="n">
        <x:v>0</x:v>
      </x:c>
      <x:c r="S1277" s="28" t="str">
        <x:v>f05e09ea0ef55c7e</x:v>
      </x:c>
    </x:row>
    <x:row r="1278" ht="21" customHeight="1">
      <x:c r="A1278" s="60" t="n">
        <x:v>0.65</x:v>
      </x:c>
      <x:c r="B1278" s="28" t="str">
        <x:v>front_flat</x:v>
      </x:c>
      <x:c r="C1278" s="60" t="n">
        <x:v>0.5</x:v>
      </x:c>
      <x:c r="D1278" s="60" t="n">
        <x:v>0.5</x:v>
      </x:c>
      <x:c r="E1278" s="62" t="b">
        <x:v>1</x:v>
      </x:c>
      <x:c r="F1278" s="62" t="b">
        <x:v>1</x:v>
      </x:c>
      <x:c r="G1278" s="85" t="n">
        <x:v>0</x:v>
      </x:c>
      <x:c r="H1278" s="85" t="n">
        <x:v>0</x:v>
      </x:c>
      <x:c r="I1278" s="85" t="n">
        <x:v>10720348.93404917</x:v>
      </x:c>
      <x:c r="J1278" s="85" t="n">
        <x:v>9168570.60560733</x:v>
      </x:c>
      <x:c r="K1278" s="85" t="n">
        <x:v>9048.362671232819</x:v>
      </x:c>
      <x:c r="L1278" s="28" t="n">
        <x:v>15</x:v>
      </x:c>
      <x:c r="M1278" s="28" t="n">
        <x:v>0</x:v>
      </x:c>
      <x:c r="N1278" s="28" t="n">
        <x:v>4.656612873077393e-10</x:v>
      </x:c>
      <x:c r="O1278" s="28" t="n">
        <x:v>7.450580596923828e-9</x:v>
      </x:c>
      <x:c r="P1278" s="28" t="n">
        <x:v>0</x:v>
      </x:c>
      <x:c r="Q1278" s="62" t="b">
        <x:v>1</x:v>
      </x:c>
      <x:c r="R1278" s="28" t="n">
        <x:v>0</x:v>
      </x:c>
      <x:c r="S1278" s="28" t="str">
        <x:v>7c3d0ba4d5e837a2</x:v>
      </x:c>
    </x:row>
    <x:row r="1279" ht="21" customHeight="1">
      <x:c r="A1279" s="60" t="n">
        <x:v>0.65</x:v>
      </x:c>
      <x:c r="B1279" s="28" t="str">
        <x:v>front_flat</x:v>
      </x:c>
      <x:c r="C1279" s="60" t="n">
        <x:v>0.55</x:v>
      </x:c>
      <x:c r="D1279" s="60" t="n">
        <x:v>0.55</x:v>
      </x:c>
      <x:c r="E1279" s="62" t="b">
        <x:v>1</x:v>
      </x:c>
      <x:c r="F1279" s="62" t="b">
        <x:v>1</x:v>
      </x:c>
      <x:c r="G1279" s="85" t="n">
        <x:v>0</x:v>
      </x:c>
      <x:c r="H1279" s="85" t="n">
        <x:v>0</x:v>
      </x:c>
      <x:c r="I1279" s="85" t="n">
        <x:v>11953165.001019463</x:v>
      </x:c>
      <x:c r="J1279" s="85" t="n">
        <x:v>11031030.032185659</x:v>
      </x:c>
      <x:c r="K1279" s="85" t="n">
        <x:v>5138.282773972409</x:v>
      </x:c>
      <x:c r="L1279" s="28" t="n">
        <x:v>19</x:v>
      </x:c>
      <x:c r="M1279" s="28" t="n">
        <x:v>0</x:v>
      </x:c>
      <x:c r="N1279" s="28" t="n">
        <x:v>4.656612873077393e-10</x:v>
      </x:c>
      <x:c r="O1279" s="28" t="n">
        <x:v>3.725290298461914e-9</x:v>
      </x:c>
      <x:c r="P1279" s="28" t="n">
        <x:v>0</x:v>
      </x:c>
      <x:c r="Q1279" s="62" t="b">
        <x:v>1</x:v>
      </x:c>
      <x:c r="R1279" s="28" t="n">
        <x:v>0</x:v>
      </x:c>
      <x:c r="S1279" s="28" t="str">
        <x:v>181ab28ac14f2395</x:v>
      </x:c>
    </x:row>
    <x:row r="1280" ht="21" customHeight="1">
      <x:c r="A1280" s="60" t="n">
        <x:v>0.65</x:v>
      </x:c>
      <x:c r="B1280" s="28" t="str">
        <x:v>front_flat</x:v>
      </x:c>
      <x:c r="C1280" s="60" t="n">
        <x:v>0.6</x:v>
      </x:c>
      <x:c r="D1280" s="60" t="n">
        <x:v>0.6</x:v>
      </x:c>
      <x:c r="E1280" s="62" t="b">
        <x:v>1</x:v>
      </x:c>
      <x:c r="F1280" s="62" t="b">
        <x:v>1</x:v>
      </x:c>
      <x:c r="G1280" s="85" t="n">
        <x:v>0</x:v>
      </x:c>
      <x:c r="H1280" s="85" t="n">
        <x:v>0</x:v>
      </x:c>
      <x:c r="I1280" s="85" t="n">
        <x:v>13079979.684868475</x:v>
      </x:c>
      <x:c r="J1280" s="85" t="n">
        <x:v>13119298.903724547</x:v>
      </x:c>
      <x:c r="K1280" s="85" t="n">
        <x:v>1228.2028767126976</x:v>
      </x:c>
      <x:c r="L1280" s="28" t="n">
        <x:v>23</x:v>
      </x:c>
      <x:c r="M1280" s="28" t="n">
        <x:v>8</x:v>
      </x:c>
      <x:c r="N1280" s="28" t="n">
        <x:v>4.656612873077393e-10</x:v>
      </x:c>
      <x:c r="O1280" s="28" t="n">
        <x:v>3.725290298461914e-9</x:v>
      </x:c>
      <x:c r="P1280" s="28" t="n">
        <x:v>0</x:v>
      </x:c>
      <x:c r="Q1280" s="62" t="b">
        <x:v>1</x:v>
      </x:c>
      <x:c r="R1280" s="28" t="n">
        <x:v>0</x:v>
      </x:c>
      <x:c r="S1280" s="28" t="str">
        <x:v>a4e8734e181fdf71</x:v>
      </x:c>
    </x:row>
    <x:row r="1281" ht="21" customHeight="1">
      <x:c r="A1281" s="60" t="n">
        <x:v>0.65</x:v>
      </x:c>
      <x:c r="B1281" s="28" t="str">
        <x:v>front_flat</x:v>
      </x:c>
      <x:c r="C1281" s="60" t="n">
        <x:v>0.65</x:v>
      </x:c>
      <x:c r="D1281" s="60" t="n">
        <x:v>0.65</x:v>
      </x:c>
      <x:c r="E1281" s="62" t="b">
        <x:v>1</x:v>
      </x:c>
      <x:c r="F1281" s="62" t="b">
        <x:v>0</x:v>
      </x:c>
      <x:c r="G1281" s="85" t="n">
        <x:v>240722.8830195794</x:v>
      </x:c>
      <x:c r="H1281" s="85" t="n">
        <x:v>1289447.99776251</x:v>
      </x:c>
      <x:c r="I1281" s="85" t="n">
        <x:v>13654809.243658217</x:v>
      </x:c>
      <x:c r="J1281" s="85" t="n">
        <x:v>13935999.999999998</x:v>
      </x:c>
      <x:c r="K1281" s="85" t="n">
        <x:v>0</x:v>
      </x:c>
      <x:c r="L1281" s="28" t="n">
        <x:v>46</x:v>
      </x:c>
      <x:c r="M1281" s="28" t="n">
        <x:v>34</x:v>
      </x:c>
      <x:c r="N1281" s="28" t="n">
        <x:v>4.656612873077393e-10</x:v>
      </x:c>
      <x:c r="O1281" s="28" t="n">
        <x:v>3.725290298461914e-9</x:v>
      </x:c>
      <x:c r="P1281" s="28" t="n">
        <x:v>0</x:v>
      </x:c>
      <x:c r="Q1281" s="62" t="b">
        <x:v>1</x:v>
      </x:c>
      <x:c r="R1281" s="28" t="n">
        <x:v>0</x:v>
      </x:c>
      <x:c r="S1281" s="28" t="str">
        <x:v>3885395f40414517</x:v>
      </x:c>
    </x:row>
    <x:row r="1282" ht="21" customHeight="1">
      <x:c r="A1282" s="60" t="n">
        <x:v>0.65</x:v>
      </x:c>
      <x:c r="B1282" s="28" t="str">
        <x:v>front_flat</x:v>
      </x:c>
      <x:c r="C1282" s="60" t="n">
        <x:v>0.7</x:v>
      </x:c>
      <x:c r="D1282" s="60" t="n">
        <x:v>0.7</x:v>
      </x:c>
      <x:c r="E1282" s="62" t="b">
        <x:v>1</x:v>
      </x:c>
      <x:c r="F1282" s="62" t="b">
        <x:v>0</x:v>
      </x:c>
      <x:c r="G1282" s="85" t="n">
        <x:v>706422.1986051387</x:v>
      </x:c>
      <x:c r="H1282" s="85" t="n">
        <x:v>3808565.7977801245</x:v>
      </x:c>
      <x:c r="I1282" s="85" t="n">
        <x:v>13662617.755889038</x:v>
      </x:c>
      <x:c r="J1282" s="85" t="n">
        <x:v>13935999.999999998</x:v>
      </x:c>
      <x:c r="K1282" s="85" t="n">
        <x:v>0</x:v>
      </x:c>
      <x:c r="L1282" s="28" t="n">
        <x:v>46</x:v>
      </x:c>
      <x:c r="M1282" s="28" t="n">
        <x:v>37</x:v>
      </x:c>
      <x:c r="N1282" s="28" t="n">
        <x:v>4.656612873077393e-10</x:v>
      </x:c>
      <x:c r="O1282" s="28" t="n">
        <x:v>1.862645149230957e-9</x:v>
      </x:c>
      <x:c r="P1282" s="28" t="n">
        <x:v>0</x:v>
      </x:c>
      <x:c r="Q1282" s="62" t="b">
        <x:v>1</x:v>
      </x:c>
      <x:c r="R1282" s="28" t="n">
        <x:v>0</x:v>
      </x:c>
      <x:c r="S1282" s="28" t="str">
        <x:v>03203d450379e848</x:v>
      </x:c>
    </x:row>
    <x:row r="1283" ht="21" customHeight="1">
      <x:c r="A1283" s="60" t="n">
        <x:v>0.65</x:v>
      </x:c>
      <x:c r="B1283" s="28" t="str">
        <x:v>front_flat</x:v>
      </x:c>
      <x:c r="C1283" s="60" t="n">
        <x:v>0.75</x:v>
      </x:c>
      <x:c r="D1283" s="60" t="n">
        <x:v>0.75</x:v>
      </x:c>
      <x:c r="E1283" s="62" t="b">
        <x:v>1</x:v>
      </x:c>
      <x:c r="F1283" s="62" t="b">
        <x:v>0</x:v>
      </x:c>
      <x:c r="G1283" s="85" t="n">
        <x:v>1221043.5744290906</x:v>
      </x:c>
      <x:c r="H1283" s="85" t="n">
        <x:v>6189936.594657253</x:v>
      </x:c>
      <x:c r="I1283" s="85" t="n">
        <x:v>13670426.268119859</x:v>
      </x:c>
      <x:c r="J1283" s="85" t="n">
        <x:v>13935999.999999998</x:v>
      </x:c>
      <x:c r="K1283" s="85" t="n">
        <x:v>0</x:v>
      </x:c>
      <x:c r="L1283" s="28" t="n">
        <x:v>46</x:v>
      </x:c>
      <x:c r="M1283" s="28" t="n">
        <x:v>39</x:v>
      </x:c>
      <x:c r="N1283" s="28" t="n">
        <x:v>1.1641532182693481e-10</x:v>
      </x:c>
      <x:c r="O1283" s="28" t="n">
        <x:v>3.725290298461914e-9</x:v>
      </x:c>
      <x:c r="P1283" s="28" t="n">
        <x:v>0</x:v>
      </x:c>
      <x:c r="Q1283" s="62" t="b">
        <x:v>1</x:v>
      </x:c>
      <x:c r="R1283" s="28" t="n">
        <x:v>0</x:v>
      </x:c>
      <x:c r="S1283" s="28" t="str">
        <x:v>e0de07e0eff2a805</x:v>
      </x:c>
    </x:row>
    <x:row r="1284" ht="21" customHeight="1">
      <x:c r="A1284" s="60" t="n">
        <x:v>0.65</x:v>
      </x:c>
      <x:c r="B1284" s="28" t="str">
        <x:v>front_flat</x:v>
      </x:c>
      <x:c r="C1284" s="60" t="n">
        <x:v>0.8</x:v>
      </x:c>
      <x:c r="D1284" s="60" t="n">
        <x:v>0.8</x:v>
      </x:c>
      <x:c r="E1284" s="62" t="b">
        <x:v>1</x:v>
      </x:c>
      <x:c r="F1284" s="62" t="b">
        <x:v>0</x:v>
      </x:c>
      <x:c r="G1284" s="85" t="n">
        <x:v>1701772.6354764167</x:v>
      </x:c>
      <x:c r="H1284" s="85" t="n">
        <x:v>8559783.097011067</x:v>
      </x:c>
      <x:c r="I1284" s="85" t="n">
        <x:v>13678234.780350681</x:v>
      </x:c>
      <x:c r="J1284" s="85" t="n">
        <x:v>13935999.999999998</x:v>
      </x:c>
      <x:c r="K1284" s="85" t="n">
        <x:v>0</x:v>
      </x:c>
      <x:c r="L1284" s="28" t="n">
        <x:v>46</x:v>
      </x:c>
      <x:c r="M1284" s="28" t="n">
        <x:v>42</x:v>
      </x:c>
      <x:c r="N1284" s="28" t="n">
        <x:v>4.656612873077393e-10</x:v>
      </x:c>
      <x:c r="O1284" s="28" t="n">
        <x:v>3.725290298461914e-9</x:v>
      </x:c>
      <x:c r="P1284" s="28" t="n">
        <x:v>0</x:v>
      </x:c>
      <x:c r="Q1284" s="62" t="b">
        <x:v>1</x:v>
      </x:c>
      <x:c r="R1284" s="28" t="n">
        <x:v>0</x:v>
      </x:c>
      <x:c r="S1284" s="28" t="str">
        <x:v>4c709a63833c1743</x:v>
      </x:c>
    </x:row>
    <x:row r="1285" ht="21" customHeight="1">
      <x:c r="A1285" s="60" t="n">
        <x:v>0.65</x:v>
      </x:c>
      <x:c r="B1285" s="28" t="str">
        <x:v>front_flat</x:v>
      </x:c>
      <x:c r="C1285" s="60" t="n">
        <x:v>0.85</x:v>
      </x:c>
      <x:c r="D1285" s="60" t="n">
        <x:v>0.85</x:v>
      </x:c>
      <x:c r="E1285" s="62" t="b">
        <x:v>1</x:v>
      </x:c>
      <x:c r="F1285" s="62" t="b">
        <x:v>0</x:v>
      </x:c>
      <x:c r="G1285" s="85" t="n">
        <x:v>2308878.9411946186</x:v>
      </x:c>
      <x:c r="H1285" s="85" t="n">
        <x:v>10769109.004967144</x:v>
      </x:c>
      <x:c r="I1285" s="85" t="n">
        <x:v>13686043.292581502</x:v>
      </x:c>
      <x:c r="J1285" s="85" t="n">
        <x:v>13935999.999999998</x:v>
      </x:c>
      <x:c r="K1285" s="85" t="n">
        <x:v>0</x:v>
      </x:c>
      <x:c r="L1285" s="28" t="n">
        <x:v>46</x:v>
      </x:c>
      <x:c r="M1285" s="28" t="n">
        <x:v>44</x:v>
      </x:c>
      <x:c r="N1285" s="28" t="n">
        <x:v>4.656612873077393e-10</x:v>
      </x:c>
      <x:c r="O1285" s="28" t="n">
        <x:v>1.862645149230957e-9</x:v>
      </x:c>
      <x:c r="P1285" s="28" t="n">
        <x:v>0</x:v>
      </x:c>
      <x:c r="Q1285" s="62" t="b">
        <x:v>1</x:v>
      </x:c>
      <x:c r="R1285" s="28" t="n">
        <x:v>0</x:v>
      </x:c>
      <x:c r="S1285" s="28" t="str">
        <x:v>5e783a7bde1ed17e</x:v>
      </x:c>
    </x:row>
    <x:row r="1286" ht="21" customHeight="1">
      <x:c r="A1286" s="60" t="n">
        <x:v>0.65</x:v>
      </x:c>
      <x:c r="B1286" s="28" t="str">
        <x:v>front_flat</x:v>
      </x:c>
      <x:c r="C1286" s="60" t="n">
        <x:v>0.9</x:v>
      </x:c>
      <x:c r="D1286" s="60" t="n">
        <x:v>0.9</x:v>
      </x:c>
      <x:c r="E1286" s="62" t="b">
        <x:v>1</x:v>
      </x:c>
      <x:c r="F1286" s="62" t="b">
        <x:v>0</x:v>
      </x:c>
      <x:c r="G1286" s="85" t="n">
        <x:v>2918528.9747119676</x:v>
      </x:c>
      <x:c r="H1286" s="85" t="n">
        <x:v>12973159.196935054</x:v>
      </x:c>
      <x:c r="I1286" s="85" t="n">
        <x:v>13695466.437483558</x:v>
      </x:c>
      <x:c r="J1286" s="85" t="n">
        <x:v>13935999.999999998</x:v>
      </x:c>
      <x:c r="K1286" s="85" t="n">
        <x:v>0</x:v>
      </x:c>
      <x:c r="L1286" s="28" t="n">
        <x:v>46</x:v>
      </x:c>
      <x:c r="M1286" s="28" t="n">
        <x:v>44</x:v>
      </x:c>
      <x:c r="N1286" s="28" t="n">
        <x:v>2.3283064365386963e-10</x:v>
      </x:c>
      <x:c r="O1286" s="28" t="n">
        <x:v>3.725290298461914e-9</x:v>
      </x:c>
      <x:c r="P1286" s="28" t="n">
        <x:v>0</x:v>
      </x:c>
      <x:c r="Q1286" s="62" t="b">
        <x:v>1</x:v>
      </x:c>
      <x:c r="R1286" s="28" t="n">
        <x:v>0</x:v>
      </x:c>
      <x:c r="S1286" s="28" t="str">
        <x:v>58a9e1de1a663ed5</x:v>
      </x:c>
    </x:row>
    <x:row r="1287" ht="21" customHeight="1">
      <x:c r="A1287" s="60" t="n">
        <x:v>0.65</x:v>
      </x:c>
      <x:c r="B1287" s="28" t="str">
        <x:v>front_flat</x:v>
      </x:c>
      <x:c r="C1287" s="60" t="n">
        <x:v>0.95</x:v>
      </x:c>
      <x:c r="D1287" s="60" t="n">
        <x:v>0.9427119459478259</x:v>
      </x:c>
      <x:c r="E1287" s="62" t="b">
        <x:v>0</x:v>
      </x:c>
      <x:c r="F1287" s="62" t="b">
        <x:v>0</x:v>
      </x:c>
      <x:c r="G1287" s="85" t="n">
        <x:v>3773710.2839858597</x:v>
      </x:c>
      <x:c r="H1287" s="85" t="n">
        <x:v>14287833.011647223</x:v>
      </x:c>
      <x:c r="I1287" s="85" t="n">
        <x:v>13707185.02961164</x:v>
      </x:c>
      <x:c r="J1287" s="85" t="n">
        <x:v>13935999.999999998</x:v>
      </x:c>
      <x:c r="K1287" s="85" t="n">
        <x:v>0</x:v>
      </x:c>
      <x:c r="L1287" s="28" t="n">
        <x:v>46</x:v>
      </x:c>
      <x:c r="M1287" s="28" t="n">
        <x:v>44</x:v>
      </x:c>
      <x:c r="N1287" s="28" t="n">
        <x:v>4.656612873077393e-10</x:v>
      </x:c>
      <x:c r="O1287" s="28" t="n">
        <x:v>1.862645149230957e-9</x:v>
      </x:c>
      <x:c r="P1287" s="28" t="n">
        <x:v>0</x:v>
      </x:c>
      <x:c r="Q1287" s="62" t="b">
        <x:v>1</x:v>
      </x:c>
      <x:c r="R1287" s="28" t="n">
        <x:v>406265.28508438915</x:v>
      </x:c>
      <x:c r="S1287" s="28" t="str">
        <x:v>3e0d80cc9f69a0ff</x:v>
      </x:c>
    </x:row>
    <x:row r="1288" ht="21" customHeight="1">
      <x:c r="A1288" s="60" t="n">
        <x:v>0.65</x:v>
      </x:c>
      <x:c r="B1288" s="28" t="str">
        <x:v>front_flat</x:v>
      </x:c>
      <x:c r="C1288" s="60" t="n">
        <x:v>1</x:v>
      </x:c>
      <x:c r="D1288" s="60" t="n">
        <x:v>0.9596721012870685</x:v>
      </x:c>
      <x:c r="E1288" s="62" t="b">
        <x:v>0</x:v>
      </x:c>
      <x:c r="F1288" s="62" t="b">
        <x:v>0</x:v>
      </x:c>
      <x:c r="G1288" s="85" t="n">
        <x:v>4083492.3675432433</x:v>
      </x:c>
      <x:c r="H1288" s="85" t="n">
        <x:v>14837680.824207429</x:v>
      </x:c>
      <x:c r="I1288" s="85" t="n">
        <x:v>13941807.614383558</x:v>
      </x:c>
      <x:c r="J1288" s="85" t="n">
        <x:v>13935999.999999998</x:v>
      </x:c>
      <x:c r="K1288" s="85" t="n">
        <x:v>0</x:v>
      </x:c>
      <x:c r="L1288" s="28" t="n">
        <x:v>47</x:v>
      </x:c>
      <x:c r="M1288" s="28" t="n">
        <x:v>45</x:v>
      </x:c>
      <x:c r="N1288" s="28" t="n">
        <x:v>2.3283064365386963e-10</x:v>
      </x:c>
      <x:c r="O1288" s="28" t="n">
        <x:v>1.862645149230957e-9</x:v>
      </x:c>
      <x:c r="P1288" s="28" t="n">
        <x:v>0</x:v>
      </x:c>
      <x:c r="Q1288" s="62" t="b">
        <x:v>1</x:v>
      </x:c>
      <x:c r="R1288" s="28" t="n">
        <x:v>2248038.3858536556</x:v>
      </x:c>
      <x:c r="S1288" s="28" t="str">
        <x:v>1e0055ec9c536075</x:v>
      </x:c>
    </x:row>
    <x:row r="1289" ht="21" customHeight="1">
      <x:c r="A1289" s="60" t="n">
        <x:v>0.65</x:v>
      </x:c>
      <x:c r="B1289" s="28" t="str">
        <x:v>front_low</x:v>
      </x:c>
      <x:c r="C1289" s="60" t="n">
        <x:v>0</x:v>
      </x:c>
      <x:c r="D1289" s="60" t="n">
        <x:v>0</x:v>
      </x:c>
      <x:c r="E1289" s="62" t="b">
        <x:v>1</x:v>
      </x:c>
      <x:c r="F1289" s="62" t="b">
        <x:v>1</x:v>
      </x:c>
      <x:c r="G1289" s="85" t="n">
        <x:v>0</x:v>
      </x:c>
      <x:c r="H1289" s="85" t="n">
        <x:v>0</x:v>
      </x:c>
      <x:c r="I1289" s="85" t="n">
        <x:v>0</x:v>
      </x:c>
      <x:c r="J1289" s="85" t="n">
        <x:v>0</x:v>
      </x:c>
      <x:c r="K1289" s="85" t="n">
        <x:v>5434931.926575345</x:v>
      </x:c>
      <x:c r="L1289" s="28" t="n">
        <x:v>0</x:v>
      </x:c>
      <x:c r="M1289" s="28" t="n">
        <x:v>0</x:v>
      </x:c>
      <x:c r="N1289" s="28" t="n">
        <x:v>9.313225746154785e-10</x:v>
      </x:c>
      <x:c r="O1289" s="28" t="n">
        <x:v>0</x:v>
      </x:c>
      <x:c r="P1289" s="28" t="n">
        <x:v>0</x:v>
      </x:c>
      <x:c r="Q1289" s="62" t="b">
        <x:v>1</x:v>
      </x:c>
      <x:c r="R1289" s="28" t="n">
        <x:v>0</x:v>
      </x:c>
      <x:c r="S1289" s="28" t="str">
        <x:v>fb4d343ed97245f6</x:v>
      </x:c>
    </x:row>
    <x:row r="1290" ht="21" customHeight="1">
      <x:c r="A1290" s="60" t="n">
        <x:v>0.65</x:v>
      </x:c>
      <x:c r="B1290" s="28" t="str">
        <x:v>front_low</x:v>
      </x:c>
      <x:c r="C1290" s="60" t="n">
        <x:v>0.05</x:v>
      </x:c>
      <x:c r="D1290" s="60" t="n">
        <x:v>0.05</x:v>
      </x:c>
      <x:c r="E1290" s="62" t="b">
        <x:v>1</x:v>
      </x:c>
      <x:c r="F1290" s="62" t="b">
        <x:v>1</x:v>
      </x:c>
      <x:c r="G1290" s="85" t="n">
        <x:v>0</x:v>
      </x:c>
      <x:c r="H1290" s="85" t="n">
        <x:v>0</x:v>
      </x:c>
      <x:c r="I1290" s="85" t="n">
        <x:v>0</x:v>
      </x:c>
      <x:c r="J1290" s="85" t="n">
        <x:v>0</x:v>
      </x:c>
      <x:c r="K1290" s="85" t="n">
        <x:v>3388420.565322037</x:v>
      </x:c>
      <x:c r="L1290" s="28" t="n">
        <x:v>0</x:v>
      </x:c>
      <x:c r="M1290" s="28" t="n">
        <x:v>0</x:v>
      </x:c>
      <x:c r="N1290" s="28" t="n">
        <x:v>9.313225746154785e-10</x:v>
      </x:c>
      <x:c r="O1290" s="28" t="n">
        <x:v>7.450580596923828e-9</x:v>
      </x:c>
      <x:c r="P1290" s="28" t="n">
        <x:v>0</x:v>
      </x:c>
      <x:c r="Q1290" s="62" t="b">
        <x:v>1</x:v>
      </x:c>
      <x:c r="R1290" s="28" t="n">
        <x:v>0</x:v>
      </x:c>
      <x:c r="S1290" s="28" t="str">
        <x:v>fd49299ed509fa0e</x:v>
      </x:c>
    </x:row>
    <x:row r="1291" ht="21" customHeight="1">
      <x:c r="A1291" s="60" t="n">
        <x:v>0.65</x:v>
      </x:c>
      <x:c r="B1291" s="28" t="str">
        <x:v>front_low</x:v>
      </x:c>
      <x:c r="C1291" s="60" t="n">
        <x:v>0.1</x:v>
      </x:c>
      <x:c r="D1291" s="60" t="n">
        <x:v>0.1</x:v>
      </x:c>
      <x:c r="E1291" s="62" t="b">
        <x:v>1</x:v>
      </x:c>
      <x:c r="F1291" s="62" t="b">
        <x:v>1</x:v>
      </x:c>
      <x:c r="G1291" s="85" t="n">
        <x:v>0</x:v>
      </x:c>
      <x:c r="H1291" s="85" t="n">
        <x:v>0</x:v>
      </x:c>
      <x:c r="I1291" s="85" t="n">
        <x:v>0</x:v>
      </x:c>
      <x:c r="J1291" s="85" t="n">
        <x:v>0</x:v>
      </x:c>
      <x:c r="K1291" s="85" t="n">
        <x:v>1346849.1226536618</x:v>
      </x:c>
      <x:c r="L1291" s="28" t="n">
        <x:v>0</x:v>
      </x:c>
      <x:c r="M1291" s="28" t="n">
        <x:v>0</x:v>
      </x:c>
      <x:c r="N1291" s="28" t="n">
        <x:v>4.656612873077393e-10</x:v>
      </x:c>
      <x:c r="O1291" s="28" t="n">
        <x:v>7.450580596923828e-9</x:v>
      </x:c>
      <x:c r="P1291" s="28" t="n">
        <x:v>0</x:v>
      </x:c>
      <x:c r="Q1291" s="62" t="b">
        <x:v>1</x:v>
      </x:c>
      <x:c r="R1291" s="28" t="n">
        <x:v>0</x:v>
      </x:c>
      <x:c r="S1291" s="28" t="str">
        <x:v>166aef8deee1d6b9</x:v>
      </x:c>
    </x:row>
    <x:row r="1292" ht="21" customHeight="1">
      <x:c r="A1292" s="60" t="n">
        <x:v>0.65</x:v>
      </x:c>
      <x:c r="B1292" s="28" t="str">
        <x:v>front_low</x:v>
      </x:c>
      <x:c r="C1292" s="60" t="n">
        <x:v>0.15</x:v>
      </x:c>
      <x:c r="D1292" s="60" t="n">
        <x:v>0.15</x:v>
      </x:c>
      <x:c r="E1292" s="62" t="b">
        <x:v>1</x:v>
      </x:c>
      <x:c r="F1292" s="62" t="b">
        <x:v>1</x:v>
      </x:c>
      <x:c r="G1292" s="85" t="n">
        <x:v>0</x:v>
      </x:c>
      <x:c r="H1292" s="85" t="n">
        <x:v>0</x:v>
      </x:c>
      <x:c r="I1292" s="85" t="n">
        <x:v>534276.2309906373</x:v>
      </x:c>
      <x:c r="J1292" s="85" t="n">
        <x:v>0</x:v>
      </x:c>
      <x:c r="K1292" s="85" t="n">
        <x:v>36402.08211986322</x:v>
      </x:c>
      <x:c r="L1292" s="28" t="n">
        <x:v>0</x:v>
      </x:c>
      <x:c r="M1292" s="28" t="n">
        <x:v>0</x:v>
      </x:c>
      <x:c r="N1292" s="28" t="n">
        <x:v>4.656612873077393e-10</x:v>
      </x:c>
      <x:c r="O1292" s="28" t="n">
        <x:v>7.450580596923828e-9</x:v>
      </x:c>
      <x:c r="P1292" s="28" t="n">
        <x:v>0</x:v>
      </x:c>
      <x:c r="Q1292" s="62" t="b">
        <x:v>1</x:v>
      </x:c>
      <x:c r="R1292" s="28" t="n">
        <x:v>0</x:v>
      </x:c>
      <x:c r="S1292" s="28" t="str">
        <x:v>d45b1d628f986123</x:v>
      </x:c>
    </x:row>
    <x:row r="1293" ht="21" customHeight="1">
      <x:c r="A1293" s="60" t="n">
        <x:v>0.65</x:v>
      </x:c>
      <x:c r="B1293" s="28" t="str">
        <x:v>front_low</x:v>
      </x:c>
      <x:c r="C1293" s="60" t="n">
        <x:v>0.2</x:v>
      </x:c>
      <x:c r="D1293" s="60" t="n">
        <x:v>0.2</x:v>
      </x:c>
      <x:c r="E1293" s="62" t="b">
        <x:v>1</x:v>
      </x:c>
      <x:c r="F1293" s="62" t="b">
        <x:v>1</x:v>
      </x:c>
      <x:c r="G1293" s="85" t="n">
        <x:v>0</x:v>
      </x:c>
      <x:c r="H1293" s="85" t="n">
        <x:v>0</x:v>
      </x:c>
      <x:c r="I1293" s="85" t="n">
        <x:v>1680932.749774171</x:v>
      </x:c>
      <x:c r="J1293" s="85" t="n">
        <x:v>1254093.438872116</x:v>
      </x:c>
      <x:c r="K1293" s="85" t="n">
        <x:v>23305.37831506857</x:v>
      </x:c>
      <x:c r="L1293" s="28" t="n">
        <x:v>0</x:v>
      </x:c>
      <x:c r="M1293" s="28" t="n">
        <x:v>0</x:v>
      </x:c>
      <x:c r="N1293" s="28" t="n">
        <x:v>4.656612873077393e-10</x:v>
      </x:c>
      <x:c r="O1293" s="28" t="n">
        <x:v>7.450580596923828e-9</x:v>
      </x:c>
      <x:c r="P1293" s="28" t="n">
        <x:v>0</x:v>
      </x:c>
      <x:c r="Q1293" s="62" t="b">
        <x:v>1</x:v>
      </x:c>
      <x:c r="R1293" s="28" t="n">
        <x:v>0</x:v>
      </x:c>
      <x:c r="S1293" s="28" t="str">
        <x:v>6cf6b98a7252f5b6</x:v>
      </x:c>
    </x:row>
    <x:row r="1294" ht="21" customHeight="1">
      <x:c r="A1294" s="60" t="n">
        <x:v>0.65</x:v>
      </x:c>
      <x:c r="B1294" s="28" t="str">
        <x:v>front_low</x:v>
      </x:c>
      <x:c r="C1294" s="60" t="n">
        <x:v>0.25</x:v>
      </x:c>
      <x:c r="D1294" s="60" t="n">
        <x:v>0.25</x:v>
      </x:c>
      <x:c r="E1294" s="62" t="b">
        <x:v>1</x:v>
      </x:c>
      <x:c r="F1294" s="62" t="b">
        <x:v>1</x:v>
      </x:c>
      <x:c r="G1294" s="85" t="n">
        <x:v>0</x:v>
      </x:c>
      <x:c r="H1294" s="85" t="n">
        <x:v>0</x:v>
      </x:c>
      <x:c r="I1294" s="85" t="n">
        <x:v>2500000.4120964934</x:v>
      </x:c>
      <x:c r="J1294" s="85" t="n">
        <x:v>2961216.7985901283</x:v>
      </x:c>
      <x:c r="K1294" s="85" t="n">
        <x:v>16693.97316780833</x:v>
      </x:c>
      <x:c r="L1294" s="28" t="n">
        <x:v>0</x:v>
      </x:c>
      <x:c r="M1294" s="28" t="n">
        <x:v>0</x:v>
      </x:c>
      <x:c r="N1294" s="28" t="n">
        <x:v>4.656612873077393e-10</x:v>
      </x:c>
      <x:c r="O1294" s="28" t="n">
        <x:v>3.725290298461914e-9</x:v>
      </x:c>
      <x:c r="P1294" s="28" t="n">
        <x:v>0</x:v>
      </x:c>
      <x:c r="Q1294" s="62" t="b">
        <x:v>1</x:v>
      </x:c>
      <x:c r="R1294" s="28" t="n">
        <x:v>0</x:v>
      </x:c>
      <x:c r="S1294" s="28" t="str">
        <x:v>f1f3ee3af9802381</x:v>
      </x:c>
    </x:row>
    <x:row r="1295" ht="21" customHeight="1">
      <x:c r="A1295" s="60" t="n">
        <x:v>0.65</x:v>
      </x:c>
      <x:c r="B1295" s="28" t="str">
        <x:v>front_low</x:v>
      </x:c>
      <x:c r="C1295" s="60" t="n">
        <x:v>0.3</x:v>
      </x:c>
      <x:c r="D1295" s="60" t="n">
        <x:v>0.3</x:v>
      </x:c>
      <x:c r="E1295" s="62" t="b">
        <x:v>1</x:v>
      </x:c>
      <x:c r="F1295" s="62" t="b">
        <x:v>1</x:v>
      </x:c>
      <x:c r="G1295" s="85" t="n">
        <x:v>0</x:v>
      </x:c>
      <x:c r="H1295" s="85" t="n">
        <x:v>0</x:v>
      </x:c>
      <x:c r="I1295" s="85" t="n">
        <x:v>3327964.5595688797</x:v>
      </x:c>
      <x:c r="J1295" s="85" t="n">
        <x:v>4668340.158308168</x:v>
      </x:c>
      <x:c r="K1295" s="85" t="n">
        <x:v>10082.56802054774</x:v>
      </x:c>
      <x:c r="L1295" s="28" t="n">
        <x:v>0</x:v>
      </x:c>
      <x:c r="M1295" s="28" t="n">
        <x:v>0</x:v>
      </x:c>
      <x:c r="N1295" s="28" t="n">
        <x:v>4.656612873077393e-10</x:v>
      </x:c>
      <x:c r="O1295" s="28" t="n">
        <x:v>7.450580596923828e-9</x:v>
      </x:c>
      <x:c r="P1295" s="28" t="n">
        <x:v>0</x:v>
      </x:c>
      <x:c r="Q1295" s="62" t="b">
        <x:v>1</x:v>
      </x:c>
      <x:c r="R1295" s="28" t="n">
        <x:v>0</x:v>
      </x:c>
      <x:c r="S1295" s="28" t="str">
        <x:v>9983a5a47c1a9b54</x:v>
      </x:c>
    </x:row>
    <x:row r="1296" ht="21" customHeight="1">
      <x:c r="A1296" s="60" t="n">
        <x:v>0.65</x:v>
      </x:c>
      <x:c r="B1296" s="28" t="str">
        <x:v>front_low</x:v>
      </x:c>
      <x:c r="C1296" s="60" t="n">
        <x:v>0.35</x:v>
      </x:c>
      <x:c r="D1296" s="60" t="n">
        <x:v>0.35</x:v>
      </x:c>
      <x:c r="E1296" s="62" t="b">
        <x:v>1</x:v>
      </x:c>
      <x:c r="F1296" s="62" t="b">
        <x:v>1</x:v>
      </x:c>
      <x:c r="G1296" s="85" t="n">
        <x:v>0</x:v>
      </x:c>
      <x:c r="H1296" s="85" t="n">
        <x:v>0</x:v>
      </x:c>
      <x:c r="I1296" s="85" t="n">
        <x:v>4164451.0258075227</x:v>
      </x:c>
      <x:c r="J1296" s="85" t="n">
        <x:v>6375463.518026184</x:v>
      </x:c>
      <x:c r="K1296" s="85" t="n">
        <x:v>3471.1628732876197</x:v>
      </x:c>
      <x:c r="L1296" s="28" t="n">
        <x:v>0</x:v>
      </x:c>
      <x:c r="M1296" s="28" t="n">
        <x:v>0</x:v>
      </x:c>
      <x:c r="N1296" s="28" t="n">
        <x:v>2.3283064365386963e-10</x:v>
      </x:c>
      <x:c r="O1296" s="28" t="n">
        <x:v>7.450580596923828e-9</x:v>
      </x:c>
      <x:c r="P1296" s="28" t="n">
        <x:v>0</x:v>
      </x:c>
      <x:c r="Q1296" s="62" t="b">
        <x:v>1</x:v>
      </x:c>
      <x:c r="R1296" s="28" t="n">
        <x:v>0</x:v>
      </x:c>
      <x:c r="S1296" s="28" t="str">
        <x:v>0620e66782b78176</x:v>
      </x:c>
    </x:row>
    <x:row r="1297" ht="21" customHeight="1">
      <x:c r="A1297" s="60" t="n">
        <x:v>0.65</x:v>
      </x:c>
      <x:c r="B1297" s="28" t="str">
        <x:v>front_low</x:v>
      </x:c>
      <x:c r="C1297" s="60" t="n">
        <x:v>0.4</x:v>
      </x:c>
      <x:c r="D1297" s="60" t="n">
        <x:v>0.4</x:v>
      </x:c>
      <x:c r="E1297" s="62" t="b">
        <x:v>1</x:v>
      </x:c>
      <x:c r="F1297" s="62" t="b">
        <x:v>1</x:v>
      </x:c>
      <x:c r="G1297" s="85" t="n">
        <x:v>0</x:v>
      </x:c>
      <x:c r="H1297" s="85" t="n">
        <x:v>0</x:v>
      </x:c>
      <x:c r="I1297" s="85" t="n">
        <x:v>5072177.069111124</x:v>
      </x:c>
      <x:c r="J1297" s="85" t="n">
        <x:v>7967418.829020021</x:v>
      </x:c>
      <x:c r="K1297" s="85" t="n">
        <x:v>0</x:v>
      </x:c>
      <x:c r="L1297" s="28" t="n">
        <x:v>1</x:v>
      </x:c>
      <x:c r="M1297" s="28" t="n">
        <x:v>0</x:v>
      </x:c>
      <x:c r="N1297" s="28" t="n">
        <x:v>4.656612873077393e-10</x:v>
      </x:c>
      <x:c r="O1297" s="28" t="n">
        <x:v>7.450580596923828e-9</x:v>
      </x:c>
      <x:c r="P1297" s="28" t="n">
        <x:v>0</x:v>
      </x:c>
      <x:c r="Q1297" s="62" t="b">
        <x:v>1</x:v>
      </x:c>
      <x:c r="R1297" s="28" t="n">
        <x:v>0</x:v>
      </x:c>
      <x:c r="S1297" s="28" t="str">
        <x:v>0210e82a61ae342c</x:v>
      </x:c>
    </x:row>
    <x:row r="1298" ht="21" customHeight="1">
      <x:c r="A1298" s="60" t="n">
        <x:v>0.65</x:v>
      </x:c>
      <x:c r="B1298" s="28" t="str">
        <x:v>front_low</x:v>
      </x:c>
      <x:c r="C1298" s="60" t="n">
        <x:v>0.45</x:v>
      </x:c>
      <x:c r="D1298" s="60" t="n">
        <x:v>0.45</x:v>
      </x:c>
      <x:c r="E1298" s="62" t="b">
        <x:v>1</x:v>
      </x:c>
      <x:c r="F1298" s="62" t="b">
        <x:v>1</x:v>
      </x:c>
      <x:c r="G1298" s="85" t="n">
        <x:v>0</x:v>
      </x:c>
      <x:c r="H1298" s="85" t="n">
        <x:v>0</x:v>
      </x:c>
      <x:c r="I1298" s="85" t="n">
        <x:v>6615801.838517402</x:v>
      </x:c>
      <x:c r="J1298" s="85" t="n">
        <x:v>8492646.28965532</x:v>
      </x:c>
      <x:c r="K1298" s="85" t="n">
        <x:v>0</x:v>
      </x:c>
      <x:c r="L1298" s="28" t="n">
        <x:v>10</x:v>
      </x:c>
      <x:c r="M1298" s="28" t="n">
        <x:v>0</x:v>
      </x:c>
      <x:c r="N1298" s="28" t="n">
        <x:v>4.656612873077393e-10</x:v>
      </x:c>
      <x:c r="O1298" s="28" t="n">
        <x:v>3.725290298461914e-9</x:v>
      </x:c>
      <x:c r="P1298" s="28" t="n">
        <x:v>0</x:v>
      </x:c>
      <x:c r="Q1298" s="62" t="b">
        <x:v>1</x:v>
      </x:c>
      <x:c r="R1298" s="28" t="n">
        <x:v>0</x:v>
      </x:c>
      <x:c r="S1298" s="28" t="str">
        <x:v>2a28dea3ea8c36b5</x:v>
      </x:c>
    </x:row>
    <x:row r="1299" ht="21" customHeight="1">
      <x:c r="A1299" s="60" t="n">
        <x:v>0.65</x:v>
      </x:c>
      <x:c r="B1299" s="28" t="str">
        <x:v>front_low</x:v>
      </x:c>
      <x:c r="C1299" s="60" t="n">
        <x:v>0.5</x:v>
      </x:c>
      <x:c r="D1299" s="60" t="n">
        <x:v>0.5</x:v>
      </x:c>
      <x:c r="E1299" s="62" t="b">
        <x:v>1</x:v>
      </x:c>
      <x:c r="F1299" s="62" t="b">
        <x:v>1</x:v>
      </x:c>
      <x:c r="G1299" s="85" t="n">
        <x:v>0</x:v>
      </x:c>
      <x:c r="H1299" s="85" t="n">
        <x:v>0</x:v>
      </x:c>
      <x:c r="I1299" s="85" t="n">
        <x:v>7825574.334163325</x:v>
      </x:c>
      <x:c r="J1299" s="85" t="n">
        <x:v>9559401.7550827</x:v>
      </x:c>
      <x:c r="K1299" s="85" t="n">
        <x:v>0</x:v>
      </x:c>
      <x:c r="L1299" s="28" t="n">
        <x:v>17</x:v>
      </x:c>
      <x:c r="M1299" s="28" t="n">
        <x:v>0</x:v>
      </x:c>
      <x:c r="N1299" s="28" t="n">
        <x:v>4.656612873077393e-10</x:v>
      </x:c>
      <x:c r="O1299" s="28" t="n">
        <x:v>7.450580596923828e-9</x:v>
      </x:c>
      <x:c r="P1299" s="28" t="n">
        <x:v>0</x:v>
      </x:c>
      <x:c r="Q1299" s="62" t="b">
        <x:v>1</x:v>
      </x:c>
      <x:c r="R1299" s="28" t="n">
        <x:v>0</x:v>
      </x:c>
      <x:c r="S1299" s="28" t="str">
        <x:v>2fa57ee0bc7ff1a7</x:v>
      </x:c>
    </x:row>
    <x:row r="1300" ht="21" customHeight="1">
      <x:c r="A1300" s="60" t="n">
        <x:v>0.65</x:v>
      </x:c>
      <x:c r="B1300" s="28" t="str">
        <x:v>front_low</x:v>
      </x:c>
      <x:c r="C1300" s="60" t="n">
        <x:v>0.55</x:v>
      </x:c>
      <x:c r="D1300" s="60" t="n">
        <x:v>0.55</x:v>
      </x:c>
      <x:c r="E1300" s="62" t="b">
        <x:v>1</x:v>
      </x:c>
      <x:c r="F1300" s="62" t="b">
        <x:v>1</x:v>
      </x:c>
      <x:c r="G1300" s="85" t="n">
        <x:v>0</x:v>
      </x:c>
      <x:c r="H1300" s="85" t="n">
        <x:v>0</x:v>
      </x:c>
      <x:c r="I1300" s="85" t="n">
        <x:v>8553585.90362887</x:v>
      </x:c>
      <x:c r="J1300" s="85" t="n">
        <x:v>11408570.941942036</x:v>
      </x:c>
      <x:c r="K1300" s="85" t="n">
        <x:v>0</x:v>
      </x:c>
      <x:c r="L1300" s="28" t="n">
        <x:v>19</x:v>
      </x:c>
      <x:c r="M1300" s="28" t="n">
        <x:v>0</x:v>
      </x:c>
      <x:c r="N1300" s="28" t="n">
        <x:v>4.656612873077393e-10</x:v>
      </x:c>
      <x:c r="O1300" s="28" t="n">
        <x:v>3.725290298461914e-9</x:v>
      </x:c>
      <x:c r="P1300" s="28" t="n">
        <x:v>0</x:v>
      </x:c>
      <x:c r="Q1300" s="62" t="b">
        <x:v>1</x:v>
      </x:c>
      <x:c r="R1300" s="28" t="n">
        <x:v>0</x:v>
      </x:c>
      <x:c r="S1300" s="28" t="str">
        <x:v>da8931d786228365</x:v>
      </x:c>
    </x:row>
    <x:row r="1301" ht="21" customHeight="1">
      <x:c r="A1301" s="60" t="n">
        <x:v>0.65</x:v>
      </x:c>
      <x:c r="B1301" s="28" t="str">
        <x:v>front_low</x:v>
      </x:c>
      <x:c r="C1301" s="60" t="n">
        <x:v>0.6</x:v>
      </x:c>
      <x:c r="D1301" s="60" t="n">
        <x:v>0.6</x:v>
      </x:c>
      <x:c r="E1301" s="62" t="b">
        <x:v>1</x:v>
      </x:c>
      <x:c r="F1301" s="62" t="b">
        <x:v>1</x:v>
      </x:c>
      <x:c r="G1301" s="85" t="n">
        <x:v>0</x:v>
      </x:c>
      <x:c r="H1301" s="85" t="n">
        <x:v>0</x:v>
      </x:c>
      <x:c r="I1301" s="85" t="n">
        <x:v>9275794.706221526</x:v>
      </x:c>
      <x:c r="J1301" s="85" t="n">
        <x:v>13266399.222811835</x:v>
      </x:c>
      <x:c r="K1301" s="85" t="n">
        <x:v>0</x:v>
      </x:c>
      <x:c r="L1301" s="28" t="n">
        <x:v>25</x:v>
      </x:c>
      <x:c r="M1301" s="28" t="n">
        <x:v>0</x:v>
      </x:c>
      <x:c r="N1301" s="28" t="n">
        <x:v>2.3283064365386963e-10</x:v>
      </x:c>
      <x:c r="O1301" s="28" t="n">
        <x:v>3.725290298461914e-9</x:v>
      </x:c>
      <x:c r="P1301" s="28" t="n">
        <x:v>0</x:v>
      </x:c>
      <x:c r="Q1301" s="62" t="b">
        <x:v>1</x:v>
      </x:c>
      <x:c r="R1301" s="28" t="n">
        <x:v>0</x:v>
      </x:c>
      <x:c r="S1301" s="28" t="str">
        <x:v>aa3b4c884e716926</x:v>
      </x:c>
    </x:row>
    <x:row r="1302" ht="21" customHeight="1">
      <x:c r="A1302" s="60" t="n">
        <x:v>0.65</x:v>
      </x:c>
      <x:c r="B1302" s="28" t="str">
        <x:v>front_low</x:v>
      </x:c>
      <x:c r="C1302" s="60" t="n">
        <x:v>0.65</x:v>
      </x:c>
      <x:c r="D1302" s="60" t="n">
        <x:v>0.65</x:v>
      </x:c>
      <x:c r="E1302" s="62" t="b">
        <x:v>1</x:v>
      </x:c>
      <x:c r="F1302" s="62" t="b">
        <x:v>0</x:v>
      </x:c>
      <x:c r="G1302" s="85" t="n">
        <x:v>96155.15801276814</x:v>
      </x:c>
      <x:c r="H1302" s="85" t="n">
        <x:v>1199966.6186048947</x:v>
      </x:c>
      <x:c r="I1302" s="85" t="n">
        <x:v>9631190.733076027</x:v>
      </x:c>
      <x:c r="J1302" s="85" t="n">
        <x:v>13935999.999999998</x:v>
      </x:c>
      <x:c r="K1302" s="85" t="n">
        <x:v>0</x:v>
      </x:c>
      <x:c r="L1302" s="28" t="n">
        <x:v>46</x:v>
      </x:c>
      <x:c r="M1302" s="28" t="n">
        <x:v>24</x:v>
      </x:c>
      <x:c r="N1302" s="28" t="n">
        <x:v>4.656612873077393e-10</x:v>
      </x:c>
      <x:c r="O1302" s="28" t="n">
        <x:v>3.725290298461914e-9</x:v>
      </x:c>
      <x:c r="P1302" s="28" t="n">
        <x:v>0</x:v>
      </x:c>
      <x:c r="Q1302" s="62" t="b">
        <x:v>1</x:v>
      </x:c>
      <x:c r="R1302" s="28" t="n">
        <x:v>0</x:v>
      </x:c>
      <x:c r="S1302" s="28" t="str">
        <x:v>3920c299204335dc</x:v>
      </x:c>
    </x:row>
    <x:row r="1303" ht="21" customHeight="1">
      <x:c r="A1303" s="60" t="n">
        <x:v>0.65</x:v>
      </x:c>
      <x:c r="B1303" s="28" t="str">
        <x:v>front_low</x:v>
      </x:c>
      <x:c r="C1303" s="60" t="n">
        <x:v>0.7</x:v>
      </x:c>
      <x:c r="D1303" s="60" t="n">
        <x:v>0.7</x:v>
      </x:c>
      <x:c r="E1303" s="62" t="b">
        <x:v>1</x:v>
      </x:c>
      <x:c r="F1303" s="62" t="b">
        <x:v>0</x:v>
      </x:c>
      <x:c r="G1303" s="85" t="n">
        <x:v>265018.3240757996</x:v>
      </x:c>
      <x:c r="H1303" s="85" t="n">
        <x:v>3299793.9694190305</x:v>
      </x:c>
      <x:c r="I1303" s="85" t="n">
        <x:v>9635649.937327396</x:v>
      </x:c>
      <x:c r="J1303" s="85" t="n">
        <x:v>13935999.999999998</x:v>
      </x:c>
      <x:c r="K1303" s="85" t="n">
        <x:v>0</x:v>
      </x:c>
      <x:c r="L1303" s="28" t="n">
        <x:v>46</x:v>
      </x:c>
      <x:c r="M1303" s="28" t="n">
        <x:v>31</x:v>
      </x:c>
      <x:c r="N1303" s="28" t="n">
        <x:v>4.656612873077393e-10</x:v>
      </x:c>
      <x:c r="O1303" s="28" t="n">
        <x:v>1.862645149230957e-9</x:v>
      </x:c>
      <x:c r="P1303" s="28" t="n">
        <x:v>0</x:v>
      </x:c>
      <x:c r="Q1303" s="62" t="b">
        <x:v>1</x:v>
      </x:c>
      <x:c r="R1303" s="28" t="n">
        <x:v>0</x:v>
      </x:c>
      <x:c r="S1303" s="28" t="str">
        <x:v>9d8129c6d39f34f4</x:v>
      </x:c>
    </x:row>
    <x:row r="1304" ht="21" customHeight="1">
      <x:c r="A1304" s="60" t="n">
        <x:v>0.65</x:v>
      </x:c>
      <x:c r="B1304" s="28" t="str">
        <x:v>front_low</x:v>
      </x:c>
      <x:c r="C1304" s="60" t="n">
        <x:v>0.75</x:v>
      </x:c>
      <x:c r="D1304" s="60" t="n">
        <x:v>0.75</x:v>
      </x:c>
      <x:c r="E1304" s="62" t="b">
        <x:v>1</x:v>
      </x:c>
      <x:c r="F1304" s="62" t="b">
        <x:v>0</x:v>
      </x:c>
      <x:c r="G1304" s="85" t="n">
        <x:v>433881.49013883073</x:v>
      </x:c>
      <x:c r="H1304" s="85" t="n">
        <x:v>5399621.320233163</x:v>
      </x:c>
      <x:c r="I1304" s="85" t="n">
        <x:v>9640109.141578766</x:v>
      </x:c>
      <x:c r="J1304" s="85" t="n">
        <x:v>13935999.999999998</x:v>
      </x:c>
      <x:c r="K1304" s="85" t="n">
        <x:v>0</x:v>
      </x:c>
      <x:c r="L1304" s="28" t="n">
        <x:v>46</x:v>
      </x:c>
      <x:c r="M1304" s="28" t="n">
        <x:v>33</x:v>
      </x:c>
      <x:c r="N1304" s="28" t="n">
        <x:v>2.3283064365386963e-10</x:v>
      </x:c>
      <x:c r="O1304" s="28" t="n">
        <x:v>3.725290298461914e-9</x:v>
      </x:c>
      <x:c r="P1304" s="28" t="n">
        <x:v>0</x:v>
      </x:c>
      <x:c r="Q1304" s="62" t="b">
        <x:v>1</x:v>
      </x:c>
      <x:c r="R1304" s="28" t="n">
        <x:v>0</x:v>
      </x:c>
      <x:c r="S1304" s="28" t="str">
        <x:v>94c1e6e0a890e419</x:v>
      </x:c>
    </x:row>
    <x:row r="1305" ht="21" customHeight="1">
      <x:c r="A1305" s="60" t="n">
        <x:v>0.65</x:v>
      </x:c>
      <x:c r="B1305" s="28" t="str">
        <x:v>front_low</x:v>
      </x:c>
      <x:c r="C1305" s="60" t="n">
        <x:v>0.8</x:v>
      </x:c>
      <x:c r="D1305" s="60" t="n">
        <x:v>0.8</x:v>
      </x:c>
      <x:c r="E1305" s="62" t="b">
        <x:v>1</x:v>
      </x:c>
      <x:c r="F1305" s="62" t="b">
        <x:v>0</x:v>
      </x:c>
      <x:c r="G1305" s="85" t="n">
        <x:v>635660.8325250181</x:v>
      </x:c>
      <x:c r="H1305" s="85" t="n">
        <x:v>7454439.134902617</x:v>
      </x:c>
      <x:c r="I1305" s="85" t="n">
        <x:v>9644568.345830135</x:v>
      </x:c>
      <x:c r="J1305" s="85" t="n">
        <x:v>13935999.999999998</x:v>
      </x:c>
      <x:c r="K1305" s="85" t="n">
        <x:v>0</x:v>
      </x:c>
      <x:c r="L1305" s="28" t="n">
        <x:v>46</x:v>
      </x:c>
      <x:c r="M1305" s="28" t="n">
        <x:v>35</x:v>
      </x:c>
      <x:c r="N1305" s="28" t="n">
        <x:v>2.3283064365386963e-10</x:v>
      </x:c>
      <x:c r="O1305" s="28" t="n">
        <x:v>3.725290298461914e-9</x:v>
      </x:c>
      <x:c r="P1305" s="28" t="n">
        <x:v>0</x:v>
      </x:c>
      <x:c r="Q1305" s="62" t="b">
        <x:v>1</x:v>
      </x:c>
      <x:c r="R1305" s="28" t="n">
        <x:v>0</x:v>
      </x:c>
      <x:c r="S1305" s="28" t="str">
        <x:v>30c7cd33507b8099</x:v>
      </x:c>
    </x:row>
    <x:row r="1306" ht="21" customHeight="1">
      <x:c r="A1306" s="60" t="n">
        <x:v>0.65</x:v>
      </x:c>
      <x:c r="B1306" s="28" t="str">
        <x:v>front_low</x:v>
      </x:c>
      <x:c r="C1306" s="60" t="n">
        <x:v>0.85</x:v>
      </x:c>
      <x:c r="D1306" s="60" t="n">
        <x:v>0.85</x:v>
      </x:c>
      <x:c r="E1306" s="62" t="b">
        <x:v>1</x:v>
      </x:c>
      <x:c r="F1306" s="62" t="b">
        <x:v>0</x:v>
      </x:c>
      <x:c r="G1306" s="85" t="n">
        <x:v>809694.0934648938</x:v>
      </x:c>
      <x:c r="H1306" s="85" t="n">
        <x:v>9480935.335257245</x:v>
      </x:c>
      <x:c r="I1306" s="85" t="n">
        <x:v>9649055.010560958</x:v>
      </x:c>
      <x:c r="J1306" s="85" t="n">
        <x:v>13935999.999999998</x:v>
      </x:c>
      <x:c r="K1306" s="85" t="n">
        <x:v>0</x:v>
      </x:c>
      <x:c r="L1306" s="28" t="n">
        <x:v>46</x:v>
      </x:c>
      <x:c r="M1306" s="28" t="n">
        <x:v>36</x:v>
      </x:c>
      <x:c r="N1306" s="28" t="n">
        <x:v>2.3283064365386963e-10</x:v>
      </x:c>
      <x:c r="O1306" s="28" t="n">
        <x:v>1.862645149230957e-9</x:v>
      </x:c>
      <x:c r="P1306" s="28" t="n">
        <x:v>0</x:v>
      </x:c>
      <x:c r="Q1306" s="62" t="b">
        <x:v>1</x:v>
      </x:c>
      <x:c r="R1306" s="28" t="n">
        <x:v>0</x:v>
      </x:c>
      <x:c r="S1306" s="28" t="str">
        <x:v>585f56b21159f5c6</x:v>
      </x:c>
    </x:row>
    <x:row r="1307" ht="21" customHeight="1">
      <x:c r="A1307" s="60" t="n">
        <x:v>0.65</x:v>
      </x:c>
      <x:c r="B1307" s="28" t="str">
        <x:v>front_low</x:v>
      </x:c>
      <x:c r="C1307" s="60" t="n">
        <x:v>0.9</x:v>
      </x:c>
      <x:c r="D1307" s="60" t="n">
        <x:v>0.9</x:v>
      </x:c>
      <x:c r="E1307" s="62" t="b">
        <x:v>1</x:v>
      </x:c>
      <x:c r="F1307" s="62" t="b">
        <x:v>0</x:v>
      </x:c>
      <x:c r="G1307" s="85" t="n">
        <x:v>1062804.9689576705</x:v>
      </x:c>
      <x:c r="H1307" s="85" t="n">
        <x:v>11421056.947116543</x:v>
      </x:c>
      <x:c r="I1307" s="85" t="n">
        <x:v>9655768.043510959</x:v>
      </x:c>
      <x:c r="J1307" s="85" t="n">
        <x:v>13935999.999999998</x:v>
      </x:c>
      <x:c r="K1307" s="85" t="n">
        <x:v>0</x:v>
      </x:c>
      <x:c r="L1307" s="28" t="n">
        <x:v>46</x:v>
      </x:c>
      <x:c r="M1307" s="28" t="n">
        <x:v>38</x:v>
      </x:c>
      <x:c r="N1307" s="28" t="n">
        <x:v>2.3283064365386963e-10</x:v>
      </x:c>
      <x:c r="O1307" s="28" t="n">
        <x:v>3.725290298461914e-9</x:v>
      </x:c>
      <x:c r="P1307" s="28" t="n">
        <x:v>0</x:v>
      </x:c>
      <x:c r="Q1307" s="62" t="b">
        <x:v>1</x:v>
      </x:c>
      <x:c r="R1307" s="28" t="n">
        <x:v>0</x:v>
      </x:c>
      <x:c r="S1307" s="28" t="str">
        <x:v>3074b062d1196ce8</x:v>
      </x:c>
    </x:row>
    <x:row r="1308" ht="21" customHeight="1">
      <x:c r="A1308" s="60" t="n">
        <x:v>0.65</x:v>
      </x:c>
      <x:c r="B1308" s="28" t="str">
        <x:v>front_low</x:v>
      </x:c>
      <x:c r="C1308" s="60" t="n">
        <x:v>0.95</x:v>
      </x:c>
      <x:c r="D1308" s="60" t="n">
        <x:v>0.9427119459478259</x:v>
      </x:c>
      <x:c r="E1308" s="62" t="b">
        <x:v>0</x:v>
      </x:c>
      <x:c r="F1308" s="62" t="b">
        <x:v>0</x:v>
      </x:c>
      <x:c r="G1308" s="85" t="n">
        <x:v>1464726.521250511</x:v>
      </x:c>
      <x:c r="H1308" s="85" t="n">
        <x:v>12842614.049255008</x:v>
      </x:c>
      <x:c r="I1308" s="85" t="n">
        <x:v>9662481.076460958</x:v>
      </x:c>
      <x:c r="J1308" s="85" t="n">
        <x:v>13935999.999999998</x:v>
      </x:c>
      <x:c r="K1308" s="85" t="n">
        <x:v>0</x:v>
      </x:c>
      <x:c r="L1308" s="28" t="n">
        <x:v>46</x:v>
      </x:c>
      <x:c r="M1308" s="28" t="n">
        <x:v>40</x:v>
      </x:c>
      <x:c r="N1308" s="28" t="n">
        <x:v>2.3283064365386963e-10</x:v>
      </x:c>
      <x:c r="O1308" s="28" t="n">
        <x:v>1.862645149230957e-9</x:v>
      </x:c>
      <x:c r="P1308" s="28" t="n">
        <x:v>0</x:v>
      </x:c>
      <x:c r="Q1308" s="62" t="b">
        <x:v>1</x:v>
      </x:c>
      <x:c r="R1308" s="28" t="n">
        <x:v>406265.28508438915</x:v>
      </x:c>
      <x:c r="S1308" s="28" t="str">
        <x:v>49a47b8d47b2d772</x:v>
      </x:c>
    </x:row>
    <x:row r="1309" ht="21" customHeight="1">
      <x:c r="A1309" s="60" t="n">
        <x:v>0.65</x:v>
      </x:c>
      <x:c r="B1309" s="28" t="str">
        <x:v>front_low</x:v>
      </x:c>
      <x:c r="C1309" s="60" t="n">
        <x:v>1</x:v>
      </x:c>
      <x:c r="D1309" s="60" t="n">
        <x:v>0.9596721012870685</x:v>
      </x:c>
      <x:c r="E1309" s="62" t="b">
        <x:v>0</x:v>
      </x:c>
      <x:c r="F1309" s="62" t="b">
        <x:v>0</x:v>
      </x:c>
      <x:c r="G1309" s="85" t="n">
        <x:v>1592442.3641251703</x:v>
      </x:c>
      <x:c r="H1309" s="85" t="n">
        <x:v>13399761.691811034</x:v>
      </x:c>
      <x:c r="I1309" s="85" t="n">
        <x:v>9841405.056164382</x:v>
      </x:c>
      <x:c r="J1309" s="85" t="n">
        <x:v>13935999.999999998</x:v>
      </x:c>
      <x:c r="K1309" s="85" t="n">
        <x:v>0</x:v>
      </x:c>
      <x:c r="L1309" s="28" t="n">
        <x:v>47</x:v>
      </x:c>
      <x:c r="M1309" s="28" t="n">
        <x:v>41</x:v>
      </x:c>
      <x:c r="N1309" s="28" t="n">
        <x:v>2.3283064365386963e-10</x:v>
      </x:c>
      <x:c r="O1309" s="28" t="n">
        <x:v>1.862645149230957e-9</x:v>
      </x:c>
      <x:c r="P1309" s="28" t="n">
        <x:v>0</x:v>
      </x:c>
      <x:c r="Q1309" s="62" t="b">
        <x:v>1</x:v>
      </x:c>
      <x:c r="R1309" s="28" t="n">
        <x:v>2248038.3858536556</x:v>
      </x:c>
      <x:c r="S1309" s="28" t="str">
        <x:v>d1ea0416d79189a3</x:v>
      </x:c>
    </x:row>
    <x:row r="1310" ht="21" customHeight="1">
      <x:c r="A1310" s="60" t="n">
        <x:v>0.65</x:v>
      </x:c>
      <x:c r="B1310" s="28" t="str">
        <x:v>front_high</x:v>
      </x:c>
      <x:c r="C1310" s="60" t="n">
        <x:v>0</x:v>
      </x:c>
      <x:c r="D1310" s="60" t="n">
        <x:v>0</x:v>
      </x:c>
      <x:c r="E1310" s="62" t="b">
        <x:v>1</x:v>
      </x:c>
      <x:c r="F1310" s="62" t="b">
        <x:v>1</x:v>
      </x:c>
      <x:c r="G1310" s="85" t="n">
        <x:v>0</x:v>
      </x:c>
      <x:c r="H1310" s="85" t="n">
        <x:v>0</x:v>
      </x:c>
      <x:c r="I1310" s="85" t="n">
        <x:v>0</x:v>
      </x:c>
      <x:c r="J1310" s="85" t="n">
        <x:v>0</x:v>
      </x:c>
      <x:c r="K1310" s="85" t="n">
        <x:v>7124228.567671235</x:v>
      </x:c>
      <x:c r="L1310" s="28" t="n">
        <x:v>0</x:v>
      </x:c>
      <x:c r="M1310" s="28" t="n">
        <x:v>0</x:v>
      </x:c>
      <x:c r="N1310" s="28" t="n">
        <x:v>9.313225746154785e-10</x:v>
      </x:c>
      <x:c r="O1310" s="28" t="n">
        <x:v>0</x:v>
      </x:c>
      <x:c r="P1310" s="28" t="n">
        <x:v>0</x:v>
      </x:c>
      <x:c r="Q1310" s="62" t="b">
        <x:v>1</x:v>
      </x:c>
      <x:c r="R1310" s="28" t="n">
        <x:v>0</x:v>
      </x:c>
      <x:c r="S1310" s="28" t="str">
        <x:v>8e4fc0ff1beeea52</x:v>
      </x:c>
    </x:row>
    <x:row r="1311" ht="21" customHeight="1">
      <x:c r="A1311" s="60" t="n">
        <x:v>0.65</x:v>
      </x:c>
      <x:c r="B1311" s="28" t="str">
        <x:v>front_high</x:v>
      </x:c>
      <x:c r="C1311" s="60" t="n">
        <x:v>0.05</x:v>
      </x:c>
      <x:c r="D1311" s="60" t="n">
        <x:v>0.05</x:v>
      </x:c>
      <x:c r="E1311" s="62" t="b">
        <x:v>1</x:v>
      </x:c>
      <x:c r="F1311" s="62" t="b">
        <x:v>1</x:v>
      </x:c>
      <x:c r="G1311" s="85" t="n">
        <x:v>0</x:v>
      </x:c>
      <x:c r="H1311" s="85" t="n">
        <x:v>0</x:v>
      </x:c>
      <x:c r="I1311" s="85" t="n">
        <x:v>0</x:v>
      </x:c>
      <x:c r="J1311" s="85" t="n">
        <x:v>0</x:v>
      </x:c>
      <x:c r="K1311" s="85" t="n">
        <x:v>4525266.52883991</x:v>
      </x:c>
      <x:c r="L1311" s="28" t="n">
        <x:v>0</x:v>
      </x:c>
      <x:c r="M1311" s="28" t="n">
        <x:v>0</x:v>
      </x:c>
      <x:c r="N1311" s="28" t="n">
        <x:v>9.313225746154785e-10</x:v>
      </x:c>
      <x:c r="O1311" s="28" t="n">
        <x:v>7.450580596923828e-9</x:v>
      </x:c>
      <x:c r="P1311" s="28" t="n">
        <x:v>0</x:v>
      </x:c>
      <x:c r="Q1311" s="62" t="b">
        <x:v>1</x:v>
      </x:c>
      <x:c r="R1311" s="28" t="n">
        <x:v>0</x:v>
      </x:c>
      <x:c r="S1311" s="28" t="str">
        <x:v>9b0195410cc57c96</x:v>
      </x:c>
    </x:row>
    <x:row r="1312" ht="21" customHeight="1">
      <x:c r="A1312" s="60" t="n">
        <x:v>0.65</x:v>
      </x:c>
      <x:c r="B1312" s="28" t="str">
        <x:v>front_high</x:v>
      </x:c>
      <x:c r="C1312" s="60" t="n">
        <x:v>0.1</x:v>
      </x:c>
      <x:c r="D1312" s="60" t="n">
        <x:v>0.1</x:v>
      </x:c>
      <x:c r="E1312" s="62" t="b">
        <x:v>1</x:v>
      </x:c>
      <x:c r="F1312" s="62" t="b">
        <x:v>1</x:v>
      </x:c>
      <x:c r="G1312" s="85" t="n">
        <x:v>0</x:v>
      </x:c>
      <x:c r="H1312" s="85" t="n">
        <x:v>0</x:v>
      </x:c>
      <x:c r="I1312" s="85" t="n">
        <x:v>0</x:v>
      </x:c>
      <x:c r="J1312" s="85" t="n">
        <x:v>0</x:v>
      </x:c>
      <x:c r="K1312" s="85" t="n">
        <x:v>1930950.056337469</x:v>
      </x:c>
      <x:c r="L1312" s="28" t="n">
        <x:v>0</x:v>
      </x:c>
      <x:c r="M1312" s="28" t="n">
        <x:v>0</x:v>
      </x:c>
      <x:c r="N1312" s="28" t="n">
        <x:v>4.656612873077393e-10</x:v>
      </x:c>
      <x:c r="O1312" s="28" t="n">
        <x:v>7.450580596923828e-9</x:v>
      </x:c>
      <x:c r="P1312" s="28" t="n">
        <x:v>0</x:v>
      </x:c>
      <x:c r="Q1312" s="62" t="b">
        <x:v>1</x:v>
      </x:c>
      <x:c r="R1312" s="28" t="n">
        <x:v>0</x:v>
      </x:c>
      <x:c r="S1312" s="28" t="str">
        <x:v>35a535f3a08614fc</x:v>
      </x:c>
    </x:row>
    <x:row r="1313" ht="21" customHeight="1">
      <x:c r="A1313" s="60" t="n">
        <x:v>0.65</x:v>
      </x:c>
      <x:c r="B1313" s="28" t="str">
        <x:v>front_high</x:v>
      </x:c>
      <x:c r="C1313" s="60" t="n">
        <x:v>0.15</x:v>
      </x:c>
      <x:c r="D1313" s="60" t="n">
        <x:v>0.15</x:v>
      </x:c>
      <x:c r="E1313" s="62" t="b">
        <x:v>1</x:v>
      </x:c>
      <x:c r="F1313" s="62" t="b">
        <x:v>1</x:v>
      </x:c>
      <x:c r="G1313" s="85" t="n">
        <x:v>0</x:v>
      </x:c>
      <x:c r="H1313" s="85" t="n">
        <x:v>0</x:v>
      </x:c>
      <x:c r="I1313" s="85" t="n">
        <x:v>785046.2229902815</x:v>
      </x:c>
      <x:c r="J1313" s="85" t="n">
        <x:v>0</x:v>
      </x:c>
      <x:c r="K1313" s="85" t="n">
        <x:v>233565.33055445855</x:v>
      </x:c>
      <x:c r="L1313" s="28" t="n">
        <x:v>0</x:v>
      </x:c>
      <x:c r="M1313" s="28" t="n">
        <x:v>0</x:v>
      </x:c>
      <x:c r="N1313" s="28" t="n">
        <x:v>9.313225746154785e-10</x:v>
      </x:c>
      <x:c r="O1313" s="28" t="n">
        <x:v>7.450580596923828e-9</x:v>
      </x:c>
      <x:c r="P1313" s="28" t="n">
        <x:v>0</x:v>
      </x:c>
      <x:c r="Q1313" s="62" t="b">
        <x:v>1</x:v>
      </x:c>
      <x:c r="R1313" s="28" t="n">
        <x:v>0</x:v>
      </x:c>
      <x:c r="S1313" s="28" t="str">
        <x:v>6e32f58d842efe5f</x:v>
      </x:c>
    </x:row>
    <x:row r="1314" ht="21" customHeight="1">
      <x:c r="A1314" s="60" t="n">
        <x:v>0.65</x:v>
      </x:c>
      <x:c r="B1314" s="28" t="str">
        <x:v>front_high</x:v>
      </x:c>
      <x:c r="C1314" s="60" t="n">
        <x:v>0.2</x:v>
      </x:c>
      <x:c r="D1314" s="60" t="n">
        <x:v>0.2</x:v>
      </x:c>
      <x:c r="E1314" s="62" t="b">
        <x:v>1</x:v>
      </x:c>
      <x:c r="F1314" s="62" t="b">
        <x:v>1</x:v>
      </x:c>
      <x:c r="G1314" s="85" t="n">
        <x:v>0</x:v>
      </x:c>
      <x:c r="H1314" s="85" t="n">
        <x:v>0</x:v>
      </x:c>
      <x:c r="I1314" s="85" t="n">
        <x:v>2759986.50551617</x:v>
      </x:c>
      <x:c r="J1314" s="85" t="n">
        <x:v>1254093.438872116</x:v>
      </x:c>
      <x:c r="K1314" s="85" t="n">
        <x:v>138694.69102739784</x:v>
      </x:c>
      <x:c r="L1314" s="28" t="n">
        <x:v>0</x:v>
      </x:c>
      <x:c r="M1314" s="28" t="n">
        <x:v>0</x:v>
      </x:c>
      <x:c r="N1314" s="28" t="n">
        <x:v>4.656612873077393e-10</x:v>
      </x:c>
      <x:c r="O1314" s="28" t="n">
        <x:v>7.450580596923828e-9</x:v>
      </x:c>
      <x:c r="P1314" s="28" t="n">
        <x:v>0</x:v>
      </x:c>
      <x:c r="Q1314" s="62" t="b">
        <x:v>1</x:v>
      </x:c>
      <x:c r="R1314" s="28" t="n">
        <x:v>0</x:v>
      </x:c>
      <x:c r="S1314" s="28" t="str">
        <x:v>6d75bb9d672b77ed</x:v>
      </x:c>
    </x:row>
    <x:row r="1315" ht="21" customHeight="1">
      <x:c r="A1315" s="60" t="n">
        <x:v>0.65</x:v>
      </x:c>
      <x:c r="B1315" s="28" t="str">
        <x:v>front_high</x:v>
      </x:c>
      <x:c r="C1315" s="60" t="n">
        <x:v>0.25</x:v>
      </x:c>
      <x:c r="D1315" s="60" t="n">
        <x:v>0.25</x:v>
      </x:c>
      <x:c r="E1315" s="62" t="b">
        <x:v>1</x:v>
      </x:c>
      <x:c r="F1315" s="62" t="b">
        <x:v>1</x:v>
      </x:c>
      <x:c r="G1315" s="85" t="n">
        <x:v>0</x:v>
      </x:c>
      <x:c r="H1315" s="85" t="n">
        <x:v>0</x:v>
      </x:c>
      <x:c r="I1315" s="85" t="n">
        <x:v>4560632.517450096</x:v>
      </x:c>
      <x:c r="J1315" s="85" t="n">
        <x:v>2961216.7985901283</x:v>
      </x:c>
      <x:c r="K1315" s="85" t="n">
        <x:v>96486.25234589056</x:v>
      </x:c>
      <x:c r="L1315" s="28" t="n">
        <x:v>0</x:v>
      </x:c>
      <x:c r="M1315" s="28" t="n">
        <x:v>0</x:v>
      </x:c>
      <x:c r="N1315" s="28" t="n">
        <x:v>9.313225746154785e-10</x:v>
      </x:c>
      <x:c r="O1315" s="28" t="n">
        <x:v>3.725290298461914e-9</x:v>
      </x:c>
      <x:c r="P1315" s="28" t="n">
        <x:v>0</x:v>
      </x:c>
      <x:c r="Q1315" s="62" t="b">
        <x:v>1</x:v>
      </x:c>
      <x:c r="R1315" s="28" t="n">
        <x:v>0</x:v>
      </x:c>
      <x:c r="S1315" s="28" t="str">
        <x:v>cabb3d3f3130ccd7</x:v>
      </x:c>
    </x:row>
    <x:row r="1316" ht="21" customHeight="1">
      <x:c r="A1316" s="60" t="n">
        <x:v>0.65</x:v>
      </x:c>
      <x:c r="B1316" s="28" t="str">
        <x:v>front_high</x:v>
      </x:c>
      <x:c r="C1316" s="60" t="n">
        <x:v>0.3</x:v>
      </x:c>
      <x:c r="D1316" s="60" t="n">
        <x:v>0.3</x:v>
      </x:c>
      <x:c r="E1316" s="62" t="b">
        <x:v>1</x:v>
      </x:c>
      <x:c r="F1316" s="62" t="b">
        <x:v>1</x:v>
      </x:c>
      <x:c r="G1316" s="85" t="n">
        <x:v>0</x:v>
      </x:c>
      <x:c r="H1316" s="85" t="n">
        <x:v>0</x:v>
      </x:c>
      <x:c r="I1316" s="85" t="n">
        <x:v>6387336.890179513</x:v>
      </x:c>
      <x:c r="J1316" s="85" t="n">
        <x:v>4668340.158308168</x:v>
      </x:c>
      <x:c r="K1316" s="85" t="n">
        <x:v>78862.61700684967</x:v>
      </x:c>
      <x:c r="L1316" s="28" t="n">
        <x:v>0</x:v>
      </x:c>
      <x:c r="M1316" s="28" t="n">
        <x:v>0</x:v>
      </x:c>
      <x:c r="N1316" s="28" t="n">
        <x:v>4.656612873077393e-10</x:v>
      </x:c>
      <x:c r="O1316" s="28" t="n">
        <x:v>7.450580596923828e-9</x:v>
      </x:c>
      <x:c r="P1316" s="28" t="n">
        <x:v>0</x:v>
      </x:c>
      <x:c r="Q1316" s="62" t="b">
        <x:v>1</x:v>
      </x:c>
      <x:c r="R1316" s="28" t="n">
        <x:v>0</x:v>
      </x:c>
      <x:c r="S1316" s="28" t="str">
        <x:v>2821f8e907fcbd15</x:v>
      </x:c>
    </x:row>
    <x:row r="1317" ht="21" customHeight="1">
      <x:c r="A1317" s="60" t="n">
        <x:v>0.65</x:v>
      </x:c>
      <x:c r="B1317" s="28" t="str">
        <x:v>front_high</x:v>
      </x:c>
      <x:c r="C1317" s="60" t="n">
        <x:v>0.35</x:v>
      </x:c>
      <x:c r="D1317" s="60" t="n">
        <x:v>0.35</x:v>
      </x:c>
      <x:c r="E1317" s="62" t="b">
        <x:v>1</x:v>
      </x:c>
      <x:c r="F1317" s="62" t="b">
        <x:v>1</x:v>
      </x:c>
      <x:c r="G1317" s="85" t="n">
        <x:v>0</x:v>
      </x:c>
      <x:c r="H1317" s="85" t="n">
        <x:v>0</x:v>
      </x:c>
      <x:c r="I1317" s="85" t="n">
        <x:v>8228127.150165586</x:v>
      </x:c>
      <x:c r="J1317" s="85" t="n">
        <x:v>6375463.518026184</x:v>
      </x:c>
      <x:c r="K1317" s="85" t="n">
        <x:v>61238.98166780854</x:v>
      </x:c>
      <x:c r="L1317" s="28" t="n">
        <x:v>0</x:v>
      </x:c>
      <x:c r="M1317" s="28" t="n">
        <x:v>0</x:v>
      </x:c>
      <x:c r="N1317" s="28" t="n">
        <x:v>4.656612873077393e-10</x:v>
      </x:c>
      <x:c r="O1317" s="28" t="n">
        <x:v>7.450580596923828e-9</x:v>
      </x:c>
      <x:c r="P1317" s="28" t="n">
        <x:v>0</x:v>
      </x:c>
      <x:c r="Q1317" s="62" t="b">
        <x:v>1</x:v>
      </x:c>
      <x:c r="R1317" s="28" t="n">
        <x:v>0</x:v>
      </x:c>
      <x:c r="S1317" s="28" t="str">
        <x:v>1fb82c6c4dad4c91</x:v>
      </x:c>
    </x:row>
    <x:row r="1318" ht="21" customHeight="1">
      <x:c r="A1318" s="60" t="n">
        <x:v>0.65</x:v>
      </x:c>
      <x:c r="B1318" s="28" t="str">
        <x:v>front_high</x:v>
      </x:c>
      <x:c r="C1318" s="60" t="n">
        <x:v>0.4</x:v>
      </x:c>
      <x:c r="D1318" s="60" t="n">
        <x:v>0.4</x:v>
      </x:c>
      <x:c r="E1318" s="62" t="b">
        <x:v>1</x:v>
      </x:c>
      <x:c r="F1318" s="62" t="b">
        <x:v>1</x:v>
      </x:c>
      <x:c r="G1318" s="85" t="n">
        <x:v>0</x:v>
      </x:c>
      <x:c r="H1318" s="85" t="n">
        <x:v>0</x:v>
      </x:c>
      <x:c r="I1318" s="85" t="n">
        <x:v>10102721.980793195</x:v>
      </x:c>
      <x:c r="J1318" s="85" t="n">
        <x:v>7901356.043097173</x:v>
      </x:c>
      <x:c r="K1318" s="85" t="n">
        <x:v>43615.346328766944</x:v>
      </x:c>
      <x:c r="L1318" s="28" t="n">
        <x:v>1</x:v>
      </x:c>
      <x:c r="M1318" s="28" t="n">
        <x:v>0</x:v>
      </x:c>
      <x:c r="N1318" s="28" t="n">
        <x:v>4.656612873077393e-10</x:v>
      </x:c>
      <x:c r="O1318" s="28" t="n">
        <x:v>7.450580596923828e-9</x:v>
      </x:c>
      <x:c r="P1318" s="28" t="n">
        <x:v>0</x:v>
      </x:c>
      <x:c r="Q1318" s="62" t="b">
        <x:v>1</x:v>
      </x:c>
      <x:c r="R1318" s="28" t="n">
        <x:v>0</x:v>
      </x:c>
      <x:c r="S1318" s="28" t="str">
        <x:v>cc031263b561a795</x:v>
      </x:c>
    </x:row>
    <x:row r="1319" ht="21" customHeight="1">
      <x:c r="A1319" s="60" t="n">
        <x:v>0.65</x:v>
      </x:c>
      <x:c r="B1319" s="28" t="str">
        <x:v>front_high</x:v>
      </x:c>
      <x:c r="C1319" s="60" t="n">
        <x:v>0.45</x:v>
      </x:c>
      <x:c r="D1319" s="60" t="n">
        <x:v>0.45</x:v>
      </x:c>
      <x:c r="E1319" s="62" t="b">
        <x:v>1</x:v>
      </x:c>
      <x:c r="F1319" s="62" t="b">
        <x:v>1</x:v>
      </x:c>
      <x:c r="G1319" s="85" t="n">
        <x:v>0</x:v>
      </x:c>
      <x:c r="H1319" s="85" t="n">
        <x:v>0</x:v>
      </x:c>
      <x:c r="I1319" s="85" t="n">
        <x:v>12016050.299853731</x:v>
      </x:c>
      <x:c r="J1319" s="85" t="n">
        <x:v>8476792.28771424</x:v>
      </x:c>
      <x:c r="K1319" s="85" t="n">
        <x:v>31645.943321918</x:v>
      </x:c>
      <x:c r="L1319" s="28" t="n">
        <x:v>6</x:v>
      </x:c>
      <x:c r="M1319" s="28" t="n">
        <x:v>0</x:v>
      </x:c>
      <x:c r="N1319" s="28" t="n">
        <x:v>2.3283064365386963e-10</x:v>
      </x:c>
      <x:c r="O1319" s="28" t="n">
        <x:v>3.725290298461914e-9</x:v>
      </x:c>
      <x:c r="P1319" s="28" t="n">
        <x:v>0</x:v>
      </x:c>
      <x:c r="Q1319" s="62" t="b">
        <x:v>1</x:v>
      </x:c>
      <x:c r="R1319" s="28" t="n">
        <x:v>0</x:v>
      </x:c>
      <x:c r="S1319" s="28" t="str">
        <x:v>0e497c5a56cb61ba</x:v>
      </x:c>
    </x:row>
    <x:row r="1320" ht="21" customHeight="1">
      <x:c r="A1320" s="60" t="n">
        <x:v>0.65</x:v>
      </x:c>
      <x:c r="B1320" s="28" t="str">
        <x:v>front_high</x:v>
      </x:c>
      <x:c r="C1320" s="60" t="n">
        <x:v>0.5</x:v>
      </x:c>
      <x:c r="D1320" s="60" t="n">
        <x:v>0.5</x:v>
      </x:c>
      <x:c r="E1320" s="62" t="b">
        <x:v>1</x:v>
      </x:c>
      <x:c r="F1320" s="62" t="b">
        <x:v>1</x:v>
      </x:c>
      <x:c r="G1320" s="85" t="n">
        <x:v>0</x:v>
      </x:c>
      <x:c r="H1320" s="85" t="n">
        <x:v>0</x:v>
      </x:c>
      <x:c r="I1320" s="85" t="n">
        <x:v>13893753.158212775</x:v>
      </x:c>
      <x:c r="J1320" s="85" t="n">
        <x:v>8930286.245380547</x:v>
      </x:c>
      <x:c r="K1320" s="85" t="n">
        <x:v>25748.361986301003</x:v>
      </x:c>
      <x:c r="L1320" s="28" t="n">
        <x:v>12</x:v>
      </x:c>
      <x:c r="M1320" s="28" t="n">
        <x:v>0</x:v>
      </x:c>
      <x:c r="N1320" s="28" t="n">
        <x:v>4.656612873077393e-10</x:v>
      </x:c>
      <x:c r="O1320" s="28" t="n">
        <x:v>7.450580596923828e-9</x:v>
      </x:c>
      <x:c r="P1320" s="28" t="n">
        <x:v>0</x:v>
      </x:c>
      <x:c r="Q1320" s="62" t="b">
        <x:v>1</x:v>
      </x:c>
      <x:c r="R1320" s="28" t="n">
        <x:v>0</x:v>
      </x:c>
      <x:c r="S1320" s="28" t="str">
        <x:v>f51d83937b42be29</x:v>
      </x:c>
    </x:row>
    <x:row r="1321" ht="21" customHeight="1">
      <x:c r="A1321" s="60" t="n">
        <x:v>0.65</x:v>
      </x:c>
      <x:c r="B1321" s="28" t="str">
        <x:v>front_high</x:v>
      </x:c>
      <x:c r="C1321" s="60" t="n">
        <x:v>0.55</x:v>
      </x:c>
      <x:c r="D1321" s="60" t="n">
        <x:v>0.55</x:v>
      </x:c>
      <x:c r="E1321" s="62" t="b">
        <x:v>1</x:v>
      </x:c>
      <x:c r="F1321" s="62" t="b">
        <x:v>1</x:v>
      </x:c>
      <x:c r="G1321" s="85" t="n">
        <x:v>0</x:v>
      </x:c>
      <x:c r="H1321" s="85" t="n">
        <x:v>0</x:v>
      </x:c>
      <x:c r="I1321" s="85" t="n">
        <x:v>15796884.876925007</x:v>
      </x:c>
      <x:c r="J1321" s="85" t="n">
        <x:v>10557390.180018403</x:v>
      </x:c>
      <x:c r="K1321" s="85" t="n">
        <x:v>19850.780650684705</x:v>
      </x:c>
      <x:c r="L1321" s="28" t="n">
        <x:v>18</x:v>
      </x:c>
      <x:c r="M1321" s="28" t="n">
        <x:v>0</x:v>
      </x:c>
      <x:c r="N1321" s="28" t="n">
        <x:v>4.656612873077393e-10</x:v>
      </x:c>
      <x:c r="O1321" s="28" t="n">
        <x:v>3.725290298461914e-9</x:v>
      </x:c>
      <x:c r="P1321" s="28" t="n">
        <x:v>0</x:v>
      </x:c>
      <x:c r="Q1321" s="62" t="b">
        <x:v>1</x:v>
      </x:c>
      <x:c r="R1321" s="28" t="n">
        <x:v>0</x:v>
      </x:c>
      <x:c r="S1321" s="28" t="str">
        <x:v>6361ebd788d7f45b</x:v>
      </x:c>
    </x:row>
    <x:row r="1322" ht="21" customHeight="1">
      <x:c r="A1322" s="60" t="n">
        <x:v>0.65</x:v>
      </x:c>
      <x:c r="B1322" s="28" t="str">
        <x:v>front_high</x:v>
      </x:c>
      <x:c r="C1322" s="60" t="n">
        <x:v>0.6</x:v>
      </x:c>
      <x:c r="D1322" s="60" t="n">
        <x:v>0.6</x:v>
      </x:c>
      <x:c r="E1322" s="62" t="b">
        <x:v>1</x:v>
      </x:c>
      <x:c r="F1322" s="62" t="b">
        <x:v>1</x:v>
      </x:c>
      <x:c r="G1322" s="85" t="n">
        <x:v>0</x:v>
      </x:c>
      <x:c r="H1322" s="85" t="n">
        <x:v>0</x:v>
      </x:c>
      <x:c r="I1322" s="85" t="n">
        <x:v>17544390.386523634</x:v>
      </x:c>
      <x:c r="J1322" s="85" t="n">
        <x:v>12881167.096353678</x:v>
      </x:c>
      <x:c r="K1322" s="85" t="n">
        <x:v>13953.19931506864</x:v>
      </x:c>
      <x:c r="L1322" s="28" t="n">
        <x:v>22</x:v>
      </x:c>
      <x:c r="M1322" s="28" t="n">
        <x:v>12</x:v>
      </x:c>
      <x:c r="N1322" s="28" t="n">
        <x:v>4.656612873077393e-10</x:v>
      </x:c>
      <x:c r="O1322" s="28" t="n">
        <x:v>3.725290298461914e-9</x:v>
      </x:c>
      <x:c r="P1322" s="28" t="n">
        <x:v>0</x:v>
      </x:c>
      <x:c r="Q1322" s="62" t="b">
        <x:v>1</x:v>
      </x:c>
      <x:c r="R1322" s="28" t="n">
        <x:v>0</x:v>
      </x:c>
      <x:c r="S1322" s="28" t="str">
        <x:v>2befb872ba47fc92</x:v>
      </x:c>
    </x:row>
    <x:row r="1323" ht="21" customHeight="1">
      <x:c r="A1323" s="60" t="n">
        <x:v>0.65</x:v>
      </x:c>
      <x:c r="B1323" s="28" t="str">
        <x:v>front_high</x:v>
      </x:c>
      <x:c r="C1323" s="60" t="n">
        <x:v>0.65</x:v>
      </x:c>
      <x:c r="D1323" s="60" t="n">
        <x:v>0.65</x:v>
      </x:c>
      <x:c r="E1323" s="62" t="b">
        <x:v>1</x:v>
      </x:c>
      <x:c r="F1323" s="62" t="b">
        <x:v>0</x:v>
      </x:c>
      <x:c r="G1323" s="85" t="n">
        <x:v>418474.9563069794</x:v>
      </x:c>
      <x:c r="H1323" s="85" t="n">
        <x:v>1338044.1989320037</x:v>
      </x:c>
      <x:c r="I1323" s="85" t="n">
        <x:v>18483151.45635684</x:v>
      </x:c>
      <x:c r="J1323" s="85" t="n">
        <x:v>13935999.999999998</x:v>
      </x:c>
      <x:c r="K1323" s="85" t="n">
        <x:v>8055.617979452109</x:v>
      </x:c>
      <x:c r="L1323" s="28" t="n">
        <x:v>46</x:v>
      </x:c>
      <x:c r="M1323" s="28" t="n">
        <x:v>38</x:v>
      </x:c>
      <x:c r="N1323" s="28" t="n">
        <x:v>4.656612873077393e-10</x:v>
      </x:c>
      <x:c r="O1323" s="28" t="n">
        <x:v>3.725290298461914e-9</x:v>
      </x:c>
      <x:c r="P1323" s="28" t="n">
        <x:v>0</x:v>
      </x:c>
      <x:c r="Q1323" s="62" t="b">
        <x:v>1</x:v>
      </x:c>
      <x:c r="R1323" s="28" t="n">
        <x:v>0</x:v>
      </x:c>
      <x:c r="S1323" s="28" t="str">
        <x:v>bbe38cca5d28d28c</x:v>
      </x:c>
    </x:row>
    <x:row r="1324" ht="21" customHeight="1">
      <x:c r="A1324" s="60" t="n">
        <x:v>0.65</x:v>
      </x:c>
      <x:c r="B1324" s="28" t="str">
        <x:v>front_high</x:v>
      </x:c>
      <x:c r="C1324" s="60" t="n">
        <x:v>0.7</x:v>
      </x:c>
      <x:c r="D1324" s="60" t="n">
        <x:v>0.7</x:v>
      </x:c>
      <x:c r="E1324" s="62" t="b">
        <x:v>1</x:v>
      </x:c>
      <x:c r="F1324" s="62" t="b">
        <x:v>0</x:v>
      </x:c>
      <x:c r="G1324" s="85" t="n">
        <x:v>1431322.1253918929</x:v>
      </x:c>
      <x:c r="H1324" s="85" t="n">
        <x:v>4326069.79087881</x:v>
      </x:c>
      <x:c r="I1324" s="85" t="n">
        <x:v>18494979.138163004</x:v>
      </x:c>
      <x:c r="J1324" s="85" t="n">
        <x:v>13935999.999999998</x:v>
      </x:c>
      <x:c r="K1324" s="85" t="n">
        <x:v>2158.036643835345</x:v>
      </x:c>
      <x:c r="L1324" s="28" t="n">
        <x:v>46</x:v>
      </x:c>
      <x:c r="M1324" s="28" t="n">
        <x:v>42</x:v>
      </x:c>
      <x:c r="N1324" s="28" t="n">
        <x:v>4.656612873077393e-10</x:v>
      </x:c>
      <x:c r="O1324" s="28" t="n">
        <x:v>1.862645149230957e-9</x:v>
      </x:c>
      <x:c r="P1324" s="28" t="n">
        <x:v>0</x:v>
      </x:c>
      <x:c r="Q1324" s="62" t="b">
        <x:v>1</x:v>
      </x:c>
      <x:c r="R1324" s="28" t="n">
        <x:v>0</x:v>
      </x:c>
      <x:c r="S1324" s="28" t="str">
        <x:v>2129c47f60767c71</x:v>
      </x:c>
    </x:row>
    <x:row r="1325" ht="21" customHeight="1">
      <x:c r="A1325" s="60" t="n">
        <x:v>0.65</x:v>
      </x:c>
      <x:c r="B1325" s="28" t="str">
        <x:v>front_high</x:v>
      </x:c>
      <x:c r="C1325" s="60" t="n">
        <x:v>0.75</x:v>
      </x:c>
      <x:c r="D1325" s="60" t="n">
        <x:v>0.75</x:v>
      </x:c>
      <x:c r="E1325" s="62" t="b">
        <x:v>1</x:v>
      </x:c>
      <x:c r="F1325" s="62" t="b">
        <x:v>0</x:v>
      </x:c>
      <x:c r="G1325" s="85" t="n">
        <x:v>2407352.713674014</x:v>
      </x:c>
      <x:c r="H1325" s="85" t="n">
        <x:v>7191031.145465353</x:v>
      </x:c>
      <x:c r="I1325" s="85" t="n">
        <x:v>18506806.819969166</x:v>
      </x:c>
      <x:c r="J1325" s="85" t="n">
        <x:v>13935999.999999998</x:v>
      </x:c>
      <x:c r="K1325" s="85" t="n">
        <x:v>0</x:v>
      </x:c>
      <x:c r="L1325" s="28" t="n">
        <x:v>46</x:v>
      </x:c>
      <x:c r="M1325" s="28" t="n">
        <x:v>44</x:v>
      </x:c>
      <x:c r="N1325" s="28" t="n">
        <x:v>4.656612873077393e-10</x:v>
      </x:c>
      <x:c r="O1325" s="28" t="n">
        <x:v>3.725290298461914e-9</x:v>
      </x:c>
      <x:c r="P1325" s="28" t="n">
        <x:v>0</x:v>
      </x:c>
      <x:c r="Q1325" s="62" t="b">
        <x:v>1</x:v>
      </x:c>
      <x:c r="R1325" s="28" t="n">
        <x:v>0</x:v>
      </x:c>
      <x:c r="S1325" s="28" t="str">
        <x:v>115181239b63541a</x:v>
      </x:c>
    </x:row>
    <x:row r="1326" ht="21" customHeight="1">
      <x:c r="A1326" s="60" t="n">
        <x:v>0.65</x:v>
      </x:c>
      <x:c r="B1326" s="28" t="str">
        <x:v>front_high</x:v>
      </x:c>
      <x:c r="C1326" s="60" t="n">
        <x:v>0.8</x:v>
      </x:c>
      <x:c r="D1326" s="60" t="n">
        <x:v>0.8</x:v>
      </x:c>
      <x:c r="E1326" s="62" t="b">
        <x:v>1</x:v>
      </x:c>
      <x:c r="F1326" s="62" t="b">
        <x:v>0</x:v>
      </x:c>
      <x:c r="G1326" s="85" t="n">
        <x:v>3538909.470247591</x:v>
      </x:c>
      <x:c r="H1326" s="85" t="n">
        <x:v>9827302.129304338</x:v>
      </x:c>
      <x:c r="I1326" s="85" t="n">
        <x:v>18518634.50177533</x:v>
      </x:c>
      <x:c r="J1326" s="85" t="n">
        <x:v>13935999.999999998</x:v>
      </x:c>
      <x:c r="K1326" s="85" t="n">
        <x:v>0</x:v>
      </x:c>
      <x:c r="L1326" s="28" t="n">
        <x:v>46</x:v>
      </x:c>
      <x:c r="M1326" s="28" t="n">
        <x:v>44</x:v>
      </x:c>
      <x:c r="N1326" s="28" t="n">
        <x:v>4.656612873077393e-10</x:v>
      </x:c>
      <x:c r="O1326" s="28" t="n">
        <x:v>3.725290298461914e-9</x:v>
      </x:c>
      <x:c r="P1326" s="28" t="n">
        <x:v>0</x:v>
      </x:c>
      <x:c r="Q1326" s="62" t="b">
        <x:v>1</x:v>
      </x:c>
      <x:c r="R1326" s="28" t="n">
        <x:v>0</x:v>
      </x:c>
      <x:c r="S1326" s="28" t="str">
        <x:v>366452e7a68644c9</x:v>
      </x:c>
    </x:row>
    <x:row r="1327" ht="21" customHeight="1">
      <x:c r="A1327" s="60" t="n">
        <x:v>0.65</x:v>
      </x:c>
      <x:c r="B1327" s="28" t="str">
        <x:v>front_high</x:v>
      </x:c>
      <x:c r="C1327" s="60" t="n">
        <x:v>0.85</x:v>
      </x:c>
      <x:c r="D1327" s="60" t="n">
        <x:v>0.85</x:v>
      </x:c>
      <x:c r="E1327" s="62" t="b">
        <x:v>1</x:v>
      </x:c>
      <x:c r="F1327" s="62" t="b">
        <x:v>0</x:v>
      </x:c>
      <x:c r="G1327" s="85" t="n">
        <x:v>4654967.873923197</x:v>
      </x:c>
      <x:c r="H1327" s="85" t="n">
        <x:v>12457931.04537509</x:v>
      </x:c>
      <x:c r="I1327" s="85" t="n">
        <x:v>18530462.183581498</x:v>
      </x:c>
      <x:c r="J1327" s="85" t="n">
        <x:v>13935999.999999998</x:v>
      </x:c>
      <x:c r="K1327" s="85" t="n">
        <x:v>0</x:v>
      </x:c>
      <x:c r="L1327" s="28" t="n">
        <x:v>46</x:v>
      </x:c>
      <x:c r="M1327" s="28" t="n">
        <x:v>45</x:v>
      </x:c>
      <x:c r="N1327" s="28" t="n">
        <x:v>4.656612873077393e-10</x:v>
      </x:c>
      <x:c r="O1327" s="28" t="n">
        <x:v>1.862645149230957e-9</x:v>
      </x:c>
      <x:c r="P1327" s="28" t="n">
        <x:v>0</x:v>
      </x:c>
      <x:c r="Q1327" s="62" t="b">
        <x:v>1</x:v>
      </x:c>
      <x:c r="R1327" s="28" t="n">
        <x:v>0</x:v>
      </x:c>
      <x:c r="S1327" s="28" t="str">
        <x:v>21b69a56ff0f8735</x:v>
      </x:c>
    </x:row>
    <x:row r="1328" ht="21" customHeight="1">
      <x:c r="A1328" s="60" t="n">
        <x:v>0.65</x:v>
      </x:c>
      <x:c r="B1328" s="28" t="str">
        <x:v>front_high</x:v>
      </x:c>
      <x:c r="C1328" s="60" t="n">
        <x:v>0.9</x:v>
      </x:c>
      <x:c r="D1328" s="60" t="n">
        <x:v>0.9</x:v>
      </x:c>
      <x:c r="E1328" s="62" t="b">
        <x:v>1</x:v>
      </x:c>
      <x:c r="F1328" s="62" t="b">
        <x:v>0</x:v>
      </x:c>
      <x:c r="G1328" s="85" t="n">
        <x:v>6229328.469922904</x:v>
      </x:c>
      <x:c r="H1328" s="85" t="n">
        <x:v>14714021.794413913</x:v>
      </x:c>
      <x:c r="I1328" s="85" t="n">
        <x:v>18543104.510250676</x:v>
      </x:c>
      <x:c r="J1328" s="85" t="n">
        <x:v>13935999.999999998</x:v>
      </x:c>
      <x:c r="K1328" s="85" t="n">
        <x:v>0</x:v>
      </x:c>
      <x:c r="L1328" s="28" t="n">
        <x:v>46</x:v>
      </x:c>
      <x:c r="M1328" s="28" t="n">
        <x:v>45</x:v>
      </x:c>
      <x:c r="N1328" s="28" t="n">
        <x:v>4.656612873077393e-10</x:v>
      </x:c>
      <x:c r="O1328" s="28" t="n">
        <x:v>3.725290298461914e-9</x:v>
      </x:c>
      <x:c r="P1328" s="28" t="n">
        <x:v>0</x:v>
      </x:c>
      <x:c r="Q1328" s="62" t="b">
        <x:v>1</x:v>
      </x:c>
      <x:c r="R1328" s="28" t="n">
        <x:v>0</x:v>
      </x:c>
      <x:c r="S1328" s="28" t="str">
        <x:v>3c275831f9c48efe</x:v>
      </x:c>
    </x:row>
    <x:row r="1329" ht="21" customHeight="1">
      <x:c r="A1329" s="60" t="n">
        <x:v>0.65</x:v>
      </x:c>
      <x:c r="B1329" s="28" t="str">
        <x:v>front_high</x:v>
      </x:c>
      <x:c r="C1329" s="60" t="n">
        <x:v>0.95</x:v>
      </x:c>
      <x:c r="D1329" s="60" t="n">
        <x:v>0.9427119459478259</x:v>
      </x:c>
      <x:c r="E1329" s="62" t="b">
        <x:v>0</x:v>
      </x:c>
      <x:c r="F1329" s="62" t="b">
        <x:v>0</x:v>
      </x:c>
      <x:c r="G1329" s="85" t="n">
        <x:v>7202814.513665929</x:v>
      </x:c>
      <x:c r="H1329" s="85" t="n">
        <x:v>16215151.032405693</x:v>
      </x:c>
      <x:c r="I1329" s="85" t="n">
        <x:v>18560829.773392454</x:v>
      </x:c>
      <x:c r="J1329" s="85" t="n">
        <x:v>13935999.999999998</x:v>
      </x:c>
      <x:c r="K1329" s="85" t="n">
        <x:v>0</x:v>
      </x:c>
      <x:c r="L1329" s="28" t="n">
        <x:v>46</x:v>
      </x:c>
      <x:c r="M1329" s="28" t="n">
        <x:v>45</x:v>
      </x:c>
      <x:c r="N1329" s="28" t="n">
        <x:v>4.656612873077393e-10</x:v>
      </x:c>
      <x:c r="O1329" s="28" t="n">
        <x:v>1.862645149230957e-9</x:v>
      </x:c>
      <x:c r="P1329" s="28" t="n">
        <x:v>0</x:v>
      </x:c>
      <x:c r="Q1329" s="62" t="b">
        <x:v>1</x:v>
      </x:c>
      <x:c r="R1329" s="28" t="n">
        <x:v>406265.28508438915</x:v>
      </x:c>
      <x:c r="S1329" s="28" t="str">
        <x:v>0307597437c7c56d</x:v>
      </x:c>
    </x:row>
    <x:row r="1330" ht="21" customHeight="1">
      <x:c r="A1330" s="60" t="n">
        <x:v>0.65</x:v>
      </x:c>
      <x:c r="B1330" s="28" t="str">
        <x:v>front_high</x:v>
      </x:c>
      <x:c r="C1330" s="60" t="n">
        <x:v>1</x:v>
      </x:c>
      <x:c r="D1330" s="60" t="n">
        <x:v>0.9596721012870685</x:v>
      </x:c>
      <x:c r="E1330" s="62" t="b">
        <x:v>0</x:v>
      </x:c>
      <x:c r="F1330" s="62" t="b">
        <x:v>0</x:v>
      </x:c>
      <x:c r="G1330" s="85" t="n">
        <x:v>7799053.490387356</x:v>
      </x:c>
      <x:c r="H1330" s="85" t="n">
        <x:v>16640660.864647027</x:v>
      </x:c>
      <x:c r="I1330" s="85" t="n">
        <x:v>18862290.684246566</x:v>
      </x:c>
      <x:c r="J1330" s="85" t="n">
        <x:v>13935999.999999998</x:v>
      </x:c>
      <x:c r="K1330" s="85" t="n">
        <x:v>0</x:v>
      </x:c>
      <x:c r="L1330" s="28" t="n">
        <x:v>47</x:v>
      </x:c>
      <x:c r="M1330" s="28" t="n">
        <x:v>45</x:v>
      </x:c>
      <x:c r="N1330" s="28" t="n">
        <x:v>2.3283064365386963e-10</x:v>
      </x:c>
      <x:c r="O1330" s="28" t="n">
        <x:v>1.862645149230957e-9</x:v>
      </x:c>
      <x:c r="P1330" s="28" t="n">
        <x:v>0</x:v>
      </x:c>
      <x:c r="Q1330" s="62" t="b">
        <x:v>1</x:v>
      </x:c>
      <x:c r="R1330" s="28" t="n">
        <x:v>2248038.3858536556</x:v>
      </x:c>
      <x:c r="S1330" s="28" t="str">
        <x:v>1fb3b001554b8c48</x:v>
      </x:c>
    </x:row>
    <x:row r="1331" ht="21" customHeight="1">
      <x:c r="A1331" s="60" t="n">
        <x:v>0.65</x:v>
      </x:c>
      <x:c r="B1331" s="28" t="str">
        <x:v>middle_flat</x:v>
      </x:c>
      <x:c r="C1331" s="60" t="n">
        <x:v>0</x:v>
      </x:c>
      <x:c r="D1331" s="60" t="n">
        <x:v>0</x:v>
      </x:c>
      <x:c r="E1331" s="62" t="b">
        <x:v>1</x:v>
      </x:c>
      <x:c r="F1331" s="62" t="b">
        <x:v>1</x:v>
      </x:c>
      <x:c r="G1331" s="85" t="n">
        <x:v>0</x:v>
      </x:c>
      <x:c r="H1331" s="85" t="n">
        <x:v>0</x:v>
      </x:c>
      <x:c r="I1331" s="85" t="n">
        <x:v>0</x:v>
      </x:c>
      <x:c r="J1331" s="85" t="n">
        <x:v>0</x:v>
      </x:c>
      <x:c r="K1331" s="85" t="n">
        <x:v>6202794.03616439</x:v>
      </x:c>
      <x:c r="L1331" s="28" t="n">
        <x:v>0</x:v>
      </x:c>
      <x:c r="M1331" s="28" t="n">
        <x:v>0</x:v>
      </x:c>
      <x:c r="N1331" s="28" t="n">
        <x:v>2.3283064365386963e-10</x:v>
      </x:c>
      <x:c r="O1331" s="28" t="n">
        <x:v>0</x:v>
      </x:c>
      <x:c r="P1331" s="28" t="n">
        <x:v>0</x:v>
      </x:c>
      <x:c r="Q1331" s="62" t="b">
        <x:v>1</x:v>
      </x:c>
      <x:c r="R1331" s="28" t="n">
        <x:v>0</x:v>
      </x:c>
      <x:c r="S1331" s="28" t="str">
        <x:v>225399cc3cab1106</x:v>
      </x:c>
    </x:row>
    <x:row r="1332" ht="21" customHeight="1">
      <x:c r="A1332" s="60" t="n">
        <x:v>0.65</x:v>
      </x:c>
      <x:c r="B1332" s="28" t="str">
        <x:v>middle_flat</x:v>
      </x:c>
      <x:c r="C1332" s="60" t="n">
        <x:v>0.05</x:v>
      </x:c>
      <x:c r="D1332" s="60" t="n">
        <x:v>0.05</x:v>
      </x:c>
      <x:c r="E1332" s="62" t="b">
        <x:v>1</x:v>
      </x:c>
      <x:c r="F1332" s="62" t="b">
        <x:v>1</x:v>
      </x:c>
      <x:c r="G1332" s="85" t="n">
        <x:v>0</x:v>
      </x:c>
      <x:c r="H1332" s="85" t="n">
        <x:v>0</x:v>
      </x:c>
      <x:c r="I1332" s="85" t="n">
        <x:v>0</x:v>
      </x:c>
      <x:c r="J1332" s="85" t="n">
        <x:v>0</x:v>
      </x:c>
      <x:c r="K1332" s="85" t="n">
        <x:v>3965855.2812044816</x:v>
      </x:c>
      <x:c r="L1332" s="28" t="n">
        <x:v>0</x:v>
      </x:c>
      <x:c r="M1332" s="28" t="n">
        <x:v>0</x:v>
      </x:c>
      <x:c r="N1332" s="28" t="n">
        <x:v>9.313225746154785e-10</x:v>
      </x:c>
      <x:c r="O1332" s="28" t="n">
        <x:v>7.450580596923828e-9</x:v>
      </x:c>
      <x:c r="P1332" s="28" t="n">
        <x:v>0</x:v>
      </x:c>
      <x:c r="Q1332" s="62" t="b">
        <x:v>1</x:v>
      </x:c>
      <x:c r="R1332" s="28" t="n">
        <x:v>0</x:v>
      </x:c>
      <x:c r="S1332" s="28" t="str">
        <x:v>cb29c08ded5f578f</x:v>
      </x:c>
    </x:row>
    <x:row r="1333" ht="21" customHeight="1">
      <x:c r="A1333" s="60" t="n">
        <x:v>0.65</x:v>
      </x:c>
      <x:c r="B1333" s="28" t="str">
        <x:v>middle_flat</x:v>
      </x:c>
      <x:c r="C1333" s="60" t="n">
        <x:v>0.1</x:v>
      </x:c>
      <x:c r="D1333" s="60" t="n">
        <x:v>0.1</x:v>
      </x:c>
      <x:c r="E1333" s="62" t="b">
        <x:v>1</x:v>
      </x:c>
      <x:c r="F1333" s="62" t="b">
        <x:v>1</x:v>
      </x:c>
      <x:c r="G1333" s="85" t="n">
        <x:v>0</x:v>
      </x:c>
      <x:c r="H1333" s="85" t="n">
        <x:v>0</x:v>
      </x:c>
      <x:c r="I1333" s="85" t="n">
        <x:v>0</x:v>
      </x:c>
      <x:c r="J1333" s="85" t="n">
        <x:v>0</x:v>
      </x:c>
      <x:c r="K1333" s="85" t="n">
        <x:v>1733871.4798031612</x:v>
      </x:c>
      <x:c r="L1333" s="28" t="n">
        <x:v>0</x:v>
      </x:c>
      <x:c r="M1333" s="28" t="n">
        <x:v>0</x:v>
      </x:c>
      <x:c r="N1333" s="28" t="n">
        <x:v>2.3283064365386963e-10</x:v>
      </x:c>
      <x:c r="O1333" s="28" t="n">
        <x:v>7.450580596923828e-9</x:v>
      </x:c>
      <x:c r="P1333" s="28" t="n">
        <x:v>0</x:v>
      </x:c>
      <x:c r="Q1333" s="62" t="b">
        <x:v>1</x:v>
      </x:c>
      <x:c r="R1333" s="28" t="n">
        <x:v>0</x:v>
      </x:c>
      <x:c r="S1333" s="28" t="str">
        <x:v>06fa84569c10703c</x:v>
      </x:c>
    </x:row>
    <x:row r="1334" ht="21" customHeight="1">
      <x:c r="A1334" s="60" t="n">
        <x:v>0.65</x:v>
      </x:c>
      <x:c r="B1334" s="28" t="str">
        <x:v>middle_flat</x:v>
      </x:c>
      <x:c r="C1334" s="60" t="n">
        <x:v>0.15</x:v>
      </x:c>
      <x:c r="D1334" s="60" t="n">
        <x:v>0.15</x:v>
      </x:c>
      <x:c r="E1334" s="62" t="b">
        <x:v>1</x:v>
      </x:c>
      <x:c r="F1334" s="62" t="b">
        <x:v>1</x:v>
      </x:c>
      <x:c r="G1334" s="85" t="n">
        <x:v>0</x:v>
      </x:c>
      <x:c r="H1334" s="85" t="n">
        <x:v>0</x:v>
      </x:c>
      <x:c r="I1334" s="85" t="n">
        <x:v>649852.7850957375</x:v>
      </x:c>
      <x:c r="J1334" s="85" t="n">
        <x:v>0</x:v>
      </x:c>
      <x:c r="K1334" s="85" t="n">
        <x:v>270248.86268742516</x:v>
      </x:c>
      <x:c r="L1334" s="28" t="n">
        <x:v>0</x:v>
      </x:c>
      <x:c r="M1334" s="28" t="n">
        <x:v>0</x:v>
      </x:c>
      <x:c r="N1334" s="28" t="n">
        <x:v>4.656612873077393e-10</x:v>
      </x:c>
      <x:c r="O1334" s="28" t="n">
        <x:v>7.450580596923828e-9</x:v>
      </x:c>
      <x:c r="P1334" s="28" t="n">
        <x:v>0</x:v>
      </x:c>
      <x:c r="Q1334" s="62" t="b">
        <x:v>1</x:v>
      </x:c>
      <x:c r="R1334" s="28" t="n">
        <x:v>0</x:v>
      </x:c>
      <x:c r="S1334" s="28" t="str">
        <x:v>9778831da94f8763</x:v>
      </x:c>
    </x:row>
    <x:row r="1335" ht="21" customHeight="1">
      <x:c r="A1335" s="60" t="n">
        <x:v>0.65</x:v>
      </x:c>
      <x:c r="B1335" s="28" t="str">
        <x:v>middle_flat</x:v>
      </x:c>
      <x:c r="C1335" s="60" t="n">
        <x:v>0.2</x:v>
      </x:c>
      <x:c r="D1335" s="60" t="n">
        <x:v>0.2</x:v>
      </x:c>
      <x:c r="E1335" s="62" t="b">
        <x:v>1</x:v>
      </x:c>
      <x:c r="F1335" s="62" t="b">
        <x:v>1</x:v>
      </x:c>
      <x:c r="G1335" s="85" t="n">
        <x:v>0</x:v>
      </x:c>
      <x:c r="H1335" s="85" t="n">
        <x:v>0</x:v>
      </x:c>
      <x:c r="I1335" s="85" t="n">
        <x:v>2131119.9291685177</x:v>
      </x:c>
      <x:c r="J1335" s="85" t="n">
        <x:v>1253157.2790409003</x:v>
      </x:c>
      <x:c r="K1335" s="85" t="n">
        <x:v>210836.241939398</x:v>
      </x:c>
      <x:c r="L1335" s="28" t="n">
        <x:v>0</x:v>
      </x:c>
      <x:c r="M1335" s="28" t="n">
        <x:v>0</x:v>
      </x:c>
      <x:c r="N1335" s="28" t="n">
        <x:v>2.3283064365386963e-10</x:v>
      </x:c>
      <x:c r="O1335" s="28" t="n">
        <x:v>7.450580596923828e-9</x:v>
      </x:c>
      <x:c r="P1335" s="28" t="n">
        <x:v>0</x:v>
      </x:c>
      <x:c r="Q1335" s="62" t="b">
        <x:v>1</x:v>
      </x:c>
      <x:c r="R1335" s="28" t="n">
        <x:v>0</x:v>
      </x:c>
      <x:c r="S1335" s="28" t="str">
        <x:v>eeedd37c2b336220</x:v>
      </x:c>
    </x:row>
    <x:row r="1336" ht="21" customHeight="1">
      <x:c r="A1336" s="60" t="n">
        <x:v>0.65</x:v>
      </x:c>
      <x:c r="B1336" s="28" t="str">
        <x:v>middle_flat</x:v>
      </x:c>
      <x:c r="C1336" s="60" t="n">
        <x:v>0.25</x:v>
      </x:c>
      <x:c r="D1336" s="60" t="n">
        <x:v>0.25</x:v>
      </x:c>
      <x:c r="E1336" s="62" t="b">
        <x:v>1</x:v>
      </x:c>
      <x:c r="F1336" s="62" t="b">
        <x:v>1</x:v>
      </x:c>
      <x:c r="G1336" s="85" t="n">
        <x:v>0</x:v>
      </x:c>
      <x:c r="H1336" s="85" t="n">
        <x:v>0</x:v>
      </x:c>
      <x:c r="I1336" s="85" t="n">
        <x:v>3320074.3473636783</x:v>
      </x:c>
      <x:c r="J1336" s="85" t="n">
        <x:v>2960046.598801145</x:v>
      </x:c>
      <x:c r="K1336" s="85" t="n">
        <x:v>165401.36412013753</x:v>
      </x:c>
      <x:c r="L1336" s="28" t="n">
        <x:v>0</x:v>
      </x:c>
      <x:c r="M1336" s="28" t="n">
        <x:v>0</x:v>
      </x:c>
      <x:c r="N1336" s="28" t="n">
        <x:v>2.3283064365386963e-10</x:v>
      </x:c>
      <x:c r="O1336" s="28" t="n">
        <x:v>7.450580596923828e-9</x:v>
      </x:c>
      <x:c r="P1336" s="28" t="n">
        <x:v>0</x:v>
      </x:c>
      <x:c r="Q1336" s="62" t="b">
        <x:v>1</x:v>
      </x:c>
      <x:c r="R1336" s="28" t="n">
        <x:v>0</x:v>
      </x:c>
      <x:c r="S1336" s="28" t="str">
        <x:v>c46497d6fd3474fe</x:v>
      </x:c>
    </x:row>
    <x:row r="1337" ht="21" customHeight="1">
      <x:c r="A1337" s="60" t="n">
        <x:v>0.65</x:v>
      </x:c>
      <x:c r="B1337" s="28" t="str">
        <x:v>middle_flat</x:v>
      </x:c>
      <x:c r="C1337" s="60" t="n">
        <x:v>0.3</x:v>
      </x:c>
      <x:c r="D1337" s="60" t="n">
        <x:v>0.3</x:v>
      </x:c>
      <x:c r="E1337" s="62" t="b">
        <x:v>1</x:v>
      </x:c>
      <x:c r="F1337" s="62" t="b">
        <x:v>1</x:v>
      </x:c>
      <x:c r="G1337" s="85" t="n">
        <x:v>0</x:v>
      </x:c>
      <x:c r="H1337" s="85" t="n">
        <x:v>0</x:v>
      </x:c>
      <x:c r="I1337" s="85" t="n">
        <x:v>4510200.686063993</x:v>
      </x:c>
      <x:c r="J1337" s="85" t="n">
        <x:v>4666935.918561366</x:v>
      </x:c>
      <x:c r="K1337" s="85" t="n">
        <x:v>131362.0094373164</x:v>
      </x:c>
      <x:c r="L1337" s="28" t="n">
        <x:v>0</x:v>
      </x:c>
      <x:c r="M1337" s="28" t="n">
        <x:v>0</x:v>
      </x:c>
      <x:c r="N1337" s="28" t="n">
        <x:v>4.656612873077393e-10</x:v>
      </x:c>
      <x:c r="O1337" s="28" t="n">
        <x:v>7.450580596923828e-9</x:v>
      </x:c>
      <x:c r="P1337" s="28" t="n">
        <x:v>0</x:v>
      </x:c>
      <x:c r="Q1337" s="62" t="b">
        <x:v>1</x:v>
      </x:c>
      <x:c r="R1337" s="28" t="n">
        <x:v>0</x:v>
      </x:c>
      <x:c r="S1337" s="28" t="str">
        <x:v>8ba10ad457398024</x:v>
      </x:c>
    </x:row>
    <x:row r="1338" ht="21" customHeight="1">
      <x:c r="A1338" s="60" t="n">
        <x:v>0.65</x:v>
      </x:c>
      <x:c r="B1338" s="28" t="str">
        <x:v>middle_flat</x:v>
      </x:c>
      <x:c r="C1338" s="60" t="n">
        <x:v>0.35</x:v>
      </x:c>
      <x:c r="D1338" s="60" t="n">
        <x:v>0.35</x:v>
      </x:c>
      <x:c r="E1338" s="62" t="b">
        <x:v>1</x:v>
      </x:c>
      <x:c r="F1338" s="62" t="b">
        <x:v>1</x:v>
      </x:c>
      <x:c r="G1338" s="85" t="n">
        <x:v>0</x:v>
      </x:c>
      <x:c r="H1338" s="85" t="n">
        <x:v>0</x:v>
      </x:c>
      <x:c r="I1338" s="85" t="n">
        <x:v>5719074.209357784</x:v>
      </x:c>
      <x:c r="J1338" s="85" t="n">
        <x:v>6373825.238321626</x:v>
      </x:c>
      <x:c r="K1338" s="85" t="n">
        <x:v>114334.17747945184</x:v>
      </x:c>
      <x:c r="L1338" s="28" t="n">
        <x:v>0</x:v>
      </x:c>
      <x:c r="M1338" s="28" t="n">
        <x:v>0</x:v>
      </x:c>
      <x:c r="N1338" s="28" t="n">
        <x:v>9.313225746154785e-10</x:v>
      </x:c>
      <x:c r="O1338" s="28" t="n">
        <x:v>7.450580596923828e-9</x:v>
      </x:c>
      <x:c r="P1338" s="28" t="n">
        <x:v>0</x:v>
      </x:c>
      <x:c r="Q1338" s="62" t="b">
        <x:v>1</x:v>
      </x:c>
      <x:c r="R1338" s="28" t="n">
        <x:v>0</x:v>
      </x:c>
      <x:c r="S1338" s="28" t="str">
        <x:v>f8f0f9eb045d5fab</x:v>
      </x:c>
    </x:row>
    <x:row r="1339" ht="21" customHeight="1">
      <x:c r="A1339" s="60" t="n">
        <x:v>0.65</x:v>
      </x:c>
      <x:c r="B1339" s="28" t="str">
        <x:v>middle_flat</x:v>
      </x:c>
      <x:c r="C1339" s="60" t="n">
        <x:v>0.4</x:v>
      </x:c>
      <x:c r="D1339" s="60" t="n">
        <x:v>0.4</x:v>
      </x:c>
      <x:c r="E1339" s="62" t="b">
        <x:v>1</x:v>
      </x:c>
      <x:c r="F1339" s="62" t="b">
        <x:v>1</x:v>
      </x:c>
      <x:c r="G1339" s="85" t="n">
        <x:v>0</x:v>
      </x:c>
      <x:c r="H1339" s="85" t="n">
        <x:v>0</x:v>
      </x:c>
      <x:c r="I1339" s="85" t="n">
        <x:v>7047100.52787081</x:v>
      </x:c>
      <x:c r="J1339" s="85" t="n">
        <x:v>7794524.689557089</x:v>
      </x:c>
      <x:c r="K1339" s="85" t="n">
        <x:v>98676.68854794597</x:v>
      </x:c>
      <x:c r="L1339" s="28" t="n">
        <x:v>2</x:v>
      </x:c>
      <x:c r="M1339" s="28" t="n">
        <x:v>0</x:v>
      </x:c>
      <x:c r="N1339" s="28" t="n">
        <x:v>4.656612873077393e-10</x:v>
      </x:c>
      <x:c r="O1339" s="28" t="n">
        <x:v>3.725290298461914e-9</x:v>
      </x:c>
      <x:c r="P1339" s="28" t="n">
        <x:v>0</x:v>
      </x:c>
      <x:c r="Q1339" s="62" t="b">
        <x:v>1</x:v>
      </x:c>
      <x:c r="R1339" s="28" t="n">
        <x:v>0</x:v>
      </x:c>
      <x:c r="S1339" s="28" t="str">
        <x:v>a7f936ec3ca99fb1</x:v>
      </x:c>
    </x:row>
    <x:row r="1340" ht="21" customHeight="1">
      <x:c r="A1340" s="60" t="n">
        <x:v>0.65</x:v>
      </x:c>
      <x:c r="B1340" s="28" t="str">
        <x:v>middle_flat</x:v>
      </x:c>
      <x:c r="C1340" s="60" t="n">
        <x:v>0.45</x:v>
      </x:c>
      <x:c r="D1340" s="60" t="n">
        <x:v>0.45</x:v>
      </x:c>
      <x:c r="E1340" s="62" t="b">
        <x:v>1</x:v>
      </x:c>
      <x:c r="F1340" s="62" t="b">
        <x:v>1</x:v>
      </x:c>
      <x:c r="G1340" s="85" t="n">
        <x:v>0</x:v>
      </x:c>
      <x:c r="H1340" s="85" t="n">
        <x:v>0</x:v>
      </x:c>
      <x:c r="I1340" s="85" t="n">
        <x:v>8593564.77897867</x:v>
      </x:c>
      <x:c r="J1340" s="85" t="n">
        <x:v>8679296.941399764</x:v>
      </x:c>
      <x:c r="K1340" s="85" t="n">
        <x:v>83019.1996164387</x:v>
      </x:c>
      <x:c r="L1340" s="28" t="n">
        <x:v>8</x:v>
      </x:c>
      <x:c r="M1340" s="28" t="n">
        <x:v>0</x:v>
      </x:c>
      <x:c r="N1340" s="28" t="n">
        <x:v>9.313225746154785e-10</x:v>
      </x:c>
      <x:c r="O1340" s="28" t="n">
        <x:v>1.862645149230957e-9</x:v>
      </x:c>
      <x:c r="P1340" s="28" t="n">
        <x:v>0</x:v>
      </x:c>
      <x:c r="Q1340" s="62" t="b">
        <x:v>1</x:v>
      </x:c>
      <x:c r="R1340" s="28" t="n">
        <x:v>0</x:v>
      </x:c>
      <x:c r="S1340" s="28" t="str">
        <x:v>fa4d173699f3a2d9</x:v>
      </x:c>
    </x:row>
    <x:row r="1341" ht="21" customHeight="1">
      <x:c r="A1341" s="60" t="n">
        <x:v>0.65</x:v>
      </x:c>
      <x:c r="B1341" s="28" t="str">
        <x:v>middle_flat</x:v>
      </x:c>
      <x:c r="C1341" s="60" t="n">
        <x:v>0.5</x:v>
      </x:c>
      <x:c r="D1341" s="60" t="n">
        <x:v>0.5</x:v>
      </x:c>
      <x:c r="E1341" s="62" t="b">
        <x:v>1</x:v>
      </x:c>
      <x:c r="F1341" s="62" t="b">
        <x:v>1</x:v>
      </x:c>
      <x:c r="G1341" s="85" t="n">
        <x:v>0</x:v>
      </x:c>
      <x:c r="H1341" s="85" t="n">
        <x:v>0</x:v>
      </x:c>
      <x:c r="I1341" s="85" t="n">
        <x:v>9883267.360060103</x:v>
      </x:c>
      <x:c r="J1341" s="85" t="n">
        <x:v>10193979.877462132</x:v>
      </x:c>
      <x:c r="K1341" s="85" t="n">
        <x:v>67361.71068493214</x:v>
      </x:c>
      <x:c r="L1341" s="28" t="n">
        <x:v>12</x:v>
      </x:c>
      <x:c r="M1341" s="28" t="n">
        <x:v>0</x:v>
      </x:c>
      <x:c r="N1341" s="28" t="n">
        <x:v>4.656612873077393e-10</x:v>
      </x:c>
      <x:c r="O1341" s="28" t="n">
        <x:v>7.450580596923828e-9</x:v>
      </x:c>
      <x:c r="P1341" s="28" t="n">
        <x:v>0</x:v>
      </x:c>
      <x:c r="Q1341" s="62" t="b">
        <x:v>1</x:v>
      </x:c>
      <x:c r="R1341" s="28" t="n">
        <x:v>0</x:v>
      </x:c>
      <x:c r="S1341" s="28" t="str">
        <x:v>bf2fbdba2b664323</x:v>
      </x:c>
    </x:row>
    <x:row r="1342" ht="21" customHeight="1">
      <x:c r="A1342" s="60" t="n">
        <x:v>0.65</x:v>
      </x:c>
      <x:c r="B1342" s="28" t="str">
        <x:v>middle_flat</x:v>
      </x:c>
      <x:c r="C1342" s="60" t="n">
        <x:v>0.55</x:v>
      </x:c>
      <x:c r="D1342" s="60" t="n">
        <x:v>0.55</x:v>
      </x:c>
      <x:c r="E1342" s="62" t="b">
        <x:v>1</x:v>
      </x:c>
      <x:c r="F1342" s="62" t="b">
        <x:v>1</x:v>
      </x:c>
      <x:c r="G1342" s="85" t="n">
        <x:v>0</x:v>
      </x:c>
      <x:c r="H1342" s="85" t="n">
        <x:v>0</x:v>
      </x:c>
      <x:c r="I1342" s="85" t="n">
        <x:v>11088603.084687082</x:v>
      </x:c>
      <x:c r="J1342" s="85" t="n">
        <x:v>11884461.400573881</x:v>
      </x:c>
      <x:c r="K1342" s="85" t="n">
        <x:v>58622.73769863031</x:v>
      </x:c>
      <x:c r="L1342" s="28" t="n">
        <x:v>16</x:v>
      </x:c>
      <x:c r="M1342" s="28" t="n">
        <x:v>3</x:v>
      </x:c>
      <x:c r="N1342" s="28" t="n">
        <x:v>4.656612873077393e-10</x:v>
      </x:c>
      <x:c r="O1342" s="28" t="n">
        <x:v>7.450580596923828e-9</x:v>
      </x:c>
      <x:c r="P1342" s="28" t="n">
        <x:v>0</x:v>
      </x:c>
      <x:c r="Q1342" s="62" t="b">
        <x:v>1</x:v>
      </x:c>
      <x:c r="R1342" s="28" t="n">
        <x:v>0</x:v>
      </x:c>
      <x:c r="S1342" s="28" t="str">
        <x:v>c70141bbdfd31b2f</x:v>
      </x:c>
    </x:row>
    <x:row r="1343" ht="21" customHeight="1">
      <x:c r="A1343" s="60" t="n">
        <x:v>0.65</x:v>
      </x:c>
      <x:c r="B1343" s="28" t="str">
        <x:v>middle_flat</x:v>
      </x:c>
      <x:c r="C1343" s="60" t="n">
        <x:v>0.6</x:v>
      </x:c>
      <x:c r="D1343" s="60" t="n">
        <x:v>0.6</x:v>
      </x:c>
      <x:c r="E1343" s="62" t="b">
        <x:v>1</x:v>
      </x:c>
      <x:c r="F1343" s="62" t="b">
        <x:v>1</x:v>
      </x:c>
      <x:c r="G1343" s="85" t="n">
        <x:v>0</x:v>
      </x:c>
      <x:c r="H1343" s="85" t="n">
        <x:v>0</x:v>
      </x:c>
      <x:c r="I1343" s="85" t="n">
        <x:v>12209076.008720998</x:v>
      </x:c>
      <x:c r="J1343" s="85" t="n">
        <x:v>13700951.67992724</x:v>
      </x:c>
      <x:c r="K1343" s="85" t="n">
        <x:v>53856.803616438476</x:v>
      </x:c>
      <x:c r="L1343" s="28" t="n">
        <x:v>21</x:v>
      </x:c>
      <x:c r="M1343" s="28" t="n">
        <x:v>12</x:v>
      </x:c>
      <x:c r="N1343" s="28" t="n">
        <x:v>4.656612873077393e-10</x:v>
      </x:c>
      <x:c r="O1343" s="28" t="n">
        <x:v>3.725290298461914e-9</x:v>
      </x:c>
      <x:c r="P1343" s="28" t="n">
        <x:v>0</x:v>
      </x:c>
      <x:c r="Q1343" s="62" t="b">
        <x:v>1</x:v>
      </x:c>
      <x:c r="R1343" s="28" t="n">
        <x:v>0</x:v>
      </x:c>
      <x:c r="S1343" s="28" t="str">
        <x:v>0a54305c4b60608f</x:v>
      </x:c>
    </x:row>
    <x:row r="1344" ht="21" customHeight="1">
      <x:c r="A1344" s="60" t="n">
        <x:v>0.65</x:v>
      </x:c>
      <x:c r="B1344" s="28" t="str">
        <x:v>middle_flat</x:v>
      </x:c>
      <x:c r="C1344" s="60" t="n">
        <x:v>0.65</x:v>
      </x:c>
      <x:c r="D1344" s="60" t="n">
        <x:v>0.65</x:v>
      </x:c>
      <x:c r="E1344" s="62" t="b">
        <x:v>1</x:v>
      </x:c>
      <x:c r="F1344" s="62" t="b">
        <x:v>0</x:v>
      </x:c>
      <x:c r="G1344" s="85" t="n">
        <x:v>395673.3443526732</x:v>
      </x:c>
      <x:c r="H1344" s="85" t="n">
        <x:v>2127622.483986387</x:v>
      </x:c>
      <x:c r="I1344" s="85" t="n">
        <x:v>12327058.53370068</x:v>
      </x:c>
      <x:c r="J1344" s="85" t="n">
        <x:v>13935999.999999998</x:v>
      </x:c>
      <x:c r="K1344" s="85" t="n">
        <x:v>49090.86953424733</x:v>
      </x:c>
      <x:c r="L1344" s="28" t="n">
        <x:v>41</x:v>
      </x:c>
      <x:c r="M1344" s="28" t="n">
        <x:v>34</x:v>
      </x:c>
      <x:c r="N1344" s="28" t="n">
        <x:v>4.656612873077393e-10</x:v>
      </x:c>
      <x:c r="O1344" s="28" t="n">
        <x:v>1.862645149230957e-9</x:v>
      </x:c>
      <x:c r="P1344" s="28" t="n">
        <x:v>0</x:v>
      </x:c>
      <x:c r="Q1344" s="62" t="b">
        <x:v>1</x:v>
      </x:c>
      <x:c r="R1344" s="28" t="n">
        <x:v>0</x:v>
      </x:c>
      <x:c r="S1344" s="28" t="str">
        <x:v>40d64ff77f1693e1</x:v>
      </x:c>
    </x:row>
    <x:row r="1345" ht="21" customHeight="1">
      <x:c r="A1345" s="60" t="n">
        <x:v>0.65</x:v>
      </x:c>
      <x:c r="B1345" s="28" t="str">
        <x:v>middle_flat</x:v>
      </x:c>
      <x:c r="C1345" s="60" t="n">
        <x:v>0.7</x:v>
      </x:c>
      <x:c r="D1345" s="60" t="n">
        <x:v>0.7</x:v>
      </x:c>
      <x:c r="E1345" s="62" t="b">
        <x:v>1</x:v>
      </x:c>
      <x:c r="F1345" s="62" t="b">
        <x:v>0</x:v>
      </x:c>
      <x:c r="G1345" s="85" t="n">
        <x:v>809788.8923882891</x:v>
      </x:c>
      <x:c r="H1345" s="85" t="n">
        <x:v>4211622.896929152</x:v>
      </x:c>
      <x:c r="I1345" s="85" t="n">
        <x:v>12563308.820726626</x:v>
      </x:c>
      <x:c r="J1345" s="85" t="n">
        <x:v>13935999.999999998</x:v>
      </x:c>
      <x:c r="K1345" s="85" t="n">
        <x:v>44324.93545205468</x:v>
      </x:c>
      <x:c r="L1345" s="28" t="n">
        <x:v>42</x:v>
      </x:c>
      <x:c r="M1345" s="28" t="n">
        <x:v>36</x:v>
      </x:c>
      <x:c r="N1345" s="28" t="n">
        <x:v>4.656612873077393e-10</x:v>
      </x:c>
      <x:c r="O1345" s="28" t="n">
        <x:v>3.725290298461914e-9</x:v>
      </x:c>
      <x:c r="P1345" s="28" t="n">
        <x:v>0</x:v>
      </x:c>
      <x:c r="Q1345" s="62" t="b">
        <x:v>1</x:v>
      </x:c>
      <x:c r="R1345" s="28" t="n">
        <x:v>0</x:v>
      </x:c>
      <x:c r="S1345" s="28" t="str">
        <x:v>27a2c8857366e991</x:v>
      </x:c>
    </x:row>
    <x:row r="1346" ht="21" customHeight="1">
      <x:c r="A1346" s="60" t="n">
        <x:v>0.65</x:v>
      </x:c>
      <x:c r="B1346" s="28" t="str">
        <x:v>middle_flat</x:v>
      </x:c>
      <x:c r="C1346" s="60" t="n">
        <x:v>0.75</x:v>
      </x:c>
      <x:c r="D1346" s="60" t="n">
        <x:v>0.75</x:v>
      </x:c>
      <x:c r="E1346" s="62" t="b">
        <x:v>1</x:v>
      </x:c>
      <x:c r="F1346" s="62" t="b">
        <x:v>0</x:v>
      </x:c>
      <x:c r="G1346" s="85" t="n">
        <x:v>1278132.557859319</x:v>
      </x:c>
      <x:c r="H1346" s="85" t="n">
        <x:v>6476187.238261044</x:v>
      </x:c>
      <x:c r="I1346" s="85" t="n">
        <x:v>12589008.495803967</x:v>
      </x:c>
      <x:c r="J1346" s="85" t="n">
        <x:v>13935999.999999998</x:v>
      </x:c>
      <x:c r="K1346" s="85" t="n">
        <x:v>39559.00136986294</x:v>
      </x:c>
      <x:c r="L1346" s="28" t="n">
        <x:v>42</x:v>
      </x:c>
      <x:c r="M1346" s="28" t="n">
        <x:v>37</x:v>
      </x:c>
      <x:c r="N1346" s="28" t="n">
        <x:v>2.3283064365386963e-10</x:v>
      </x:c>
      <x:c r="O1346" s="28" t="n">
        <x:v>3.725290298461914e-9</x:v>
      </x:c>
      <x:c r="P1346" s="28" t="n">
        <x:v>0</x:v>
      </x:c>
      <x:c r="Q1346" s="62" t="b">
        <x:v>1</x:v>
      </x:c>
      <x:c r="R1346" s="28" t="n">
        <x:v>0</x:v>
      </x:c>
      <x:c r="S1346" s="28" t="str">
        <x:v>690f882f577a1122</x:v>
      </x:c>
    </x:row>
    <x:row r="1347" ht="21" customHeight="1">
      <x:c r="A1347" s="60" t="n">
        <x:v>0.65</x:v>
      </x:c>
      <x:c r="B1347" s="28" t="str">
        <x:v>middle_flat</x:v>
      </x:c>
      <x:c r="C1347" s="60" t="n">
        <x:v>0.8</x:v>
      </x:c>
      <x:c r="D1347" s="60" t="n">
        <x:v>0.8</x:v>
      </x:c>
      <x:c r="E1347" s="62" t="b">
        <x:v>1</x:v>
      </x:c>
      <x:c r="F1347" s="62" t="b">
        <x:v>0</x:v>
      </x:c>
      <x:c r="G1347" s="85" t="n">
        <x:v>1717629.8877948555</x:v>
      </x:c>
      <x:c r="H1347" s="85" t="n">
        <x:v>8418993.187856127</x:v>
      </x:c>
      <x:c r="I1347" s="85" t="n">
        <x:v>12832517.579912324</x:v>
      </x:c>
      <x:c r="J1347" s="85" t="n">
        <x:v>13935999.999999998</x:v>
      </x:c>
      <x:c r="K1347" s="85" t="n">
        <x:v>34793.06728767157</x:v>
      </x:c>
      <x:c r="L1347" s="28" t="n">
        <x:v>43</x:v>
      </x:c>
      <x:c r="M1347" s="28" t="n">
        <x:v>38</x:v>
      </x:c>
      <x:c r="N1347" s="28" t="n">
        <x:v>2.3283064365386963e-10</x:v>
      </x:c>
      <x:c r="O1347" s="28" t="n">
        <x:v>1.862645149230957e-9</x:v>
      </x:c>
      <x:c r="P1347" s="28" t="n">
        <x:v>0</x:v>
      </x:c>
      <x:c r="Q1347" s="62" t="b">
        <x:v>1</x:v>
      </x:c>
      <x:c r="R1347" s="28" t="n">
        <x:v>0</x:v>
      </x:c>
      <x:c r="S1347" s="28" t="str">
        <x:v>fad670d1c4aa4b80</x:v>
      </x:c>
    </x:row>
    <x:row r="1348" ht="21" customHeight="1">
      <x:c r="A1348" s="60" t="n">
        <x:v>0.65</x:v>
      </x:c>
      <x:c r="B1348" s="28" t="str">
        <x:v>middle_flat</x:v>
      </x:c>
      <x:c r="C1348" s="60" t="n">
        <x:v>0.85</x:v>
      </x:c>
      <x:c r="D1348" s="60" t="n">
        <x:v>0.85</x:v>
      </x:c>
      <x:c r="E1348" s="62" t="b">
        <x:v>1</x:v>
      </x:c>
      <x:c r="F1348" s="62" t="b">
        <x:v>0</x:v>
      </x:c>
      <x:c r="G1348" s="85" t="n">
        <x:v>2295832.652294801</x:v>
      </x:c>
      <x:c r="H1348" s="85" t="n">
        <x:v>10523866.277818728</x:v>
      </x:c>
      <x:c r="I1348" s="85" t="n">
        <x:v>12852050.156396572</x:v>
      </x:c>
      <x:c r="J1348" s="85" t="n">
        <x:v>13935999.999999998</x:v>
      </x:c>
      <x:c r="K1348" s="85" t="n">
        <x:v>30027.133205479604</x:v>
      </x:c>
      <x:c r="L1348" s="28" t="n">
        <x:v>43</x:v>
      </x:c>
      <x:c r="M1348" s="28" t="n">
        <x:v>38</x:v>
      </x:c>
      <x:c r="N1348" s="28" t="n">
        <x:v>4.656612873077393e-10</x:v>
      </x:c>
      <x:c r="O1348" s="28" t="n">
        <x:v>3.725290298461914e-9</x:v>
      </x:c>
      <x:c r="P1348" s="28" t="n">
        <x:v>0</x:v>
      </x:c>
      <x:c r="Q1348" s="62" t="b">
        <x:v>1</x:v>
      </x:c>
      <x:c r="R1348" s="28" t="n">
        <x:v>0</x:v>
      </x:c>
      <x:c r="S1348" s="28" t="str">
        <x:v>2fc85a5dc3f26d24</x:v>
      </x:c>
    </x:row>
    <x:row r="1349" ht="21" customHeight="1">
      <x:c r="A1349" s="60" t="n">
        <x:v>0.65</x:v>
      </x:c>
      <x:c r="B1349" s="28" t="str">
        <x:v>middle_flat</x:v>
      </x:c>
      <x:c r="C1349" s="60" t="n">
        <x:v>0.9</x:v>
      </x:c>
      <x:c r="D1349" s="60" t="n">
        <x:v>0.9</x:v>
      </x:c>
      <x:c r="E1349" s="62" t="b">
        <x:v>1</x:v>
      </x:c>
      <x:c r="F1349" s="62" t="b">
        <x:v>0</x:v>
      </x:c>
      <x:c r="G1349" s="85" t="n">
        <x:v>3172350.44519095</x:v>
      </x:c>
      <x:c r="H1349" s="85" t="n">
        <x:v>12369038.256182335</x:v>
      </x:c>
      <x:c r="I1349" s="85" t="n">
        <x:v>12871582.732880818</x:v>
      </x:c>
      <x:c r="J1349" s="85" t="n">
        <x:v>13935999.999999998</x:v>
      </x:c>
      <x:c r="K1349" s="85" t="n">
        <x:v>25261.199123288112</x:v>
      </x:c>
      <x:c r="L1349" s="28" t="n">
        <x:v>43</x:v>
      </x:c>
      <x:c r="M1349" s="28" t="n">
        <x:v>39</x:v>
      </x:c>
      <x:c r="N1349" s="28" t="n">
        <x:v>2.3283064365386963e-10</x:v>
      </x:c>
      <x:c r="O1349" s="28" t="n">
        <x:v>3.725290298461914e-9</x:v>
      </x:c>
      <x:c r="P1349" s="28" t="n">
        <x:v>0</x:v>
      </x:c>
      <x:c r="Q1349" s="62" t="b">
        <x:v>1</x:v>
      </x:c>
      <x:c r="R1349" s="28" t="n">
        <x:v>0</x:v>
      </x:c>
      <x:c r="S1349" s="28" t="str">
        <x:v>e3d35523768bc65e</x:v>
      </x:c>
    </x:row>
    <x:row r="1350" ht="21" customHeight="1">
      <x:c r="A1350" s="60" t="n">
        <x:v>0.65</x:v>
      </x:c>
      <x:c r="B1350" s="28" t="str">
        <x:v>middle_flat</x:v>
      </x:c>
      <x:c r="C1350" s="60" t="n">
        <x:v>0.95</x:v>
      </x:c>
      <x:c r="D1350" s="60" t="n">
        <x:v>0.9270639118581285</x:v>
      </x:c>
      <x:c r="E1350" s="62" t="b">
        <x:v>0</x:v>
      </x:c>
      <x:c r="F1350" s="62" t="b">
        <x:v>0</x:v>
      </x:c>
      <x:c r="G1350" s="85" t="n">
        <x:v>3457787.318208873</x:v>
      </x:c>
      <x:c r="H1350" s="85" t="n">
        <x:v>13091701.289845224</x:v>
      </x:c>
      <x:c r="I1350" s="85" t="n">
        <x:v>13095799.841534244</x:v>
      </x:c>
      <x:c r="J1350" s="85" t="n">
        <x:v>13935999.999999998</x:v>
      </x:c>
      <x:c r="K1350" s="85" t="n">
        <x:v>20495.265041095914</x:v>
      </x:c>
      <x:c r="L1350" s="28" t="n">
        <x:v>44</x:v>
      </x:c>
      <x:c r="M1350" s="28" t="n">
        <x:v>40</x:v>
      </x:c>
      <x:c r="N1350" s="28" t="n">
        <x:v>2.3283064365386963e-10</x:v>
      </x:c>
      <x:c r="O1350" s="28" t="n">
        <x:v>3.725290298461914e-9</x:v>
      </x:c>
      <x:c r="P1350" s="28" t="n">
        <x:v>0</x:v>
      </x:c>
      <x:c r="Q1350" s="62" t="b">
        <x:v>1</x:v>
      </x:c>
      <x:c r="R1350" s="28" t="n">
        <x:v>1278549.2973804846</x:v>
      </x:c>
      <x:c r="S1350" s="28" t="str">
        <x:v>9c211ace8355a5ca</x:v>
      </x:c>
    </x:row>
    <x:row r="1351" ht="21" customHeight="1">
      <x:c r="A1351" s="60" t="n">
        <x:v>0.65</x:v>
      </x:c>
      <x:c r="B1351" s="28" t="str">
        <x:v>middle_flat</x:v>
      </x:c>
      <x:c r="C1351" s="60" t="n">
        <x:v>1</x:v>
      </x:c>
      <x:c r="D1351" s="60" t="n">
        <x:v>0.9427455891708479</x:v>
      </x:c>
      <x:c r="E1351" s="62" t="b">
        <x:v>0</x:v>
      </x:c>
      <x:c r="F1351" s="62" t="b">
        <x:v>0</x:v>
      </x:c>
      <x:c r="G1351" s="85" t="n">
        <x:v>3797400.469243743</x:v>
      </x:c>
      <x:c r="H1351" s="85" t="n">
        <x:v>13798144.101401327</x:v>
      </x:c>
      <x:c r="I1351" s="85" t="n">
        <x:v>13106902.154520545</x:v>
      </x:c>
      <x:c r="J1351" s="85" t="n">
        <x:v>13935999.999999998</x:v>
      </x:c>
      <x:c r="K1351" s="85" t="n">
        <x:v>16066.454794520432</x:v>
      </x:c>
      <x:c r="L1351" s="28" t="n">
        <x:v>44</x:v>
      </x:c>
      <x:c r="M1351" s="28" t="n">
        <x:v>40</x:v>
      </x:c>
      <x:c r="N1351" s="28" t="n">
        <x:v>2.3283064365386963e-10</x:v>
      </x:c>
      <x:c r="O1351" s="28" t="n">
        <x:v>9.313225746154785e-10</x:v>
      </x:c>
      <x:c r="P1351" s="28" t="n">
        <x:v>0</x:v>
      </x:c>
      <x:c r="Q1351" s="62" t="b">
        <x:v>1</x:v>
      </x:c>
      <x:c r="R1351" s="28" t="n">
        <x:v>3191589.877260253</x:v>
      </x:c>
      <x:c r="S1351" s="28" t="str">
        <x:v>3d8262767db49b70</x:v>
      </x:c>
    </x:row>
    <x:row r="1352" ht="21" customHeight="1">
      <x:c r="A1352" s="60" t="n">
        <x:v>0.65</x:v>
      </x:c>
      <x:c r="B1352" s="28" t="str">
        <x:v>middle_low</x:v>
      </x:c>
      <x:c r="C1352" s="60" t="n">
        <x:v>0</x:v>
      </x:c>
      <x:c r="D1352" s="60" t="n">
        <x:v>0</x:v>
      </x:c>
      <x:c r="E1352" s="62" t="b">
        <x:v>1</x:v>
      </x:c>
      <x:c r="F1352" s="62" t="b">
        <x:v>1</x:v>
      </x:c>
      <x:c r="G1352" s="85" t="n">
        <x:v>0</x:v>
      </x:c>
      <x:c r="H1352" s="85" t="n">
        <x:v>0</x:v>
      </x:c>
      <x:c r="I1352" s="85" t="n">
        <x:v>0</x:v>
      </x:c>
      <x:c r="J1352" s="85" t="n">
        <x:v>0</x:v>
      </x:c>
      <x:c r="K1352" s="85" t="n">
        <x:v>5434931.926575345</x:v>
      </x:c>
      <x:c r="L1352" s="28" t="n">
        <x:v>0</x:v>
      </x:c>
      <x:c r="M1352" s="28" t="n">
        <x:v>0</x:v>
      </x:c>
      <x:c r="N1352" s="28" t="n">
        <x:v>9.313225746154785e-10</x:v>
      </x:c>
      <x:c r="O1352" s="28" t="n">
        <x:v>0</x:v>
      </x:c>
      <x:c r="P1352" s="28" t="n">
        <x:v>0</x:v>
      </x:c>
      <x:c r="Q1352" s="62" t="b">
        <x:v>1</x:v>
      </x:c>
      <x:c r="R1352" s="28" t="n">
        <x:v>0</x:v>
      </x:c>
      <x:c r="S1352" s="28" t="str">
        <x:v>c18f21f1eb3b3ce6</x:v>
      </x:c>
    </x:row>
    <x:row r="1353" ht="21" customHeight="1">
      <x:c r="A1353" s="60" t="n">
        <x:v>0.65</x:v>
      </x:c>
      <x:c r="B1353" s="28" t="str">
        <x:v>middle_low</x:v>
      </x:c>
      <x:c r="C1353" s="60" t="n">
        <x:v>0.05</x:v>
      </x:c>
      <x:c r="D1353" s="60" t="n">
        <x:v>0.05</x:v>
      </x:c>
      <x:c r="E1353" s="62" t="b">
        <x:v>1</x:v>
      </x:c>
      <x:c r="F1353" s="62" t="b">
        <x:v>1</x:v>
      </x:c>
      <x:c r="G1353" s="85" t="n">
        <x:v>0</x:v>
      </x:c>
      <x:c r="H1353" s="85" t="n">
        <x:v>0</x:v>
      </x:c>
      <x:c r="I1353" s="85" t="n">
        <x:v>0</x:v>
      </x:c>
      <x:c r="J1353" s="85" t="n">
        <x:v>0</x:v>
      </x:c>
      <x:c r="K1353" s="85" t="n">
        <x:v>3423947.7233983157</x:v>
      </x:c>
      <x:c r="L1353" s="28" t="n">
        <x:v>0</x:v>
      </x:c>
      <x:c r="M1353" s="28" t="n">
        <x:v>0</x:v>
      </x:c>
      <x:c r="N1353" s="28" t="n">
        <x:v>9.313225746154785e-10</x:v>
      </x:c>
      <x:c r="O1353" s="28" t="n">
        <x:v>7.450580596923828e-9</x:v>
      </x:c>
      <x:c r="P1353" s="28" t="n">
        <x:v>0</x:v>
      </x:c>
      <x:c r="Q1353" s="62" t="b">
        <x:v>1</x:v>
      </x:c>
      <x:c r="R1353" s="28" t="n">
        <x:v>0</x:v>
      </x:c>
      <x:c r="S1353" s="28" t="str">
        <x:v>5087687d72b4c049</x:v>
      </x:c>
    </x:row>
    <x:row r="1354" ht="21" customHeight="1">
      <x:c r="A1354" s="60" t="n">
        <x:v>0.65</x:v>
      </x:c>
      <x:c r="B1354" s="28" t="str">
        <x:v>middle_low</x:v>
      </x:c>
      <x:c r="C1354" s="60" t="n">
        <x:v>0.1</x:v>
      </x:c>
      <x:c r="D1354" s="60" t="n">
        <x:v>0.1</x:v>
      </x:c>
      <x:c r="E1354" s="62" t="b">
        <x:v>1</x:v>
      </x:c>
      <x:c r="F1354" s="62" t="b">
        <x:v>1</x:v>
      </x:c>
      <x:c r="G1354" s="85" t="n">
        <x:v>0</x:v>
      </x:c>
      <x:c r="H1354" s="85" t="n">
        <x:v>0</x:v>
      </x:c>
      <x:c r="I1354" s="85" t="n">
        <x:v>0</x:v>
      </x:c>
      <x:c r="J1354" s="85" t="n">
        <x:v>0</x:v>
      </x:c>
      <x:c r="K1354" s="85" t="n">
        <x:v>1418008.496302918</x:v>
      </x:c>
      <x:c r="L1354" s="28" t="n">
        <x:v>0</x:v>
      </x:c>
      <x:c r="M1354" s="28" t="n">
        <x:v>0</x:v>
      </x:c>
      <x:c r="N1354" s="28" t="n">
        <x:v>2.3283064365386963e-10</x:v>
      </x:c>
      <x:c r="O1354" s="28" t="n">
        <x:v>7.450580596923828e-9</x:v>
      </x:c>
      <x:c r="P1354" s="28" t="n">
        <x:v>0</x:v>
      </x:c>
      <x:c r="Q1354" s="62" t="b">
        <x:v>1</x:v>
      </x:c>
      <x:c r="R1354" s="28" t="n">
        <x:v>0</x:v>
      </x:c>
      <x:c r="S1354" s="28" t="str">
        <x:v>7652311abe13339e</x:v>
      </x:c>
    </x:row>
    <x:row r="1355" ht="21" customHeight="1">
      <x:c r="A1355" s="60" t="n">
        <x:v>0.65</x:v>
      </x:c>
      <x:c r="B1355" s="28" t="str">
        <x:v>middle_low</x:v>
      </x:c>
      <x:c r="C1355" s="60" t="n">
        <x:v>0.15</x:v>
      </x:c>
      <x:c r="D1355" s="60" t="n">
        <x:v>0.15</x:v>
      </x:c>
      <x:c r="E1355" s="62" t="b">
        <x:v>1</x:v>
      </x:c>
      <x:c r="F1355" s="62" t="b">
        <x:v>1</x:v>
      </x:c>
      <x:c r="G1355" s="85" t="n">
        <x:v>0</x:v>
      </x:c>
      <x:c r="H1355" s="85" t="n">
        <x:v>0</x:v>
      </x:c>
      <x:c r="I1355" s="85" t="n">
        <x:v>531235.300408215</x:v>
      </x:c>
      <x:c r="J1355" s="85" t="n">
        <x:v>0</x:v>
      </x:c>
      <x:c r="K1355" s="85" t="n">
        <x:v>101566.38913331527</x:v>
      </x:c>
      <x:c r="L1355" s="28" t="n">
        <x:v>0</x:v>
      </x:c>
      <x:c r="M1355" s="28" t="n">
        <x:v>0</x:v>
      </x:c>
      <x:c r="N1355" s="28" t="n">
        <x:v>4.656612873077393e-10</x:v>
      </x:c>
      <x:c r="O1355" s="28" t="n">
        <x:v>7.450580596923828e-9</x:v>
      </x:c>
      <x:c r="P1355" s="28" t="n">
        <x:v>0</x:v>
      </x:c>
      <x:c r="Q1355" s="62" t="b">
        <x:v>1</x:v>
      </x:c>
      <x:c r="R1355" s="28" t="n">
        <x:v>0</x:v>
      </x:c>
      <x:c r="S1355" s="28" t="str">
        <x:v>4f181e2496a329cd</x:v>
      </x:c>
    </x:row>
    <x:row r="1356" ht="21" customHeight="1">
      <x:c r="A1356" s="60" t="n">
        <x:v>0.65</x:v>
      </x:c>
      <x:c r="B1356" s="28" t="str">
        <x:v>middle_low</x:v>
      </x:c>
      <x:c r="C1356" s="60" t="n">
        <x:v>0.2</x:v>
      </x:c>
      <x:c r="D1356" s="60" t="n">
        <x:v>0.2</x:v>
      </x:c>
      <x:c r="E1356" s="62" t="b">
        <x:v>1</x:v>
      </x:c>
      <x:c r="F1356" s="62" t="b">
        <x:v>1</x:v>
      </x:c>
      <x:c r="G1356" s="85" t="n">
        <x:v>0</x:v>
      </x:c>
      <x:c r="H1356" s="85" t="n">
        <x:v>0</x:v>
      </x:c>
      <x:c r="I1356" s="85" t="n">
        <x:v>1655050.2220378357</x:v>
      </x:c>
      <x:c r="J1356" s="85" t="n">
        <x:v>1253157.2790409003</x:v>
      </x:c>
      <x:c r="K1356" s="85" t="n">
        <x:v>74618.36569884926</x:v>
      </x:c>
      <x:c r="L1356" s="28" t="n">
        <x:v>0</x:v>
      </x:c>
      <x:c r="M1356" s="28" t="n">
        <x:v>0</x:v>
      </x:c>
      <x:c r="N1356" s="28" t="n">
        <x:v>4.656612873077393e-10</x:v>
      </x:c>
      <x:c r="O1356" s="28" t="n">
        <x:v>7.450580596923828e-9</x:v>
      </x:c>
      <x:c r="P1356" s="28" t="n">
        <x:v>0</x:v>
      </x:c>
      <x:c r="Q1356" s="62" t="b">
        <x:v>1</x:v>
      </x:c>
      <x:c r="R1356" s="28" t="n">
        <x:v>0</x:v>
      </x:c>
      <x:c r="S1356" s="28" t="str">
        <x:v>d901988a80771668</x:v>
      </x:c>
    </x:row>
    <x:row r="1357" ht="21" customHeight="1">
      <x:c r="A1357" s="60" t="n">
        <x:v>0.65</x:v>
      </x:c>
      <x:c r="B1357" s="28" t="str">
        <x:v>middle_low</x:v>
      </x:c>
      <x:c r="C1357" s="60" t="n">
        <x:v>0.25</x:v>
      </x:c>
      <x:c r="D1357" s="60" t="n">
        <x:v>0.25</x:v>
      </x:c>
      <x:c r="E1357" s="62" t="b">
        <x:v>1</x:v>
      </x:c>
      <x:c r="F1357" s="62" t="b">
        <x:v>1</x:v>
      </x:c>
      <x:c r="G1357" s="85" t="n">
        <x:v>0</x:v>
      </x:c>
      <x:c r="H1357" s="85" t="n">
        <x:v>0</x:v>
      </x:c>
      <x:c r="I1357" s="85" t="n">
        <x:v>2432956.9748460227</x:v>
      </x:c>
      <x:c r="J1357" s="85" t="n">
        <x:v>2960046.598801145</x:v>
      </x:c>
      <x:c r="K1357" s="85" t="n">
        <x:v>56617.52794520511</x:v>
      </x:c>
      <x:c r="L1357" s="28" t="n">
        <x:v>0</x:v>
      </x:c>
      <x:c r="M1357" s="28" t="n">
        <x:v>0</x:v>
      </x:c>
      <x:c r="N1357" s="28" t="n">
        <x:v>4.656612873077393e-10</x:v>
      </x:c>
      <x:c r="O1357" s="28" t="n">
        <x:v>7.450580596923828e-9</x:v>
      </x:c>
      <x:c r="P1357" s="28" t="n">
        <x:v>0</x:v>
      </x:c>
      <x:c r="Q1357" s="62" t="b">
        <x:v>1</x:v>
      </x:c>
      <x:c r="R1357" s="28" t="n">
        <x:v>0</x:v>
      </x:c>
      <x:c r="S1357" s="28" t="str">
        <x:v>bd546104db9dc03c</x:v>
      </x:c>
    </x:row>
    <x:row r="1358" ht="21" customHeight="1">
      <x:c r="A1358" s="60" t="n">
        <x:v>0.65</x:v>
      </x:c>
      <x:c r="B1358" s="28" t="str">
        <x:v>middle_low</x:v>
      </x:c>
      <x:c r="C1358" s="60" t="n">
        <x:v>0.3</x:v>
      </x:c>
      <x:c r="D1358" s="60" t="n">
        <x:v>0.3</x:v>
      </x:c>
      <x:c r="E1358" s="62" t="b">
        <x:v>1</x:v>
      </x:c>
      <x:c r="F1358" s="62" t="b">
        <x:v>1</x:v>
      </x:c>
      <x:c r="G1358" s="85" t="n">
        <x:v>0</x:v>
      </x:c>
      <x:c r="H1358" s="85" t="n">
        <x:v>0</x:v>
      </x:c>
      <x:c r="I1358" s="85" t="n">
        <x:v>3211825.4342351393</x:v>
      </x:c>
      <x:c r="J1358" s="85" t="n">
        <x:v>4666935.918561366</x:v>
      </x:c>
      <x:c r="K1358" s="85" t="n">
        <x:v>47875.713534246686</x:v>
      </x:c>
      <x:c r="L1358" s="28" t="n">
        <x:v>0</x:v>
      </x:c>
      <x:c r="M1358" s="28" t="n">
        <x:v>0</x:v>
      </x:c>
      <x:c r="N1358" s="28" t="n">
        <x:v>2.3283064365386963e-10</x:v>
      </x:c>
      <x:c r="O1358" s="28" t="n">
        <x:v>7.450580596923828e-9</x:v>
      </x:c>
      <x:c r="P1358" s="28" t="n">
        <x:v>0</x:v>
      </x:c>
      <x:c r="Q1358" s="62" t="b">
        <x:v>1</x:v>
      </x:c>
      <x:c r="R1358" s="28" t="n">
        <x:v>0</x:v>
      </x:c>
      <x:c r="S1358" s="28" t="str">
        <x:v>d023fed565778a7f</x:v>
      </x:c>
    </x:row>
    <x:row r="1359" ht="21" customHeight="1">
      <x:c r="A1359" s="60" t="n">
        <x:v>0.65</x:v>
      </x:c>
      <x:c r="B1359" s="28" t="str">
        <x:v>middle_low</x:v>
      </x:c>
      <x:c r="C1359" s="60" t="n">
        <x:v>0.35</x:v>
      </x:c>
      <x:c r="D1359" s="60" t="n">
        <x:v>0.35</x:v>
      </x:c>
      <x:c r="E1359" s="62" t="b">
        <x:v>1</x:v>
      </x:c>
      <x:c r="F1359" s="62" t="b">
        <x:v>1</x:v>
      </x:c>
      <x:c r="G1359" s="85" t="n">
        <x:v>0</x:v>
      </x:c>
      <x:c r="H1359" s="85" t="n">
        <x:v>0</x:v>
      </x:c>
      <x:c r="I1359" s="85" t="n">
        <x:v>3995531.3392440216</x:v>
      </x:c>
      <x:c r="J1359" s="85" t="n">
        <x:v>6373825.238321626</x:v>
      </x:c>
      <x:c r="K1359" s="85" t="n">
        <x:v>39133.899123287556</x:v>
      </x:c>
      <x:c r="L1359" s="28" t="n">
        <x:v>0</x:v>
      </x:c>
      <x:c r="M1359" s="28" t="n">
        <x:v>0</x:v>
      </x:c>
      <x:c r="N1359" s="28" t="n">
        <x:v>4.656612873077393e-10</x:v>
      </x:c>
      <x:c r="O1359" s="28" t="n">
        <x:v>7.450580596923828e-9</x:v>
      </x:c>
      <x:c r="P1359" s="28" t="n">
        <x:v>0</x:v>
      </x:c>
      <x:c r="Q1359" s="62" t="b">
        <x:v>1</x:v>
      </x:c>
      <x:c r="R1359" s="28" t="n">
        <x:v>0</x:v>
      </x:c>
      <x:c r="S1359" s="28" t="str">
        <x:v>f954fb076a913bf6</x:v>
      </x:c>
    </x:row>
    <x:row r="1360" ht="21" customHeight="1">
      <x:c r="A1360" s="60" t="n">
        <x:v>0.65</x:v>
      </x:c>
      <x:c r="B1360" s="28" t="str">
        <x:v>middle_low</x:v>
      </x:c>
      <x:c r="C1360" s="60" t="n">
        <x:v>0.4</x:v>
      </x:c>
      <x:c r="D1360" s="60" t="n">
        <x:v>0.4</x:v>
      </x:c>
      <x:c r="E1360" s="62" t="b">
        <x:v>1</x:v>
      </x:c>
      <x:c r="F1360" s="62" t="b">
        <x:v>1</x:v>
      </x:c>
      <x:c r="G1360" s="85" t="n">
        <x:v>0</x:v>
      </x:c>
      <x:c r="H1360" s="85" t="n">
        <x:v>0</x:v>
      </x:c>
      <x:c r="I1360" s="85" t="n">
        <x:v>4923863.522212957</x:v>
      </x:c>
      <x:c r="J1360" s="85" t="n">
        <x:v>7853412.818615904</x:v>
      </x:c>
      <x:c r="K1360" s="85" t="n">
        <x:v>30392.084712328437</x:v>
      </x:c>
      <x:c r="L1360" s="28" t="n">
        <x:v>2</x:v>
      </x:c>
      <x:c r="M1360" s="28" t="n">
        <x:v>0</x:v>
      </x:c>
      <x:c r="N1360" s="28" t="n">
        <x:v>2.3283064365386963e-10</x:v>
      </x:c>
      <x:c r="O1360" s="28" t="n">
        <x:v>3.725290298461914e-9</x:v>
      </x:c>
      <x:c r="P1360" s="28" t="n">
        <x:v>0</x:v>
      </x:c>
      <x:c r="Q1360" s="62" t="b">
        <x:v>1</x:v>
      </x:c>
      <x:c r="R1360" s="28" t="n">
        <x:v>0</x:v>
      </x:c>
      <x:c r="S1360" s="28" t="str">
        <x:v>e671bd5aa619da52</x:v>
      </x:c>
    </x:row>
    <x:row r="1361" ht="21" customHeight="1">
      <x:c r="A1361" s="60" t="n">
        <x:v>0.65</x:v>
      </x:c>
      <x:c r="B1361" s="28" t="str">
        <x:v>middle_low</x:v>
      </x:c>
      <x:c r="C1361" s="60" t="n">
        <x:v>0.45</x:v>
      </x:c>
      <x:c r="D1361" s="60" t="n">
        <x:v>0.45</x:v>
      </x:c>
      <x:c r="E1361" s="62" t="b">
        <x:v>1</x:v>
      </x:c>
      <x:c r="F1361" s="62" t="b">
        <x:v>1</x:v>
      </x:c>
      <x:c r="G1361" s="85" t="n">
        <x:v>0</x:v>
      </x:c>
      <x:c r="H1361" s="85" t="n">
        <x:v>0</x:v>
      </x:c>
      <x:c r="I1361" s="85" t="n">
        <x:v>6112186.343356943</x:v>
      </x:c>
      <x:c r="J1361" s="85" t="n">
        <x:v>8902266.919939186</x:v>
      </x:c>
      <x:c r="K1361" s="85" t="n">
        <x:v>25339.65682191763</x:v>
      </x:c>
      <x:c r="L1361" s="28" t="n">
        <x:v>8</x:v>
      </x:c>
      <x:c r="M1361" s="28" t="n">
        <x:v>0</x:v>
      </x:c>
      <x:c r="N1361" s="28" t="n">
        <x:v>2.3283064365386963e-10</x:v>
      </x:c>
      <x:c r="O1361" s="28" t="n">
        <x:v>1.862645149230957e-9</x:v>
      </x:c>
      <x:c r="P1361" s="28" t="n">
        <x:v>0</x:v>
      </x:c>
      <x:c r="Q1361" s="62" t="b">
        <x:v>1</x:v>
      </x:c>
      <x:c r="R1361" s="28" t="n">
        <x:v>0</x:v>
      </x:c>
      <x:c r="S1361" s="28" t="str">
        <x:v>3b8cc079451e1d5f</x:v>
      </x:c>
    </x:row>
    <x:row r="1362" ht="21" customHeight="1">
      <x:c r="A1362" s="60" t="n">
        <x:v>0.65</x:v>
      </x:c>
      <x:c r="B1362" s="28" t="str">
        <x:v>middle_low</x:v>
      </x:c>
      <x:c r="C1362" s="60" t="n">
        <x:v>0.5</x:v>
      </x:c>
      <x:c r="D1362" s="60" t="n">
        <x:v>0.5</x:v>
      </x:c>
      <x:c r="E1362" s="62" t="b">
        <x:v>1</x:v>
      </x:c>
      <x:c r="F1362" s="62" t="b">
        <x:v>1</x:v>
      </x:c>
      <x:c r="G1362" s="85" t="n">
        <x:v>0</x:v>
      </x:c>
      <x:c r="H1362" s="85" t="n">
        <x:v>0</x:v>
      </x:c>
      <x:c r="I1362" s="85" t="n">
        <x:v>7013304.23927949</x:v>
      </x:c>
      <x:c r="J1362" s="85" t="n">
        <x:v>10412936.888205048</x:v>
      </x:c>
      <x:c r="K1362" s="85" t="n">
        <x:v>22627.285479451944</x:v>
      </x:c>
      <x:c r="L1362" s="28" t="n">
        <x:v>12</x:v>
      </x:c>
      <x:c r="M1362" s="28" t="n">
        <x:v>0</x:v>
      </x:c>
      <x:c r="N1362" s="28" t="n">
        <x:v>4.656612873077393e-10</x:v>
      </x:c>
      <x:c r="O1362" s="28" t="n">
        <x:v>7.450580596923828e-9</x:v>
      </x:c>
      <x:c r="P1362" s="28" t="n">
        <x:v>0</x:v>
      </x:c>
      <x:c r="Q1362" s="62" t="b">
        <x:v>1</x:v>
      </x:c>
      <x:c r="R1362" s="28" t="n">
        <x:v>0</x:v>
      </x:c>
      <x:c r="S1362" s="28" t="str">
        <x:v>8854d678a76bef44</x:v>
      </x:c>
    </x:row>
    <x:row r="1363" ht="21" customHeight="1">
      <x:c r="A1363" s="60" t="n">
        <x:v>0.65</x:v>
      </x:c>
      <x:c r="B1363" s="28" t="str">
        <x:v>middle_low</x:v>
      </x:c>
      <x:c r="C1363" s="60" t="n">
        <x:v>0.55</x:v>
      </x:c>
      <x:c r="D1363" s="60" t="n">
        <x:v>0.55</x:v>
      </x:c>
      <x:c r="E1363" s="62" t="b">
        <x:v>1</x:v>
      </x:c>
      <x:c r="F1363" s="62" t="b">
        <x:v>1</x:v>
      </x:c>
      <x:c r="G1363" s="85" t="n">
        <x:v>0</x:v>
      </x:c>
      <x:c r="H1363" s="85" t="n">
        <x:v>0</x:v>
      </x:c>
      <x:c r="I1363" s="85" t="n">
        <x:v>7841274.586634892</x:v>
      </x:c>
      <x:c r="J1363" s="85" t="n">
        <x:v>12034036.790937081</x:v>
      </x:c>
      <x:c r="K1363" s="85" t="n">
        <x:v>19914.91413698637</x:v>
      </x:c>
      <x:c r="L1363" s="28" t="n">
        <x:v>16</x:v>
      </x:c>
      <x:c r="M1363" s="28" t="n">
        <x:v>0</x:v>
      </x:c>
      <x:c r="N1363" s="28" t="n">
        <x:v>4.656612873077393e-10</x:v>
      </x:c>
      <x:c r="O1363" s="28" t="n">
        <x:v>7.450580596923828e-9</x:v>
      </x:c>
      <x:c r="P1363" s="28" t="n">
        <x:v>0</x:v>
      </x:c>
      <x:c r="Q1363" s="62" t="b">
        <x:v>1</x:v>
      </x:c>
      <x:c r="R1363" s="28" t="n">
        <x:v>0</x:v>
      </x:c>
      <x:c r="S1363" s="28" t="str">
        <x:v>926f27765be63952</x:v>
      </x:c>
    </x:row>
    <x:row r="1364" ht="21" customHeight="1">
      <x:c r="A1364" s="60" t="n">
        <x:v>0.65</x:v>
      </x:c>
      <x:c r="B1364" s="28" t="str">
        <x:v>middle_low</x:v>
      </x:c>
      <x:c r="C1364" s="60" t="n">
        <x:v>0.6</x:v>
      </x:c>
      <x:c r="D1364" s="60" t="n">
        <x:v>0.6</x:v>
      </x:c>
      <x:c r="E1364" s="62" t="b">
        <x:v>1</x:v>
      </x:c>
      <x:c r="F1364" s="62" t="b">
        <x:v>1</x:v>
      </x:c>
      <x:c r="G1364" s="85" t="n">
        <x:v>0</x:v>
      </x:c>
      <x:c r="H1364" s="85" t="n">
        <x:v>0</x:v>
      </x:c>
      <x:c r="I1364" s="85" t="n">
        <x:v>8601099.917642742</x:v>
      </x:c>
      <x:c r="J1364" s="85" t="n">
        <x:v>13730837.028989179</x:v>
      </x:c>
      <x:c r="K1364" s="85" t="n">
        <x:v>17202.54279452074</x:v>
      </x:c>
      <x:c r="L1364" s="28" t="n">
        <x:v>21</x:v>
      </x:c>
      <x:c r="M1364" s="28" t="n">
        <x:v>1</x:v>
      </x:c>
      <x:c r="N1364" s="28" t="n">
        <x:v>4.656612873077393e-10</x:v>
      </x:c>
      <x:c r="O1364" s="28" t="n">
        <x:v>3.725290298461914e-9</x:v>
      </x:c>
      <x:c r="P1364" s="28" t="n">
        <x:v>0</x:v>
      </x:c>
      <x:c r="Q1364" s="62" t="b">
        <x:v>1</x:v>
      </x:c>
      <x:c r="R1364" s="28" t="n">
        <x:v>0</x:v>
      </x:c>
      <x:c r="S1364" s="28" t="str">
        <x:v>69040c420654e97f</x:v>
      </x:c>
    </x:row>
    <x:row r="1365" ht="21" customHeight="1">
      <x:c r="A1365" s="60" t="n">
        <x:v>0.65</x:v>
      </x:c>
      <x:c r="B1365" s="28" t="str">
        <x:v>middle_low</x:v>
      </x:c>
      <x:c r="C1365" s="60" t="n">
        <x:v>0.65</x:v>
      </x:c>
      <x:c r="D1365" s="60" t="n">
        <x:v>0.65</x:v>
      </x:c>
      <x:c r="E1365" s="62" t="b">
        <x:v>1</x:v>
      </x:c>
      <x:c r="F1365" s="62" t="b">
        <x:v>0</x:v>
      </x:c>
      <x:c r="G1365" s="85" t="n">
        <x:v>145690.2827219576</x:v>
      </x:c>
      <x:c r="H1365" s="85" t="n">
        <x:v>1815914.3079187106</x:v>
      </x:c>
      <x:c r="I1365" s="85" t="n">
        <x:v>8671665.61676575</x:v>
      </x:c>
      <x:c r="J1365" s="85" t="n">
        <x:v>13935999.999999998</x:v>
      </x:c>
      <x:c r="K1365" s="85" t="n">
        <x:v>14490.17145205482</x:v>
      </x:c>
      <x:c r="L1365" s="28" t="n">
        <x:v>41</x:v>
      </x:c>
      <x:c r="M1365" s="28" t="n">
        <x:v>30</x:v>
      </x:c>
      <x:c r="N1365" s="28" t="n">
        <x:v>2.3283064365386963e-10</x:v>
      </x:c>
      <x:c r="O1365" s="28" t="n">
        <x:v>1.862645149230957e-9</x:v>
      </x:c>
      <x:c r="P1365" s="28" t="n">
        <x:v>0</x:v>
      </x:c>
      <x:c r="Q1365" s="62" t="b">
        <x:v>1</x:v>
      </x:c>
      <x:c r="R1365" s="28" t="n">
        <x:v>0</x:v>
      </x:c>
      <x:c r="S1365" s="28" t="str">
        <x:v>33e4aeb09c6f888f</x:v>
      </x:c>
    </x:row>
    <x:row r="1366" ht="21" customHeight="1">
      <x:c r="A1366" s="60" t="n">
        <x:v>0.65</x:v>
      </x:c>
      <x:c r="B1366" s="28" t="str">
        <x:v>middle_low</x:v>
      </x:c>
      <x:c r="C1366" s="60" t="n">
        <x:v>0.7</x:v>
      </x:c>
      <x:c r="D1366" s="60" t="n">
        <x:v>0.7</x:v>
      </x:c>
      <x:c r="E1366" s="62" t="b">
        <x:v>1</x:v>
      </x:c>
      <x:c r="F1366" s="62" t="b">
        <x:v>0</x:v>
      </x:c>
      <x:c r="G1366" s="85" t="n">
        <x:v>295049.52864580107</x:v>
      </x:c>
      <x:c r="H1366" s="85" t="n">
        <x:v>3673113.9172265707</x:v>
      </x:c>
      <x:c r="I1366" s="85" t="n">
        <x:v>8844171.34719923</x:v>
      </x:c>
      <x:c r="J1366" s="85" t="n">
        <x:v>13935999.999999998</x:v>
      </x:c>
      <x:c r="K1366" s="85" t="n">
        <x:v>11777.800109588843</x:v>
      </x:c>
      <x:c r="L1366" s="28" t="n">
        <x:v>42</x:v>
      </x:c>
      <x:c r="M1366" s="28" t="n">
        <x:v>32</x:v>
      </x:c>
      <x:c r="N1366" s="28" t="n">
        <x:v>4.656612873077393e-10</x:v>
      </x:c>
      <x:c r="O1366" s="28" t="n">
        <x:v>3.725290298461914e-9</x:v>
      </x:c>
      <x:c r="P1366" s="28" t="n">
        <x:v>0</x:v>
      </x:c>
      <x:c r="Q1366" s="62" t="b">
        <x:v>1</x:v>
      </x:c>
      <x:c r="R1366" s="28" t="n">
        <x:v>0</x:v>
      </x:c>
      <x:c r="S1366" s="28" t="str">
        <x:v>9d65ca6179793221</x:v>
      </x:c>
    </x:row>
    <x:row r="1367" ht="21" customHeight="1">
      <x:c r="A1367" s="60" t="n">
        <x:v>0.65</x:v>
      </x:c>
      <x:c r="B1367" s="28" t="str">
        <x:v>middle_low</x:v>
      </x:c>
      <x:c r="C1367" s="60" t="n">
        <x:v>0.75</x:v>
      </x:c>
      <x:c r="D1367" s="60" t="n">
        <x:v>0.75</x:v>
      </x:c>
      <x:c r="E1367" s="62" t="b">
        <x:v>1</x:v>
      </x:c>
      <x:c r="F1367" s="62" t="b">
        <x:v>0</x:v>
      </x:c>
      <x:c r="G1367" s="85" t="n">
        <x:v>459271.32636874606</x:v>
      </x:c>
      <x:c r="H1367" s="85" t="n">
        <x:v>5715189.813565796</x:v>
      </x:c>
      <x:c r="I1367" s="85" t="n">
        <x:v>8855632.329533422</x:v>
      </x:c>
      <x:c r="J1367" s="85" t="n">
        <x:v>13935999.999999998</x:v>
      </x:c>
      <x:c r="K1367" s="85" t="n">
        <x:v>9065.42876712315</x:v>
      </x:c>
      <x:c r="L1367" s="28" t="n">
        <x:v>42</x:v>
      </x:c>
      <x:c r="M1367" s="28" t="n">
        <x:v>34</x:v>
      </x:c>
      <x:c r="N1367" s="28" t="n">
        <x:v>2.3283064365386963e-10</x:v>
      </x:c>
      <x:c r="O1367" s="28" t="n">
        <x:v>3.725290298461914e-9</x:v>
      </x:c>
      <x:c r="P1367" s="28" t="n">
        <x:v>0</x:v>
      </x:c>
      <x:c r="Q1367" s="62" t="b">
        <x:v>1</x:v>
      </x:c>
      <x:c r="R1367" s="28" t="n">
        <x:v>0</x:v>
      </x:c>
      <x:c r="S1367" s="28" t="str">
        <x:v>9f8474e82b611c80</x:v>
      </x:c>
    </x:row>
    <x:row r="1368" ht="21" customHeight="1">
      <x:c r="A1368" s="60" t="n">
        <x:v>0.65</x:v>
      </x:c>
      <x:c r="B1368" s="28" t="str">
        <x:v>middle_low</x:v>
      </x:c>
      <x:c r="C1368" s="60" t="n">
        <x:v>0.8</x:v>
      </x:c>
      <x:c r="D1368" s="60" t="n">
        <x:v>0.8</x:v>
      </x:c>
      <x:c r="E1368" s="62" t="b">
        <x:v>1</x:v>
      </x:c>
      <x:c r="F1368" s="62" t="b">
        <x:v>0</x:v>
      </x:c>
      <x:c r="G1368" s="85" t="n">
        <x:v>640291.5096874173</x:v>
      </x:c>
      <x:c r="H1368" s="85" t="n">
        <x:v>7505238.333218714</x:v>
      </x:c>
      <x:c r="I1368" s="85" t="n">
        <x:v>9039680.156076709</x:v>
      </x:c>
      <x:c r="J1368" s="85" t="n">
        <x:v>13935999.999999998</x:v>
      </x:c>
      <x:c r="K1368" s="85" t="n">
        <x:v>6353.057424657523</x:v>
      </x:c>
      <x:c r="L1368" s="28" t="n">
        <x:v>43</x:v>
      </x:c>
      <x:c r="M1368" s="28" t="n">
        <x:v>34</x:v>
      </x:c>
      <x:c r="N1368" s="28" t="n">
        <x:v>9.313225746154785e-10</x:v>
      </x:c>
      <x:c r="O1368" s="28" t="n">
        <x:v>1.862645149230957e-9</x:v>
      </x:c>
      <x:c r="P1368" s="28" t="n">
        <x:v>0</x:v>
      </x:c>
      <x:c r="Q1368" s="62" t="b">
        <x:v>1</x:v>
      </x:c>
      <x:c r="R1368" s="28" t="n">
        <x:v>0</x:v>
      </x:c>
      <x:c r="S1368" s="28" t="str">
        <x:v>1023b087593dd9eb</x:v>
      </x:c>
    </x:row>
    <x:row r="1369" ht="21" customHeight="1">
      <x:c r="A1369" s="60" t="n">
        <x:v>0.65</x:v>
      </x:c>
      <x:c r="B1369" s="28" t="str">
        <x:v>middle_low</x:v>
      </x:c>
      <x:c r="C1369" s="60" t="n">
        <x:v>0.85</x:v>
      </x:c>
      <x:c r="D1369" s="60" t="n">
        <x:v>0.85</x:v>
      </x:c>
      <x:c r="E1369" s="62" t="b">
        <x:v>1</x:v>
      </x:c>
      <x:c r="F1369" s="62" t="b">
        <x:v>0</x:v>
      </x:c>
      <x:c r="G1369" s="85" t="n">
        <x:v>814553.2757939976</x:v>
      </x:c>
      <x:c r="H1369" s="85" t="n">
        <x:v>9476322.291163864</x:v>
      </x:c>
      <x:c r="I1369" s="85" t="n">
        <x:v>9050614.854187667</x:v>
      </x:c>
      <x:c r="J1369" s="85" t="n">
        <x:v>13935999.999999998</x:v>
      </x:c>
      <x:c r="K1369" s="85" t="n">
        <x:v>3640.6860821918926</x:v>
      </x:c>
      <x:c r="L1369" s="28" t="n">
        <x:v>43</x:v>
      </x:c>
      <x:c r="M1369" s="28" t="n">
        <x:v>36</x:v>
      </x:c>
      <x:c r="N1369" s="28" t="n">
        <x:v>4.656612873077393e-10</x:v>
      </x:c>
      <x:c r="O1369" s="28" t="n">
        <x:v>3.725290298461914e-9</x:v>
      </x:c>
      <x:c r="P1369" s="28" t="n">
        <x:v>0</x:v>
      </x:c>
      <x:c r="Q1369" s="62" t="b">
        <x:v>1</x:v>
      </x:c>
      <x:c r="R1369" s="28" t="n">
        <x:v>0</x:v>
      </x:c>
      <x:c r="S1369" s="28" t="str">
        <x:v>ae7c06883d8c6a6b</x:v>
      </x:c>
    </x:row>
    <x:row r="1370" ht="21" customHeight="1">
      <x:c r="A1370" s="60" t="n">
        <x:v>0.65</x:v>
      </x:c>
      <x:c r="B1370" s="28" t="str">
        <x:v>middle_low</x:v>
      </x:c>
      <x:c r="C1370" s="60" t="n">
        <x:v>0.9</x:v>
      </x:c>
      <x:c r="D1370" s="60" t="n">
        <x:v>0.9</x:v>
      </x:c>
      <x:c r="E1370" s="62" t="b">
        <x:v>1</x:v>
      </x:c>
      <x:c r="F1370" s="62" t="b">
        <x:v>0</x:v>
      </x:c>
      <x:c r="G1370" s="85" t="n">
        <x:v>1098928.8921822484</x:v>
      </x:c>
      <x:c r="H1370" s="85" t="n">
        <x:v>11325925.489095295</x:v>
      </x:c>
      <x:c r="I1370" s="85" t="n">
        <x:v>9061549.552298628</x:v>
      </x:c>
      <x:c r="J1370" s="85" t="n">
        <x:v>13935999.999999998</x:v>
      </x:c>
      <x:c r="K1370" s="85" t="n">
        <x:v>1026.3254794519817</x:v>
      </x:c>
      <x:c r="L1370" s="28" t="n">
        <x:v>43</x:v>
      </x:c>
      <x:c r="M1370" s="28" t="n">
        <x:v>36</x:v>
      </x:c>
      <x:c r="N1370" s="28" t="n">
        <x:v>2.3283064365386963e-10</x:v>
      </x:c>
      <x:c r="O1370" s="28" t="n">
        <x:v>3.725290298461914e-9</x:v>
      </x:c>
      <x:c r="P1370" s="28" t="n">
        <x:v>0</x:v>
      </x:c>
      <x:c r="Q1370" s="62" t="b">
        <x:v>1</x:v>
      </x:c>
      <x:c r="R1370" s="28" t="n">
        <x:v>0</x:v>
      </x:c>
      <x:c r="S1370" s="28" t="str">
        <x:v>16ee26bb2c6df4d1</x:v>
      </x:c>
    </x:row>
    <x:row r="1371" ht="21" customHeight="1">
      <x:c r="A1371" s="60" t="n">
        <x:v>0.65</x:v>
      </x:c>
      <x:c r="B1371" s="28" t="str">
        <x:v>middle_low</x:v>
      </x:c>
      <x:c r="C1371" s="60" t="n">
        <x:v>0.95</x:v>
      </x:c>
      <x:c r="D1371" s="60" t="n">
        <x:v>0.9270639118581285</x:v>
      </x:c>
      <x:c r="E1371" s="62" t="b">
        <x:v>0</x:v>
      </x:c>
      <x:c r="F1371" s="62" t="b">
        <x:v>0</x:v>
      </x:c>
      <x:c r="G1371" s="85" t="n">
        <x:v>1372407.218914685</x:v>
      </x:c>
      <x:c r="H1371" s="85" t="n">
        <x:v>12033165.219050663</x:v>
      </x:c>
      <x:c r="I1371" s="85" t="n">
        <x:v>9230469.142356163</x:v>
      </x:c>
      <x:c r="J1371" s="85" t="n">
        <x:v>13935999.999999998</x:v>
      </x:c>
      <x:c r="K1371" s="85" t="n">
        <x:v>101.67780821928318</x:v>
      </x:c>
      <x:c r="L1371" s="28" t="n">
        <x:v>44</x:v>
      </x:c>
      <x:c r="M1371" s="28" t="n">
        <x:v>37</x:v>
      </x:c>
      <x:c r="N1371" s="28" t="n">
        <x:v>2.3283064365386963e-10</x:v>
      </x:c>
      <x:c r="O1371" s="28" t="n">
        <x:v>3.725290298461914e-9</x:v>
      </x:c>
      <x:c r="P1371" s="28" t="n">
        <x:v>0</x:v>
      </x:c>
      <x:c r="Q1371" s="62" t="b">
        <x:v>1</x:v>
      </x:c>
      <x:c r="R1371" s="28" t="n">
        <x:v>1278549.2973804846</x:v>
      </x:c>
      <x:c r="S1371" s="28" t="str">
        <x:v>4f761762159cb077</x:v>
      </x:c>
    </x:row>
    <x:row r="1372" ht="21" customHeight="1">
      <x:c r="A1372" s="60" t="n">
        <x:v>0.65</x:v>
      </x:c>
      <x:c r="B1372" s="28" t="str">
        <x:v>middle_low</x:v>
      </x:c>
      <x:c r="C1372" s="60" t="n">
        <x:v>1</x:v>
      </x:c>
      <x:c r="D1372" s="60" t="n">
        <x:v>0.9427455891708479</x:v>
      </x:c>
      <x:c r="E1372" s="62" t="b">
        <x:v>0</x:v>
      </x:c>
      <x:c r="F1372" s="62" t="b">
        <x:v>0</x:v>
      </x:c>
      <x:c r="G1372" s="85" t="n">
        <x:v>1508012.371019411</x:v>
      </x:c>
      <x:c r="H1372" s="85" t="n">
        <x:v>12689317.274640596</x:v>
      </x:c>
      <x:c r="I1372" s="85" t="n">
        <x:v>9236709.343561642</x:v>
      </x:c>
      <x:c r="J1372" s="85" t="n">
        <x:v>13935999.999999998</x:v>
      </x:c>
      <x:c r="K1372" s="85" t="n">
        <x:v>0</x:v>
      </x:c>
      <x:c r="L1372" s="28" t="n">
        <x:v>44</x:v>
      </x:c>
      <x:c r="M1372" s="28" t="n">
        <x:v>38</x:v>
      </x:c>
      <x:c r="N1372" s="28" t="n">
        <x:v>2.3283064365386963e-10</x:v>
      </x:c>
      <x:c r="O1372" s="28" t="n">
        <x:v>9.313225746154785e-10</x:v>
      </x:c>
      <x:c r="P1372" s="28" t="n">
        <x:v>0</x:v>
      </x:c>
      <x:c r="Q1372" s="62" t="b">
        <x:v>1</x:v>
      </x:c>
      <x:c r="R1372" s="28" t="n">
        <x:v>3191589.877260253</x:v>
      </x:c>
      <x:c r="S1372" s="28" t="str">
        <x:v>b7d40f148d365030</x:v>
      </x:c>
    </x:row>
    <x:row r="1373" ht="21" customHeight="1">
      <x:c r="A1373" s="60" t="n">
        <x:v>0.65</x:v>
      </x:c>
      <x:c r="B1373" s="28" t="str">
        <x:v>middle_high</x:v>
      </x:c>
      <x:c r="C1373" s="60" t="n">
        <x:v>0</x:v>
      </x:c>
      <x:c r="D1373" s="60" t="n">
        <x:v>0</x:v>
      </x:c>
      <x:c r="E1373" s="62" t="b">
        <x:v>1</x:v>
      </x:c>
      <x:c r="F1373" s="62" t="b">
        <x:v>1</x:v>
      </x:c>
      <x:c r="G1373" s="85" t="n">
        <x:v>0</x:v>
      </x:c>
      <x:c r="H1373" s="85" t="n">
        <x:v>0</x:v>
      </x:c>
      <x:c r="I1373" s="85" t="n">
        <x:v>0</x:v>
      </x:c>
      <x:c r="J1373" s="85" t="n">
        <x:v>0</x:v>
      </x:c>
      <x:c r="K1373" s="85" t="n">
        <x:v>7124228.567671235</x:v>
      </x:c>
      <x:c r="L1373" s="28" t="n">
        <x:v>0</x:v>
      </x:c>
      <x:c r="M1373" s="28" t="n">
        <x:v>0</x:v>
      </x:c>
      <x:c r="N1373" s="28" t="n">
        <x:v>9.313225746154785e-10</x:v>
      </x:c>
      <x:c r="O1373" s="28" t="n">
        <x:v>0</x:v>
      </x:c>
      <x:c r="P1373" s="28" t="n">
        <x:v>0</x:v>
      </x:c>
      <x:c r="Q1373" s="62" t="b">
        <x:v>1</x:v>
      </x:c>
      <x:c r="R1373" s="28" t="n">
        <x:v>0</x:v>
      </x:c>
      <x:c r="S1373" s="28" t="str">
        <x:v>b8095e103ccdc4ca</x:v>
      </x:c>
    </x:row>
    <x:row r="1374" ht="21" customHeight="1">
      <x:c r="A1374" s="60" t="n">
        <x:v>0.65</x:v>
      </x:c>
      <x:c r="B1374" s="28" t="str">
        <x:v>middle_high</x:v>
      </x:c>
      <x:c r="C1374" s="60" t="n">
        <x:v>0.05</x:v>
      </x:c>
      <x:c r="D1374" s="60" t="n">
        <x:v>0.05</x:v>
      </x:c>
      <x:c r="E1374" s="62" t="b">
        <x:v>1</x:v>
      </x:c>
      <x:c r="F1374" s="62" t="b">
        <x:v>1</x:v>
      </x:c>
      <x:c r="G1374" s="85" t="n">
        <x:v>0</x:v>
      </x:c>
      <x:c r="H1374" s="85" t="n">
        <x:v>0</x:v>
      </x:c>
      <x:c r="I1374" s="85" t="n">
        <x:v>0</x:v>
      </x:c>
      <x:c r="J1374" s="85" t="n">
        <x:v>0</x:v>
      </x:c>
      <x:c r="K1374" s="85" t="n">
        <x:v>4616144.350571878</x:v>
      </x:c>
      <x:c r="L1374" s="28" t="n">
        <x:v>0</x:v>
      </x:c>
      <x:c r="M1374" s="28" t="n">
        <x:v>0</x:v>
      </x:c>
      <x:c r="N1374" s="28" t="n">
        <x:v>9.313225746154785e-10</x:v>
      </x:c>
      <x:c r="O1374" s="28" t="n">
        <x:v>7.450580596923828e-9</x:v>
      </x:c>
      <x:c r="P1374" s="28" t="n">
        <x:v>0</x:v>
      </x:c>
      <x:c r="Q1374" s="62" t="b">
        <x:v>1</x:v>
      </x:c>
      <x:c r="R1374" s="28" t="n">
        <x:v>0</x:v>
      </x:c>
      <x:c r="S1374" s="28" t="str">
        <x:v>69337dfd3e0bdcc4</x:v>
      </x:c>
    </x:row>
    <x:row r="1375" ht="21" customHeight="1">
      <x:c r="A1375" s="60" t="n">
        <x:v>0.65</x:v>
      </x:c>
      <x:c r="B1375" s="28" t="str">
        <x:v>middle_high</x:v>
      </x:c>
      <x:c r="C1375" s="60" t="n">
        <x:v>0.1</x:v>
      </x:c>
      <x:c r="D1375" s="60" t="n">
        <x:v>0.1</x:v>
      </x:c>
      <x:c r="E1375" s="62" t="b">
        <x:v>1</x:v>
      </x:c>
      <x:c r="F1375" s="62" t="b">
        <x:v>1</x:v>
      </x:c>
      <x:c r="G1375" s="85" t="n">
        <x:v>0</x:v>
      </x:c>
      <x:c r="H1375" s="85" t="n">
        <x:v>0</x:v>
      </x:c>
      <x:c r="I1375" s="85" t="n">
        <x:v>0</x:v>
      </x:c>
      <x:c r="J1375" s="85" t="n">
        <x:v>0</x:v>
      </x:c>
      <x:c r="K1375" s="85" t="n">
        <x:v>2112907.0600034506</x:v>
      </x:c>
      <x:c r="L1375" s="28" t="n">
        <x:v>0</x:v>
      </x:c>
      <x:c r="M1375" s="28" t="n">
        <x:v>0</x:v>
      </x:c>
      <x:c r="N1375" s="28" t="n">
        <x:v>4.656612873077393e-10</x:v>
      </x:c>
      <x:c r="O1375" s="28" t="n">
        <x:v>7.450580596923828e-9</x:v>
      </x:c>
      <x:c r="P1375" s="28" t="n">
        <x:v>0</x:v>
      </x:c>
      <x:c r="Q1375" s="62" t="b">
        <x:v>1</x:v>
      </x:c>
      <x:c r="R1375" s="28" t="n">
        <x:v>0</x:v>
      </x:c>
      <x:c r="S1375" s="28" t="str">
        <x:v>f0bc84f02371e76b</x:v>
      </x:c>
    </x:row>
    <x:row r="1376" ht="21" customHeight="1">
      <x:c r="A1376" s="60" t="n">
        <x:v>0.65</x:v>
      </x:c>
      <x:c r="B1376" s="28" t="str">
        <x:v>middle_high</x:v>
      </x:c>
      <x:c r="C1376" s="60" t="n">
        <x:v>0.15</x:v>
      </x:c>
      <x:c r="D1376" s="60" t="n">
        <x:v>0.15</x:v>
      </x:c>
      <x:c r="E1376" s="62" t="b">
        <x:v>1</x:v>
      </x:c>
      <x:c r="F1376" s="62" t="b">
        <x:v>1</x:v>
      </x:c>
      <x:c r="G1376" s="85" t="n">
        <x:v>0</x:v>
      </x:c>
      <x:c r="H1376" s="85" t="n">
        <x:v>0</x:v>
      </x:c>
      <x:c r="I1376" s="85" t="n">
        <x:v>792193.7667207667</x:v>
      </x:c>
      <x:c r="J1376" s="85" t="n">
        <x:v>0</x:v>
      </x:c>
      <x:c r="K1376" s="85" t="n">
        <x:v>486233.6217038075</x:v>
      </x:c>
      <x:c r="L1376" s="28" t="n">
        <x:v>0</x:v>
      </x:c>
      <x:c r="M1376" s="28" t="n">
        <x:v>0</x:v>
      </x:c>
      <x:c r="N1376" s="28" t="n">
        <x:v>9.313225746154785e-10</x:v>
      </x:c>
      <x:c r="O1376" s="28" t="n">
        <x:v>7.450580596923828e-9</x:v>
      </x:c>
      <x:c r="P1376" s="28" t="n">
        <x:v>0</x:v>
      </x:c>
      <x:c r="Q1376" s="62" t="b">
        <x:v>1</x:v>
      </x:c>
      <x:c r="R1376" s="28" t="n">
        <x:v>0</x:v>
      </x:c>
      <x:c r="S1376" s="28" t="str">
        <x:v>d4ed464d5b2d8ed4</x:v>
      </x:c>
    </x:row>
    <x:row r="1377" ht="21" customHeight="1">
      <x:c r="A1377" s="60" t="n">
        <x:v>0.65</x:v>
      </x:c>
      <x:c r="B1377" s="28" t="str">
        <x:v>middle_high</x:v>
      </x:c>
      <x:c r="C1377" s="60" t="n">
        <x:v>0.2</x:v>
      </x:c>
      <x:c r="D1377" s="60" t="n">
        <x:v>0.2</x:v>
      </x:c>
      <x:c r="E1377" s="62" t="b">
        <x:v>1</x:v>
      </x:c>
      <x:c r="F1377" s="62" t="b">
        <x:v>1</x:v>
      </x:c>
      <x:c r="G1377" s="85" t="n">
        <x:v>0</x:v>
      </x:c>
      <x:c r="H1377" s="85" t="n">
        <x:v>0</x:v>
      </x:c>
      <x:c r="I1377" s="85" t="n">
        <x:v>2702403.577725338</x:v>
      </x:c>
      <x:c r="J1377" s="85" t="n">
        <x:v>1253157.2790409003</x:v>
      </x:c>
      <x:c r="K1377" s="85" t="n">
        <x:v>381704.73661227396</x:v>
      </x:c>
      <x:c r="L1377" s="28" t="n">
        <x:v>0</x:v>
      </x:c>
      <x:c r="M1377" s="28" t="n">
        <x:v>0</x:v>
      </x:c>
      <x:c r="N1377" s="28" t="n">
        <x:v>4.656612873077393e-10</x:v>
      </x:c>
      <x:c r="O1377" s="28" t="n">
        <x:v>7.450580596923828e-9</x:v>
      </x:c>
      <x:c r="P1377" s="28" t="n">
        <x:v>0</x:v>
      </x:c>
      <x:c r="Q1377" s="62" t="b">
        <x:v>1</x:v>
      </x:c>
      <x:c r="R1377" s="28" t="n">
        <x:v>0</x:v>
      </x:c>
      <x:c r="S1377" s="28" t="str">
        <x:v>859ff286299ce64f</x:v>
      </x:c>
    </x:row>
    <x:row r="1378" ht="21" customHeight="1">
      <x:c r="A1378" s="60" t="n">
        <x:v>0.65</x:v>
      </x:c>
      <x:c r="B1378" s="28" t="str">
        <x:v>middle_high</x:v>
      </x:c>
      <x:c r="C1378" s="60" t="n">
        <x:v>0.25</x:v>
      </x:c>
      <x:c r="D1378" s="60" t="n">
        <x:v>0.25</x:v>
      </x:c>
      <x:c r="E1378" s="62" t="b">
        <x:v>1</x:v>
      </x:c>
      <x:c r="F1378" s="62" t="b">
        <x:v>1</x:v>
      </x:c>
      <x:c r="G1378" s="85" t="n">
        <x:v>0</x:v>
      </x:c>
      <x:c r="H1378" s="85" t="n">
        <x:v>0</x:v>
      </x:c>
      <x:c r="I1378" s="85" t="n">
        <x:v>4384615.194384863</x:v>
      </x:c>
      <x:c r="J1378" s="85" t="n">
        <x:v>2960046.598801145</x:v>
      </x:c>
      <x:c r="K1378" s="85" t="n">
        <x:v>297061.1924064375</x:v>
      </x:c>
      <x:c r="L1378" s="28" t="n">
        <x:v>0</x:v>
      </x:c>
      <x:c r="M1378" s="28" t="n">
        <x:v>0</x:v>
      </x:c>
      <x:c r="N1378" s="28" t="n">
        <x:v>4.656612873077393e-10</x:v>
      </x:c>
      <x:c r="O1378" s="28" t="n">
        <x:v>7.450580596923828e-9</x:v>
      </x:c>
      <x:c r="P1378" s="28" t="n">
        <x:v>0</x:v>
      </x:c>
      <x:c r="Q1378" s="62" t="b">
        <x:v>1</x:v>
      </x:c>
      <x:c r="R1378" s="28" t="n">
        <x:v>0</x:v>
      </x:c>
      <x:c r="S1378" s="28" t="str">
        <x:v>b52dbf03e360f9e6</x:v>
      </x:c>
    </x:row>
    <x:row r="1379" ht="21" customHeight="1">
      <x:c r="A1379" s="60" t="n">
        <x:v>0.65</x:v>
      </x:c>
      <x:c r="B1379" s="28" t="str">
        <x:v>middle_high</x:v>
      </x:c>
      <x:c r="C1379" s="60" t="n">
        <x:v>0.3</x:v>
      </x:c>
      <x:c r="D1379" s="60" t="n">
        <x:v>0.3</x:v>
      </x:c>
      <x:c r="E1379" s="62" t="b">
        <x:v>1</x:v>
      </x:c>
      <x:c r="F1379" s="62" t="b">
        <x:v>1</x:v>
      </x:c>
      <x:c r="G1379" s="85" t="n">
        <x:v>0</x:v>
      </x:c>
      <x:c r="H1379" s="85" t="n">
        <x:v>0</x:v>
      </x:c>
      <x:c r="I1379" s="85" t="n">
        <x:v>6072767.735245575</x:v>
      </x:c>
      <x:c r="J1379" s="85" t="n">
        <x:v>4666935.918561366</x:v>
      </x:c>
      <x:c r="K1379" s="85" t="n">
        <x:v>244894.84228498637</x:v>
      </x:c>
      <x:c r="L1379" s="28" t="n">
        <x:v>0</x:v>
      </x:c>
      <x:c r="M1379" s="28" t="n">
        <x:v>0</x:v>
      </x:c>
      <x:c r="N1379" s="28" t="n">
        <x:v>9.313225746154785e-10</x:v>
      </x:c>
      <x:c r="O1379" s="28" t="n">
        <x:v>7.450580596923828e-9</x:v>
      </x:c>
      <x:c r="P1379" s="28" t="n">
        <x:v>0</x:v>
      </x:c>
      <x:c r="Q1379" s="62" t="b">
        <x:v>1</x:v>
      </x:c>
      <x:c r="R1379" s="28" t="n">
        <x:v>0</x:v>
      </x:c>
      <x:c r="S1379" s="28" t="str">
        <x:v>9237a35073279c7a</x:v>
      </x:c>
    </x:row>
    <x:row r="1380" ht="21" customHeight="1">
      <x:c r="A1380" s="60" t="n">
        <x:v>0.65</x:v>
      </x:c>
      <x:c r="B1380" s="28" t="str">
        <x:v>middle_high</x:v>
      </x:c>
      <x:c r="C1380" s="60" t="n">
        <x:v>0.35</x:v>
      </x:c>
      <x:c r="D1380" s="60" t="n">
        <x:v>0.35</x:v>
      </x:c>
      <x:c r="E1380" s="62" t="b">
        <x:v>1</x:v>
      </x:c>
      <x:c r="F1380" s="62" t="b">
        <x:v>1</x:v>
      </x:c>
      <x:c r="G1380" s="85" t="n">
        <x:v>0</x:v>
      </x:c>
      <x:c r="H1380" s="85" t="n">
        <x:v>0</x:v>
      </x:c>
      <x:c r="I1380" s="85" t="n">
        <x:v>7787325.653494295</x:v>
      </x:c>
      <x:c r="J1380" s="85" t="n">
        <x:v>6373825.238321626</x:v>
      </x:c>
      <x:c r="K1380" s="85" t="n">
        <x:v>204574.51150684993</x:v>
      </x:c>
      <x:c r="L1380" s="28" t="n">
        <x:v>0</x:v>
      </x:c>
      <x:c r="M1380" s="28" t="n">
        <x:v>0</x:v>
      </x:c>
      <x:c r="N1380" s="28" t="n">
        <x:v>9.313225746154785e-10</x:v>
      </x:c>
      <x:c r="O1380" s="28" t="n">
        <x:v>7.450580596923828e-9</x:v>
      </x:c>
      <x:c r="P1380" s="28" t="n">
        <x:v>0</x:v>
      </x:c>
      <x:c r="Q1380" s="62" t="b">
        <x:v>1</x:v>
      </x:c>
      <x:c r="R1380" s="28" t="n">
        <x:v>0</x:v>
      </x:c>
      <x:c r="S1380" s="28" t="str">
        <x:v>367a22929db3715a</x:v>
      </x:c>
    </x:row>
    <x:row r="1381" ht="21" customHeight="1">
      <x:c r="A1381" s="60" t="n">
        <x:v>0.65</x:v>
      </x:c>
      <x:c r="B1381" s="28" t="str">
        <x:v>middle_high</x:v>
      </x:c>
      <x:c r="C1381" s="60" t="n">
        <x:v>0.4</x:v>
      </x:c>
      <x:c r="D1381" s="60" t="n">
        <x:v>0.4</x:v>
      </x:c>
      <x:c r="E1381" s="62" t="b">
        <x:v>1</x:v>
      </x:c>
      <x:c r="F1381" s="62" t="b">
        <x:v>1</x:v>
      </x:c>
      <x:c r="G1381" s="85" t="n">
        <x:v>0</x:v>
      </x:c>
      <x:c r="H1381" s="85" t="n">
        <x:v>0</x:v>
      </x:c>
      <x:c r="I1381" s="85" t="n">
        <x:v>9568158.740669452</x:v>
      </x:c>
      <x:c r="J1381" s="85" t="n">
        <x:v>7723334.296837257</x:v>
      </x:c>
      <x:c r="K1381" s="85" t="n">
        <x:v>180618.2131506838</x:v>
      </x:c>
      <x:c r="L1381" s="28" t="n">
        <x:v>2</x:v>
      </x:c>
      <x:c r="M1381" s="28" t="n">
        <x:v>0</x:v>
      </x:c>
      <x:c r="N1381" s="28" t="n">
        <x:v>4.656612873077393e-10</x:v>
      </x:c>
      <x:c r="O1381" s="28" t="n">
        <x:v>3.725290298461914e-9</x:v>
      </x:c>
      <x:c r="P1381" s="28" t="n">
        <x:v>0</x:v>
      </x:c>
      <x:c r="Q1381" s="62" t="b">
        <x:v>1</x:v>
      </x:c>
      <x:c r="R1381" s="28" t="n">
        <x:v>0</x:v>
      </x:c>
      <x:c r="S1381" s="28" t="str">
        <x:v>c1f10b557c388a09</x:v>
      </x:c>
    </x:row>
    <x:row r="1382" ht="21" customHeight="1">
      <x:c r="A1382" s="60" t="n">
        <x:v>0.65</x:v>
      </x:c>
      <x:c r="B1382" s="28" t="str">
        <x:v>middle_high</x:v>
      </x:c>
      <x:c r="C1382" s="60" t="n">
        <x:v>0.45</x:v>
      </x:c>
      <x:c r="D1382" s="60" t="n">
        <x:v>0.45</x:v>
      </x:c>
      <x:c r="E1382" s="62" t="b">
        <x:v>1</x:v>
      </x:c>
      <x:c r="F1382" s="62" t="b">
        <x:v>1</x:v>
      </x:c>
      <x:c r="G1382" s="85" t="n">
        <x:v>0</x:v>
      </x:c>
      <x:c r="H1382" s="85" t="n">
        <x:v>0</x:v>
      </x:c>
      <x:c r="I1382" s="85" t="n">
        <x:v>11447532.066580493</x:v>
      </x:c>
      <x:c r="J1382" s="85" t="n">
        <x:v>8395881.76939822</x:v>
      </x:c>
      <x:c r="K1382" s="85" t="n">
        <x:v>156661.91479452112</x:v>
      </x:c>
      <x:c r="L1382" s="28" t="n">
        <x:v>8</x:v>
      </x:c>
      <x:c r="M1382" s="28" t="n">
        <x:v>0</x:v>
      </x:c>
      <x:c r="N1382" s="28" t="n">
        <x:v>9.313225746154785e-10</x:v>
      </x:c>
      <x:c r="O1382" s="28" t="n">
        <x:v>1.862645149230957e-9</x:v>
      </x:c>
      <x:c r="P1382" s="28" t="n">
        <x:v>0</x:v>
      </x:c>
      <x:c r="Q1382" s="62" t="b">
        <x:v>1</x:v>
      </x:c>
      <x:c r="R1382" s="28" t="n">
        <x:v>0</x:v>
      </x:c>
      <x:c r="S1382" s="28" t="str">
        <x:v>74952ed4ea24f525</x:v>
      </x:c>
    </x:row>
    <x:row r="1383" ht="21" customHeight="1">
      <x:c r="A1383" s="60" t="n">
        <x:v>0.65</x:v>
      </x:c>
      <x:c r="B1383" s="28" t="str">
        <x:v>middle_high</x:v>
      </x:c>
      <x:c r="C1383" s="60" t="n">
        <x:v>0.5</x:v>
      </x:c>
      <x:c r="D1383" s="60" t="n">
        <x:v>0.5</x:v>
      </x:c>
      <x:c r="E1383" s="62" t="b">
        <x:v>1</x:v>
      </x:c>
      <x:c r="F1383" s="62" t="b">
        <x:v>1</x:v>
      </x:c>
      <x:c r="G1383" s="85" t="n">
        <x:v>0</x:v>
      </x:c>
      <x:c r="H1383" s="85" t="n">
        <x:v>0</x:v>
      </x:c>
      <x:c r="I1383" s="85" t="n">
        <x:v>13186282.373739999</x:v>
      </x:c>
      <x:c r="J1383" s="85" t="n">
        <x:v>9979051.41061186</x:v>
      </x:c>
      <x:c r="K1383" s="85" t="n">
        <x:v>132705.61643835614</x:v>
      </x:c>
      <x:c r="L1383" s="28" t="n">
        <x:v>11</x:v>
      </x:c>
      <x:c r="M1383" s="28" t="n">
        <x:v>0</x:v>
      </x:c>
      <x:c r="N1383" s="28" t="n">
        <x:v>9.313225746154785e-10</x:v>
      </x:c>
      <x:c r="O1383" s="28" t="n">
        <x:v>7.450580596923828e-9</x:v>
      </x:c>
      <x:c r="P1383" s="28" t="n">
        <x:v>0</x:v>
      </x:c>
      <x:c r="Q1383" s="62" t="b">
        <x:v>1</x:v>
      </x:c>
      <x:c r="R1383" s="28" t="n">
        <x:v>0</x:v>
      </x:c>
      <x:c r="S1383" s="28" t="str">
        <x:v>672d92466ef0e359</x:v>
      </x:c>
    </x:row>
    <x:row r="1384" ht="21" customHeight="1">
      <x:c r="A1384" s="60" t="n">
        <x:v>0.65</x:v>
      </x:c>
      <x:c r="B1384" s="28" t="str">
        <x:v>middle_high</x:v>
      </x:c>
      <x:c r="C1384" s="60" t="n">
        <x:v>0.55</x:v>
      </x:c>
      <x:c r="D1384" s="60" t="n">
        <x:v>0.55</x:v>
      </x:c>
      <x:c r="E1384" s="62" t="b">
        <x:v>1</x:v>
      </x:c>
      <x:c r="F1384" s="62" t="b">
        <x:v>1</x:v>
      </x:c>
      <x:c r="G1384" s="85" t="n">
        <x:v>0</x:v>
      </x:c>
      <x:c r="H1384" s="85" t="n">
        <x:v>0</x:v>
      </x:c>
      <x:c r="I1384" s="85" t="n">
        <x:v>14889360.447093973</x:v>
      </x:c>
      <x:c r="J1384" s="85" t="n">
        <x:v>11705175.573862968</x:v>
      </x:c>
      <x:c r="K1384" s="85" t="n">
        <x:v>113151.68695890393</x:v>
      </x:c>
      <x:c r="L1384" s="28" t="n">
        <x:v>15</x:v>
      </x:c>
      <x:c r="M1384" s="28" t="n">
        <x:v>7</x:v>
      </x:c>
      <x:c r="N1384" s="28" t="n">
        <x:v>4.656612873077393e-10</x:v>
      </x:c>
      <x:c r="O1384" s="28" t="n">
        <x:v>7.450580596923828e-9</x:v>
      </x:c>
      <x:c r="P1384" s="28" t="n">
        <x:v>0</x:v>
      </x:c>
      <x:c r="Q1384" s="62" t="b">
        <x:v>1</x:v>
      </x:c>
      <x:c r="R1384" s="28" t="n">
        <x:v>0</x:v>
      </x:c>
      <x:c r="S1384" s="28" t="str">
        <x:v>0226d9f482eb15be</x:v>
      </x:c>
    </x:row>
    <x:row r="1385" ht="21" customHeight="1">
      <x:c r="A1385" s="60" t="n">
        <x:v>0.65</x:v>
      </x:c>
      <x:c r="B1385" s="28" t="str">
        <x:v>middle_high</x:v>
      </x:c>
      <x:c r="C1385" s="60" t="n">
        <x:v>0.6</x:v>
      </x:c>
      <x:c r="D1385" s="60" t="n">
        <x:v>0.6</x:v>
      </x:c>
      <x:c r="E1385" s="62" t="b">
        <x:v>1</x:v>
      </x:c>
      <x:c r="F1385" s="62" t="b">
        <x:v>1</x:v>
      </x:c>
      <x:c r="G1385" s="85" t="n">
        <x:v>0</x:v>
      </x:c>
      <x:c r="H1385" s="85" t="n">
        <x:v>0</x:v>
      </x:c>
      <x:c r="I1385" s="85" t="n">
        <x:v>16507836.495548509</x:v>
      </x:c>
      <x:c r="J1385" s="85" t="n">
        <x:v>13625388.827112185</x:v>
      </x:c>
      <x:c r="K1385" s="85" t="n">
        <x:v>98782.62542465763</x:v>
      </x:c>
      <x:c r="L1385" s="28" t="n">
        <x:v>21</x:v>
      </x:c>
      <x:c r="M1385" s="28" t="n">
        <x:v>16</x:v>
      </x:c>
      <x:c r="N1385" s="28" t="n">
        <x:v>4.656612873077393e-10</x:v>
      </x:c>
      <x:c r="O1385" s="28" t="n">
        <x:v>3.725290298461914e-9</x:v>
      </x:c>
      <x:c r="P1385" s="28" t="n">
        <x:v>0</x:v>
      </x:c>
      <x:c r="Q1385" s="62" t="b">
        <x:v>1</x:v>
      </x:c>
      <x:c r="R1385" s="28" t="n">
        <x:v>0</x:v>
      </x:c>
      <x:c r="S1385" s="28" t="str">
        <x:v>bb7de712a827939f</x:v>
      </x:c>
    </x:row>
    <x:row r="1386" ht="21" customHeight="1">
      <x:c r="A1386" s="60" t="n">
        <x:v>0.65</x:v>
      </x:c>
      <x:c r="B1386" s="28" t="str">
        <x:v>middle_high</x:v>
      </x:c>
      <x:c r="C1386" s="60" t="n">
        <x:v>0.65</x:v>
      </x:c>
      <x:c r="D1386" s="60" t="n">
        <x:v>0.65</x:v>
      </x:c>
      <x:c r="E1386" s="62" t="b">
        <x:v>1</x:v>
      </x:c>
      <x:c r="F1386" s="62" t="b">
        <x:v>0</x:v>
      </x:c>
      <x:c r="G1386" s="85" t="n">
        <x:v>786959.743516676</x:v>
      </x:c>
      <x:c r="H1386" s="85" t="n">
        <x:v>2531678.1314908755</x:v>
      </x:c>
      <x:c r="I1386" s="85" t="n">
        <x:v>16717674.976313004</x:v>
      </x:c>
      <x:c r="J1386" s="85" t="n">
        <x:v>13935999.999999998</x:v>
      </x:c>
      <x:c r="K1386" s="85" t="n">
        <x:v>90611.70723287639</x:v>
      </x:c>
      <x:c r="L1386" s="28" t="n">
        <x:v>41</x:v>
      </x:c>
      <x:c r="M1386" s="28" t="n">
        <x:v>37</x:v>
      </x:c>
      <x:c r="N1386" s="28" t="n">
        <x:v>4.656612873077393e-10</x:v>
      </x:c>
      <x:c r="O1386" s="28" t="n">
        <x:v>1.862645149230957e-9</x:v>
      </x:c>
      <x:c r="P1386" s="28" t="n">
        <x:v>0</x:v>
      </x:c>
      <x:c r="Q1386" s="62" t="b">
        <x:v>1</x:v>
      </x:c>
      <x:c r="R1386" s="28" t="n">
        <x:v>0</x:v>
      </x:c>
      <x:c r="S1386" s="28" t="str">
        <x:v>13bbf67fe16c149d</x:v>
      </x:c>
    </x:row>
    <x:row r="1387" ht="21" customHeight="1">
      <x:c r="A1387" s="60" t="n">
        <x:v>0.65</x:v>
      </x:c>
      <x:c r="B1387" s="28" t="str">
        <x:v>middle_high</x:v>
      </x:c>
      <x:c r="C1387" s="60" t="n">
        <x:v>0.7</x:v>
      </x:c>
      <x:c r="D1387" s="60" t="n">
        <x:v>0.7</x:v>
      </x:c>
      <x:c r="E1387" s="62" t="b">
        <x:v>1</x:v>
      </x:c>
      <x:c r="F1387" s="62" t="b">
        <x:v>0</x:v>
      </x:c>
      <x:c r="G1387" s="85" t="n">
        <x:v>1587688.9437379004</x:v>
      </x:c>
      <x:c r="H1387" s="85" t="n">
        <x:v>4794407.122600709</x:v>
      </x:c>
      <x:c r="I1387" s="85" t="n">
        <x:v>17030078.087059222</x:v>
      </x:c>
      <x:c r="J1387" s="85" t="n">
        <x:v>13935999.999999998</x:v>
      </x:c>
      <x:c r="K1387" s="85" t="n">
        <x:v>83381.4978630132</x:v>
      </x:c>
      <x:c r="L1387" s="28" t="n">
        <x:v>42</x:v>
      </x:c>
      <x:c r="M1387" s="28" t="n">
        <x:v>38</x:v>
      </x:c>
      <x:c r="N1387" s="28" t="n">
        <x:v>4.656612873077393e-10</x:v>
      </x:c>
      <x:c r="O1387" s="28" t="n">
        <x:v>3.725290298461914e-9</x:v>
      </x:c>
      <x:c r="P1387" s="28" t="n">
        <x:v>0</x:v>
      </x:c>
      <x:c r="Q1387" s="62" t="b">
        <x:v>1</x:v>
      </x:c>
      <x:c r="R1387" s="28" t="n">
        <x:v>0</x:v>
      </x:c>
      <x:c r="S1387" s="28" t="str">
        <x:v>431663d2091b7698</x:v>
      </x:c>
    </x:row>
    <x:row r="1388" ht="21" customHeight="1">
      <x:c r="A1388" s="60" t="n">
        <x:v>0.65</x:v>
      </x:c>
      <x:c r="B1388" s="28" t="str">
        <x:v>middle_high</x:v>
      </x:c>
      <x:c r="C1388" s="60" t="n">
        <x:v>0.75</x:v>
      </x:c>
      <x:c r="D1388" s="60" t="n">
        <x:v>0.75</x:v>
      </x:c>
      <x:c r="E1388" s="62" t="b">
        <x:v>1</x:v>
      </x:c>
      <x:c r="F1388" s="62" t="b">
        <x:v>0</x:v>
      </x:c>
      <x:c r="G1388" s="85" t="n">
        <x:v>2547312.5200148546</x:v>
      </x:c>
      <x:c r="H1388" s="85" t="n">
        <x:v>7405586.503478738</x:v>
      </x:c>
      <x:c r="I1388" s="85" t="n">
        <x:v>17069059.89532862</x:v>
      </x:c>
      <x:c r="J1388" s="85" t="n">
        <x:v>13935999.999999998</x:v>
      </x:c>
      <x:c r="K1388" s="85" t="n">
        <x:v>76151.2884931509</x:v>
      </x:c>
      <x:c r="L1388" s="28" t="n">
        <x:v>42</x:v>
      </x:c>
      <x:c r="M1388" s="28" t="n">
        <x:v>38</x:v>
      </x:c>
      <x:c r="N1388" s="28" t="n">
        <x:v>2.3283064365386963e-10</x:v>
      </x:c>
      <x:c r="O1388" s="28" t="n">
        <x:v>3.725290298461914e-9</x:v>
      </x:c>
      <x:c r="P1388" s="28" t="n">
        <x:v>0</x:v>
      </x:c>
      <x:c r="Q1388" s="62" t="b">
        <x:v>1</x:v>
      </x:c>
      <x:c r="R1388" s="28" t="n">
        <x:v>0</x:v>
      </x:c>
      <x:c r="S1388" s="28" t="str">
        <x:v>6b7044efb51c262c</x:v>
      </x:c>
    </x:row>
    <x:row r="1389" ht="21" customHeight="1">
      <x:c r="A1389" s="60" t="n">
        <x:v>0.65</x:v>
      </x:c>
      <x:c r="B1389" s="28" t="str">
        <x:v>middle_high</x:v>
      </x:c>
      <x:c r="C1389" s="60" t="n">
        <x:v>0.8</x:v>
      </x:c>
      <x:c r="D1389" s="60" t="n">
        <x:v>0.8</x:v>
      </x:c>
      <x:c r="E1389" s="62" t="b">
        <x:v>1</x:v>
      </x:c>
      <x:c r="F1389" s="62" t="b">
        <x:v>0</x:v>
      </x:c>
      <x:c r="G1389" s="85" t="n">
        <x:v>3421847.3858887386</x:v>
      </x:c>
      <x:c r="H1389" s="85" t="n">
        <x:v>9436871.023403771</x:v>
      </x:c>
      <x:c r="I1389" s="85" t="n">
        <x:v>17383922.488515057</x:v>
      </x:c>
      <x:c r="J1389" s="85" t="n">
        <x:v>13935999.999999998</x:v>
      </x:c>
      <x:c r="K1389" s="85" t="n">
        <x:v>68921.07912328748</x:v>
      </x:c>
      <x:c r="L1389" s="28" t="n">
        <x:v>43</x:v>
      </x:c>
      <x:c r="M1389" s="28" t="n">
        <x:v>39</x:v>
      </x:c>
      <x:c r="N1389" s="28" t="n">
        <x:v>4.656612873077393e-10</x:v>
      </x:c>
      <x:c r="O1389" s="28" t="n">
        <x:v>1.862645149230957e-9</x:v>
      </x:c>
      <x:c r="P1389" s="28" t="n">
        <x:v>0</x:v>
      </x:c>
      <x:c r="Q1389" s="62" t="b">
        <x:v>1</x:v>
      </x:c>
      <x:c r="R1389" s="28" t="n">
        <x:v>0</x:v>
      </x:c>
      <x:c r="S1389" s="28" t="str">
        <x:v>1a49379152f8d2d1</x:v>
      </x:c>
    </x:row>
    <x:row r="1390" ht="21" customHeight="1">
      <x:c r="A1390" s="60" t="n">
        <x:v>0.65</x:v>
      </x:c>
      <x:c r="B1390" s="28" t="str">
        <x:v>middle_high</x:v>
      </x:c>
      <x:c r="C1390" s="60" t="n">
        <x:v>0.85</x:v>
      </x:c>
      <x:c r="D1390" s="60" t="n">
        <x:v>0.85</x:v>
      </x:c>
      <x:c r="E1390" s="62" t="b">
        <x:v>1</x:v>
      </x:c>
      <x:c r="F1390" s="62" t="b">
        <x:v>0</x:v>
      </x:c>
      <x:c r="G1390" s="85" t="n">
        <x:v>4479927.857440876</x:v>
      </x:c>
      <x:c r="H1390" s="85" t="n">
        <x:v>11893103.195136668</x:v>
      </x:c>
      <x:c r="I1390" s="85" t="n">
        <x:v>17413772.51904725</x:v>
      </x:c>
      <x:c r="J1390" s="85" t="n">
        <x:v>13935999.999999998</x:v>
      </x:c>
      <x:c r="K1390" s="85" t="n">
        <x:v>61690.8697534245</x:v>
      </x:c>
      <x:c r="L1390" s="28" t="n">
        <x:v>43</x:v>
      </x:c>
      <x:c r="M1390" s="28" t="n">
        <x:v>40</x:v>
      </x:c>
      <x:c r="N1390" s="28" t="n">
        <x:v>4.656612873077393e-10</x:v>
      </x:c>
      <x:c r="O1390" s="28" t="n">
        <x:v>3.725290298461914e-9</x:v>
      </x:c>
      <x:c r="P1390" s="28" t="n">
        <x:v>0</x:v>
      </x:c>
      <x:c r="Q1390" s="62" t="b">
        <x:v>1</x:v>
      </x:c>
      <x:c r="R1390" s="28" t="n">
        <x:v>0</x:v>
      </x:c>
      <x:c r="S1390" s="28" t="str">
        <x:v>6e44e49ab2d95592</x:v>
      </x:c>
    </x:row>
    <x:row r="1391" ht="21" customHeight="1">
      <x:c r="A1391" s="60" t="n">
        <x:v>0.65</x:v>
      </x:c>
      <x:c r="B1391" s="28" t="str">
        <x:v>middle_high</x:v>
      </x:c>
      <x:c r="C1391" s="60" t="n">
        <x:v>0.9</x:v>
      </x:c>
      <x:c r="D1391" s="60" t="n">
        <x:v>0.9</x:v>
      </x:c>
      <x:c r="E1391" s="62" t="b">
        <x:v>1</x:v>
      </x:c>
      <x:c r="F1391" s="62" t="b">
        <x:v>0</x:v>
      </x:c>
      <x:c r="G1391" s="85" t="n">
        <x:v>5964808.348253565</x:v>
      </x:c>
      <x:c r="H1391" s="85" t="n">
        <x:v>13619392.29223352</x:v>
      </x:c>
      <x:c r="I1391" s="85" t="n">
        <x:v>17443622.54957944</x:v>
      </x:c>
      <x:c r="J1391" s="85" t="n">
        <x:v>13935999.999999998</x:v>
      </x:c>
      <x:c r="K1391" s="85" t="n">
        <x:v>54460.66038356176</x:v>
      </x:c>
      <x:c r="L1391" s="28" t="n">
        <x:v>43</x:v>
      </x:c>
      <x:c r="M1391" s="28" t="n">
        <x:v>40</x:v>
      </x:c>
      <x:c r="N1391" s="28" t="n">
        <x:v>4.656612873077393e-10</x:v>
      </x:c>
      <x:c r="O1391" s="28" t="n">
        <x:v>3.725290298461914e-9</x:v>
      </x:c>
      <x:c r="P1391" s="28" t="n">
        <x:v>0</x:v>
      </x:c>
      <x:c r="Q1391" s="62" t="b">
        <x:v>1</x:v>
      </x:c>
      <x:c r="R1391" s="28" t="n">
        <x:v>0</x:v>
      </x:c>
      <x:c r="S1391" s="28" t="str">
        <x:v>ec6f1b24962ee11a</x:v>
      </x:c>
    </x:row>
    <x:row r="1392" ht="21" customHeight="1">
      <x:c r="A1392" s="60" t="n">
        <x:v>0.65</x:v>
      </x:c>
      <x:c r="B1392" s="28" t="str">
        <x:v>middle_high</x:v>
      </x:c>
      <x:c r="C1392" s="60" t="n">
        <x:v>0.95</x:v>
      </x:c>
      <x:c r="D1392" s="60" t="n">
        <x:v>0.9270639118581285</x:v>
      </x:c>
      <x:c r="E1392" s="62" t="b">
        <x:v>0</x:v>
      </x:c>
      <x:c r="F1392" s="62" t="b">
        <x:v>0</x:v>
      </x:c>
      <x:c r="G1392" s="85" t="n">
        <x:v>6466122.792980023</x:v>
      </x:c>
      <x:c r="H1392" s="85" t="n">
        <x:v>14356994.60028955</x:v>
      </x:c>
      <x:c r="I1392" s="85" t="n">
        <x:v>17734196.680547934</x:v>
      </x:c>
      <x:c r="J1392" s="85" t="n">
        <x:v>13935999.999999998</x:v>
      </x:c>
      <x:c r="K1392" s="85" t="n">
        <x:v>47230.45101369855</x:v>
      </x:c>
      <x:c r="L1392" s="28" t="n">
        <x:v>44</x:v>
      </x:c>
      <x:c r="M1392" s="28" t="n">
        <x:v>40</x:v>
      </x:c>
      <x:c r="N1392" s="28" t="n">
        <x:v>4.656612873077393e-10</x:v>
      </x:c>
      <x:c r="O1392" s="28" t="n">
        <x:v>3.725290298461914e-9</x:v>
      </x:c>
      <x:c r="P1392" s="28" t="n">
        <x:v>0</x:v>
      </x:c>
      <x:c r="Q1392" s="62" t="b">
        <x:v>1</x:v>
      </x:c>
      <x:c r="R1392" s="28" t="n">
        <x:v>1278549.2973804846</x:v>
      </x:c>
      <x:c r="S1392" s="28" t="str">
        <x:v>2f2ac6ece91307e0</x:v>
      </x:c>
    </x:row>
    <x:row r="1393" ht="21" customHeight="1">
      <x:c r="A1393" s="60" t="n">
        <x:v>0.65</x:v>
      </x:c>
      <x:c r="B1393" s="28" t="str">
        <x:v>middle_high</x:v>
      </x:c>
      <x:c r="C1393" s="60" t="n">
        <x:v>1</x:v>
      </x:c>
      <x:c r="D1393" s="60" t="n">
        <x:v>0.9427455891708479</x:v>
      </x:c>
      <x:c r="E1393" s="62" t="b">
        <x:v>0</x:v>
      </x:c>
      <x:c r="F1393" s="62" t="b">
        <x:v>0</x:v>
      </x:c>
      <x:c r="G1393" s="85" t="n">
        <x:v>7103551.263395336</x:v>
      </x:c>
      <x:c r="H1393" s="85" t="n">
        <x:v>15107898.927166138</x:v>
      </x:c>
      <x:c r="I1393" s="85" t="n">
        <x:v>17751133.52767122</x:v>
      </x:c>
      <x:c r="J1393" s="85" t="n">
        <x:v>13935999.999999998</x:v>
      </x:c>
      <x:c r="K1393" s="85" t="n">
        <x:v>40000.24164383627</x:v>
      </x:c>
      <x:c r="L1393" s="28" t="n">
        <x:v>44</x:v>
      </x:c>
      <x:c r="M1393" s="28" t="n">
        <x:v>41</x:v>
      </x:c>
      <x:c r="N1393" s="28" t="n">
        <x:v>2.3283064365386963e-10</x:v>
      </x:c>
      <x:c r="O1393" s="28" t="n">
        <x:v>9.313225746154785e-10</x:v>
      </x:c>
      <x:c r="P1393" s="28" t="n">
        <x:v>0</x:v>
      </x:c>
      <x:c r="Q1393" s="62" t="b">
        <x:v>1</x:v>
      </x:c>
      <x:c r="R1393" s="28" t="n">
        <x:v>3191589.877260253</x:v>
      </x:c>
      <x:c r="S1393" s="28" t="str">
        <x:v>cc3e658949a1017a</x:v>
      </x:c>
    </x:row>
    <x:row r="1394" ht="21" customHeight="1">
      <x:c r="A1394" s="60" t="n">
        <x:v>0.65</x:v>
      </x:c>
      <x:c r="B1394" s="28" t="str">
        <x:v>back_flat</x:v>
      </x:c>
      <x:c r="C1394" s="60" t="n">
        <x:v>0</x:v>
      </x:c>
      <x:c r="D1394" s="60" t="n">
        <x:v>0</x:v>
      </x:c>
      <x:c r="E1394" s="62" t="b">
        <x:v>1</x:v>
      </x:c>
      <x:c r="F1394" s="62" t="b">
        <x:v>1</x:v>
      </x:c>
      <x:c r="G1394" s="85" t="n">
        <x:v>0</x:v>
      </x:c>
      <x:c r="H1394" s="85" t="n">
        <x:v>0</x:v>
      </x:c>
      <x:c r="I1394" s="85" t="n">
        <x:v>0</x:v>
      </x:c>
      <x:c r="J1394" s="85" t="n">
        <x:v>0</x:v>
      </x:c>
      <x:c r="K1394" s="85" t="n">
        <x:v>6202794.03616439</x:v>
      </x:c>
      <x:c r="L1394" s="28" t="n">
        <x:v>0</x:v>
      </x:c>
      <x:c r="M1394" s="28" t="n">
        <x:v>0</x:v>
      </x:c>
      <x:c r="N1394" s="28" t="n">
        <x:v>2.3283064365386963e-10</x:v>
      </x:c>
      <x:c r="O1394" s="28" t="n">
        <x:v>0</x:v>
      </x:c>
      <x:c r="P1394" s="28" t="n">
        <x:v>0</x:v>
      </x:c>
      <x:c r="Q1394" s="62" t="b">
        <x:v>1</x:v>
      </x:c>
      <x:c r="R1394" s="28" t="n">
        <x:v>0</x:v>
      </x:c>
      <x:c r="S1394" s="28" t="str">
        <x:v>678f1944664a5c3d</x:v>
      </x:c>
    </x:row>
    <x:row r="1395" ht="21" customHeight="1">
      <x:c r="A1395" s="60" t="n">
        <x:v>0.65</x:v>
      </x:c>
      <x:c r="B1395" s="28" t="str">
        <x:v>back_flat</x:v>
      </x:c>
      <x:c r="C1395" s="60" t="n">
        <x:v>0.05</x:v>
      </x:c>
      <x:c r="D1395" s="60" t="n">
        <x:v>0.05</x:v>
      </x:c>
      <x:c r="E1395" s="62" t="b">
        <x:v>1</x:v>
      </x:c>
      <x:c r="F1395" s="62" t="b">
        <x:v>1</x:v>
      </x:c>
      <x:c r="G1395" s="85" t="n">
        <x:v>0</x:v>
      </x:c>
      <x:c r="H1395" s="85" t="n">
        <x:v>0</x:v>
      </x:c>
      <x:c r="I1395" s="85" t="n">
        <x:v>0</x:v>
      </x:c>
      <x:c r="J1395" s="85" t="n">
        <x:v>0</x:v>
      </x:c>
      <x:c r="K1395" s="85" t="n">
        <x:v>4005215.7572931037</x:v>
      </x:c>
      <x:c r="L1395" s="28" t="n">
        <x:v>0</x:v>
      </x:c>
      <x:c r="M1395" s="28" t="n">
        <x:v>0</x:v>
      </x:c>
      <x:c r="N1395" s="28" t="n">
        <x:v>4.656612873077393e-10</x:v>
      </x:c>
      <x:c r="O1395" s="28" t="n">
        <x:v>7.450580596923828e-9</x:v>
      </x:c>
      <x:c r="P1395" s="28" t="n">
        <x:v>0</x:v>
      </x:c>
      <x:c r="Q1395" s="62" t="b">
        <x:v>1</x:v>
      </x:c>
      <x:c r="R1395" s="28" t="n">
        <x:v>0</x:v>
      </x:c>
      <x:c r="S1395" s="28" t="str">
        <x:v>038738e3cc13a39b</x:v>
      </x:c>
    </x:row>
    <x:row r="1396" ht="21" customHeight="1">
      <x:c r="A1396" s="60" t="n">
        <x:v>0.65</x:v>
      </x:c>
      <x:c r="B1396" s="28" t="str">
        <x:v>back_flat</x:v>
      </x:c>
      <x:c r="C1396" s="60" t="n">
        <x:v>0.1</x:v>
      </x:c>
      <x:c r="D1396" s="60" t="n">
        <x:v>0.1</x:v>
      </x:c>
      <x:c r="E1396" s="62" t="b">
        <x:v>1</x:v>
      </x:c>
      <x:c r="F1396" s="62" t="b">
        <x:v>1</x:v>
      </x:c>
      <x:c r="G1396" s="85" t="n">
        <x:v>0</x:v>
      </x:c>
      <x:c r="H1396" s="85" t="n">
        <x:v>0</x:v>
      </x:c>
      <x:c r="I1396" s="85" t="n">
        <x:v>0</x:v>
      </x:c>
      <x:c r="J1396" s="85" t="n">
        <x:v>0</x:v>
      </x:c>
      <x:c r="K1396" s="85" t="n">
        <x:v>1812898.508558827</x:v>
      </x:c>
      <x:c r="L1396" s="28" t="n">
        <x:v>0</x:v>
      </x:c>
      <x:c r="M1396" s="28" t="n">
        <x:v>0</x:v>
      </x:c>
      <x:c r="N1396" s="28" t="n">
        <x:v>2.3283064365386963e-10</x:v>
      </x:c>
      <x:c r="O1396" s="28" t="n">
        <x:v>7.450580596923828e-9</x:v>
      </x:c>
      <x:c r="P1396" s="28" t="n">
        <x:v>0</x:v>
      </x:c>
      <x:c r="Q1396" s="62" t="b">
        <x:v>1</x:v>
      </x:c>
      <x:c r="R1396" s="28" t="n">
        <x:v>0</x:v>
      </x:c>
      <x:c r="S1396" s="28" t="str">
        <x:v>16314331ef694c6c</x:v>
      </x:c>
    </x:row>
    <x:row r="1397" ht="21" customHeight="1">
      <x:c r="A1397" s="60" t="n">
        <x:v>0.65</x:v>
      </x:c>
      <x:c r="B1397" s="28" t="str">
        <x:v>back_flat</x:v>
      </x:c>
      <x:c r="C1397" s="60" t="n">
        <x:v>0.15</x:v>
      </x:c>
      <x:c r="D1397" s="60" t="n">
        <x:v>0.15</x:v>
      </x:c>
      <x:c r="E1397" s="62" t="b">
        <x:v>1</x:v>
      </x:c>
      <x:c r="F1397" s="62" t="b">
        <x:v>1</x:v>
      </x:c>
      <x:c r="G1397" s="85" t="n">
        <x:v>0</x:v>
      </x:c>
      <x:c r="H1397" s="85" t="n">
        <x:v>0</x:v>
      </x:c>
      <x:c r="I1397" s="85" t="n">
        <x:v>613526.8234218534</x:v>
      </x:c>
      <x:c r="J1397" s="85" t="n">
        <x:v>0</x:v>
      </x:c>
      <x:c r="K1397" s="85" t="n">
        <x:v>330519.63113803597</x:v>
      </x:c>
      <x:c r="L1397" s="28" t="n">
        <x:v>0</x:v>
      </x:c>
      <x:c r="M1397" s="28" t="n">
        <x:v>0</x:v>
      </x:c>
      <x:c r="N1397" s="28" t="n">
        <x:v>9.313225746154785e-10</x:v>
      </x:c>
      <x:c r="O1397" s="28" t="n">
        <x:v>7.450580596923828e-9</x:v>
      </x:c>
      <x:c r="P1397" s="28" t="n">
        <x:v>0</x:v>
      </x:c>
      <x:c r="Q1397" s="62" t="b">
        <x:v>1</x:v>
      </x:c>
      <x:c r="R1397" s="28" t="n">
        <x:v>0</x:v>
      </x:c>
      <x:c r="S1397" s="28" t="str">
        <x:v>b5e73203c06fbe87</x:v>
      </x:c>
    </x:row>
    <x:row r="1398" ht="21" customHeight="1">
      <x:c r="A1398" s="60" t="n">
        <x:v>0.65</x:v>
      </x:c>
      <x:c r="B1398" s="28" t="str">
        <x:v>back_flat</x:v>
      </x:c>
      <x:c r="C1398" s="60" t="n">
        <x:v>0.2</x:v>
      </x:c>
      <x:c r="D1398" s="60" t="n">
        <x:v>0.2</x:v>
      </x:c>
      <x:c r="E1398" s="62" t="b">
        <x:v>1</x:v>
      </x:c>
      <x:c r="F1398" s="62" t="b">
        <x:v>1</x:v>
      </x:c>
      <x:c r="G1398" s="85" t="n">
        <x:v>0</x:v>
      </x:c>
      <x:c r="H1398" s="85" t="n">
        <x:v>0</x:v>
      </x:c>
      <x:c r="I1398" s="85" t="n">
        <x:v>2056431.3147765389</x:v>
      </x:c>
      <x:c r="J1398" s="85" t="n">
        <x:v>1245718.905732936</x:v>
      </x:c>
      <x:c r="K1398" s="85" t="n">
        <x:v>267309.6826634529</x:v>
      </x:c>
      <x:c r="L1398" s="28" t="n">
        <x:v>0</x:v>
      </x:c>
      <x:c r="M1398" s="28" t="n">
        <x:v>0</x:v>
      </x:c>
      <x:c r="N1398" s="28" t="n">
        <x:v>2.3283064365386963e-10</x:v>
      </x:c>
      <x:c r="O1398" s="28" t="n">
        <x:v>7.450580596923828e-9</x:v>
      </x:c>
      <x:c r="P1398" s="28" t="n">
        <x:v>0</x:v>
      </x:c>
      <x:c r="Q1398" s="62" t="b">
        <x:v>1</x:v>
      </x:c>
      <x:c r="R1398" s="28" t="n">
        <x:v>0</x:v>
      </x:c>
      <x:c r="S1398" s="28" t="str">
        <x:v>7486f803f01bd14b</x:v>
      </x:c>
    </x:row>
    <x:row r="1399" ht="21" customHeight="1">
      <x:c r="A1399" s="60" t="n">
        <x:v>0.65</x:v>
      </x:c>
      <x:c r="B1399" s="28" t="str">
        <x:v>back_flat</x:v>
      </x:c>
      <x:c r="C1399" s="60" t="n">
        <x:v>0.25</x:v>
      </x:c>
      <x:c r="D1399" s="60" t="n">
        <x:v>0.25</x:v>
      </x:c>
      <x:c r="E1399" s="62" t="b">
        <x:v>1</x:v>
      </x:c>
      <x:c r="F1399" s="62" t="b">
        <x:v>1</x:v>
      </x:c>
      <x:c r="G1399" s="85" t="n">
        <x:v>0</x:v>
      </x:c>
      <x:c r="H1399" s="85" t="n">
        <x:v>0</x:v>
      </x:c>
      <x:c r="I1399" s="85" t="n">
        <x:v>3197300.7174432953</x:v>
      </x:c>
      <x:c r="J1399" s="85" t="n">
        <x:v>2950748.6321661994</x:v>
      </x:c>
      <x:c r="K1399" s="85" t="n">
        <x:v>222015.42209643856</x:v>
      </x:c>
      <x:c r="L1399" s="28" t="n">
        <x:v>0</x:v>
      </x:c>
      <x:c r="M1399" s="28" t="n">
        <x:v>0</x:v>
      </x:c>
      <x:c r="N1399" s="28" t="n">
        <x:v>9.313225746154785e-10</x:v>
      </x:c>
      <x:c r="O1399" s="28" t="n">
        <x:v>7.450580596923828e-9</x:v>
      </x:c>
      <x:c r="P1399" s="28" t="n">
        <x:v>0</x:v>
      </x:c>
      <x:c r="Q1399" s="62" t="b">
        <x:v>1</x:v>
      </x:c>
      <x:c r="R1399" s="28" t="n">
        <x:v>0</x:v>
      </x:c>
      <x:c r="S1399" s="28" t="str">
        <x:v>b4558552bfa5f681</x:v>
      </x:c>
    </x:row>
    <x:row r="1400" ht="21" customHeight="1">
      <x:c r="A1400" s="60" t="n">
        <x:v>0.65</x:v>
      </x:c>
      <x:c r="B1400" s="28" t="str">
        <x:v>back_flat</x:v>
      </x:c>
      <x:c r="C1400" s="60" t="n">
        <x:v>0.3</x:v>
      </x:c>
      <x:c r="D1400" s="60" t="n">
        <x:v>0.3</x:v>
      </x:c>
      <x:c r="E1400" s="62" t="b">
        <x:v>1</x:v>
      </x:c>
      <x:c r="F1400" s="62" t="b">
        <x:v>1</x:v>
      </x:c>
      <x:c r="G1400" s="85" t="n">
        <x:v>0</x:v>
      </x:c>
      <x:c r="H1400" s="85" t="n">
        <x:v>0</x:v>
      </x:c>
      <x:c r="I1400" s="85" t="n">
        <x:v>4358178.505389105</x:v>
      </x:c>
      <x:c r="J1400" s="85" t="n">
        <x:v>4655778.358599426</x:v>
      </x:c>
      <x:c r="K1400" s="85" t="n">
        <x:v>181075.52122695965</x:v>
      </x:c>
      <x:c r="L1400" s="28" t="n">
        <x:v>0</x:v>
      </x:c>
      <x:c r="M1400" s="28" t="n">
        <x:v>0</x:v>
      </x:c>
      <x:c r="N1400" s="28" t="n">
        <x:v>4.656612873077393e-10</x:v>
      </x:c>
      <x:c r="O1400" s="28" t="n">
        <x:v>7.450580596923828e-9</x:v>
      </x:c>
      <x:c r="P1400" s="28" t="n">
        <x:v>0</x:v>
      </x:c>
      <x:c r="Q1400" s="62" t="b">
        <x:v>1</x:v>
      </x:c>
      <x:c r="R1400" s="28" t="n">
        <x:v>0</x:v>
      </x:c>
      <x:c r="S1400" s="28" t="str">
        <x:v>f6ce4928520a5129</x:v>
      </x:c>
    </x:row>
    <x:row r="1401" ht="21" customHeight="1">
      <x:c r="A1401" s="60" t="n">
        <x:v>0.65</x:v>
      </x:c>
      <x:c r="B1401" s="28" t="str">
        <x:v>back_flat</x:v>
      </x:c>
      <x:c r="C1401" s="60" t="n">
        <x:v>0.35</x:v>
      </x:c>
      <x:c r="D1401" s="60" t="n">
        <x:v>0.35</x:v>
      </x:c>
      <x:c r="E1401" s="62" t="b">
        <x:v>1</x:v>
      </x:c>
      <x:c r="F1401" s="62" t="b">
        <x:v>1</x:v>
      </x:c>
      <x:c r="G1401" s="85" t="n">
        <x:v>0</x:v>
      </x:c>
      <x:c r="H1401" s="85" t="n">
        <x:v>0</x:v>
      </x:c>
      <x:c r="I1401" s="85" t="n">
        <x:v>5515874.9627713105</x:v>
      </x:c>
      <x:c r="J1401" s="85" t="n">
        <x:v>6360808.085032669</x:v>
      </x:c>
      <x:c r="K1401" s="85" t="n">
        <x:v>155321.7518424117</x:v>
      </x:c>
      <x:c r="L1401" s="28" t="n">
        <x:v>0</x:v>
      </x:c>
      <x:c r="M1401" s="28" t="n">
        <x:v>0</x:v>
      </x:c>
      <x:c r="N1401" s="28" t="n">
        <x:v>2.3283064365386963e-10</x:v>
      </x:c>
      <x:c r="O1401" s="28" t="n">
        <x:v>3.725290298461914e-9</x:v>
      </x:c>
      <x:c r="P1401" s="28" t="n">
        <x:v>0</x:v>
      </x:c>
      <x:c r="Q1401" s="62" t="b">
        <x:v>1</x:v>
      </x:c>
      <x:c r="R1401" s="28" t="n">
        <x:v>0</x:v>
      </x:c>
      <x:c r="S1401" s="28" t="str">
        <x:v>1cd33419ec950b03</x:v>
      </x:c>
    </x:row>
    <x:row r="1402" ht="21" customHeight="1">
      <x:c r="A1402" s="60" t="n">
        <x:v>0.65</x:v>
      </x:c>
      <x:c r="B1402" s="28" t="str">
        <x:v>back_flat</x:v>
      </x:c>
      <x:c r="C1402" s="60" t="n">
        <x:v>0.4</x:v>
      </x:c>
      <x:c r="D1402" s="60" t="n">
        <x:v>0.4</x:v>
      </x:c>
      <x:c r="E1402" s="62" t="b">
        <x:v>1</x:v>
      </x:c>
      <x:c r="F1402" s="62" t="b">
        <x:v>1</x:v>
      </x:c>
      <x:c r="G1402" s="85" t="n">
        <x:v>0</x:v>
      </x:c>
      <x:c r="H1402" s="85" t="n">
        <x:v>0</x:v>
      </x:c>
      <x:c r="I1402" s="85" t="n">
        <x:v>6714378.078924659</x:v>
      </x:c>
      <x:c r="J1402" s="85" t="n">
        <x:v>7989433.267735998</x:v>
      </x:c>
      <x:c r="K1402" s="85" t="n">
        <x:v>129991.66641095994</x:v>
      </x:c>
      <x:c r="L1402" s="28" t="n">
        <x:v>1</x:v>
      </x:c>
      <x:c r="M1402" s="28" t="n">
        <x:v>0</x:v>
      </x:c>
      <x:c r="N1402" s="28" t="n">
        <x:v>9.313225746154785e-10</x:v>
      </x:c>
      <x:c r="O1402" s="28" t="n">
        <x:v>7.450580596923828e-9</x:v>
      </x:c>
      <x:c r="P1402" s="28" t="n">
        <x:v>0</x:v>
      </x:c>
      <x:c r="Q1402" s="62" t="b">
        <x:v>1</x:v>
      </x:c>
      <x:c r="R1402" s="28" t="n">
        <x:v>0</x:v>
      </x:c>
      <x:c r="S1402" s="28" t="str">
        <x:v>480b6e0bc8451b0c</x:v>
      </x:c>
    </x:row>
    <x:row r="1403" ht="21" customHeight="1">
      <x:c r="A1403" s="60" t="n">
        <x:v>0.65</x:v>
      </x:c>
      <x:c r="B1403" s="28" t="str">
        <x:v>back_flat</x:v>
      </x:c>
      <x:c r="C1403" s="60" t="n">
        <x:v>0.45</x:v>
      </x:c>
      <x:c r="D1403" s="60" t="n">
        <x:v>0.45</x:v>
      </x:c>
      <x:c r="E1403" s="62" t="b">
        <x:v>1</x:v>
      </x:c>
      <x:c r="F1403" s="62" t="b">
        <x:v>1</x:v>
      </x:c>
      <x:c r="G1403" s="85" t="n">
        <x:v>0</x:v>
      </x:c>
      <x:c r="H1403" s="85" t="n">
        <x:v>0</x:v>
      </x:c>
      <x:c r="I1403" s="85" t="n">
        <x:v>8148535.789636748</x:v>
      </x:c>
      <x:c r="J1403" s="85" t="n">
        <x:v>9092974.318573885</x:v>
      </x:c>
      <x:c r="K1403" s="85" t="n">
        <x:v>118248.54971232853</x:v>
      </x:c>
      <x:c r="L1403" s="28" t="n">
        <x:v>7</x:v>
      </x:c>
      <x:c r="M1403" s="28" t="n">
        <x:v>0</x:v>
      </x:c>
      <x:c r="N1403" s="28" t="n">
        <x:v>4.656612873077393e-10</x:v>
      </x:c>
      <x:c r="O1403" s="28" t="n">
        <x:v>7.450580596923828e-9</x:v>
      </x:c>
      <x:c r="P1403" s="28" t="n">
        <x:v>0</x:v>
      </x:c>
      <x:c r="Q1403" s="62" t="b">
        <x:v>1</x:v>
      </x:c>
      <x:c r="R1403" s="28" t="n">
        <x:v>0</x:v>
      </x:c>
      <x:c r="S1403" s="28" t="str">
        <x:v>64664459c90570fa</x:v>
      </x:c>
    </x:row>
    <x:row r="1404" ht="21" customHeight="1">
      <x:c r="A1404" s="60" t="n">
        <x:v>0.65</x:v>
      </x:c>
      <x:c r="B1404" s="28" t="str">
        <x:v>back_flat</x:v>
      </x:c>
      <x:c r="C1404" s="60" t="n">
        <x:v>0.5</x:v>
      </x:c>
      <x:c r="D1404" s="60" t="n">
        <x:v>0.5</x:v>
      </x:c>
      <x:c r="E1404" s="62" t="b">
        <x:v>1</x:v>
      </x:c>
      <x:c r="F1404" s="62" t="b">
        <x:v>1</x:v>
      </x:c>
      <x:c r="G1404" s="85" t="n">
        <x:v>0</x:v>
      </x:c>
      <x:c r="H1404" s="85" t="n">
        <x:v>0</x:v>
      </x:c>
      <x:c r="I1404" s="85" t="n">
        <x:v>9386685.612776276</x:v>
      </x:c>
      <x:c r="J1404" s="85" t="n">
        <x:v>10592334.224934591</x:v>
      </x:c>
      <x:c r="K1404" s="85" t="n">
        <x:v>106505.43301369861</x:v>
      </x:c>
      <x:c r="L1404" s="28" t="n">
        <x:v>10</x:v>
      </x:c>
      <x:c r="M1404" s="28" t="n">
        <x:v>1</x:v>
      </x:c>
      <x:c r="N1404" s="28" t="n">
        <x:v>9.313225746154785e-10</x:v>
      </x:c>
      <x:c r="O1404" s="28" t="n">
        <x:v>1.862645149230957e-9</x:v>
      </x:c>
      <x:c r="P1404" s="28" t="n">
        <x:v>0</x:v>
      </x:c>
      <x:c r="Q1404" s="62" t="b">
        <x:v>1</x:v>
      </x:c>
      <x:c r="R1404" s="28" t="n">
        <x:v>0</x:v>
      </x:c>
      <x:c r="S1404" s="28" t="str">
        <x:v>1fc910588b8fe5e3</x:v>
      </x:c>
    </x:row>
    <x:row r="1405" ht="21" customHeight="1">
      <x:c r="A1405" s="60" t="n">
        <x:v>0.65</x:v>
      </x:c>
      <x:c r="B1405" s="28" t="str">
        <x:v>back_flat</x:v>
      </x:c>
      <x:c r="C1405" s="60" t="n">
        <x:v>0.55</x:v>
      </x:c>
      <x:c r="D1405" s="60" t="n">
        <x:v>0.55</x:v>
      </x:c>
      <x:c r="E1405" s="62" t="b">
        <x:v>1</x:v>
      </x:c>
      <x:c r="F1405" s="62" t="b">
        <x:v>1</x:v>
      </x:c>
      <x:c r="G1405" s="85" t="n">
        <x:v>0</x:v>
      </x:c>
      <x:c r="H1405" s="85" t="n">
        <x:v>0</x:v>
      </x:c>
      <x:c r="I1405" s="85" t="n">
        <x:v>10538679.86448049</x:v>
      </x:c>
      <x:c r="J1405" s="85" t="n">
        <x:v>12292528.476931302</x:v>
      </x:c>
      <x:c r="K1405" s="85" t="n">
        <x:v>94762.3163150693</x:v>
      </x:c>
      <x:c r="L1405" s="28" t="n">
        <x:v>13</x:v>
      </x:c>
      <x:c r="M1405" s="28" t="n">
        <x:v>5</x:v>
      </x:c>
      <x:c r="N1405" s="28" t="n">
        <x:v>4.656612873077393e-10</x:v>
      </x:c>
      <x:c r="O1405" s="28" t="n">
        <x:v>7.450580596923828e-9</x:v>
      </x:c>
      <x:c r="P1405" s="28" t="n">
        <x:v>0</x:v>
      </x:c>
      <x:c r="Q1405" s="62" t="b">
        <x:v>1</x:v>
      </x:c>
      <x:c r="R1405" s="28" t="n">
        <x:v>0</x:v>
      </x:c>
      <x:c r="S1405" s="28" t="str">
        <x:v>cba68e52a9e1fd00</x:v>
      </x:c>
    </x:row>
    <x:row r="1406" ht="21" customHeight="1">
      <x:c r="A1406" s="60" t="n">
        <x:v>0.65</x:v>
      </x:c>
      <x:c r="B1406" s="28" t="str">
        <x:v>back_flat</x:v>
      </x:c>
      <x:c r="C1406" s="60" t="n">
        <x:v>0.6</x:v>
      </x:c>
      <x:c r="D1406" s="60" t="n">
        <x:v>0.6</x:v>
      </x:c>
      <x:c r="E1406" s="62" t="b">
        <x:v>1</x:v>
      </x:c>
      <x:c r="F1406" s="62" t="b">
        <x:v>0</x:v>
      </x:c>
      <x:c r="G1406" s="85" t="n">
        <x:v>32807.795702422176</x:v>
      </x:c>
      <x:c r="H1406" s="85" t="n">
        <x:v>182041.3780480597</x:v>
      </x:c>
      <x:c r="I1406" s="85" t="n">
        <x:v>11544455.49899032</x:v>
      </x:c>
      <x:c r="J1406" s="85" t="n">
        <x:v>13935999.999999998</x:v>
      </x:c>
      <x:c r="K1406" s="85" t="n">
        <x:v>83019.1996164387</x:v>
      </x:c>
      <x:c r="L1406" s="28" t="n">
        <x:v>38</x:v>
      </x:c>
      <x:c r="M1406" s="28" t="n">
        <x:v>31</x:v>
      </x:c>
      <x:c r="N1406" s="28" t="n">
        <x:v>4.656612873077393e-10</x:v>
      </x:c>
      <x:c r="O1406" s="28" t="n">
        <x:v>7.450580596923828e-9</x:v>
      </x:c>
      <x:c r="P1406" s="28" t="n">
        <x:v>0</x:v>
      </x:c>
      <x:c r="Q1406" s="62" t="b">
        <x:v>1</x:v>
      </x:c>
      <x:c r="R1406" s="28" t="n">
        <x:v>0</x:v>
      </x:c>
      <x:c r="S1406" s="28" t="str">
        <x:v>69226ab5bdc9b82f</x:v>
      </x:c>
    </x:row>
    <x:row r="1407" ht="21" customHeight="1">
      <x:c r="A1407" s="60" t="n">
        <x:v>0.65</x:v>
      </x:c>
      <x:c r="B1407" s="28" t="str">
        <x:v>back_flat</x:v>
      </x:c>
      <x:c r="C1407" s="60" t="n">
        <x:v>0.65</x:v>
      </x:c>
      <x:c r="D1407" s="60" t="n">
        <x:v>0.65</x:v>
      </x:c>
      <x:c r="E1407" s="62" t="b">
        <x:v>1</x:v>
      </x:c>
      <x:c r="F1407" s="62" t="b">
        <x:v>0</x:v>
      </x:c>
      <x:c r="G1407" s="85" t="n">
        <x:v>413809.1449556368</x:v>
      </x:c>
      <x:c r="H1407" s="85" t="n">
        <x:v>2226996.8299563476</x:v>
      </x:c>
      <x:c r="I1407" s="85" t="n">
        <x:v>11797847.639844598</x:v>
      </x:c>
      <x:c r="J1407" s="85" t="n">
        <x:v>13935999.999999998</x:v>
      </x:c>
      <x:c r="K1407" s="85" t="n">
        <x:v>71276.08291780835</x:v>
      </x:c>
      <x:c r="L1407" s="28" t="n">
        <x:v>39</x:v>
      </x:c>
      <x:c r="M1407" s="28" t="n">
        <x:v>32</x:v>
      </x:c>
      <x:c r="N1407" s="28" t="n">
        <x:v>4.656612873077393e-10</x:v>
      </x:c>
      <x:c r="O1407" s="28" t="n">
        <x:v>7.450580596923828e-9</x:v>
      </x:c>
      <x:c r="P1407" s="28" t="n">
        <x:v>0</x:v>
      </x:c>
      <x:c r="Q1407" s="62" t="b">
        <x:v>1</x:v>
      </x:c>
      <x:c r="R1407" s="28" t="n">
        <x:v>0</x:v>
      </x:c>
      <x:c r="S1407" s="28" t="str">
        <x:v>df53d55978e5f0fa</x:v>
      </x:c>
    </x:row>
    <x:row r="1408" ht="21" customHeight="1">
      <x:c r="A1408" s="60" t="n">
        <x:v>0.65</x:v>
      </x:c>
      <x:c r="B1408" s="28" t="str">
        <x:v>back_flat</x:v>
      </x:c>
      <x:c r="C1408" s="60" t="n">
        <x:v>0.7</x:v>
      </x:c>
      <x:c r="D1408" s="60" t="n">
        <x:v>0.7</x:v>
      </x:c>
      <x:c r="E1408" s="62" t="b">
        <x:v>1</x:v>
      </x:c>
      <x:c r="F1408" s="62" t="b">
        <x:v>0</x:v>
      </x:c>
      <x:c r="G1408" s="85" t="n">
        <x:v>837021.2643098506</x:v>
      </x:c>
      <x:c r="H1408" s="85" t="n">
        <x:v>4249444.328969424</x:v>
      </x:c>
      <x:c r="I1408" s="85" t="n">
        <x:v>12024430.643768324</x:v>
      </x:c>
      <x:c r="J1408" s="85" t="n">
        <x:v>13935999.999999998</x:v>
      </x:c>
      <x:c r="K1408" s="85" t="n">
        <x:v>61522.30364383589</x:v>
      </x:c>
      <x:c r="L1408" s="28" t="n">
        <x:v>40</x:v>
      </x:c>
      <x:c r="M1408" s="28" t="n">
        <x:v>34</x:v>
      </x:c>
      <x:c r="N1408" s="28" t="n">
        <x:v>4.656612873077393e-10</x:v>
      </x:c>
      <x:c r="O1408" s="28" t="n">
        <x:v>3.725290298461914e-9</x:v>
      </x:c>
      <x:c r="P1408" s="28" t="n">
        <x:v>0</x:v>
      </x:c>
      <x:c r="Q1408" s="62" t="b">
        <x:v>1</x:v>
      </x:c>
      <x:c r="R1408" s="28" t="n">
        <x:v>0</x:v>
      </x:c>
      <x:c r="S1408" s="28" t="str">
        <x:v>80a28511951e5ceb</x:v>
      </x:c>
    </x:row>
    <x:row r="1409" ht="21" customHeight="1">
      <x:c r="A1409" s="60" t="n">
        <x:v>0.65</x:v>
      </x:c>
      <x:c r="B1409" s="28" t="str">
        <x:v>back_flat</x:v>
      </x:c>
      <x:c r="C1409" s="60" t="n">
        <x:v>0.75</x:v>
      </x:c>
      <x:c r="D1409" s="60" t="n">
        <x:v>0.75</x:v>
      </x:c>
      <x:c r="E1409" s="62" t="b">
        <x:v>1</x:v>
      </x:c>
      <x:c r="F1409" s="62" t="b">
        <x:v>0</x:v>
      </x:c>
      <x:c r="G1409" s="85" t="n">
        <x:v>1273265.4581303254</x:v>
      </x:c>
      <x:c r="H1409" s="85" t="n">
        <x:v>6447241.065564187</x:v>
      </x:c>
      <x:c r="I1409" s="85" t="n">
        <x:v>12058768.866190134</x:v>
      </x:c>
      <x:c r="J1409" s="85" t="n">
        <x:v>13935999.999999998</x:v>
      </x:c>
      <x:c r="K1409" s="85" t="n">
        <x:v>57431.254178082156</x:v>
      </x:c>
      <x:c r="L1409" s="28" t="n">
        <x:v>40</x:v>
      </x:c>
      <x:c r="M1409" s="28" t="n">
        <x:v>34</x:v>
      </x:c>
      <x:c r="N1409" s="28" t="n">
        <x:v>4.656612873077393e-10</x:v>
      </x:c>
      <x:c r="O1409" s="28" t="n">
        <x:v>7.450580596923828e-9</x:v>
      </x:c>
      <x:c r="P1409" s="28" t="n">
        <x:v>0</x:v>
      </x:c>
      <x:c r="Q1409" s="62" t="b">
        <x:v>1</x:v>
      </x:c>
      <x:c r="R1409" s="28" t="n">
        <x:v>0</x:v>
      </x:c>
      <x:c r="S1409" s="28" t="str">
        <x:v>53b9eb9af2ee26b7</x:v>
      </x:c>
    </x:row>
    <x:row r="1410" ht="21" customHeight="1">
      <x:c r="A1410" s="60" t="n">
        <x:v>0.65</x:v>
      </x:c>
      <x:c r="B1410" s="28" t="str">
        <x:v>back_flat</x:v>
      </x:c>
      <x:c r="C1410" s="60" t="n">
        <x:v>0.8</x:v>
      </x:c>
      <x:c r="D1410" s="60" t="n">
        <x:v>0.8</x:v>
      </x:c>
      <x:c r="E1410" s="62" t="b">
        <x:v>1</x:v>
      </x:c>
      <x:c r="F1410" s="62" t="b">
        <x:v>0</x:v>
      </x:c>
      <x:c r="G1410" s="85" t="n">
        <x:v>1763290.246695229</x:v>
      </x:c>
      <x:c r="H1410" s="85" t="n">
        <x:v>8256157.502996145</x:v>
      </x:c>
      <x:c r="I1410" s="85" t="n">
        <x:v>12303447.244624654</x:v>
      </x:c>
      <x:c r="J1410" s="85" t="n">
        <x:v>13935999.999999998</x:v>
      </x:c>
      <x:c r="K1410" s="85" t="n">
        <x:v>53856.803616438476</x:v>
      </x:c>
      <x:c r="L1410" s="28" t="n">
        <x:v>41</x:v>
      </x:c>
      <x:c r="M1410" s="28" t="n">
        <x:v>35</x:v>
      </x:c>
      <x:c r="N1410" s="28" t="n">
        <x:v>4.656612873077393e-10</x:v>
      </x:c>
      <x:c r="O1410" s="28" t="n">
        <x:v>3.725290298461914e-9</x:v>
      </x:c>
      <x:c r="P1410" s="28" t="n">
        <x:v>0</x:v>
      </x:c>
      <x:c r="Q1410" s="62" t="b">
        <x:v>1</x:v>
      </x:c>
      <x:c r="R1410" s="28" t="n">
        <x:v>0</x:v>
      </x:c>
      <x:c r="S1410" s="28" t="str">
        <x:v>2898864063128c20</x:v>
      </x:c>
    </x:row>
    <x:row r="1411" ht="21" customHeight="1">
      <x:c r="A1411" s="60" t="n">
        <x:v>0.65</x:v>
      </x:c>
      <x:c r="B1411" s="28" t="str">
        <x:v>back_flat</x:v>
      </x:c>
      <x:c r="C1411" s="60" t="n">
        <x:v>0.85</x:v>
      </x:c>
      <x:c r="D1411" s="60" t="n">
        <x:v>0.85</x:v>
      </x:c>
      <x:c r="E1411" s="62" t="b">
        <x:v>1</x:v>
      </x:c>
      <x:c r="F1411" s="62" t="b">
        <x:v>0</x:v>
      </x:c>
      <x:c r="G1411" s="85" t="n">
        <x:v>2413937.8693445064</x:v>
      </x:c>
      <x:c r="H1411" s="85" t="n">
        <x:v>10254395.487027546</x:v>
      </x:c>
      <x:c r="I1411" s="85" t="n">
        <x:v>12326974.27145479</x:v>
      </x:c>
      <x:c r="J1411" s="85" t="n">
        <x:v>13935999.999999998</x:v>
      </x:c>
      <x:c r="K1411" s="85" t="n">
        <x:v>50282.35305479468</x:v>
      </x:c>
      <x:c r="L1411" s="28" t="n">
        <x:v>41</x:v>
      </x:c>
      <x:c r="M1411" s="28" t="n">
        <x:v>36</x:v>
      </x:c>
      <x:c r="N1411" s="28" t="n">
        <x:v>4.656612873077393e-10</x:v>
      </x:c>
      <x:c r="O1411" s="28" t="n">
        <x:v>9.313225746154785e-10</x:v>
      </x:c>
      <x:c r="P1411" s="28" t="n">
        <x:v>0</x:v>
      </x:c>
      <x:c r="Q1411" s="62" t="b">
        <x:v>1</x:v>
      </x:c>
      <x:c r="R1411" s="28" t="n">
        <x:v>0</x:v>
      </x:c>
      <x:c r="S1411" s="28" t="str">
        <x:v>46544e9f3fdd7c18</x:v>
      </x:c>
    </x:row>
    <x:row r="1412" ht="21" customHeight="1">
      <x:c r="A1412" s="60" t="n">
        <x:v>0.65</x:v>
      </x:c>
      <x:c r="B1412" s="28" t="str">
        <x:v>back_flat</x:v>
      </x:c>
      <x:c r="C1412" s="60" t="n">
        <x:v>0.9</x:v>
      </x:c>
      <x:c r="D1412" s="60" t="n">
        <x:v>0.880265491166173</x:v>
      </x:c>
      <x:c r="E1412" s="62" t="b">
        <x:v>0</x:v>
      </x:c>
      <x:c r="F1412" s="62" t="b">
        <x:v>0</x:v>
      </x:c>
      <x:c r="G1412" s="85" t="n">
        <x:v>2879366.990360425</x:v>
      </x:c>
      <x:c r="H1412" s="85" t="n">
        <x:v>10901715.193161644</x:v>
      </x:c>
      <x:c r="I1412" s="85" t="n">
        <x:v>12554803.05030816</x:v>
      </x:c>
      <x:c r="J1412" s="85" t="n">
        <x:v>13935999.999999998</x:v>
      </x:c>
      <x:c r="K1412" s="85" t="n">
        <x:v>46707.90249315088</x:v>
      </x:c>
      <x:c r="L1412" s="28" t="n">
        <x:v>42</x:v>
      </x:c>
      <x:c r="M1412" s="28" t="n">
        <x:v>36</x:v>
      </x:c>
      <x:c r="N1412" s="28" t="n">
        <x:v>2.3283064365386963e-10</x:v>
      </x:c>
      <x:c r="O1412" s="28" t="n">
        <x:v>3.725290298461914e-9</x:v>
      </x:c>
      <x:c r="P1412" s="28" t="n">
        <x:v>0</x:v>
      </x:c>
      <x:c r="Q1412" s="62" t="b">
        <x:v>1</x:v>
      </x:c>
      <x:c r="R1412" s="28" t="n">
        <x:v>1100080.4604328498</x:v>
      </x:c>
      <x:c r="S1412" s="28" t="str">
        <x:v>8acfbba815d54e91</x:v>
      </x:c>
    </x:row>
    <x:row r="1413" ht="21" customHeight="1">
      <x:c r="A1413" s="60" t="n">
        <x:v>0.65</x:v>
      </x:c>
      <x:c r="B1413" s="28" t="str">
        <x:v>back_flat</x:v>
      </x:c>
      <x:c r="C1413" s="60" t="n">
        <x:v>0.95</x:v>
      </x:c>
      <x:c r="D1413" s="60" t="n">
        <x:v>0.8954794051096439</x:v>
      </x:c>
      <x:c r="E1413" s="62" t="b">
        <x:v>0</x:v>
      </x:c>
      <x:c r="F1413" s="62" t="b">
        <x:v>0</x:v>
      </x:c>
      <x:c r="G1413" s="85" t="n">
        <x:v>3107405.8895882713</x:v>
      </x:c>
      <x:c r="H1413" s="85" t="n">
        <x:v>11688882.32908379</x:v>
      </x:c>
      <x:c r="I1413" s="85" t="n">
        <x:v>12573895.523026954</x:v>
      </x:c>
      <x:c r="J1413" s="85" t="n">
        <x:v>13935999.999999998</x:v>
      </x:c>
      <x:c r="K1413" s="85" t="n">
        <x:v>43133.451931506854</x:v>
      </x:c>
      <x:c r="L1413" s="28" t="n">
        <x:v>42</x:v>
      </x:c>
      <x:c r="M1413" s="28" t="n">
        <x:v>37</x:v>
      </x:c>
      <x:c r="N1413" s="28" t="n">
        <x:v>4.656612873077393e-10</x:v>
      </x:c>
      <x:c r="O1413" s="28" t="n">
        <x:v>3.725290298461914e-9</x:v>
      </x:c>
      <x:c r="P1413" s="28" t="n">
        <x:v>0</x:v>
      </x:c>
      <x:c r="Q1413" s="62" t="b">
        <x:v>1</x:v>
      </x:c>
      <x:c r="R1413" s="28" t="n">
        <x:v>3039196.041568011</x:v>
      </x:c>
      <x:c r="S1413" s="28" t="str">
        <x:v>70c4905e822b3151</x:v>
      </x:c>
    </x:row>
    <x:row r="1414" ht="21" customHeight="1">
      <x:c r="A1414" s="60" t="n">
        <x:v>0.65</x:v>
      </x:c>
      <x:c r="B1414" s="28" t="str">
        <x:v>back_flat</x:v>
      </x:c>
      <x:c r="C1414" s="60" t="n">
        <x:v>1</x:v>
      </x:c>
      <x:c r="D1414" s="60" t="n">
        <x:v>0.9093341115290656</x:v>
      </x:c>
      <x:c r="E1414" s="62" t="b">
        <x:v>0</x:v>
      </x:c>
      <x:c r="F1414" s="62" t="b">
        <x:v>0</x:v>
      </x:c>
      <x:c r="G1414" s="85" t="n">
        <x:v>3385611.796753264</x:v>
      </x:c>
      <x:c r="H1414" s="85" t="n">
        <x:v>12301878.567026457</x:v>
      </x:c>
      <x:c r="I1414" s="85" t="n">
        <x:v>12593532.650869036</x:v>
      </x:c>
      <x:c r="J1414" s="85" t="n">
        <x:v>13935999.999999998</x:v>
      </x:c>
      <x:c r="K1414" s="85" t="n">
        <x:v>39559.00136986294</x:v>
      </x:c>
      <x:c r="L1414" s="28" t="n">
        <x:v>42</x:v>
      </x:c>
      <x:c r="M1414" s="28" t="n">
        <x:v>38</x:v>
      </x:c>
      <x:c r="N1414" s="28" t="n">
        <x:v>2.3283064365386963e-10</x:v>
      </x:c>
      <x:c r="O1414" s="28" t="n">
        <x:v>3.725290298461914e-9</x:v>
      </x:c>
      <x:c r="P1414" s="28" t="n">
        <x:v>0</x:v>
      </x:c>
      <x:c r="Q1414" s="62" t="b">
        <x:v>1</x:v>
      </x:c>
      <x:c r="R1414" s="28" t="n">
        <x:v>5054079.286923766</x:v>
      </x:c>
      <x:c r="S1414" s="28" t="str">
        <x:v>3f9fc9baaf90a773</x:v>
      </x:c>
    </x:row>
    <x:row r="1415" ht="21" customHeight="1">
      <x:c r="A1415" s="60" t="n">
        <x:v>0.65</x:v>
      </x:c>
      <x:c r="B1415" s="28" t="str">
        <x:v>back_low</x:v>
      </x:c>
      <x:c r="C1415" s="60" t="n">
        <x:v>0</x:v>
      </x:c>
      <x:c r="D1415" s="60" t="n">
        <x:v>0</x:v>
      </x:c>
      <x:c r="E1415" s="62" t="b">
        <x:v>1</x:v>
      </x:c>
      <x:c r="F1415" s="62" t="b">
        <x:v>1</x:v>
      </x:c>
      <x:c r="G1415" s="85" t="n">
        <x:v>0</x:v>
      </x:c>
      <x:c r="H1415" s="85" t="n">
        <x:v>0</x:v>
      </x:c>
      <x:c r="I1415" s="85" t="n">
        <x:v>0</x:v>
      </x:c>
      <x:c r="J1415" s="85" t="n">
        <x:v>0</x:v>
      </x:c>
      <x:c r="K1415" s="85" t="n">
        <x:v>5434931.926575345</x:v>
      </x:c>
      <x:c r="L1415" s="28" t="n">
        <x:v>0</x:v>
      </x:c>
      <x:c r="M1415" s="28" t="n">
        <x:v>0</x:v>
      </x:c>
      <x:c r="N1415" s="28" t="n">
        <x:v>9.313225746154785e-10</x:v>
      </x:c>
      <x:c r="O1415" s="28" t="n">
        <x:v>0</x:v>
      </x:c>
      <x:c r="P1415" s="28" t="n">
        <x:v>0</x:v>
      </x:c>
      <x:c r="Q1415" s="62" t="b">
        <x:v>1</x:v>
      </x:c>
      <x:c r="R1415" s="28" t="n">
        <x:v>0</x:v>
      </x:c>
      <x:c r="S1415" s="28" t="str">
        <x:v>05d0da7e84c021c4</x:v>
      </x:c>
    </x:row>
    <x:row r="1416" ht="21" customHeight="1">
      <x:c r="A1416" s="60" t="n">
        <x:v>0.65</x:v>
      </x:c>
      <x:c r="B1416" s="28" t="str">
        <x:v>back_low</x:v>
      </x:c>
      <x:c r="C1416" s="60" t="n">
        <x:v>0.05</x:v>
      </x:c>
      <x:c r="D1416" s="60" t="n">
        <x:v>0.05</x:v>
      </x:c>
      <x:c r="E1416" s="62" t="b">
        <x:v>1</x:v>
      </x:c>
      <x:c r="F1416" s="62" t="b">
        <x:v>1</x:v>
      </x:c>
      <x:c r="G1416" s="85" t="n">
        <x:v>0</x:v>
      </x:c>
      <x:c r="H1416" s="85" t="n">
        <x:v>0</x:v>
      </x:c>
      <x:c r="I1416" s="85" t="n">
        <x:v>0</x:v>
      </x:c>
      <x:c r="J1416" s="85" t="n">
        <x:v>0</x:v>
      </x:c>
      <x:c r="K1416" s="85" t="n">
        <x:v>3447326.7677695584</x:v>
      </x:c>
      <x:c r="L1416" s="28" t="n">
        <x:v>0</x:v>
      </x:c>
      <x:c r="M1416" s="28" t="n">
        <x:v>0</x:v>
      </x:c>
      <x:c r="N1416" s="28" t="n">
        <x:v>9.313225746154785e-10</x:v>
      </x:c>
      <x:c r="O1416" s="28" t="n">
        <x:v>7.450580596923828e-9</x:v>
      </x:c>
      <x:c r="P1416" s="28" t="n">
        <x:v>0</x:v>
      </x:c>
      <x:c r="Q1416" s="62" t="b">
        <x:v>1</x:v>
      </x:c>
      <x:c r="R1416" s="28" t="n">
        <x:v>0</x:v>
      </x:c>
      <x:c r="S1416" s="28" t="str">
        <x:v>0ba3f33e058e86e4</x:v>
      </x:c>
    </x:row>
    <x:row r="1417" ht="21" customHeight="1">
      <x:c r="A1417" s="60" t="n">
        <x:v>0.65</x:v>
      </x:c>
      <x:c r="B1417" s="28" t="str">
        <x:v>back_low</x:v>
      </x:c>
      <x:c r="C1417" s="60" t="n">
        <x:v>0.1</x:v>
      </x:c>
      <x:c r="D1417" s="60" t="n">
        <x:v>0.1</x:v>
      </x:c>
      <x:c r="E1417" s="62" t="b">
        <x:v>1</x:v>
      </x:c>
      <x:c r="F1417" s="62" t="b">
        <x:v>1</x:v>
      </x:c>
      <x:c r="G1417" s="85" t="n">
        <x:v>0</x:v>
      </x:c>
      <x:c r="H1417" s="85" t="n">
        <x:v>0</x:v>
      </x:c>
      <x:c r="I1417" s="85" t="n">
        <x:v>0</x:v>
      </x:c>
      <x:c r="J1417" s="85" t="n">
        <x:v>0</x:v>
      </x:c>
      <x:c r="K1417" s="85" t="n">
        <x:v>1464982.6391007742</x:v>
      </x:c>
      <x:c r="L1417" s="28" t="n">
        <x:v>0</x:v>
      </x:c>
      <x:c r="M1417" s="28" t="n">
        <x:v>0</x:v>
      </x:c>
      <x:c r="N1417" s="28" t="n">
        <x:v>4.656612873077393e-10</x:v>
      </x:c>
      <x:c r="O1417" s="28" t="n">
        <x:v>7.450580596923828e-9</x:v>
      </x:c>
      <x:c r="P1417" s="28" t="n">
        <x:v>0</x:v>
      </x:c>
      <x:c r="Q1417" s="62" t="b">
        <x:v>1</x:v>
      </x:c>
      <x:c r="R1417" s="28" t="n">
        <x:v>0</x:v>
      </x:c>
      <x:c r="S1417" s="28" t="str">
        <x:v>6155d9f19f48b5f5</x:v>
      </x:c>
    </x:row>
    <x:row r="1418" ht="21" customHeight="1">
      <x:c r="A1418" s="60" t="n">
        <x:v>0.65</x:v>
      </x:c>
      <x:c r="B1418" s="28" t="str">
        <x:v>back_low</x:v>
      </x:c>
      <x:c r="C1418" s="60" t="n">
        <x:v>0.15</x:v>
      </x:c>
      <x:c r="D1418" s="60" t="n">
        <x:v>0.15</x:v>
      </x:c>
      <x:c r="E1418" s="62" t="b">
        <x:v>1</x:v>
      </x:c>
      <x:c r="F1418" s="62" t="b">
        <x:v>1</x:v>
      </x:c>
      <x:c r="G1418" s="85" t="n">
        <x:v>0</x:v>
      </x:c>
      <x:c r="H1418" s="85" t="n">
        <x:v>0</x:v>
      </x:c>
      <x:c r="I1418" s="85" t="n">
        <x:v>506037.3954155519</x:v>
      </x:c>
      <x:c r="J1418" s="85" t="n">
        <x:v>0</x:v>
      </x:c>
      <x:c r="K1418" s="85" t="n">
        <x:v>125176.00211026045</x:v>
      </x:c>
      <x:c r="L1418" s="28" t="n">
        <x:v>0</x:v>
      </x:c>
      <x:c r="M1418" s="28" t="n">
        <x:v>0</x:v>
      </x:c>
      <x:c r="N1418" s="28" t="n">
        <x:v>4.656612873077393e-10</x:v>
      </x:c>
      <x:c r="O1418" s="28" t="n">
        <x:v>7.450580596923828e-9</x:v>
      </x:c>
      <x:c r="P1418" s="28" t="n">
        <x:v>0</x:v>
      </x:c>
      <x:c r="Q1418" s="62" t="b">
        <x:v>1</x:v>
      </x:c>
      <x:c r="R1418" s="28" t="n">
        <x:v>0</x:v>
      </x:c>
      <x:c r="S1418" s="28" t="str">
        <x:v>0b2e42f39ce9f6d6</x:v>
      </x:c>
    </x:row>
    <x:row r="1419" ht="21" customHeight="1">
      <x:c r="A1419" s="60" t="n">
        <x:v>0.65</x:v>
      </x:c>
      <x:c r="B1419" s="28" t="str">
        <x:v>back_low</x:v>
      </x:c>
      <x:c r="C1419" s="60" t="n">
        <x:v>0.2</x:v>
      </x:c>
      <x:c r="D1419" s="60" t="n">
        <x:v>0.2</x:v>
      </x:c>
      <x:c r="E1419" s="62" t="b">
        <x:v>1</x:v>
      </x:c>
      <x:c r="F1419" s="62" t="b">
        <x:v>1</x:v>
      </x:c>
      <x:c r="G1419" s="85" t="n">
        <x:v>0</x:v>
      </x:c>
      <x:c r="H1419" s="85" t="n">
        <x:v>0</x:v>
      </x:c>
      <x:c r="I1419" s="85" t="n">
        <x:v>1609057.798140289</x:v>
      </x:c>
      <x:c r="J1419" s="85" t="n">
        <x:v>1245718.905732936</x:v>
      </x:c>
      <x:c r="K1419" s="85" t="n">
        <x:v>99925.31368126045</x:v>
      </x:c>
      <x:c r="L1419" s="28" t="n">
        <x:v>0</x:v>
      </x:c>
      <x:c r="M1419" s="28" t="n">
        <x:v>0</x:v>
      </x:c>
      <x:c r="N1419" s="28" t="n">
        <x:v>9.313225746154785e-10</x:v>
      </x:c>
      <x:c r="O1419" s="28" t="n">
        <x:v>7.450580596923828e-9</x:v>
      </x:c>
      <x:c r="P1419" s="28" t="n">
        <x:v>0</x:v>
      </x:c>
      <x:c r="Q1419" s="62" t="b">
        <x:v>1</x:v>
      </x:c>
      <x:c r="R1419" s="28" t="n">
        <x:v>0</x:v>
      </x:c>
      <x:c r="S1419" s="28" t="str">
        <x:v>db730a6568ab428a</x:v>
      </x:c>
    </x:row>
    <x:row r="1420" ht="21" customHeight="1">
      <x:c r="A1420" s="60" t="n">
        <x:v>0.65</x:v>
      </x:c>
      <x:c r="B1420" s="28" t="str">
        <x:v>back_low</x:v>
      </x:c>
      <x:c r="C1420" s="60" t="n">
        <x:v>0.25</x:v>
      </x:c>
      <x:c r="D1420" s="60" t="n">
        <x:v>0.25</x:v>
      </x:c>
      <x:c r="E1420" s="62" t="b">
        <x:v>1</x:v>
      </x:c>
      <x:c r="F1420" s="62" t="b">
        <x:v>1</x:v>
      </x:c>
      <x:c r="G1420" s="85" t="n">
        <x:v>0</x:v>
      </x:c>
      <x:c r="H1420" s="85" t="n">
        <x:v>0</x:v>
      </x:c>
      <x:c r="I1420" s="85" t="n">
        <x:v>2360877.4106890736</x:v>
      </x:c>
      <x:c r="J1420" s="85" t="n">
        <x:v>2950748.6321661994</x:v>
      </x:c>
      <x:c r="K1420" s="85" t="n">
        <x:v>78713.55339061614</x:v>
      </x:c>
      <x:c r="L1420" s="28" t="n">
        <x:v>0</x:v>
      </x:c>
      <x:c r="M1420" s="28" t="n">
        <x:v>0</x:v>
      </x:c>
      <x:c r="N1420" s="28" t="n">
        <x:v>4.656612873077393e-10</x:v>
      </x:c>
      <x:c r="O1420" s="28" t="n">
        <x:v>7.450580596923828e-9</x:v>
      </x:c>
      <x:c r="P1420" s="28" t="n">
        <x:v>0</x:v>
      </x:c>
      <x:c r="Q1420" s="62" t="b">
        <x:v>1</x:v>
      </x:c>
      <x:c r="R1420" s="28" t="n">
        <x:v>0</x:v>
      </x:c>
      <x:c r="S1420" s="28" t="str">
        <x:v>f9ba1210cc7b2441</x:v>
      </x:c>
    </x:row>
    <x:row r="1421" ht="21" customHeight="1">
      <x:c r="A1421" s="60" t="n">
        <x:v>0.65</x:v>
      </x:c>
      <x:c r="B1421" s="28" t="str">
        <x:v>back_low</x:v>
      </x:c>
      <x:c r="C1421" s="60" t="n">
        <x:v>0.3</x:v>
      </x:c>
      <x:c r="D1421" s="60" t="n">
        <x:v>0.3</x:v>
      </x:c>
      <x:c r="E1421" s="62" t="b">
        <x:v>1</x:v>
      </x:c>
      <x:c r="F1421" s="62" t="b">
        <x:v>1</x:v>
      </x:c>
      <x:c r="G1421" s="85" t="n">
        <x:v>0</x:v>
      </x:c>
      <x:c r="H1421" s="85" t="n">
        <x:v>0</x:v>
      </x:c>
      <x:c r="I1421" s="85" t="n">
        <x:v>3121517.016264666</x:v>
      </x:c>
      <x:c r="J1421" s="85" t="n">
        <x:v>4655778.358599426</x:v>
      </x:c>
      <x:c r="K1421" s="85" t="n">
        <x:v>64385.77080846578</x:v>
      </x:c>
      <x:c r="L1421" s="28" t="n">
        <x:v>0</x:v>
      </x:c>
      <x:c r="M1421" s="28" t="n">
        <x:v>0</x:v>
      </x:c>
      <x:c r="N1421" s="28" t="n">
        <x:v>4.656612873077393e-10</x:v>
      </x:c>
      <x:c r="O1421" s="28" t="n">
        <x:v>7.450580596923828e-9</x:v>
      </x:c>
      <x:c r="P1421" s="28" t="n">
        <x:v>0</x:v>
      </x:c>
      <x:c r="Q1421" s="62" t="b">
        <x:v>1</x:v>
      </x:c>
      <x:c r="R1421" s="28" t="n">
        <x:v>0</x:v>
      </x:c>
      <x:c r="S1421" s="28" t="str">
        <x:v>46afc0f086d98905</x:v>
      </x:c>
    </x:row>
    <x:row r="1422" ht="21" customHeight="1">
      <x:c r="A1422" s="60" t="n">
        <x:v>0.65</x:v>
      </x:c>
      <x:c r="B1422" s="28" t="str">
        <x:v>back_low</x:v>
      </x:c>
      <x:c r="C1422" s="60" t="n">
        <x:v>0.35</x:v>
      </x:c>
      <x:c r="D1422" s="60" t="n">
        <x:v>0.35</x:v>
      </x:c>
      <x:c r="E1422" s="62" t="b">
        <x:v>1</x:v>
      </x:c>
      <x:c r="F1422" s="62" t="b">
        <x:v>1</x:v>
      </x:c>
      <x:c r="G1422" s="85" t="n">
        <x:v>0</x:v>
      </x:c>
      <x:c r="H1422" s="85" t="n">
        <x:v>0</x:v>
      </x:c>
      <x:c r="I1422" s="85" t="n">
        <x:v>3879108.261989143</x:v>
      </x:c>
      <x:c r="J1422" s="85" t="n">
        <x:v>6360808.085032669</x:v>
      </x:c>
      <x:c r="K1422" s="85" t="n">
        <x:v>54432.07434246566</x:v>
      </x:c>
      <x:c r="L1422" s="28" t="n">
        <x:v>0</x:v>
      </x:c>
      <x:c r="M1422" s="28" t="n">
        <x:v>0</x:v>
      </x:c>
      <x:c r="N1422" s="28" t="n">
        <x:v>9.313225746154785e-10</x:v>
      </x:c>
      <x:c r="O1422" s="28" t="n">
        <x:v>3.725290298461914e-9</x:v>
      </x:c>
      <x:c r="P1422" s="28" t="n">
        <x:v>0</x:v>
      </x:c>
      <x:c r="Q1422" s="62" t="b">
        <x:v>1</x:v>
      </x:c>
      <x:c r="R1422" s="28" t="n">
        <x:v>0</x:v>
      </x:c>
      <x:c r="S1422" s="28" t="str">
        <x:v>88e3df479f110a66</x:v>
      </x:c>
    </x:row>
    <x:row r="1423" ht="21" customHeight="1">
      <x:c r="A1423" s="60" t="n">
        <x:v>0.65</x:v>
      </x:c>
      <x:c r="B1423" s="28" t="str">
        <x:v>back_low</x:v>
      </x:c>
      <x:c r="C1423" s="60" t="n">
        <x:v>0.4</x:v>
      </x:c>
      <x:c r="D1423" s="60" t="n">
        <x:v>0.4</x:v>
      </x:c>
      <x:c r="E1423" s="62" t="b">
        <x:v>1</x:v>
      </x:c>
      <x:c r="F1423" s="62" t="b">
        <x:v>1</x:v>
      </x:c>
      <x:c r="G1423" s="85" t="n">
        <x:v>0</x:v>
      </x:c>
      <x:c r="H1423" s="85" t="n">
        <x:v>0</x:v>
      </x:c>
      <x:c r="I1423" s="85" t="n">
        <x:v>4677746.783142041</x:v>
      </x:c>
      <x:c r="J1423" s="85" t="n">
        <x:v>8001812.993698164</x:v>
      </x:c>
      <x:c r="K1423" s="85" t="n">
        <x:v>47875.713534246686</x:v>
      </x:c>
      <x:c r="L1423" s="28" t="n">
        <x:v>1</x:v>
      </x:c>
      <x:c r="M1423" s="28" t="n">
        <x:v>0</x:v>
      </x:c>
      <x:c r="N1423" s="28" t="n">
        <x:v>9.313225746154785e-10</x:v>
      </x:c>
      <x:c r="O1423" s="28" t="n">
        <x:v>7.450580596923828e-9</x:v>
      </x:c>
      <x:c r="P1423" s="28" t="n">
        <x:v>0</x:v>
      </x:c>
      <x:c r="Q1423" s="62" t="b">
        <x:v>1</x:v>
      </x:c>
      <x:c r="R1423" s="28" t="n">
        <x:v>0</x:v>
      </x:c>
      <x:c r="S1423" s="28" t="str">
        <x:v>f4c4bfb782a7ab0b</x:v>
      </x:c>
    </x:row>
    <x:row r="1424" ht="21" customHeight="1">
      <x:c r="A1424" s="60" t="n">
        <x:v>0.65</x:v>
      </x:c>
      <x:c r="B1424" s="28" t="str">
        <x:v>back_low</x:v>
      </x:c>
      <x:c r="C1424" s="60" t="n">
        <x:v>0.45</x:v>
      </x:c>
      <x:c r="D1424" s="60" t="n">
        <x:v>0.45</x:v>
      </x:c>
      <x:c r="E1424" s="62" t="b">
        <x:v>1</x:v>
      </x:c>
      <x:c r="F1424" s="62" t="b">
        <x:v>1</x:v>
      </x:c>
      <x:c r="G1424" s="85" t="n">
        <x:v>0</x:v>
      </x:c>
      <x:c r="H1424" s="85" t="n">
        <x:v>0</x:v>
      </x:c>
      <x:c r="I1424" s="85" t="n">
        <x:v>5747223.764167076</x:v>
      </x:c>
      <x:c r="J1424" s="85" t="n">
        <x:v>9217515.776633058</x:v>
      </x:c>
      <x:c r="K1424" s="85" t="n">
        <x:v>41319.352726027646</x:v>
      </x:c>
      <x:c r="L1424" s="28" t="n">
        <x:v>7</x:v>
      </x:c>
      <x:c r="M1424" s="28" t="n">
        <x:v>0</x:v>
      </x:c>
      <x:c r="N1424" s="28" t="n">
        <x:v>9.313225746154785e-10</x:v>
      </x:c>
      <x:c r="O1424" s="28" t="n">
        <x:v>7.450580596923828e-9</x:v>
      </x:c>
      <x:c r="P1424" s="28" t="n">
        <x:v>0</x:v>
      </x:c>
      <x:c r="Q1424" s="62" t="b">
        <x:v>1</x:v>
      </x:c>
      <x:c r="R1424" s="28" t="n">
        <x:v>0</x:v>
      </x:c>
      <x:c r="S1424" s="28" t="str">
        <x:v>36e68f2faa3eafa5</x:v>
      </x:c>
    </x:row>
    <x:row r="1425" ht="21" customHeight="1">
      <x:c r="A1425" s="60" t="n">
        <x:v>0.65</x:v>
      </x:c>
      <x:c r="B1425" s="28" t="str">
        <x:v>back_low</x:v>
      </x:c>
      <x:c r="C1425" s="60" t="n">
        <x:v>0.5</x:v>
      </x:c>
      <x:c r="D1425" s="60" t="n">
        <x:v>0.5</x:v>
      </x:c>
      <x:c r="E1425" s="62" t="b">
        <x:v>1</x:v>
      </x:c>
      <x:c r="F1425" s="62" t="b">
        <x:v>1</x:v>
      </x:c>
      <x:c r="G1425" s="85" t="n">
        <x:v>0</x:v>
      </x:c>
      <x:c r="H1425" s="85" t="n">
        <x:v>0</x:v>
      </x:c>
      <x:c r="I1425" s="85" t="n">
        <x:v>6618323.932070367</x:v>
      </x:c>
      <x:c r="J1425" s="85" t="n">
        <x:v>10724948.301927133</x:v>
      </x:c>
      <x:c r="K1425" s="85" t="n">
        <x:v>34762.991917808315</x:v>
      </x:c>
      <x:c r="L1425" s="28" t="n">
        <x:v>10</x:v>
      </x:c>
      <x:c r="M1425" s="28" t="n">
        <x:v>0</x:v>
      </x:c>
      <x:c r="N1425" s="28" t="n">
        <x:v>9.313225746154785e-10</x:v>
      </x:c>
      <x:c r="O1425" s="28" t="n">
        <x:v>1.862645149230957e-9</x:v>
      </x:c>
      <x:c r="P1425" s="28" t="n">
        <x:v>0</x:v>
      </x:c>
      <x:c r="Q1425" s="62" t="b">
        <x:v>1</x:v>
      </x:c>
      <x:c r="R1425" s="28" t="n">
        <x:v>0</x:v>
      </x:c>
      <x:c r="S1425" s="28" t="str">
        <x:v>cec5f82bd476394b</x:v>
      </x:c>
    </x:row>
    <x:row r="1426" ht="21" customHeight="1">
      <x:c r="A1426" s="60" t="n">
        <x:v>0.65</x:v>
      </x:c>
      <x:c r="B1426" s="28" t="str">
        <x:v>back_low</x:v>
      </x:c>
      <x:c r="C1426" s="60" t="n">
        <x:v>0.55</x:v>
      </x:c>
      <x:c r="D1426" s="60" t="n">
        <x:v>0.55</x:v>
      </x:c>
      <x:c r="E1426" s="62" t="b">
        <x:v>1</x:v>
      </x:c>
      <x:c r="F1426" s="62" t="b">
        <x:v>1</x:v>
      </x:c>
      <x:c r="G1426" s="85" t="n">
        <x:v>0</x:v>
      </x:c>
      <x:c r="H1426" s="85" t="n">
        <x:v>0</x:v>
      </x:c>
      <x:c r="I1426" s="85" t="n">
        <x:v>7406997.403721661</x:v>
      </x:c>
      <x:c r="J1426" s="85" t="n">
        <x:v>12360153.279268371</x:v>
      </x:c>
      <x:c r="K1426" s="85" t="n">
        <x:v>28206.631109589158</x:v>
      </x:c>
      <x:c r="L1426" s="28" t="n">
        <x:v>13</x:v>
      </x:c>
      <x:c r="M1426" s="28" t="n">
        <x:v>0</x:v>
      </x:c>
      <x:c r="N1426" s="28" t="n">
        <x:v>4.656612873077393e-10</x:v>
      </x:c>
      <x:c r="O1426" s="28" t="n">
        <x:v>7.450580596923828e-9</x:v>
      </x:c>
      <x:c r="P1426" s="28" t="n">
        <x:v>0</x:v>
      </x:c>
      <x:c r="Q1426" s="62" t="b">
        <x:v>1</x:v>
      </x:c>
      <x:c r="R1426" s="28" t="n">
        <x:v>0</x:v>
      </x:c>
      <x:c r="S1426" s="28" t="str">
        <x:v>c1059da2efeada72</x:v>
      </x:c>
    </x:row>
    <x:row r="1427" ht="21" customHeight="1">
      <x:c r="A1427" s="60" t="n">
        <x:v>0.65</x:v>
      </x:c>
      <x:c r="B1427" s="28" t="str">
        <x:v>back_low</x:v>
      </x:c>
      <x:c r="C1427" s="60" t="n">
        <x:v>0.6</x:v>
      </x:c>
      <x:c r="D1427" s="60" t="n">
        <x:v>0.6</x:v>
      </x:c>
      <x:c r="E1427" s="62" t="b">
        <x:v>1</x:v>
      </x:c>
      <x:c r="F1427" s="62" t="b">
        <x:v>0</x:v>
      </x:c>
      <x:c r="G1427" s="85" t="n">
        <x:v>7515.601900460702</x:v>
      </x:c>
      <x:c r="H1427" s="85" t="n">
        <x:v>121530.86539376908</x:v>
      </x:c>
      <x:c r="I1427" s="85" t="n">
        <x:v>8099460.618144721</x:v>
      </x:c>
      <x:c r="J1427" s="85" t="n">
        <x:v>13935999.999999998</x:v>
      </x:c>
      <x:c r="K1427" s="85" t="n">
        <x:v>25339.65682191763</x:v>
      </x:c>
      <x:c r="L1427" s="28" t="n">
        <x:v>38</x:v>
      </x:c>
      <x:c r="M1427" s="28" t="n">
        <x:v>17</x:v>
      </x:c>
      <x:c r="N1427" s="28" t="n">
        <x:v>4.656612873077393e-10</x:v>
      </x:c>
      <x:c r="O1427" s="28" t="n">
        <x:v>7.450580596923828e-9</x:v>
      </x:c>
      <x:c r="P1427" s="28" t="n">
        <x:v>0</x:v>
      </x:c>
      <x:c r="Q1427" s="62" t="b">
        <x:v>1</x:v>
      </x:c>
      <x:c r="R1427" s="28" t="n">
        <x:v>0</x:v>
      </x:c>
      <x:c r="S1427" s="28" t="str">
        <x:v>9683b5d3b13bfd35</x:v>
      </x:c>
    </x:row>
    <x:row r="1428" ht="21" customHeight="1">
      <x:c r="A1428" s="60" t="n">
        <x:v>0.65</x:v>
      </x:c>
      <x:c r="B1428" s="28" t="str">
        <x:v>back_low</x:v>
      </x:c>
      <x:c r="C1428" s="60" t="n">
        <x:v>0.65</x:v>
      </x:c>
      <x:c r="D1428" s="60" t="n">
        <x:v>0.65</x:v>
      </x:c>
      <x:c r="E1428" s="62" t="b">
        <x:v>1</x:v>
      </x:c>
      <x:c r="F1428" s="62" t="b">
        <x:v>0</x:v>
      </x:c>
      <x:c r="G1428" s="85" t="n">
        <x:v>155778.63649264834</x:v>
      </x:c>
      <x:c r="H1428" s="85" t="n">
        <x:v>1940953.7564940525</x:v>
      </x:c>
      <x:c r="I1428" s="85" t="n">
        <x:v>8286381.189091516</x:v>
      </x:c>
      <x:c r="J1428" s="85" t="n">
        <x:v>13935999.999999998</x:v>
      </x:c>
      <x:c r="K1428" s="85" t="n">
        <x:v>23305.37831506857</x:v>
      </x:c>
      <x:c r="L1428" s="28" t="n">
        <x:v>39</x:v>
      </x:c>
      <x:c r="M1428" s="28" t="n">
        <x:v>30</x:v>
      </x:c>
      <x:c r="N1428" s="28" t="n">
        <x:v>4.656612873077393e-10</x:v>
      </x:c>
      <x:c r="O1428" s="28" t="n">
        <x:v>7.450580596923828e-9</x:v>
      </x:c>
      <x:c r="P1428" s="28" t="n">
        <x:v>0</x:v>
      </x:c>
      <x:c r="Q1428" s="62" t="b">
        <x:v>1</x:v>
      </x:c>
      <x:c r="R1428" s="28" t="n">
        <x:v>0</x:v>
      </x:c>
      <x:c r="S1428" s="28" t="str">
        <x:v>6c911ae97950501d</x:v>
      </x:c>
    </x:row>
    <x:row r="1429" ht="21" customHeight="1">
      <x:c r="A1429" s="60" t="n">
        <x:v>0.65</x:v>
      </x:c>
      <x:c r="B1429" s="28" t="str">
        <x:v>back_low</x:v>
      </x:c>
      <x:c r="C1429" s="60" t="n">
        <x:v>0.7</x:v>
      </x:c>
      <x:c r="D1429" s="60" t="n">
        <x:v>0.7</x:v>
      </x:c>
      <x:c r="E1429" s="62" t="b">
        <x:v>1</x:v>
      </x:c>
      <x:c r="F1429" s="62" t="b">
        <x:v>0</x:v>
      </x:c>
      <x:c r="G1429" s="85" t="n">
        <x:v>303745.60037174774</x:v>
      </x:c>
      <x:c r="H1429" s="85" t="n">
        <x:v>3780800.039414644</x:v>
      </x:c>
      <x:c r="I1429" s="85" t="n">
        <x:v>8454474.832740242</x:v>
      </x:c>
      <x:c r="J1429" s="85" t="n">
        <x:v>13935999.999999998</x:v>
      </x:c>
      <x:c r="K1429" s="85" t="n">
        <x:v>21271.099808219158</x:v>
      </x:c>
      <x:c r="L1429" s="28" t="n">
        <x:v>40</x:v>
      </x:c>
      <x:c r="M1429" s="28" t="n">
        <x:v>31</x:v>
      </x:c>
      <x:c r="N1429" s="28" t="n">
        <x:v>4.656612873077393e-10</x:v>
      </x:c>
      <x:c r="O1429" s="28" t="n">
        <x:v>3.725290298461914e-9</x:v>
      </x:c>
      <x:c r="P1429" s="28" t="n">
        <x:v>0</x:v>
      </x:c>
      <x:c r="Q1429" s="62" t="b">
        <x:v>1</x:v>
      </x:c>
      <x:c r="R1429" s="28" t="n">
        <x:v>0</x:v>
      </x:c>
      <x:c r="S1429" s="28" t="str">
        <x:v>ea7f7fbb32afe953</x:v>
      </x:c>
    </x:row>
    <x:row r="1430" ht="21" customHeight="1">
      <x:c r="A1430" s="60" t="n">
        <x:v>0.65</x:v>
      </x:c>
      <x:c r="B1430" s="28" t="str">
        <x:v>back_low</x:v>
      </x:c>
      <x:c r="C1430" s="60" t="n">
        <x:v>0.75</x:v>
      </x:c>
      <x:c r="D1430" s="60" t="n">
        <x:v>0.75</x:v>
      </x:c>
      <x:c r="E1430" s="62" t="b">
        <x:v>1</x:v>
      </x:c>
      <x:c r="F1430" s="62" t="b">
        <x:v>0</x:v>
      </x:c>
      <x:c r="G1430" s="85" t="n">
        <x:v>482478.6593684007</x:v>
      </x:c>
      <x:c r="H1430" s="85" t="n">
        <x:v>5770340.638916021</x:v>
      </x:c>
      <x:c r="I1430" s="85" t="n">
        <x:v>8473956.238914449</x:v>
      </x:c>
      <x:c r="J1430" s="85" t="n">
        <x:v>13935999.999999998</x:v>
      </x:c>
      <x:c r="K1430" s="85" t="n">
        <x:v>19236.821301369746</x:v>
      </x:c>
      <x:c r="L1430" s="28" t="n">
        <x:v>40</x:v>
      </x:c>
      <x:c r="M1430" s="28" t="n">
        <x:v>32</x:v>
      </x:c>
      <x:c r="N1430" s="28" t="n">
        <x:v>2.3283064365386963e-10</x:v>
      </x:c>
      <x:c r="O1430" s="28" t="n">
        <x:v>7.450580596923828e-9</x:v>
      </x:c>
      <x:c r="P1430" s="28" t="n">
        <x:v>0</x:v>
      </x:c>
      <x:c r="Q1430" s="62" t="b">
        <x:v>1</x:v>
      </x:c>
      <x:c r="R1430" s="28" t="n">
        <x:v>0</x:v>
      </x:c>
      <x:c r="S1430" s="28" t="str">
        <x:v>7aae8c0688ba8971</x:v>
      </x:c>
    </x:row>
    <x:row r="1431" ht="21" customHeight="1">
      <x:c r="A1431" s="60" t="n">
        <x:v>0.65</x:v>
      </x:c>
      <x:c r="B1431" s="28" t="str">
        <x:v>back_low</x:v>
      </x:c>
      <x:c r="C1431" s="60" t="n">
        <x:v>0.8</x:v>
      </x:c>
      <x:c r="D1431" s="60" t="n">
        <x:v>0.8</x:v>
      </x:c>
      <x:c r="E1431" s="62" t="b">
        <x:v>1</x:v>
      </x:c>
      <x:c r="F1431" s="62" t="b">
        <x:v>0</x:v>
      </x:c>
      <x:c r="G1431" s="85" t="n">
        <x:v>642139.7237274471</x:v>
      </x:c>
      <x:c r="H1431" s="85" t="n">
        <x:v>7520105.615640786</x:v>
      </x:c>
      <x:c r="I1431" s="85" t="n">
        <x:v>8658365.683117805</x:v>
      </x:c>
      <x:c r="J1431" s="85" t="n">
        <x:v>13935999.999999998</x:v>
      </x:c>
      <x:c r="K1431" s="85" t="n">
        <x:v>17202.54279452074</x:v>
      </x:c>
      <x:c r="L1431" s="28" t="n">
        <x:v>41</x:v>
      </x:c>
      <x:c r="M1431" s="28" t="n">
        <x:v>32</x:v>
      </x:c>
      <x:c r="N1431" s="28" t="n">
        <x:v>4.656612873077393e-10</x:v>
      </x:c>
      <x:c r="O1431" s="28" t="n">
        <x:v>3.725290298461914e-9</x:v>
      </x:c>
      <x:c r="P1431" s="28" t="n">
        <x:v>0</x:v>
      </x:c>
      <x:c r="Q1431" s="62" t="b">
        <x:v>1</x:v>
      </x:c>
      <x:c r="R1431" s="28" t="n">
        <x:v>0</x:v>
      </x:c>
      <x:c r="S1431" s="28" t="str">
        <x:v>e4739363f260b751</x:v>
      </x:c>
    </x:row>
    <x:row r="1432" ht="21" customHeight="1">
      <x:c r="A1432" s="60" t="n">
        <x:v>0.65</x:v>
      </x:c>
      <x:c r="B1432" s="28" t="str">
        <x:v>back_low</x:v>
      </x:c>
      <x:c r="C1432" s="60" t="n">
        <x:v>0.85</x:v>
      </x:c>
      <x:c r="D1432" s="60" t="n">
        <x:v>0.85</x:v>
      </x:c>
      <x:c r="E1432" s="62" t="b">
        <x:v>1</x:v>
      </x:c>
      <x:c r="F1432" s="62" t="b">
        <x:v>0</x:v>
      </x:c>
      <x:c r="G1432" s="85" t="n">
        <x:v>889072.3015204228</x:v>
      </x:c>
      <x:c r="H1432" s="85" t="n">
        <x:v>9373041.09979019</x:v>
      </x:c>
      <x:c r="I1432" s="85" t="n">
        <x:v>8671633.41029897</x:v>
      </x:c>
      <x:c r="J1432" s="85" t="n">
        <x:v>13935999.999999998</x:v>
      </x:c>
      <x:c r="K1432" s="85" t="n">
        <x:v>15168.264287670921</x:v>
      </x:c>
      <x:c r="L1432" s="28" t="n">
        <x:v>41</x:v>
      </x:c>
      <x:c r="M1432" s="28" t="n">
        <x:v>33</x:v>
      </x:c>
      <x:c r="N1432" s="28" t="n">
        <x:v>4.656612873077393e-10</x:v>
      </x:c>
      <x:c r="O1432" s="28" t="n">
        <x:v>9.313225746154785e-10</x:v>
      </x:c>
      <x:c r="P1432" s="28" t="n">
        <x:v>0</x:v>
      </x:c>
      <x:c r="Q1432" s="62" t="b">
        <x:v>1</x:v>
      </x:c>
      <x:c r="R1432" s="28" t="n">
        <x:v>0</x:v>
      </x:c>
      <x:c r="S1432" s="28" t="str">
        <x:v>556702c6e820400b</x:v>
      </x:c>
    </x:row>
    <x:row r="1433" ht="21" customHeight="1">
      <x:c r="A1433" s="60" t="n">
        <x:v>0.65</x:v>
      </x:c>
      <x:c r="B1433" s="28" t="str">
        <x:v>back_low</x:v>
      </x:c>
      <x:c r="C1433" s="60" t="n">
        <x:v>0.9</x:v>
      </x:c>
      <x:c r="D1433" s="60" t="n">
        <x:v>0.880265491166173</x:v>
      </x:c>
      <x:c r="E1433" s="62" t="b">
        <x:v>0</x:v>
      </x:c>
      <x:c r="F1433" s="62" t="b">
        <x:v>0</x:v>
      </x:c>
      <x:c r="G1433" s="85" t="n">
        <x:v>1161295.8962007863</x:v>
      </x:c>
      <x:c r="H1433" s="85" t="n">
        <x:v>10182156.720394121</x:v>
      </x:c>
      <x:c r="I1433" s="85" t="n">
        <x:v>8841211.426626654</x:v>
      </x:c>
      <x:c r="J1433" s="85" t="n">
        <x:v>13935999.999999998</x:v>
      </x:c>
      <x:c r="K1433" s="85" t="n">
        <x:v>13133.985780821684</x:v>
      </x:c>
      <x:c r="L1433" s="28" t="n">
        <x:v>42</x:v>
      </x:c>
      <x:c r="M1433" s="28" t="n">
        <x:v>34</x:v>
      </x:c>
      <x:c r="N1433" s="28" t="n">
        <x:v>4.656612873077393e-10</x:v>
      </x:c>
      <x:c r="O1433" s="28" t="n">
        <x:v>3.725290298461914e-9</x:v>
      </x:c>
      <x:c r="P1433" s="28" t="n">
        <x:v>0</x:v>
      </x:c>
      <x:c r="Q1433" s="62" t="b">
        <x:v>1</x:v>
      </x:c>
      <x:c r="R1433" s="28" t="n">
        <x:v>1100080.4604328498</x:v>
      </x:c>
      <x:c r="S1433" s="28" t="str">
        <x:v>de5725ce4eb3def0</x:v>
      </x:c>
    </x:row>
    <x:row r="1434" ht="21" customHeight="1">
      <x:c r="A1434" s="60" t="n">
        <x:v>0.65</x:v>
      </x:c>
      <x:c r="B1434" s="28" t="str">
        <x:v>back_low</x:v>
      </x:c>
      <x:c r="C1434" s="60" t="n">
        <x:v>0.95</x:v>
      </x:c>
      <x:c r="D1434" s="60" t="n">
        <x:v>0.8954794051096439</x:v>
      </x:c>
      <x:c r="E1434" s="62" t="b">
        <x:v>0</x:v>
      </x:c>
      <x:c r="F1434" s="62" t="b">
        <x:v>0</x:v>
      </x:c>
      <x:c r="G1434" s="85" t="n">
        <x:v>1239672.0863624865</x:v>
      </x:c>
      <x:c r="H1434" s="85" t="n">
        <x:v>10869353.371983653</x:v>
      </x:c>
      <x:c r="I1434" s="85" t="n">
        <x:v>8849279.914285518</x:v>
      </x:c>
      <x:c r="J1434" s="85" t="n">
        <x:v>13935999.999999998</x:v>
      </x:c>
      <x:c r="K1434" s="85" t="n">
        <x:v>11099.707273972796</x:v>
      </x:c>
      <x:c r="L1434" s="28" t="n">
        <x:v>42</x:v>
      </x:c>
      <x:c r="M1434" s="28" t="n">
        <x:v>34</x:v>
      </x:c>
      <x:c r="N1434" s="28" t="n">
        <x:v>4.656612873077393e-10</x:v>
      </x:c>
      <x:c r="O1434" s="28" t="n">
        <x:v>3.725290298461914e-9</x:v>
      </x:c>
      <x:c r="P1434" s="28" t="n">
        <x:v>0</x:v>
      </x:c>
      <x:c r="Q1434" s="62" t="b">
        <x:v>1</x:v>
      </x:c>
      <x:c r="R1434" s="28" t="n">
        <x:v>3039196.041568011</x:v>
      </x:c>
      <x:c r="S1434" s="28" t="str">
        <x:v>9758032b861c70d2</x:v>
      </x:c>
    </x:row>
    <x:row r="1435" ht="21" customHeight="1">
      <x:c r="A1435" s="60" t="n">
        <x:v>0.65</x:v>
      </x:c>
      <x:c r="B1435" s="28" t="str">
        <x:v>back_low</x:v>
      </x:c>
      <x:c r="C1435" s="60" t="n">
        <x:v>1</x:v>
      </x:c>
      <x:c r="D1435" s="60" t="n">
        <x:v>0.9093341115290656</x:v>
      </x:c>
      <x:c r="E1435" s="62" t="b">
        <x:v>0</x:v>
      </x:c>
      <x:c r="F1435" s="62" t="b">
        <x:v>0</x:v>
      </x:c>
      <x:c r="G1435" s="85" t="n">
        <x:v>1358671.2342548273</x:v>
      </x:c>
      <x:c r="H1435" s="85" t="n">
        <x:v>11432671.703967815</x:v>
      </x:c>
      <x:c r="I1435" s="85" t="n">
        <x:v>8858224.191533422</x:v>
      </x:c>
      <x:c r="J1435" s="85" t="n">
        <x:v>13935999.999999998</x:v>
      </x:c>
      <x:c r="K1435" s="85" t="n">
        <x:v>9065.42876712315</x:v>
      </x:c>
      <x:c r="L1435" s="28" t="n">
        <x:v>42</x:v>
      </x:c>
      <x:c r="M1435" s="28" t="n">
        <x:v>35</x:v>
      </x:c>
      <x:c r="N1435" s="28" t="n">
        <x:v>4.656612873077393e-10</x:v>
      </x:c>
      <x:c r="O1435" s="28" t="n">
        <x:v>3.725290298461914e-9</x:v>
      </x:c>
      <x:c r="P1435" s="28" t="n">
        <x:v>0</x:v>
      </x:c>
      <x:c r="Q1435" s="62" t="b">
        <x:v>1</x:v>
      </x:c>
      <x:c r="R1435" s="28" t="n">
        <x:v>5054079.286923766</x:v>
      </x:c>
      <x:c r="S1435" s="28" t="str">
        <x:v>981b6d26e2a00f54</x:v>
      </x:c>
    </x:row>
    <x:row r="1436" ht="21" customHeight="1">
      <x:c r="A1436" s="60" t="n">
        <x:v>0.65</x:v>
      </x:c>
      <x:c r="B1436" s="28" t="str">
        <x:v>back_high</x:v>
      </x:c>
      <x:c r="C1436" s="60" t="n">
        <x:v>0</x:v>
      </x:c>
      <x:c r="D1436" s="60" t="n">
        <x:v>0</x:v>
      </x:c>
      <x:c r="E1436" s="62" t="b">
        <x:v>1</x:v>
      </x:c>
      <x:c r="F1436" s="62" t="b">
        <x:v>1</x:v>
      </x:c>
      <x:c r="G1436" s="85" t="n">
        <x:v>0</x:v>
      </x:c>
      <x:c r="H1436" s="85" t="n">
        <x:v>0</x:v>
      </x:c>
      <x:c r="I1436" s="85" t="n">
        <x:v>0</x:v>
      </x:c>
      <x:c r="J1436" s="85" t="n">
        <x:v>0</x:v>
      </x:c>
      <x:c r="K1436" s="85" t="n">
        <x:v>7124228.567671235</x:v>
      </x:c>
      <x:c r="L1436" s="28" t="n">
        <x:v>0</x:v>
      </x:c>
      <x:c r="M1436" s="28" t="n">
        <x:v>0</x:v>
      </x:c>
      <x:c r="N1436" s="28" t="n">
        <x:v>9.313225746154785e-10</x:v>
      </x:c>
      <x:c r="O1436" s="28" t="n">
        <x:v>0</x:v>
      </x:c>
      <x:c r="P1436" s="28" t="n">
        <x:v>0</x:v>
      </x:c>
      <x:c r="Q1436" s="62" t="b">
        <x:v>1</x:v>
      </x:c>
      <x:c r="R1436" s="28" t="n">
        <x:v>0</x:v>
      </x:c>
      <x:c r="S1436" s="28" t="str">
        <x:v>c2097498eaf6cd99</x:v>
      </x:c>
    </x:row>
    <x:row r="1437" ht="21" customHeight="1">
      <x:c r="A1437" s="60" t="n">
        <x:v>0.65</x:v>
      </x:c>
      <x:c r="B1437" s="28" t="str">
        <x:v>back_high</x:v>
      </x:c>
      <x:c r="C1437" s="60" t="n">
        <x:v>0.05</x:v>
      </x:c>
      <x:c r="D1437" s="60" t="n">
        <x:v>0.05</x:v>
      </x:c>
      <x:c r="E1437" s="62" t="b">
        <x:v>1</x:v>
      </x:c>
      <x:c r="F1437" s="62" t="b">
        <x:v>1</x:v>
      </x:c>
      <x:c r="G1437" s="85" t="n">
        <x:v>0</x:v>
      </x:c>
      <x:c r="H1437" s="85" t="n">
        <x:v>0</x:v>
      </x:c>
      <x:c r="I1437" s="85" t="n">
        <x:v>0</x:v>
      </x:c>
      <x:c r="J1437" s="85" t="n">
        <x:v>0</x:v>
      </x:c>
      <x:c r="K1437" s="85" t="n">
        <x:v>4674682.544721358</x:v>
      </x:c>
      <x:c r="L1437" s="28" t="n">
        <x:v>0</x:v>
      </x:c>
      <x:c r="M1437" s="28" t="n">
        <x:v>0</x:v>
      </x:c>
      <x:c r="N1437" s="28" t="n">
        <x:v>4.656612873077393e-10</x:v>
      </x:c>
      <x:c r="O1437" s="28" t="n">
        <x:v>7.450580596923828e-9</x:v>
      </x:c>
      <x:c r="P1437" s="28" t="n">
        <x:v>0</x:v>
      </x:c>
      <x:c r="Q1437" s="62" t="b">
        <x:v>1</x:v>
      </x:c>
      <x:c r="R1437" s="28" t="n">
        <x:v>0</x:v>
      </x:c>
      <x:c r="S1437" s="28" t="str">
        <x:v>6b1a1dfa538b9f5c</x:v>
      </x:c>
    </x:row>
    <x:row r="1438" ht="21" customHeight="1">
      <x:c r="A1438" s="60" t="n">
        <x:v>0.65</x:v>
      </x:c>
      <x:c r="B1438" s="28" t="str">
        <x:v>back_high</x:v>
      </x:c>
      <x:c r="C1438" s="60" t="n">
        <x:v>0.1</x:v>
      </x:c>
      <x:c r="D1438" s="60" t="n">
        <x:v>0.1</x:v>
      </x:c>
      <x:c r="E1438" s="62" t="b">
        <x:v>1</x:v>
      </x:c>
      <x:c r="F1438" s="62" t="b">
        <x:v>1</x:v>
      </x:c>
      <x:c r="G1438" s="85" t="n">
        <x:v>0</x:v>
      </x:c>
      <x:c r="H1438" s="85" t="n">
        <x:v>0</x:v>
      </x:c>
      <x:c r="I1438" s="85" t="n">
        <x:v>0</x:v>
      </x:c>
      <x:c r="J1438" s="85" t="n">
        <x:v>0</x:v>
      </x:c>
      <x:c r="K1438" s="85" t="n">
        <x:v>2230397.5519084884</x:v>
      </x:c>
      <x:c r="L1438" s="28" t="n">
        <x:v>0</x:v>
      </x:c>
      <x:c r="M1438" s="28" t="n">
        <x:v>0</x:v>
      </x:c>
      <x:c r="N1438" s="28" t="n">
        <x:v>9.313225746154785e-10</x:v>
      </x:c>
      <x:c r="O1438" s="28" t="n">
        <x:v>7.450580596923828e-9</x:v>
      </x:c>
      <x:c r="P1438" s="28" t="n">
        <x:v>0</x:v>
      </x:c>
      <x:c r="Q1438" s="62" t="b">
        <x:v>1</x:v>
      </x:c>
      <x:c r="R1438" s="28" t="n">
        <x:v>0</x:v>
      </x:c>
      <x:c r="S1438" s="28" t="str">
        <x:v>820afd03acdd36f0</x:v>
      </x:c>
    </x:row>
    <x:row r="1439" ht="21" customHeight="1">
      <x:c r="A1439" s="60" t="n">
        <x:v>0.65</x:v>
      </x:c>
      <x:c r="B1439" s="28" t="str">
        <x:v>back_high</x:v>
      </x:c>
      <x:c r="C1439" s="60" t="n">
        <x:v>0.15</x:v>
      </x:c>
      <x:c r="D1439" s="60" t="n">
        <x:v>0.15</x:v>
      </x:c>
      <x:c r="E1439" s="62" t="b">
        <x:v>1</x:v>
      </x:c>
      <x:c r="F1439" s="62" t="b">
        <x:v>1</x:v>
      </x:c>
      <x:c r="G1439" s="85" t="n">
        <x:v>0</x:v>
      </x:c>
      <x:c r="H1439" s="85" t="n">
        <x:v>0</x:v>
      </x:c>
      <x:c r="I1439" s="85" t="n">
        <x:v>742514.1370294173</x:v>
      </x:c>
      <x:c r="J1439" s="85" t="n">
        <x:v>0</x:v>
      </x:c>
      <x:c r="K1439" s="85" t="n">
        <x:v>588036.8396841204</x:v>
      </x:c>
      <x:c r="L1439" s="28" t="n">
        <x:v>0</x:v>
      </x:c>
      <x:c r="M1439" s="28" t="n">
        <x:v>0</x:v>
      </x:c>
      <x:c r="N1439" s="28" t="n">
        <x:v>9.313225746154785e-10</x:v>
      </x:c>
      <x:c r="O1439" s="28" t="n">
        <x:v>7.450580596923828e-9</x:v>
      </x:c>
      <x:c r="P1439" s="28" t="n">
        <x:v>0</x:v>
      </x:c>
      <x:c r="Q1439" s="62" t="b">
        <x:v>1</x:v>
      </x:c>
      <x:c r="R1439" s="28" t="n">
        <x:v>0</x:v>
      </x:c>
      <x:c r="S1439" s="28" t="str">
        <x:v>390f7b53010c05e6</x:v>
      </x:c>
    </x:row>
    <x:row r="1440" ht="21" customHeight="1">
      <x:c r="A1440" s="60" t="n">
        <x:v>0.65</x:v>
      </x:c>
      <x:c r="B1440" s="28" t="str">
        <x:v>back_high</x:v>
      </x:c>
      <x:c r="C1440" s="60" t="n">
        <x:v>0.2</x:v>
      </x:c>
      <x:c r="D1440" s="60" t="n">
        <x:v>0.2</x:v>
      </x:c>
      <x:c r="E1440" s="62" t="b">
        <x:v>1</x:v>
      </x:c>
      <x:c r="F1440" s="62" t="b">
        <x:v>1</x:v>
      </x:c>
      <x:c r="G1440" s="85" t="n">
        <x:v>0</x:v>
      </x:c>
      <x:c r="H1440" s="85" t="n">
        <x:v>0</x:v>
      </x:c>
      <x:c r="I1440" s="85" t="n">
        <x:v>2593279.534740039</x:v>
      </x:c>
      <x:c r="J1440" s="85" t="n">
        <x:v>1245718.905732936</x:v>
      </x:c>
      <x:c r="K1440" s="85" t="n">
        <x:v>473972.01049421047</x:v>
      </x:c>
      <x:c r="L1440" s="28" t="n">
        <x:v>0</x:v>
      </x:c>
      <x:c r="M1440" s="28" t="n">
        <x:v>0</x:v>
      </x:c>
      <x:c r="N1440" s="28" t="n">
        <x:v>9.313225746154785e-10</x:v>
      </x:c>
      <x:c r="O1440" s="28" t="n">
        <x:v>7.450580596923828e-9</x:v>
      </x:c>
      <x:c r="P1440" s="28" t="n">
        <x:v>0</x:v>
      </x:c>
      <x:c r="Q1440" s="62" t="b">
        <x:v>1</x:v>
      </x:c>
      <x:c r="R1440" s="28" t="n">
        <x:v>0</x:v>
      </x:c>
      <x:c r="S1440" s="28" t="str">
        <x:v>10cdf7a4ab2e44e5</x:v>
      </x:c>
    </x:row>
    <x:row r="1441" ht="21" customHeight="1">
      <x:c r="A1441" s="60" t="n">
        <x:v>0.65</x:v>
      </x:c>
      <x:c r="B1441" s="28" t="str">
        <x:v>back_high</x:v>
      </x:c>
      <x:c r="C1441" s="60" t="n">
        <x:v>0.25</x:v>
      </x:c>
      <x:c r="D1441" s="60" t="n">
        <x:v>0.25</x:v>
      </x:c>
      <x:c r="E1441" s="62" t="b">
        <x:v>1</x:v>
      </x:c>
      <x:c r="F1441" s="62" t="b">
        <x:v>1</x:v>
      </x:c>
      <x:c r="G1441" s="85" t="n">
        <x:v>0</x:v>
      </x:c>
      <x:c r="H1441" s="85" t="n">
        <x:v>0</x:v>
      </x:c>
      <x:c r="I1441" s="85" t="n">
        <x:v>4201008.685548367</x:v>
      </x:c>
      <x:c r="J1441" s="85" t="n">
        <x:v>2950748.6321661994</x:v>
      </x:c>
      <x:c r="K1441" s="85" t="n">
        <x:v>398824.37830945087</x:v>
      </x:c>
      <x:c r="L1441" s="28" t="n">
        <x:v>0</x:v>
      </x:c>
      <x:c r="M1441" s="28" t="n">
        <x:v>0</x:v>
      </x:c>
      <x:c r="N1441" s="28" t="n">
        <x:v>9.313225746154785e-10</x:v>
      </x:c>
      <x:c r="O1441" s="28" t="n">
        <x:v>7.450580596923828e-9</x:v>
      </x:c>
      <x:c r="P1441" s="28" t="n">
        <x:v>0</x:v>
      </x:c>
      <x:c r="Q1441" s="62" t="b">
        <x:v>1</x:v>
      </x:c>
      <x:c r="R1441" s="28" t="n">
        <x:v>0</x:v>
      </x:c>
      <x:c r="S1441" s="28" t="str">
        <x:v>90e955d16cd87a4a</x:v>
      </x:c>
    </x:row>
    <x:row r="1442" ht="21" customHeight="1">
      <x:c r="A1442" s="60" t="n">
        <x:v>0.65</x:v>
      </x:c>
      <x:c r="B1442" s="28" t="str">
        <x:v>back_high</x:v>
      </x:c>
      <x:c r="C1442" s="60" t="n">
        <x:v>0.3</x:v>
      </x:c>
      <x:c r="D1442" s="60" t="n">
        <x:v>0.3</x:v>
      </x:c>
      <x:c r="E1442" s="62" t="b">
        <x:v>1</x:v>
      </x:c>
      <x:c r="F1442" s="62" t="b">
        <x:v>1</x:v>
      </x:c>
      <x:c r="G1442" s="85" t="n">
        <x:v>0</x:v>
      </x:c>
      <x:c r="H1442" s="85" t="n">
        <x:v>0</x:v>
      </x:c>
      <x:c r="I1442" s="85" t="n">
        <x:v>5842172.292338438</x:v>
      </x:c>
      <x:c r="J1442" s="85" t="n">
        <x:v>4655778.358599426</x:v>
      </x:c>
      <x:c r="K1442" s="85" t="n">
        <x:v>329477.8311768233</x:v>
      </x:c>
      <x:c r="L1442" s="28" t="n">
        <x:v>0</x:v>
      </x:c>
      <x:c r="M1442" s="28" t="n">
        <x:v>0</x:v>
      </x:c>
      <x:c r="N1442" s="28" t="n">
        <x:v>4.656612873077393e-10</x:v>
      </x:c>
      <x:c r="O1442" s="28" t="n">
        <x:v>7.450580596923828e-9</x:v>
      </x:c>
      <x:c r="P1442" s="28" t="n">
        <x:v>0</x:v>
      </x:c>
      <x:c r="Q1442" s="62" t="b">
        <x:v>1</x:v>
      </x:c>
      <x:c r="R1442" s="28" t="n">
        <x:v>0</x:v>
      </x:c>
      <x:c r="S1442" s="28" t="str">
        <x:v>1301b93f78e1521c</x:v>
      </x:c>
    </x:row>
    <x:row r="1443" ht="21" customHeight="1">
      <x:c r="A1443" s="60" t="n">
        <x:v>0.65</x:v>
      </x:c>
      <x:c r="B1443" s="28" t="str">
        <x:v>back_high</x:v>
      </x:c>
      <x:c r="C1443" s="60" t="n">
        <x:v>0.35</x:v>
      </x:c>
      <x:c r="D1443" s="60" t="n">
        <x:v>0.35</x:v>
      </x:c>
      <x:c r="E1443" s="62" t="b">
        <x:v>1</x:v>
      </x:c>
      <x:c r="F1443" s="62" t="b">
        <x:v>1</x:v>
      </x:c>
      <x:c r="G1443" s="85" t="n">
        <x:v>0</x:v>
      </x:c>
      <x:c r="H1443" s="85" t="n">
        <x:v>0</x:v>
      </x:c>
      <x:c r="I1443" s="85" t="n">
        <x:v>7479995.003709917</x:v>
      </x:c>
      <x:c r="J1443" s="85" t="n">
        <x:v>6360808.085032669</x:v>
      </x:c>
      <x:c r="K1443" s="85" t="n">
        <x:v>281638.26818172686</x:v>
      </x:c>
      <x:c r="L1443" s="28" t="n">
        <x:v>0</x:v>
      </x:c>
      <x:c r="M1443" s="28" t="n">
        <x:v>0</x:v>
      </x:c>
      <x:c r="N1443" s="28" t="n">
        <x:v>4.656612873077393e-10</x:v>
      </x:c>
      <x:c r="O1443" s="28" t="n">
        <x:v>3.725290298461914e-9</x:v>
      </x:c>
      <x:c r="P1443" s="28" t="n">
        <x:v>0</x:v>
      </x:c>
      <x:c r="Q1443" s="62" t="b">
        <x:v>1</x:v>
      </x:c>
      <x:c r="R1443" s="28" t="n">
        <x:v>0</x:v>
      </x:c>
      <x:c r="S1443" s="28" t="str">
        <x:v>5c9258e3fa2aa733</x:v>
      </x:c>
    </x:row>
    <x:row r="1444" ht="21" customHeight="1">
      <x:c r="A1444" s="60" t="n">
        <x:v>0.65</x:v>
      </x:c>
      <x:c r="B1444" s="28" t="str">
        <x:v>back_high</x:v>
      </x:c>
      <x:c r="C1444" s="60" t="n">
        <x:v>0.4</x:v>
      </x:c>
      <x:c r="D1444" s="60" t="n">
        <x:v>0.4</x:v>
      </x:c>
      <x:c r="E1444" s="62" t="b">
        <x:v>1</x:v>
      </x:c>
      <x:c r="F1444" s="62" t="b">
        <x:v>1</x:v>
      </x:c>
      <x:c r="G1444" s="85" t="n">
        <x:v>0</x:v>
      </x:c>
      <x:c r="H1444" s="85" t="n">
        <x:v>0</x:v>
      </x:c>
      <x:c r="I1444" s="85" t="n">
        <x:v>9154320.379862191</x:v>
      </x:c>
      <x:c r="J1444" s="85" t="n">
        <x:v>7974577.5965813985</x:v>
      </x:c>
      <x:c r="K1444" s="85" t="n">
        <x:v>242173.31463430123</x:v>
      </x:c>
      <x:c r="L1444" s="28" t="n">
        <x:v>1</x:v>
      </x:c>
      <x:c r="M1444" s="28" t="n">
        <x:v>0</x:v>
      </x:c>
      <x:c r="N1444" s="28" t="n">
        <x:v>2.3283064365386963e-10</x:v>
      </x:c>
      <x:c r="O1444" s="28" t="n">
        <x:v>7.450580596923828e-9</x:v>
      </x:c>
      <x:c r="P1444" s="28" t="n">
        <x:v>0</x:v>
      </x:c>
      <x:c r="Q1444" s="62" t="b">
        <x:v>1</x:v>
      </x:c>
      <x:c r="R1444" s="28" t="n">
        <x:v>0</x:v>
      </x:c>
      <x:c r="S1444" s="28" t="str">
        <x:v>7f8712eb6d687647</x:v>
      </x:c>
    </x:row>
    <x:row r="1445" ht="21" customHeight="1">
      <x:c r="A1445" s="60" t="n">
        <x:v>0.65</x:v>
      </x:c>
      <x:c r="B1445" s="28" t="str">
        <x:v>back_high</x:v>
      </x:c>
      <x:c r="C1445" s="60" t="n">
        <x:v>0.45</x:v>
      </x:c>
      <x:c r="D1445" s="60" t="n">
        <x:v>0.45</x:v>
      </x:c>
      <x:c r="E1445" s="62" t="b">
        <x:v>1</x:v>
      </x:c>
      <x:c r="F1445" s="62" t="b">
        <x:v>1</x:v>
      </x:c>
      <x:c r="G1445" s="85" t="n">
        <x:v>0</x:v>
      </x:c>
      <x:c r="H1445" s="85" t="n">
        <x:v>0</x:v>
      </x:c>
      <x:c r="I1445" s="85" t="n">
        <x:v>10946394.951522622</x:v>
      </x:c>
      <x:c r="J1445" s="85" t="n">
        <x:v>9012712.058076661</x:v>
      </x:c>
      <x:c r="K1445" s="85" t="n">
        <x:v>210563.5860958902</x:v>
      </x:c>
      <x:c r="L1445" s="28" t="n">
        <x:v>6</x:v>
      </x:c>
      <x:c r="M1445" s="28" t="n">
        <x:v>0</x:v>
      </x:c>
      <x:c r="N1445" s="28" t="n">
        <x:v>2.3283064365386963e-10</x:v>
      </x:c>
      <x:c r="O1445" s="28" t="n">
        <x:v>7.450580596923828e-9</x:v>
      </x:c>
      <x:c r="P1445" s="28" t="n">
        <x:v>0</x:v>
      </x:c>
      <x:c r="Q1445" s="62" t="b">
        <x:v>1</x:v>
      </x:c>
      <x:c r="R1445" s="28" t="n">
        <x:v>0</x:v>
      </x:c>
      <x:c r="S1445" s="28" t="str">
        <x:v>72bb8f3c8696eb50</x:v>
      </x:c>
    </x:row>
    <x:row r="1446" ht="21" customHeight="1">
      <x:c r="A1446" s="60" t="n">
        <x:v>0.65</x:v>
      </x:c>
      <x:c r="B1446" s="28" t="str">
        <x:v>back_high</x:v>
      </x:c>
      <x:c r="C1446" s="60" t="n">
        <x:v>0.5</x:v>
      </x:c>
      <x:c r="D1446" s="60" t="n">
        <x:v>0.5</x:v>
      </x:c>
      <x:c r="E1446" s="62" t="b">
        <x:v>1</x:v>
      </x:c>
      <x:c r="F1446" s="62" t="b">
        <x:v>1</x:v>
      </x:c>
      <x:c r="G1446" s="85" t="n">
        <x:v>0</x:v>
      </x:c>
      <x:c r="H1446" s="85" t="n">
        <x:v>0</x:v>
      </x:c>
      <x:c r="I1446" s="85" t="n">
        <x:v>12640062.275139693</x:v>
      </x:c>
      <x:c r="J1446" s="85" t="n">
        <x:v>10416148.62927653</x:v>
      </x:c>
      <x:c r="K1446" s="85" t="n">
        <x:v>192596.36232876743</x:v>
      </x:c>
      <x:c r="L1446" s="28" t="n">
        <x:v>10</x:v>
      </x:c>
      <x:c r="M1446" s="28" t="n">
        <x:v>4</x:v>
      </x:c>
      <x:c r="N1446" s="28" t="n">
        <x:v>4.656612873077393e-10</x:v>
      </x:c>
      <x:c r="O1446" s="28" t="n">
        <x:v>1.862645149230957e-9</x:v>
      </x:c>
      <x:c r="P1446" s="28" t="n">
        <x:v>0</x:v>
      </x:c>
      <x:c r="Q1446" s="62" t="b">
        <x:v>1</x:v>
      </x:c>
      <x:c r="R1446" s="28" t="n">
        <x:v>0</x:v>
      </x:c>
      <x:c r="S1446" s="28" t="str">
        <x:v>ba8b939d6d8344ca</x:v>
      </x:c>
    </x:row>
    <x:row r="1447" ht="21" customHeight="1">
      <x:c r="A1447" s="60" t="n">
        <x:v>0.65</x:v>
      </x:c>
      <x:c r="B1447" s="28" t="str">
        <x:v>back_high</x:v>
      </x:c>
      <x:c r="C1447" s="60" t="n">
        <x:v>0.55</x:v>
      </x:c>
      <x:c r="D1447" s="60" t="n">
        <x:v>0.55</x:v>
      </x:c>
      <x:c r="E1447" s="62" t="b">
        <x:v>1</x:v>
      </x:c>
      <x:c r="F1447" s="62" t="b">
        <x:v>1</x:v>
      </x:c>
      <x:c r="G1447" s="85" t="n">
        <x:v>0</x:v>
      </x:c>
      <x:c r="H1447" s="85" t="n">
        <x:v>0</x:v>
      </x:c>
      <x:c r="I1447" s="85" t="n">
        <x:v>14260556.981736949</x:v>
      </x:c>
      <x:c r="J1447" s="85" t="n">
        <x:v>12191497.2451538</x:v>
      </x:c>
      <x:c r="K1447" s="85" t="n">
        <x:v>174629.13856164253</x:v>
      </x:c>
      <x:c r="L1447" s="28" t="n">
        <x:v>13</x:v>
      </x:c>
      <x:c r="M1447" s="28" t="n">
        <x:v>7</x:v>
      </x:c>
      <x:c r="N1447" s="28" t="n">
        <x:v>4.656612873077393e-10</x:v>
      </x:c>
      <x:c r="O1447" s="28" t="n">
        <x:v>7.450580596923828e-9</x:v>
      </x:c>
      <x:c r="P1447" s="28" t="n">
        <x:v>0</x:v>
      </x:c>
      <x:c r="Q1447" s="62" t="b">
        <x:v>1</x:v>
      </x:c>
      <x:c r="R1447" s="28" t="n">
        <x:v>0</x:v>
      </x:c>
      <x:c r="S1447" s="28" t="str">
        <x:v>c29fad84736967e4</x:v>
      </x:c>
    </x:row>
    <x:row r="1448" ht="21" customHeight="1">
      <x:c r="A1448" s="60" t="n">
        <x:v>0.65</x:v>
      </x:c>
      <x:c r="B1448" s="28" t="str">
        <x:v>back_high</x:v>
      </x:c>
      <x:c r="C1448" s="60" t="n">
        <x:v>0.6</x:v>
      </x:c>
      <x:c r="D1448" s="60" t="n">
        <x:v>0.6</x:v>
      </x:c>
      <x:c r="E1448" s="62" t="b">
        <x:v>1</x:v>
      </x:c>
      <x:c r="F1448" s="62" t="b">
        <x:v>0</x:v>
      </x:c>
      <x:c r="G1448" s="85" t="n">
        <x:v>79135.28473222011</x:v>
      </x:c>
      <x:c r="H1448" s="85" t="n">
        <x:v>243209.6166158653</x:v>
      </x:c>
      <x:c r="I1448" s="85" t="n">
        <x:v>15678449.356005037</x:v>
      </x:c>
      <x:c r="J1448" s="85" t="n">
        <x:v>13935999.999999998</x:v>
      </x:c>
      <x:c r="K1448" s="85" t="n">
        <x:v>156661.91479452112</x:v>
      </x:c>
      <x:c r="L1448" s="28" t="n">
        <x:v>38</x:v>
      </x:c>
      <x:c r="M1448" s="28" t="n">
        <x:v>33</x:v>
      </x:c>
      <x:c r="N1448" s="28" t="n">
        <x:v>4.656612873077393e-10</x:v>
      </x:c>
      <x:c r="O1448" s="28" t="n">
        <x:v>7.450580596923828e-9</x:v>
      </x:c>
      <x:c r="P1448" s="28" t="n">
        <x:v>0</x:v>
      </x:c>
      <x:c r="Q1448" s="62" t="b">
        <x:v>1</x:v>
      </x:c>
      <x:c r="R1448" s="28" t="n">
        <x:v>0</x:v>
      </x:c>
      <x:c r="S1448" s="28" t="str">
        <x:v>94ed9f25477e4e73</x:v>
      </x:c>
    </x:row>
    <x:row r="1449" ht="21" customHeight="1">
      <x:c r="A1449" s="60" t="n">
        <x:v>0.65</x:v>
      </x:c>
      <x:c r="B1449" s="28" t="str">
        <x:v>back_high</x:v>
      </x:c>
      <x:c r="C1449" s="60" t="n">
        <x:v>0.65</x:v>
      </x:c>
      <x:c r="D1449" s="60" t="n">
        <x:v>0.65</x:v>
      </x:c>
      <x:c r="E1449" s="62" t="b">
        <x:v>1</x:v>
      </x:c>
      <x:c r="F1449" s="62" t="b">
        <x:v>0</x:v>
      </x:c>
      <x:c r="G1449" s="85" t="n">
        <x:v>815837.093958654</x:v>
      </x:c>
      <x:c r="H1449" s="85" t="n">
        <x:v>2573775.17097593</x:v>
      </x:c>
      <x:c r="I1449" s="85" t="n">
        <x:v>16011607.38074829</x:v>
      </x:c>
      <x:c r="J1449" s="85" t="n">
        <x:v>13935999.999999998</x:v>
      </x:c>
      <x:c r="K1449" s="85" t="n">
        <x:v>138694.69102739784</x:v>
      </x:c>
      <x:c r="L1449" s="28" t="n">
        <x:v>39</x:v>
      </x:c>
      <x:c r="M1449" s="28" t="n">
        <x:v>34</x:v>
      </x:c>
      <x:c r="N1449" s="28" t="n">
        <x:v>9.313225746154785e-10</x:v>
      </x:c>
      <x:c r="O1449" s="28" t="n">
        <x:v>7.450580596923828e-9</x:v>
      </x:c>
      <x:c r="P1449" s="28" t="n">
        <x:v>0</x:v>
      </x:c>
      <x:c r="Q1449" s="62" t="b">
        <x:v>1</x:v>
      </x:c>
      <x:c r="R1449" s="28" t="n">
        <x:v>0</x:v>
      </x:c>
      <x:c r="S1449" s="28" t="str">
        <x:v>48e36f56d0242fc2</x:v>
      </x:c>
    </x:row>
    <x:row r="1450" ht="21" customHeight="1">
      <x:c r="A1450" s="60" t="n">
        <x:v>0.65</x:v>
      </x:c>
      <x:c r="B1450" s="28" t="str">
        <x:v>back_high</x:v>
      </x:c>
      <x:c r="C1450" s="60" t="n">
        <x:v>0.7</x:v>
      </x:c>
      <x:c r="D1450" s="60" t="n">
        <x:v>0.7</x:v>
      </x:c>
      <x:c r="E1450" s="62" t="b">
        <x:v>1</x:v>
      </x:c>
      <x:c r="F1450" s="62" t="b">
        <x:v>0</x:v>
      </x:c>
      <x:c r="G1450" s="85" t="n">
        <x:v>1580293.1786345392</x:v>
      </x:c>
      <x:c r="H1450" s="85" t="n">
        <x:v>4768671.694253368</x:v>
      </x:c>
      <x:c r="I1450" s="85" t="n">
        <x:v>16308377.617002018</x:v>
      </x:c>
      <x:c r="J1450" s="85" t="n">
        <x:v>13935999.999999998</x:v>
      </x:c>
      <x:c r="K1450" s="85" t="n">
        <x:v>120727.46726027362</x:v>
      </x:c>
      <x:c r="L1450" s="28" t="n">
        <x:v>40</x:v>
      </x:c>
      <x:c r="M1450" s="28" t="n">
        <x:v>35</x:v>
      </x:c>
      <x:c r="N1450" s="28" t="n">
        <x:v>4.656612873077393e-10</x:v>
      </x:c>
      <x:c r="O1450" s="28" t="n">
        <x:v>3.725290298461914e-9</x:v>
      </x:c>
      <x:c r="P1450" s="28" t="n">
        <x:v>0</x:v>
      </x:c>
      <x:c r="Q1450" s="62" t="b">
        <x:v>1</x:v>
      </x:c>
      <x:c r="R1450" s="28" t="n">
        <x:v>0</x:v>
      </x:c>
      <x:c r="S1450" s="28" t="str">
        <x:v>4c88efbdebbcb571</x:v>
      </x:c>
    </x:row>
    <x:row r="1451" ht="21" customHeight="1">
      <x:c r="A1451" s="60" t="n">
        <x:v>0.65</x:v>
      </x:c>
      <x:c r="B1451" s="28" t="str">
        <x:v>back_high</x:v>
      </x:c>
      <x:c r="C1451" s="60" t="n">
        <x:v>0.75</x:v>
      </x:c>
      <x:c r="D1451" s="60" t="n">
        <x:v>0.75</x:v>
      </x:c>
      <x:c r="E1451" s="62" t="b">
        <x:v>1</x:v>
      </x:c>
      <x:c r="F1451" s="62" t="b">
        <x:v>0</x:v>
      </x:c>
      <x:c r="G1451" s="85" t="n">
        <x:v>2568196.6837123157</x:v>
      </x:c>
      <x:c r="H1451" s="85" t="n">
        <x:v>7196252.198524433</x:v>
      </x:c>
      <x:c r="I1451" s="85" t="n">
        <x:v>16360544.018920949</x:v>
      </x:c>
      <x:c r="J1451" s="85" t="n">
        <x:v>13935999.999999998</x:v>
      </x:c>
      <x:c r="K1451" s="85" t="n">
        <x:v>109559.42157534207</x:v>
      </x:c>
      <x:c r="L1451" s="28" t="n">
        <x:v>40</x:v>
      </x:c>
      <x:c r="M1451" s="28" t="n">
        <x:v>36</x:v>
      </x:c>
      <x:c r="N1451" s="28" t="n">
        <x:v>4.656612873077393e-10</x:v>
      </x:c>
      <x:c r="O1451" s="28" t="n">
        <x:v>7.450580596923828e-9</x:v>
      </x:c>
      <x:c r="P1451" s="28" t="n">
        <x:v>0</x:v>
      </x:c>
      <x:c r="Q1451" s="62" t="b">
        <x:v>1</x:v>
      </x:c>
      <x:c r="R1451" s="28" t="n">
        <x:v>0</x:v>
      </x:c>
      <x:c r="S1451" s="28" t="str">
        <x:v>3ec78bee0887a7ee</x:v>
      </x:c>
    </x:row>
    <x:row r="1452" ht="21" customHeight="1">
      <x:c r="A1452" s="60" t="n">
        <x:v>0.65</x:v>
      </x:c>
      <x:c r="B1452" s="28" t="str">
        <x:v>back_high</x:v>
      </x:c>
      <x:c r="C1452" s="60" t="n">
        <x:v>0.8</x:v>
      </x:c>
      <x:c r="D1452" s="60" t="n">
        <x:v>0.8</x:v>
      </x:c>
      <x:c r="E1452" s="62" t="b">
        <x:v>1</x:v>
      </x:c>
      <x:c r="F1452" s="62" t="b">
        <x:v>0</x:v>
      </x:c>
      <x:c r="G1452" s="85" t="n">
        <x:v>3387896.325030316</x:v>
      </x:c>
      <x:c r="H1452" s="85" t="n">
        <x:v>9133019.235534087</x:v>
      </x:c>
      <x:c r="I1452" s="85" t="n">
        <x:v>16677545.118432866</x:v>
      </x:c>
      <x:c r="J1452" s="85" t="n">
        <x:v>13935999.999999998</x:v>
      </x:c>
      <x:c r="K1452" s="85" t="n">
        <x:v>98782.62542465763</x:v>
      </x:c>
      <x:c r="L1452" s="28" t="n">
        <x:v>41</x:v>
      </x:c>
      <x:c r="M1452" s="28" t="n">
        <x:v>37</x:v>
      </x:c>
      <x:c r="N1452" s="28" t="n">
        <x:v>4.656612873077393e-10</x:v>
      </x:c>
      <x:c r="O1452" s="28" t="n">
        <x:v>3.725290298461914e-9</x:v>
      </x:c>
      <x:c r="P1452" s="28" t="n">
        <x:v>0</x:v>
      </x:c>
      <x:c r="Q1452" s="62" t="b">
        <x:v>1</x:v>
      </x:c>
      <x:c r="R1452" s="28" t="n">
        <x:v>0</x:v>
      </x:c>
      <x:c r="S1452" s="28" t="str">
        <x:v>3dfcdeafa39f8f22</x:v>
      </x:c>
    </x:row>
    <x:row r="1453" ht="21" customHeight="1">
      <x:c r="A1453" s="60" t="n">
        <x:v>0.65</x:v>
      </x:c>
      <x:c r="B1453" s="28" t="str">
        <x:v>back_high</x:v>
      </x:c>
      <x:c r="C1453" s="60" t="n">
        <x:v>0.85</x:v>
      </x:c>
      <x:c r="D1453" s="60" t="n">
        <x:v>0.85</x:v>
      </x:c>
      <x:c r="E1453" s="62" t="b">
        <x:v>1</x:v>
      </x:c>
      <x:c r="F1453" s="62" t="b">
        <x:v>0</x:v>
      </x:c>
      <x:c r="G1453" s="85" t="n">
        <x:v>4778151.221148035</x:v>
      </x:c>
      <x:c r="H1453" s="85" t="n">
        <x:v>11080709.861260116</x:v>
      </x:c>
      <x:c r="I1453" s="85" t="n">
        <x:v>16715099.824206153</x:v>
      </x:c>
      <x:c r="J1453" s="85" t="n">
        <x:v>13935999.999999998</x:v>
      </x:c>
      <x:c r="K1453" s="85" t="n">
        <x:v>92419.25957534256</x:v>
      </x:c>
      <x:c r="L1453" s="28" t="n">
        <x:v>41</x:v>
      </x:c>
      <x:c r="M1453" s="28" t="n">
        <x:v>38</x:v>
      </x:c>
      <x:c r="N1453" s="28" t="n">
        <x:v>4.656612873077393e-10</x:v>
      </x:c>
      <x:c r="O1453" s="28" t="n">
        <x:v>9.313225746154785e-10</x:v>
      </x:c>
      <x:c r="P1453" s="28" t="n">
        <x:v>0</x:v>
      </x:c>
      <x:c r="Q1453" s="62" t="b">
        <x:v>1</x:v>
      </x:c>
      <x:c r="R1453" s="28" t="n">
        <x:v>0</x:v>
      </x:c>
      <x:c r="S1453" s="28" t="str">
        <x:v>9ee675d77d9e938c</x:v>
      </x:c>
    </x:row>
    <x:row r="1454" ht="21" customHeight="1">
      <x:c r="A1454" s="60" t="n">
        <x:v>0.65</x:v>
      </x:c>
      <x:c r="B1454" s="28" t="str">
        <x:v>back_high</x:v>
      </x:c>
      <x:c r="C1454" s="60" t="n">
        <x:v>0.9</x:v>
      </x:c>
      <x:c r="D1454" s="60" t="n">
        <x:v>0.880265491166173</x:v>
      </x:c>
      <x:c r="E1454" s="62" t="b">
        <x:v>0</x:v>
      </x:c>
      <x:c r="F1454" s="62" t="b">
        <x:v>0</x:v>
      </x:c>
      <x:c r="G1454" s="85" t="n">
        <x:v>5239503.449867978</x:v>
      </x:c>
      <x:c r="H1454" s="85" t="n">
        <x:v>11795297.46507094</x:v>
      </x:c>
      <x:c r="I1454" s="85" t="n">
        <x:v>17017078.09039062</x:v>
      </x:c>
      <x:c r="J1454" s="85" t="n">
        <x:v>13935999.999999998</x:v>
      </x:c>
      <x:c r="K1454" s="85" t="n">
        <x:v>86996.60254794479</x:v>
      </x:c>
      <x:c r="L1454" s="28" t="n">
        <x:v>42</x:v>
      </x:c>
      <x:c r="M1454" s="28" t="n">
        <x:v>38</x:v>
      </x:c>
      <x:c r="N1454" s="28" t="n">
        <x:v>4.656612873077393e-10</x:v>
      </x:c>
      <x:c r="O1454" s="28" t="n">
        <x:v>3.725290298461914e-9</x:v>
      </x:c>
      <x:c r="P1454" s="28" t="n">
        <x:v>0</x:v>
      </x:c>
      <x:c r="Q1454" s="62" t="b">
        <x:v>1</x:v>
      </x:c>
      <x:c r="R1454" s="28" t="n">
        <x:v>1100080.4604328498</x:v>
      </x:c>
      <x:c r="S1454" s="28" t="str">
        <x:v>fcbae1d2802ca587</x:v>
      </x:c>
    </x:row>
    <x:row r="1455" ht="21" customHeight="1">
      <x:c r="A1455" s="60" t="n">
        <x:v>0.65</x:v>
      </x:c>
      <x:c r="B1455" s="28" t="str">
        <x:v>back_high</x:v>
      </x:c>
      <x:c r="C1455" s="60" t="n">
        <x:v>0.95</x:v>
      </x:c>
      <x:c r="D1455" s="60" t="n">
        <x:v>0.8954794051096439</x:v>
      </x:c>
      <x:c r="E1455" s="62" t="b">
        <x:v>0</x:v>
      </x:c>
      <x:c r="F1455" s="62" t="b">
        <x:v>0</x:v>
      </x:c>
      <x:c r="G1455" s="85" t="n">
        <x:v>5741151.90744085</x:v>
      </x:c>
      <x:c r="H1455" s="85" t="n">
        <x:v>12640367.133319812</x:v>
      </x:c>
      <x:c r="I1455" s="85" t="n">
        <x:v>17046158.154833935</x:v>
      </x:c>
      <x:c r="J1455" s="85" t="n">
        <x:v>13935999.999999998</x:v>
      </x:c>
      <x:c r="K1455" s="85" t="n">
        <x:v>81573.94552054798</x:v>
      </x:c>
      <x:c r="L1455" s="28" t="n">
        <x:v>42</x:v>
      </x:c>
      <x:c r="M1455" s="28" t="n">
        <x:v>38</x:v>
      </x:c>
      <x:c r="N1455" s="28" t="n">
        <x:v>4.656612873077393e-10</x:v>
      </x:c>
      <x:c r="O1455" s="28" t="n">
        <x:v>3.725290298461914e-9</x:v>
      </x:c>
      <x:c r="P1455" s="28" t="n">
        <x:v>0</x:v>
      </x:c>
      <x:c r="Q1455" s="62" t="b">
        <x:v>1</x:v>
      </x:c>
      <x:c r="R1455" s="28" t="n">
        <x:v>3039196.041568011</x:v>
      </x:c>
      <x:c r="S1455" s="28" t="str">
        <x:v>212d5a616ca91c6e</x:v>
      </x:c>
    </x:row>
    <x:row r="1456" ht="21" customHeight="1">
      <x:c r="A1456" s="60" t="n">
        <x:v>0.65</x:v>
      </x:c>
      <x:c r="B1456" s="28" t="str">
        <x:v>back_high</x:v>
      </x:c>
      <x:c r="C1456" s="60" t="n">
        <x:v>1</x:v>
      </x:c>
      <x:c r="D1456" s="60" t="n">
        <x:v>0.9093341115290656</x:v>
      </x:c>
      <x:c r="E1456" s="62" t="b">
        <x:v>0</x:v>
      </x:c>
      <x:c r="F1456" s="62" t="b">
        <x:v>0</x:v>
      </x:c>
      <x:c r="G1456" s="85" t="n">
        <x:v>6201553.254088886</x:v>
      </x:c>
      <x:c r="H1456" s="85" t="n">
        <x:v>13398485.502376221</x:v>
      </x:c>
      <x:c r="I1456" s="85" t="n">
        <x:v>17075902.80207177</x:v>
      </x:c>
      <x:c r="J1456" s="85" t="n">
        <x:v>13935999.999999998</x:v>
      </x:c>
      <x:c r="K1456" s="85" t="n">
        <x:v>76151.2884931509</x:v>
      </x:c>
      <x:c r="L1456" s="28" t="n">
        <x:v>42</x:v>
      </x:c>
      <x:c r="M1456" s="28" t="n">
        <x:v>39</x:v>
      </x:c>
      <x:c r="N1456" s="28" t="n">
        <x:v>4.656612873077393e-10</x:v>
      </x:c>
      <x:c r="O1456" s="28" t="n">
        <x:v>3.725290298461914e-9</x:v>
      </x:c>
      <x:c r="P1456" s="28" t="n">
        <x:v>0</x:v>
      </x:c>
      <x:c r="Q1456" s="62" t="b">
        <x:v>1</x:v>
      </x:c>
      <x:c r="R1456" s="28" t="n">
        <x:v>5054079.286923766</x:v>
      </x:c>
      <x:c r="S1456" s="28" t="str">
        <x:v>933adfba24488f1b</x:v>
      </x:c>
    </x:row>
    <x:row r="1457" ht="21" customHeight="1">
      <x:c r="A1457" s="60" t="n">
        <x:v>0.65</x:v>
      </x:c>
      <x:c r="B1457" s="28" t="str">
        <x:v>level_flat</x:v>
      </x:c>
      <x:c r="C1457" s="60" t="n">
        <x:v>0</x:v>
      </x:c>
      <x:c r="D1457" s="60" t="n">
        <x:v>0</x:v>
      </x:c>
      <x:c r="E1457" s="62" t="b">
        <x:v>1</x:v>
      </x:c>
      <x:c r="F1457" s="62" t="b">
        <x:v>1</x:v>
      </x:c>
      <x:c r="G1457" s="85" t="n">
        <x:v>0</x:v>
      </x:c>
      <x:c r="H1457" s="85" t="n">
        <x:v>0</x:v>
      </x:c>
      <x:c r="I1457" s="85" t="n">
        <x:v>0</x:v>
      </x:c>
      <x:c r="J1457" s="85" t="n">
        <x:v>0</x:v>
      </x:c>
      <x:c r="K1457" s="85" t="n">
        <x:v>6202794.03616439</x:v>
      </x:c>
      <x:c r="L1457" s="28" t="n">
        <x:v>0</x:v>
      </x:c>
      <x:c r="M1457" s="28" t="n">
        <x:v>0</x:v>
      </x:c>
      <x:c r="N1457" s="28" t="n">
        <x:v>2.3283064365386963e-10</x:v>
      </x:c>
      <x:c r="O1457" s="28" t="n">
        <x:v>0</x:v>
      </x:c>
      <x:c r="P1457" s="28" t="n">
        <x:v>0</x:v>
      </x:c>
      <x:c r="Q1457" s="62" t="b">
        <x:v>1</x:v>
      </x:c>
      <x:c r="R1457" s="28" t="n">
        <x:v>0</x:v>
      </x:c>
      <x:c r="S1457" s="28" t="str">
        <x:v>fe979662cef5c337</x:v>
      </x:c>
    </x:row>
    <x:row r="1458" ht="21" customHeight="1">
      <x:c r="A1458" s="60" t="n">
        <x:v>0.65</x:v>
      </x:c>
      <x:c r="B1458" s="28" t="str">
        <x:v>level_flat</x:v>
      </x:c>
      <x:c r="C1458" s="60" t="n">
        <x:v>0.05</x:v>
      </x:c>
      <x:c r="D1458" s="60" t="n">
        <x:v>0.05</x:v>
      </x:c>
      <x:c r="E1458" s="62" t="b">
        <x:v>1</x:v>
      </x:c>
      <x:c r="F1458" s="62" t="b">
        <x:v>1</x:v>
      </x:c>
      <x:c r="G1458" s="85" t="n">
        <x:v>0</x:v>
      </x:c>
      <x:c r="H1458" s="85" t="n">
        <x:v>0</x:v>
      </x:c>
      <x:c r="I1458" s="85" t="n">
        <x:v>0</x:v>
      </x:c>
      <x:c r="J1458" s="85" t="n">
        <x:v>0</x:v>
      </x:c>
      <x:c r="K1458" s="85" t="n">
        <x:v>3973557.817614375</x:v>
      </x:c>
      <x:c r="L1458" s="28" t="n">
        <x:v>0</x:v>
      </x:c>
      <x:c r="M1458" s="28" t="n">
        <x:v>0</x:v>
      </x:c>
      <x:c r="N1458" s="28" t="n">
        <x:v>2.3283064365386963e-10</x:v>
      </x:c>
      <x:c r="O1458" s="28" t="n">
        <x:v>7.450580596923828e-9</x:v>
      </x:c>
      <x:c r="P1458" s="28" t="n">
        <x:v>0</x:v>
      </x:c>
      <x:c r="Q1458" s="62" t="b">
        <x:v>1</x:v>
      </x:c>
      <x:c r="R1458" s="28" t="n">
        <x:v>0</x:v>
      </x:c>
      <x:c r="S1458" s="28" t="str">
        <x:v>d9674a7a737f0610</x:v>
      </x:c>
    </x:row>
    <x:row r="1459" ht="21" customHeight="1">
      <x:c r="A1459" s="60" t="n">
        <x:v>0.65</x:v>
      </x:c>
      <x:c r="B1459" s="28" t="str">
        <x:v>level_flat</x:v>
      </x:c>
      <x:c r="C1459" s="60" t="n">
        <x:v>0.1</x:v>
      </x:c>
      <x:c r="D1459" s="60" t="n">
        <x:v>0.1</x:v>
      </x:c>
      <x:c r="E1459" s="62" t="b">
        <x:v>1</x:v>
      </x:c>
      <x:c r="F1459" s="62" t="b">
        <x:v>1</x:v>
      </x:c>
      <x:c r="G1459" s="85" t="n">
        <x:v>0</x:v>
      </x:c>
      <x:c r="H1459" s="85" t="n">
        <x:v>0</x:v>
      </x:c>
      <x:c r="I1459" s="85" t="n">
        <x:v>0</x:v>
      </x:c>
      <x:c r="J1459" s="85" t="n">
        <x:v>0</x:v>
      </x:c>
      <x:c r="K1459" s="85" t="n">
        <x:v>1749468.1401188022</x:v>
      </x:c>
      <x:c r="L1459" s="28" t="n">
        <x:v>0</x:v>
      </x:c>
      <x:c r="M1459" s="28" t="n">
        <x:v>0</x:v>
      </x:c>
      <x:c r="N1459" s="28" t="n">
        <x:v>4.656612873077393e-10</x:v>
      </x:c>
      <x:c r="O1459" s="28" t="n">
        <x:v>7.450580596923828e-9</x:v>
      </x:c>
      <x:c r="P1459" s="28" t="n">
        <x:v>0</x:v>
      </x:c>
      <x:c r="Q1459" s="62" t="b">
        <x:v>1</x:v>
      </x:c>
      <x:c r="R1459" s="28" t="n">
        <x:v>0</x:v>
      </x:c>
      <x:c r="S1459" s="28" t="str">
        <x:v>2d684d1669059f9b</x:v>
      </x:c>
    </x:row>
    <x:row r="1460" ht="21" customHeight="1">
      <x:c r="A1460" s="60" t="n">
        <x:v>0.65</x:v>
      </x:c>
      <x:c r="B1460" s="28" t="str">
        <x:v>level_flat</x:v>
      </x:c>
      <x:c r="C1460" s="60" t="n">
        <x:v>0.15</x:v>
      </x:c>
      <x:c r="D1460" s="60" t="n">
        <x:v>0.15</x:v>
      </x:c>
      <x:c r="E1460" s="62" t="b">
        <x:v>1</x:v>
      </x:c>
      <x:c r="F1460" s="62" t="b">
        <x:v>1</x:v>
      </x:c>
      <x:c r="G1460" s="85" t="n">
        <x:v>0</x:v>
      </x:c>
      <x:c r="H1460" s="85" t="n">
        <x:v>0</x:v>
      </x:c>
      <x:c r="I1460" s="85" t="n">
        <x:v>622919.8198848271</x:v>
      </x:c>
      <x:c r="J1460" s="85" t="n">
        <x:v>0</x:v>
      </x:c>
      <x:c r="K1460" s="85" t="n">
        <x:v>254850.91289358097</x:v>
      </x:c>
      <x:c r="L1460" s="28" t="n">
        <x:v>0</x:v>
      </x:c>
      <x:c r="M1460" s="28" t="n">
        <x:v>0</x:v>
      </x:c>
      <x:c r="N1460" s="28" t="n">
        <x:v>4.656612873077393e-10</x:v>
      </x:c>
      <x:c r="O1460" s="28" t="n">
        <x:v>7.450580596923828e-9</x:v>
      </x:c>
      <x:c r="P1460" s="28" t="n">
        <x:v>0</x:v>
      </x:c>
      <x:c r="Q1460" s="62" t="b">
        <x:v>1</x:v>
      </x:c>
      <x:c r="R1460" s="28" t="n">
        <x:v>0</x:v>
      </x:c>
      <x:c r="S1460" s="28" t="str">
        <x:v>42ae74b5f1d9cf21</x:v>
      </x:c>
    </x:row>
    <x:row r="1461" ht="21" customHeight="1">
      <x:c r="A1461" s="60" t="n">
        <x:v>0.65</x:v>
      </x:c>
      <x:c r="B1461" s="28" t="str">
        <x:v>level_flat</x:v>
      </x:c>
      <x:c r="C1461" s="60" t="n">
        <x:v>0.2</x:v>
      </x:c>
      <x:c r="D1461" s="60" t="n">
        <x:v>0.2</x:v>
      </x:c>
      <x:c r="E1461" s="62" t="b">
        <x:v>1</x:v>
      </x:c>
      <x:c r="F1461" s="62" t="b">
        <x:v>1</x:v>
      </x:c>
      <x:c r="G1461" s="85" t="n">
        <x:v>0</x:v>
      </x:c>
      <x:c r="H1461" s="85" t="n">
        <x:v>0</x:v>
      </x:c>
      <x:c r="I1461" s="85" t="n">
        <x:v>2083174.3961854086</x:v>
      </x:c>
      <x:c r="J1461" s="85" t="n">
        <x:v>1248509.6821692977</x:v>
      </x:c>
      <x:c r="K1461" s="85" t="n">
        <x:v>185714.05480438407</x:v>
      </x:c>
      <x:c r="L1461" s="28" t="n">
        <x:v>0</x:v>
      </x:c>
      <x:c r="M1461" s="28" t="n">
        <x:v>0</x:v>
      </x:c>
      <x:c r="N1461" s="28" t="n">
        <x:v>9.313225746154785e-10</x:v>
      </x:c>
      <x:c r="O1461" s="28" t="n">
        <x:v>7.450580596923828e-9</x:v>
      </x:c>
      <x:c r="P1461" s="28" t="n">
        <x:v>0</x:v>
      </x:c>
      <x:c r="Q1461" s="62" t="b">
        <x:v>1</x:v>
      </x:c>
      <x:c r="R1461" s="28" t="n">
        <x:v>0</x:v>
      </x:c>
      <x:c r="S1461" s="28" t="str">
        <x:v>74b5999f34606a65</x:v>
      </x:c>
    </x:row>
    <x:row r="1462" ht="21" customHeight="1">
      <x:c r="A1462" s="60" t="n">
        <x:v>0.65</x:v>
      </x:c>
      <x:c r="B1462" s="28" t="str">
        <x:v>level_flat</x:v>
      </x:c>
      <x:c r="C1462" s="60" t="n">
        <x:v>0.25</x:v>
      </x:c>
      <x:c r="D1462" s="60" t="n">
        <x:v>0.25</x:v>
      </x:c>
      <x:c r="E1462" s="62" t="b">
        <x:v>1</x:v>
      </x:c>
      <x:c r="F1462" s="62" t="b">
        <x:v>1</x:v>
      </x:c>
      <x:c r="G1462" s="85" t="n">
        <x:v>0</x:v>
      </x:c>
      <x:c r="H1462" s="85" t="n">
        <x:v>0</x:v>
      </x:c>
      <x:c r="I1462" s="85" t="n">
        <x:v>3250711.91995342</x:v>
      </x:c>
      <x:c r="J1462" s="85" t="n">
        <x:v>2954237.102711631</x:v>
      </x:c>
      <x:c r="K1462" s="85" t="n">
        <x:v>135933.61749178116</x:v>
      </x:c>
      <x:c r="L1462" s="28" t="n">
        <x:v>0</x:v>
      </x:c>
      <x:c r="M1462" s="28" t="n">
        <x:v>0</x:v>
      </x:c>
      <x:c r="N1462" s="28" t="n">
        <x:v>4.656612873077393e-10</x:v>
      </x:c>
      <x:c r="O1462" s="28" t="n">
        <x:v>7.450580596923828e-9</x:v>
      </x:c>
      <x:c r="P1462" s="28" t="n">
        <x:v>0</x:v>
      </x:c>
      <x:c r="Q1462" s="62" t="b">
        <x:v>1</x:v>
      </x:c>
      <x:c r="R1462" s="28" t="n">
        <x:v>0</x:v>
      </x:c>
      <x:c r="S1462" s="28" t="str">
        <x:v>f4c200a37e8f565c</x:v>
      </x:c>
    </x:row>
    <x:row r="1463" ht="21" customHeight="1">
      <x:c r="A1463" s="60" t="n">
        <x:v>0.65</x:v>
      </x:c>
      <x:c r="B1463" s="28" t="str">
        <x:v>level_flat</x:v>
      </x:c>
      <x:c r="C1463" s="60" t="n">
        <x:v>0.3</x:v>
      </x:c>
      <x:c r="D1463" s="60" t="n">
        <x:v>0.3</x:v>
      </x:c>
      <x:c r="E1463" s="62" t="b">
        <x:v>1</x:v>
      </x:c>
      <x:c r="F1463" s="62" t="b">
        <x:v>1</x:v>
      </x:c>
      <x:c r="G1463" s="85" t="n">
        <x:v>0</x:v>
      </x:c>
      <x:c r="H1463" s="85" t="n">
        <x:v>0</x:v>
      </x:c>
      <x:c r="I1463" s="85" t="n">
        <x:v>4430848.694606554</x:v>
      </x:c>
      <x:c r="J1463" s="85" t="n">
        <x:v>4659964.523253943</x:v>
      </x:c>
      <x:c r="K1463" s="85" t="n">
        <x:v>106505.43301369861</x:v>
      </x:c>
      <x:c r="L1463" s="28" t="n">
        <x:v>0</x:v>
      </x:c>
      <x:c r="M1463" s="28" t="n">
        <x:v>0</x:v>
      </x:c>
      <x:c r="N1463" s="28" t="n">
        <x:v>4.656612873077393e-10</x:v>
      </x:c>
      <x:c r="O1463" s="28" t="n">
        <x:v>7.450580596923828e-9</x:v>
      </x:c>
      <x:c r="P1463" s="28" t="n">
        <x:v>0</x:v>
      </x:c>
      <x:c r="Q1463" s="62" t="b">
        <x:v>1</x:v>
      </x:c>
      <x:c r="R1463" s="28" t="n">
        <x:v>0</x:v>
      </x:c>
      <x:c r="S1463" s="28" t="str">
        <x:v>c576db9551f8be02</x:v>
      </x:c>
    </x:row>
    <x:row r="1464" ht="21" customHeight="1">
      <x:c r="A1464" s="60" t="n">
        <x:v>0.65</x:v>
      </x:c>
      <x:c r="B1464" s="28" t="str">
        <x:v>level_flat</x:v>
      </x:c>
      <x:c r="C1464" s="60" t="n">
        <x:v>0.35</x:v>
      </x:c>
      <x:c r="D1464" s="60" t="n">
        <x:v>0.35</x:v>
      </x:c>
      <x:c r="E1464" s="62" t="b">
        <x:v>1</x:v>
      </x:c>
      <x:c r="F1464" s="62" t="b">
        <x:v>1</x:v>
      </x:c>
      <x:c r="G1464" s="85" t="n">
        <x:v>0</x:v>
      </x:c>
      <x:c r="H1464" s="85" t="n">
        <x:v>0</x:v>
      </x:c>
      <x:c r="I1464" s="85" t="n">
        <x:v>5626496.885990745</x:v>
      </x:c>
      <x:c r="J1464" s="85" t="n">
        <x:v>6365691.943796256</x:v>
      </x:c>
      <x:c r="K1464" s="85" t="n">
        <x:v>86933.57184931575</x:v>
      </x:c>
      <x:c r="L1464" s="28" t="n">
        <x:v>0</x:v>
      </x:c>
      <x:c r="M1464" s="28" t="n">
        <x:v>0</x:v>
      </x:c>
      <x:c r="N1464" s="28" t="n">
        <x:v>2.3283064365386963e-10</x:v>
      </x:c>
      <x:c r="O1464" s="28" t="n">
        <x:v>7.450580596923828e-9</x:v>
      </x:c>
      <x:c r="P1464" s="28" t="n">
        <x:v>0</x:v>
      </x:c>
      <x:c r="Q1464" s="62" t="b">
        <x:v>1</x:v>
      </x:c>
      <x:c r="R1464" s="28" t="n">
        <x:v>0</x:v>
      </x:c>
      <x:c r="S1464" s="28" t="str">
        <x:v>bebb1a31cd22ddff</x:v>
      </x:c>
    </x:row>
    <x:row r="1465" ht="21" customHeight="1">
      <x:c r="A1465" s="60" t="n">
        <x:v>0.65</x:v>
      </x:c>
      <x:c r="B1465" s="28" t="str">
        <x:v>level_flat</x:v>
      </x:c>
      <x:c r="C1465" s="60" t="n">
        <x:v>0.4</x:v>
      </x:c>
      <x:c r="D1465" s="60" t="n">
        <x:v>0.4</x:v>
      </x:c>
      <x:c r="E1465" s="62" t="b">
        <x:v>1</x:v>
      </x:c>
      <x:c r="F1465" s="62" t="b">
        <x:v>1</x:v>
      </x:c>
      <x:c r="G1465" s="85" t="n">
        <x:v>0</x:v>
      </x:c>
      <x:c r="H1465" s="85" t="n">
        <x:v>0</x:v>
      </x:c>
      <x:c r="I1465" s="85" t="n">
        <x:v>6834923.407949308</x:v>
      </x:c>
      <x:c r="J1465" s="85" t="n">
        <x:v>8071419.3643386</x:v>
      </x:c>
      <x:c r="K1465" s="85" t="n">
        <x:v>67361.71068493214</x:v>
      </x:c>
      <x:c r="L1465" s="28" t="n">
        <x:v>0</x:v>
      </x:c>
      <x:c r="M1465" s="28" t="n">
        <x:v>0</x:v>
      </x:c>
      <x:c r="N1465" s="28" t="n">
        <x:v>9.313225746154785e-10</x:v>
      </x:c>
      <x:c r="O1465" s="28" t="n">
        <x:v>7.450580596923828e-9</x:v>
      </x:c>
      <x:c r="P1465" s="28" t="n">
        <x:v>0</x:v>
      </x:c>
      <x:c r="Q1465" s="62" t="b">
        <x:v>1</x:v>
      </x:c>
      <x:c r="R1465" s="28" t="n">
        <x:v>0</x:v>
      </x:c>
      <x:c r="S1465" s="28" t="str">
        <x:v>39ee16097a7a8886</x:v>
      </x:c>
    </x:row>
    <x:row r="1466" ht="21" customHeight="1">
      <x:c r="A1466" s="60" t="n">
        <x:v>0.65</x:v>
      </x:c>
      <x:c r="B1466" s="28" t="str">
        <x:v>level_flat</x:v>
      </x:c>
      <x:c r="C1466" s="60" t="n">
        <x:v>0.45</x:v>
      </x:c>
      <x:c r="D1466" s="60" t="n">
        <x:v>0.45</x:v>
      </x:c>
      <x:c r="E1466" s="62" t="b">
        <x:v>1</x:v>
      </x:c>
      <x:c r="F1466" s="62" t="b">
        <x:v>1</x:v>
      </x:c>
      <x:c r="G1466" s="85" t="n">
        <x:v>0</x:v>
      </x:c>
      <x:c r="H1466" s="85" t="n">
        <x:v>0</x:v>
      </x:c>
      <x:c r="I1466" s="85" t="n">
        <x:v>8382133.57391929</x:v>
      </x:c>
      <x:c r="J1466" s="85" t="n">
        <x:v>8993118.468194475</x:v>
      </x:c>
      <x:c r="K1466" s="85" t="n">
        <x:v>57431.254178082156</x:v>
      </x:c>
      <x:c r="L1466" s="28" t="n">
        <x:v>7</x:v>
      </x:c>
      <x:c r="M1466" s="28" t="n">
        <x:v>0</x:v>
      </x:c>
      <x:c r="N1466" s="28" t="n">
        <x:v>4.656612873077393e-10</x:v>
      </x:c>
      <x:c r="O1466" s="28" t="n">
        <x:v>3.725290298461914e-9</x:v>
      </x:c>
      <x:c r="P1466" s="28" t="n">
        <x:v>0</x:v>
      </x:c>
      <x:c r="Q1466" s="62" t="b">
        <x:v>1</x:v>
      </x:c>
      <x:c r="R1466" s="28" t="n">
        <x:v>0</x:v>
      </x:c>
      <x:c r="S1466" s="28" t="str">
        <x:v>08829a85d7e128ef</x:v>
      </x:c>
    </x:row>
    <x:row r="1467" ht="21" customHeight="1">
      <x:c r="A1467" s="60" t="n">
        <x:v>0.65</x:v>
      </x:c>
      <x:c r="B1467" s="28" t="str">
        <x:v>level_flat</x:v>
      </x:c>
      <x:c r="C1467" s="60" t="n">
        <x:v>0.5</x:v>
      </x:c>
      <x:c r="D1467" s="60" t="n">
        <x:v>0.5</x:v>
      </x:c>
      <x:c r="E1467" s="62" t="b">
        <x:v>1</x:v>
      </x:c>
      <x:c r="F1467" s="62" t="b">
        <x:v>1</x:v>
      </x:c>
      <x:c r="G1467" s="85" t="n">
        <x:v>0</x:v>
      </x:c>
      <x:c r="H1467" s="85" t="n">
        <x:v>0</x:v>
      </x:c>
      <x:c r="I1467" s="85" t="n">
        <x:v>9769354.949396316</x:v>
      </x:c>
      <x:c r="J1467" s="85" t="n">
        <x:v>10222743.512271442</x:v>
      </x:c>
      <x:c r="K1467" s="85" t="n">
        <x:v>51473.83657534261</x:v>
      </x:c>
      <x:c r="L1467" s="28" t="n">
        <x:v>12</x:v>
      </x:c>
      <x:c r="M1467" s="28" t="n">
        <x:v>0</x:v>
      </x:c>
      <x:c r="N1467" s="28" t="n">
        <x:v>2.3283064365386963e-10</x:v>
      </x:c>
      <x:c r="O1467" s="28" t="n">
        <x:v>3.725290298461914e-9</x:v>
      </x:c>
      <x:c r="P1467" s="28" t="n">
        <x:v>0</x:v>
      </x:c>
      <x:c r="Q1467" s="62" t="b">
        <x:v>1</x:v>
      </x:c>
      <x:c r="R1467" s="28" t="n">
        <x:v>0</x:v>
      </x:c>
      <x:c r="S1467" s="28" t="str">
        <x:v>15eb860a25ad7735</x:v>
      </x:c>
    </x:row>
    <x:row r="1468" ht="21" customHeight="1">
      <x:c r="A1468" s="60" t="n">
        <x:v>0.65</x:v>
      </x:c>
      <x:c r="B1468" s="28" t="str">
        <x:v>level_flat</x:v>
      </x:c>
      <x:c r="C1468" s="60" t="n">
        <x:v>0.55</x:v>
      </x:c>
      <x:c r="D1468" s="60" t="n">
        <x:v>0.55</x:v>
      </x:c>
      <x:c r="E1468" s="62" t="b">
        <x:v>1</x:v>
      </x:c>
      <x:c r="F1468" s="62" t="b">
        <x:v>1</x:v>
      </x:c>
      <x:c r="G1468" s="85" t="n">
        <x:v>0</x:v>
      </x:c>
      <x:c r="H1468" s="85" t="n">
        <x:v>0</x:v>
      </x:c>
      <x:c r="I1468" s="85" t="n">
        <x:v>10952982.802665176</x:v>
      </x:c>
      <x:c r="J1468" s="85" t="n">
        <x:v>11932140.847726848</x:v>
      </x:c>
      <x:c r="K1468" s="85" t="n">
        <x:v>45516.418972602725</x:v>
      </x:c>
      <x:c r="L1468" s="28" t="n">
        <x:v>15</x:v>
      </x:c>
      <x:c r="M1468" s="28" t="n">
        <x:v>3</x:v>
      </x:c>
      <x:c r="N1468" s="28" t="n">
        <x:v>4.656612873077393e-10</x:v>
      </x:c>
      <x:c r="O1468" s="28" t="n">
        <x:v>3.725290298461914e-9</x:v>
      </x:c>
      <x:c r="P1468" s="28" t="n">
        <x:v>0</x:v>
      </x:c>
      <x:c r="Q1468" s="62" t="b">
        <x:v>1</x:v>
      </x:c>
      <x:c r="R1468" s="28" t="n">
        <x:v>0</x:v>
      </x:c>
      <x:c r="S1468" s="28" t="str">
        <x:v>3f316880fb2d4ad3</x:v>
      </x:c>
    </x:row>
    <x:row r="1469" ht="21" customHeight="1">
      <x:c r="A1469" s="60" t="n">
        <x:v>0.65</x:v>
      </x:c>
      <x:c r="B1469" s="28" t="str">
        <x:v>level_flat</x:v>
      </x:c>
      <x:c r="C1469" s="60" t="n">
        <x:v>0.6</x:v>
      </x:c>
      <x:c r="D1469" s="60" t="n">
        <x:v>0.6</x:v>
      </x:c>
      <x:c r="E1469" s="62" t="b">
        <x:v>1</x:v>
      </x:c>
      <x:c r="F1469" s="62" t="b">
        <x:v>1</x:v>
      </x:c>
      <x:c r="G1469" s="85" t="n">
        <x:v>0</x:v>
      </x:c>
      <x:c r="H1469" s="85" t="n">
        <x:v>0</x:v>
      </x:c>
      <x:c r="I1469" s="85" t="n">
        <x:v>12060705.396487145</x:v>
      </x:c>
      <x:c r="J1469" s="85" t="n">
        <x:v>13772219.794167576</x:v>
      </x:c>
      <x:c r="K1469" s="85" t="n">
        <x:v>39559.00136986294</x:v>
      </x:c>
      <x:c r="L1469" s="28" t="n">
        <x:v>20</x:v>
      </x:c>
      <x:c r="M1469" s="28" t="n">
        <x:v>10</x:v>
      </x:c>
      <x:c r="N1469" s="28" t="n">
        <x:v>4.656612873077393e-10</x:v>
      </x:c>
      <x:c r="O1469" s="28" t="n">
        <x:v>7.450580596923828e-9</x:v>
      </x:c>
      <x:c r="P1469" s="28" t="n">
        <x:v>0</x:v>
      </x:c>
      <x:c r="Q1469" s="62" t="b">
        <x:v>1</x:v>
      </x:c>
      <x:c r="R1469" s="28" t="n">
        <x:v>0</x:v>
      </x:c>
      <x:c r="S1469" s="28" t="str">
        <x:v>3ec375cb4945b909</x:v>
      </x:c>
    </x:row>
    <x:row r="1470" ht="21" customHeight="1">
      <x:c r="A1470" s="60" t="n">
        <x:v>0.65</x:v>
      </x:c>
      <x:c r="B1470" s="28" t="str">
        <x:v>level_flat</x:v>
      </x:c>
      <x:c r="C1470" s="60" t="n">
        <x:v>0.65</x:v>
      </x:c>
      <x:c r="D1470" s="60" t="n">
        <x:v>0.65</x:v>
      </x:c>
      <x:c r="E1470" s="62" t="b">
        <x:v>1</x:v>
      </x:c>
      <x:c r="F1470" s="62" t="b">
        <x:v>0</x:v>
      </x:c>
      <x:c r="G1470" s="85" t="n">
        <x:v>353004.02479860815</x:v>
      </x:c>
      <x:c r="H1470" s="85" t="n">
        <x:v>1897683.030806092</x:v>
      </x:c>
      <x:c r="I1470" s="85" t="n">
        <x:v>12384558.63425342</x:v>
      </x:c>
      <x:c r="J1470" s="85" t="n">
        <x:v>13935999.999999998</x:v>
      </x:c>
      <x:c r="K1470" s="85" t="n">
        <x:v>33601.58376712352</x:v>
      </x:c>
      <x:c r="L1470" s="28" t="n">
        <x:v>41</x:v>
      </x:c>
      <x:c r="M1470" s="28" t="n">
        <x:v>33</x:v>
      </x:c>
      <x:c r="N1470" s="28" t="n">
        <x:v>4.656612873077393e-10</x:v>
      </x:c>
      <x:c r="O1470" s="28" t="n">
        <x:v>3.725290298461914e-9</x:v>
      </x:c>
      <x:c r="P1470" s="28" t="n">
        <x:v>0</x:v>
      </x:c>
      <x:c r="Q1470" s="62" t="b">
        <x:v>1</x:v>
      </x:c>
      <x:c r="R1470" s="28" t="n">
        <x:v>0</x:v>
      </x:c>
      <x:c r="S1470" s="28" t="str">
        <x:v>c65b6909dd679e05</x:v>
      </x:c>
    </x:row>
    <x:row r="1471" ht="21" customHeight="1">
      <x:c r="A1471" s="60" t="n">
        <x:v>0.65</x:v>
      </x:c>
      <x:c r="B1471" s="28" t="str">
        <x:v>level_flat</x:v>
      </x:c>
      <x:c r="C1471" s="60" t="n">
        <x:v>0.7</x:v>
      </x:c>
      <x:c r="D1471" s="60" t="n">
        <x:v>0.7</x:v>
      </x:c>
      <x:c r="E1471" s="62" t="b">
        <x:v>1</x:v>
      </x:c>
      <x:c r="F1471" s="62" t="b">
        <x:v>0</x:v>
      </x:c>
      <x:c r="G1471" s="85" t="n">
        <x:v>767384.6617431447</x:v>
      </x:c>
      <x:c r="H1471" s="85" t="n">
        <x:v>3969482.8373492323</x:v>
      </x:c>
      <x:c r="I1471" s="85" t="n">
        <x:v>12626755.381296983</x:v>
      </x:c>
      <x:c r="J1471" s="85" t="n">
        <x:v>13935999.999999998</x:v>
      </x:c>
      <x:c r="K1471" s="85" t="n">
        <x:v>27644.16616438374</x:v>
      </x:c>
      <x:c r="L1471" s="28" t="n">
        <x:v>42</x:v>
      </x:c>
      <x:c r="M1471" s="28" t="n">
        <x:v>34</x:v>
      </x:c>
      <x:c r="N1471" s="28" t="n">
        <x:v>4.656612873077393e-10</x:v>
      </x:c>
      <x:c r="O1471" s="28" t="n">
        <x:v>3.725290298461914e-9</x:v>
      </x:c>
      <x:c r="P1471" s="28" t="n">
        <x:v>0</x:v>
      </x:c>
      <x:c r="Q1471" s="62" t="b">
        <x:v>1</x:v>
      </x:c>
      <x:c r="R1471" s="28" t="n">
        <x:v>0</x:v>
      </x:c>
      <x:c r="S1471" s="28" t="str">
        <x:v>48e3662ea0df1b2a</x:v>
      </x:c>
    </x:row>
    <x:row r="1472" ht="21" customHeight="1">
      <x:c r="A1472" s="60" t="n">
        <x:v>0.65</x:v>
      </x:c>
      <x:c r="B1472" s="28" t="str">
        <x:v>level_flat</x:v>
      </x:c>
      <x:c r="C1472" s="60" t="n">
        <x:v>0.75</x:v>
      </x:c>
      <x:c r="D1472" s="60" t="n">
        <x:v>0.75</x:v>
      </x:c>
      <x:c r="E1472" s="62" t="b">
        <x:v>1</x:v>
      </x:c>
      <x:c r="F1472" s="62" t="b">
        <x:v>0</x:v>
      </x:c>
      <x:c r="G1472" s="85" t="n">
        <x:v>1172188.4843216292</x:v>
      </x:c>
      <x:c r="H1472" s="85" t="n">
        <x:v>5938745.871639459</x:v>
      </x:c>
      <x:c r="I1472" s="85" t="n">
        <x:v>12872927.03226027</x:v>
      </x:c>
      <x:c r="J1472" s="85" t="n">
        <x:v>13935999.999999998</x:v>
      </x:c>
      <x:c r="K1472" s="85" t="n">
        <x:v>21686.748561643966</x:v>
      </x:c>
      <x:c r="L1472" s="28" t="n">
        <x:v>43</x:v>
      </x:c>
      <x:c r="M1472" s="28" t="n">
        <x:v>35</x:v>
      </x:c>
      <x:c r="N1472" s="28" t="n">
        <x:v>9.313225746154785e-10</x:v>
      </x:c>
      <x:c r="O1472" s="28" t="n">
        <x:v>3.725290298461914e-9</x:v>
      </x:c>
      <x:c r="P1472" s="28" t="n">
        <x:v>0</x:v>
      </x:c>
      <x:c r="Q1472" s="62" t="b">
        <x:v>1</x:v>
      </x:c>
      <x:c r="R1472" s="28" t="n">
        <x:v>0</x:v>
      </x:c>
      <x:c r="S1472" s="28" t="str">
        <x:v>32c55a986edf2096</x:v>
      </x:c>
    </x:row>
    <x:row r="1473" ht="21" customHeight="1">
      <x:c r="A1473" s="60" t="n">
        <x:v>0.65</x:v>
      </x:c>
      <x:c r="B1473" s="28" t="str">
        <x:v>level_flat</x:v>
      </x:c>
      <x:c r="C1473" s="60" t="n">
        <x:v>0.8</x:v>
      </x:c>
      <x:c r="D1473" s="60" t="n">
        <x:v>0.8</x:v>
      </x:c>
      <x:c r="E1473" s="62" t="b">
        <x:v>1</x:v>
      </x:c>
      <x:c r="F1473" s="62" t="b">
        <x:v>0</x:v>
      </x:c>
      <x:c r="G1473" s="85" t="n">
        <x:v>1703620.8641872492</x:v>
      </x:c>
      <x:c r="H1473" s="85" t="n">
        <x:v>8127276.579346846</x:v>
      </x:c>
      <x:c r="I1473" s="85" t="n">
        <x:v>12896455.743999997</x:v>
      </x:c>
      <x:c r="J1473" s="85" t="n">
        <x:v>13935999.999999998</x:v>
      </x:c>
      <x:c r="K1473" s="85" t="n">
        <x:v>16066.454794520432</x:v>
      </x:c>
      <x:c r="L1473" s="28" t="n">
        <x:v>43</x:v>
      </x:c>
      <x:c r="M1473" s="28" t="n">
        <x:v>36</x:v>
      </x:c>
      <x:c r="N1473" s="28" t="n">
        <x:v>4.656612873077393e-10</x:v>
      </x:c>
      <x:c r="O1473" s="28" t="n">
        <x:v>3.725290298461914e-9</x:v>
      </x:c>
      <x:c r="P1473" s="28" t="n">
        <x:v>0</x:v>
      </x:c>
      <x:c r="Q1473" s="62" t="b">
        <x:v>1</x:v>
      </x:c>
      <x:c r="R1473" s="28" t="n">
        <x:v>0</x:v>
      </x:c>
      <x:c r="S1473" s="28" t="str">
        <x:v>f66b2e9bf1e38397</x:v>
      </x:c>
    </x:row>
    <x:row r="1474" ht="21" customHeight="1">
      <x:c r="A1474" s="60" t="n">
        <x:v>0.65</x:v>
      </x:c>
      <x:c r="B1474" s="28" t="str">
        <x:v>level_flat</x:v>
      </x:c>
      <x:c r="C1474" s="60" t="n">
        <x:v>0.85</x:v>
      </x:c>
      <x:c r="D1474" s="60" t="n">
        <x:v>0.85</x:v>
      </x:c>
      <x:c r="E1474" s="62" t="b">
        <x:v>1</x:v>
      </x:c>
      <x:c r="F1474" s="62" t="b">
        <x:v>0</x:v>
      </x:c>
      <x:c r="G1474" s="85" t="n">
        <x:v>2209330.604945407</x:v>
      </x:c>
      <x:c r="H1474" s="85" t="n">
        <x:v>9955348.382434241</x:v>
      </x:c>
      <x:c r="I1474" s="85" t="n">
        <x:v>13120780.045753421</x:v>
      </x:c>
      <x:c r="J1474" s="85" t="n">
        <x:v>13935999.999999998</x:v>
      </x:c>
      <x:c r="K1474" s="85" t="n">
        <x:v>14061.28561643864</x:v>
      </x:c>
      <x:c r="L1474" s="28" t="n">
        <x:v>44</x:v>
      </x:c>
      <x:c r="M1474" s="28" t="n">
        <x:v>37</x:v>
      </x:c>
      <x:c r="N1474" s="28" t="n">
        <x:v>4.656612873077393e-10</x:v>
      </x:c>
      <x:c r="O1474" s="28" t="n">
        <x:v>3.725290298461914e-9</x:v>
      </x:c>
      <x:c r="P1474" s="28" t="n">
        <x:v>0</x:v>
      </x:c>
      <x:c r="Q1474" s="62" t="b">
        <x:v>1</x:v>
      </x:c>
      <x:c r="R1474" s="28" t="n">
        <x:v>0</x:v>
      </x:c>
      <x:c r="S1474" s="28" t="str">
        <x:v>ff3b601af5d11c25</x:v>
      </x:c>
    </x:row>
    <x:row r="1475" ht="21" customHeight="1">
      <x:c r="A1475" s="60" t="n">
        <x:v>0.65</x:v>
      </x:c>
      <x:c r="B1475" s="28" t="str">
        <x:v>level_flat</x:v>
      </x:c>
      <x:c r="C1475" s="60" t="n">
        <x:v>0.9</x:v>
      </x:c>
      <x:c r="D1475" s="60" t="n">
        <x:v>0.8949513562027351</x:v>
      </x:c>
      <x:c r="E1475" s="62" t="b">
        <x:v>0</x:v>
      </x:c>
      <x:c r="F1475" s="62" t="b">
        <x:v>0</x:v>
      </x:c>
      <x:c r="G1475" s="85" t="n">
        <x:v>3003532.274135404</x:v>
      </x:c>
      <x:c r="H1475" s="85" t="n">
        <x:v>11371823.576401629</x:v>
      </x:c>
      <x:c r="I1475" s="85" t="n">
        <x:v>13134657.936986297</x:v>
      </x:c>
      <x:c r="J1475" s="85" t="n">
        <x:v>13935999.999999998</x:v>
      </x:c>
      <x:c r="K1475" s="85" t="n">
        <x:v>12056.116438356148</x:v>
      </x:c>
      <x:c r="L1475" s="28" t="n">
        <x:v>44</x:v>
      </x:c>
      <x:c r="M1475" s="28" t="n">
        <x:v>38</x:v>
      </x:c>
      <x:c r="N1475" s="28" t="n">
        <x:v>4.656612873077393e-10</x:v>
      </x:c>
      <x:c r="O1475" s="28" t="n">
        <x:v>3.725290298461914e-9</x:v>
      </x:c>
      <x:c r="P1475" s="28" t="n">
        <x:v>0</x:v>
      </x:c>
      <x:c r="Q1475" s="62" t="b">
        <x:v>1</x:v>
      </x:c>
      <x:c r="R1475" s="28" t="n">
        <x:v>281431.5998347327</x:v>
      </x:c>
      <x:c r="S1475" s="28" t="str">
        <x:v>bdbe7f1a6230250b</x:v>
      </x:c>
    </x:row>
    <x:row r="1476" ht="21" customHeight="1">
      <x:c r="A1476" s="60" t="n">
        <x:v>0.65</x:v>
      </x:c>
      <x:c r="B1476" s="28" t="str">
        <x:v>level_flat</x:v>
      </x:c>
      <x:c r="C1476" s="60" t="n">
        <x:v>0.95</x:v>
      </x:c>
      <x:c r="D1476" s="60" t="n">
        <x:v>0.9109811515371262</x:v>
      </x:c>
      <x:c r="E1476" s="62" t="b">
        <x:v>0</x:v>
      </x:c>
      <x:c r="F1476" s="62" t="b">
        <x:v>0</x:v>
      </x:c>
      <x:c r="G1476" s="85" t="n">
        <x:v>3160807.333775104</x:v>
      </x:c>
      <x:c r="H1476" s="85" t="n">
        <x:v>11967290.535951966</x:v>
      </x:c>
      <x:c r="I1476" s="85" t="n">
        <x:v>13380337.899013694</x:v>
      </x:c>
      <x:c r="J1476" s="85" t="n">
        <x:v>13935999.999999998</x:v>
      </x:c>
      <x:c r="K1476" s="85" t="n">
        <x:v>10050.947260274123</x:v>
      </x:c>
      <x:c r="L1476" s="28" t="n">
        <x:v>45</x:v>
      </x:c>
      <x:c r="M1476" s="28" t="n">
        <x:v>38</x:v>
      </x:c>
      <x:c r="N1476" s="28" t="n">
        <x:v>2.3283064365386963e-10</x:v>
      </x:c>
      <x:c r="O1476" s="28" t="n">
        <x:v>3.725290298461914e-9</x:v>
      </x:c>
      <x:c r="P1476" s="28" t="n">
        <x:v>0</x:v>
      </x:c>
      <x:c r="Q1476" s="62" t="b">
        <x:v>1</x:v>
      </x:c>
      <x:c r="R1476" s="28" t="n">
        <x:v>2175066.688714437</x:v>
      </x:c>
      <x:c r="S1476" s="28" t="str">
        <x:v>a4d96c3d5c82898f</x:v>
      </x:c>
    </x:row>
    <x:row r="1477" ht="21" customHeight="1">
      <x:c r="A1477" s="60" t="n">
        <x:v>0.65</x:v>
      </x:c>
      <x:c r="B1477" s="28" t="str">
        <x:v>level_flat</x:v>
      </x:c>
      <x:c r="C1477" s="60" t="n">
        <x:v>1</x:v>
      </x:c>
      <x:c r="D1477" s="60" t="n">
        <x:v>0.9258453085724337</x:v>
      </x:c>
      <x:c r="E1477" s="62" t="b">
        <x:v>0</x:v>
      </x:c>
      <x:c r="F1477" s="62" t="b">
        <x:v>0</x:v>
      </x:c>
      <x:c r="G1477" s="85" t="n">
        <x:v>3482524.5744092595</x:v>
      </x:c>
      <x:c r="H1477" s="85" t="n">
        <x:v>12654018.532825429</x:v>
      </x:c>
      <x:c r="I1477" s="85" t="n">
        <x:v>13386241.199999996</x:v>
      </x:c>
      <x:c r="J1477" s="85" t="n">
        <x:v>13935999.999999998</x:v>
      </x:c>
      <x:c r="K1477" s="85" t="n">
        <x:v>8045.7780821919805</x:v>
      </x:c>
      <x:c r="L1477" s="28" t="n">
        <x:v>45</x:v>
      </x:c>
      <x:c r="M1477" s="28" t="n">
        <x:v>40</x:v>
      </x:c>
      <x:c r="N1477" s="28" t="n">
        <x:v>2.3283064365386963e-10</x:v>
      </x:c>
      <x:c r="O1477" s="28" t="n">
        <x:v>1.862645149230957e-9</x:v>
      </x:c>
      <x:c r="P1477" s="28" t="n">
        <x:v>0</x:v>
      </x:c>
      <x:c r="Q1477" s="62" t="b">
        <x:v>1</x:v>
      </x:c>
      <x:c r="R1477" s="28" t="n">
        <x:v>4133679.1189382523</x:v>
      </x:c>
      <x:c r="S1477" s="28" t="str">
        <x:v>293b07c0dc6fb4d0</x:v>
      </x:c>
    </x:row>
    <x:row r="1478" ht="21" customHeight="1">
      <x:c r="A1478" s="60" t="n">
        <x:v>0.65</x:v>
      </x:c>
      <x:c r="B1478" s="28" t="str">
        <x:v>level_low</x:v>
      </x:c>
      <x:c r="C1478" s="60" t="n">
        <x:v>0</x:v>
      </x:c>
      <x:c r="D1478" s="60" t="n">
        <x:v>0</x:v>
      </x:c>
      <x:c r="E1478" s="62" t="b">
        <x:v>1</x:v>
      </x:c>
      <x:c r="F1478" s="62" t="b">
        <x:v>1</x:v>
      </x:c>
      <x:c r="G1478" s="85" t="n">
        <x:v>0</x:v>
      </x:c>
      <x:c r="H1478" s="85" t="n">
        <x:v>0</x:v>
      </x:c>
      <x:c r="I1478" s="85" t="n">
        <x:v>0</x:v>
      </x:c>
      <x:c r="J1478" s="85" t="n">
        <x:v>0</x:v>
      </x:c>
      <x:c r="K1478" s="85" t="n">
        <x:v>5434931.926575345</x:v>
      </x:c>
      <x:c r="L1478" s="28" t="n">
        <x:v>0</x:v>
      </x:c>
      <x:c r="M1478" s="28" t="n">
        <x:v>0</x:v>
      </x:c>
      <x:c r="N1478" s="28" t="n">
        <x:v>9.313225746154785e-10</x:v>
      </x:c>
      <x:c r="O1478" s="28" t="n">
        <x:v>0</x:v>
      </x:c>
      <x:c r="P1478" s="28" t="n">
        <x:v>0</x:v>
      </x:c>
      <x:c r="Q1478" s="62" t="b">
        <x:v>1</x:v>
      </x:c>
      <x:c r="R1478" s="28" t="n">
        <x:v>0</x:v>
      </x:c>
      <x:c r="S1478" s="28" t="str">
        <x:v>7c1590e56dad7040</x:v>
      </x:c>
    </x:row>
    <x:row r="1479" ht="21" customHeight="1">
      <x:c r="A1479" s="60" t="n">
        <x:v>0.65</x:v>
      </x:c>
      <x:c r="B1479" s="28" t="str">
        <x:v>level_low</x:v>
      </x:c>
      <x:c r="C1479" s="60" t="n">
        <x:v>0.05</x:v>
      </x:c>
      <x:c r="D1479" s="60" t="n">
        <x:v>0.05</x:v>
      </x:c>
      <x:c r="E1479" s="62" t="b">
        <x:v>1</x:v>
      </x:c>
      <x:c r="F1479" s="62" t="b">
        <x:v>1</x:v>
      </x:c>
      <x:c r="G1479" s="85" t="n">
        <x:v>0</x:v>
      </x:c>
      <x:c r="H1479" s="85" t="n">
        <x:v>0</x:v>
      </x:c>
      <x:c r="I1479" s="85" t="n">
        <x:v>0</x:v>
      </x:c>
      <x:c r="J1479" s="85" t="n">
        <x:v>0</x:v>
      </x:c>
      <x:c r="K1479" s="85" t="n">
        <x:v>3428682.686835737</x:v>
      </x:c>
      <x:c r="L1479" s="28" t="n">
        <x:v>0</x:v>
      </x:c>
      <x:c r="M1479" s="28" t="n">
        <x:v>0</x:v>
      </x:c>
      <x:c r="N1479" s="28" t="n">
        <x:v>2.3283064365386963e-10</x:v>
      </x:c>
      <x:c r="O1479" s="28" t="n">
        <x:v>7.450580596923828e-9</x:v>
      </x:c>
      <x:c r="P1479" s="28" t="n">
        <x:v>0</x:v>
      </x:c>
      <x:c r="Q1479" s="62" t="b">
        <x:v>1</x:v>
      </x:c>
      <x:c r="R1479" s="28" t="n">
        <x:v>0</x:v>
      </x:c>
      <x:c r="S1479" s="28" t="str">
        <x:v>e09079f3ee1207f1</x:v>
      </x:c>
    </x:row>
    <x:row r="1480" ht="21" customHeight="1">
      <x:c r="A1480" s="60" t="n">
        <x:v>0.65</x:v>
      </x:c>
      <x:c r="B1480" s="28" t="str">
        <x:v>level_low</x:v>
      </x:c>
      <x:c r="C1480" s="60" t="n">
        <x:v>0.1</x:v>
      </x:c>
      <x:c r="D1480" s="60" t="n">
        <x:v>0.1</x:v>
      </x:c>
      <x:c r="E1480" s="62" t="b">
        <x:v>1</x:v>
      </x:c>
      <x:c r="F1480" s="62" t="b">
        <x:v>1</x:v>
      </x:c>
      <x:c r="G1480" s="85" t="n">
        <x:v>0</x:v>
      </x:c>
      <x:c r="H1480" s="85" t="n">
        <x:v>0</x:v>
      </x:c>
      <x:c r="I1480" s="85" t="n">
        <x:v>0</x:v>
      </x:c>
      <x:c r="J1480" s="85" t="n">
        <x:v>0</x:v>
      </x:c>
      <x:c r="K1480" s="85" t="n">
        <x:v>1427613.6614101445</x:v>
      </x:c>
      <x:c r="L1480" s="28" t="n">
        <x:v>0</x:v>
      </x:c>
      <x:c r="M1480" s="28" t="n">
        <x:v>0</x:v>
      </x:c>
      <x:c r="N1480" s="28" t="n">
        <x:v>1.1641532182693481e-10</x:v>
      </x:c>
      <x:c r="O1480" s="28" t="n">
        <x:v>7.450580596923828e-9</x:v>
      </x:c>
      <x:c r="P1480" s="28" t="n">
        <x:v>0</x:v>
      </x:c>
      <x:c r="Q1480" s="62" t="b">
        <x:v>1</x:v>
      </x:c>
      <x:c r="R1480" s="28" t="n">
        <x:v>0</x:v>
      </x:c>
      <x:c r="S1480" s="28" t="str">
        <x:v>d0051f18b754349e</x:v>
      </x:c>
    </x:row>
    <x:row r="1481" ht="21" customHeight="1">
      <x:c r="A1481" s="60" t="n">
        <x:v>0.65</x:v>
      </x:c>
      <x:c r="B1481" s="28" t="str">
        <x:v>level_low</x:v>
      </x:c>
      <x:c r="C1481" s="60" t="n">
        <x:v>0.15</x:v>
      </x:c>
      <x:c r="D1481" s="60" t="n">
        <x:v>0.15</x:v>
      </x:c>
      <x:c r="E1481" s="62" t="b">
        <x:v>1</x:v>
      </x:c>
      <x:c r="F1481" s="62" t="b">
        <x:v>1</x:v>
      </x:c>
      <x:c r="G1481" s="85" t="n">
        <x:v>0</x:v>
      </x:c>
      <x:c r="H1481" s="85" t="n">
        <x:v>0</x:v>
      </x:c>
      <x:c r="I1481" s="85" t="n">
        <x:v>513974.00799041236</x:v>
      </x:c>
      <x:c r="J1481" s="85" t="n">
        <x:v>0</x:v>
      </x:c>
      <x:c r="K1481" s="85" t="n">
        <x:v>91085.37977280826</x:v>
      </x:c>
      <x:c r="L1481" s="28" t="n">
        <x:v>0</x:v>
      </x:c>
      <x:c r="M1481" s="28" t="n">
        <x:v>0</x:v>
      </x:c>
      <x:c r="N1481" s="28" t="n">
        <x:v>9.313225746154785e-10</x:v>
      </x:c>
      <x:c r="O1481" s="28" t="n">
        <x:v>7.450580596923828e-9</x:v>
      </x:c>
      <x:c r="P1481" s="28" t="n">
        <x:v>0</x:v>
      </x:c>
      <x:c r="Q1481" s="62" t="b">
        <x:v>1</x:v>
      </x:c>
      <x:c r="R1481" s="28" t="n">
        <x:v>0</x:v>
      </x:c>
      <x:c r="S1481" s="28" t="str">
        <x:v>edc3d2a1cdcae8c9</x:v>
      </x:c>
    </x:row>
    <x:row r="1482" ht="21" customHeight="1">
      <x:c r="A1482" s="60" t="n">
        <x:v>0.65</x:v>
      </x:c>
      <x:c r="B1482" s="28" t="str">
        <x:v>level_low</x:v>
      </x:c>
      <x:c r="C1482" s="60" t="n">
        <x:v>0.2</x:v>
      </x:c>
      <x:c r="D1482" s="60" t="n">
        <x:v>0.2</x:v>
      </x:c>
      <x:c r="E1482" s="62" t="b">
        <x:v>1</x:v>
      </x:c>
      <x:c r="F1482" s="62" t="b">
        <x:v>1</x:v>
      </x:c>
      <x:c r="G1482" s="85" t="n">
        <x:v>0</x:v>
      </x:c>
      <x:c r="H1482" s="85" t="n">
        <x:v>0</x:v>
      </x:c>
      <x:c r="I1482" s="85" t="n">
        <x:v>1627356.7560620958</x:v>
      </x:c>
      <x:c r="J1482" s="85" t="n">
        <x:v>1248509.6821692977</x:v>
      </x:c>
      <x:c r="K1482" s="85" t="n">
        <x:v>61641.31410986246</x:v>
      </x:c>
      <x:c r="L1482" s="28" t="n">
        <x:v>0</x:v>
      </x:c>
      <x:c r="M1482" s="28" t="n">
        <x:v>0</x:v>
      </x:c>
      <x:c r="N1482" s="28" t="n">
        <x:v>4.656612873077393e-10</x:v>
      </x:c>
      <x:c r="O1482" s="28" t="n">
        <x:v>7.450580596923828e-9</x:v>
      </x:c>
      <x:c r="P1482" s="28" t="n">
        <x:v>0</x:v>
      </x:c>
      <x:c r="Q1482" s="62" t="b">
        <x:v>1</x:v>
      </x:c>
      <x:c r="R1482" s="28" t="n">
        <x:v>0</x:v>
      </x:c>
      <x:c r="S1482" s="28" t="str">
        <x:v>eea8501fb43454ee</x:v>
      </x:c>
    </x:row>
    <x:row r="1483" ht="21" customHeight="1">
      <x:c r="A1483" s="60" t="n">
        <x:v>0.65</x:v>
      </x:c>
      <x:c r="B1483" s="28" t="str">
        <x:v>level_low</x:v>
      </x:c>
      <x:c r="C1483" s="60" t="n">
        <x:v>0.25</x:v>
      </x:c>
      <x:c r="D1483" s="60" t="n">
        <x:v>0.25</x:v>
      </x:c>
      <x:c r="E1483" s="62" t="b">
        <x:v>1</x:v>
      </x:c>
      <x:c r="F1483" s="62" t="b">
        <x:v>1</x:v>
      </x:c>
      <x:c r="G1483" s="85" t="n">
        <x:v>0</x:v>
      </x:c>
      <x:c r="H1483" s="85" t="n">
        <x:v>0</x:v>
      </x:c>
      <x:c r="I1483" s="85" t="n">
        <x:v>2393466.878630079</x:v>
      </x:c>
      <x:c r="J1483" s="85" t="n">
        <x:v>2954237.102711631</x:v>
      </x:c>
      <x:c r="K1483" s="85" t="n">
        <x:v>45690.259931506764</x:v>
      </x:c>
      <x:c r="L1483" s="28" t="n">
        <x:v>0</x:v>
      </x:c>
      <x:c r="M1483" s="28" t="n">
        <x:v>0</x:v>
      </x:c>
      <x:c r="N1483" s="28" t="n">
        <x:v>4.656612873077393e-10</x:v>
      </x:c>
      <x:c r="O1483" s="28" t="n">
        <x:v>7.450580596923828e-9</x:v>
      </x:c>
      <x:c r="P1483" s="28" t="n">
        <x:v>0</x:v>
      </x:c>
      <x:c r="Q1483" s="62" t="b">
        <x:v>1</x:v>
      </x:c>
      <x:c r="R1483" s="28" t="n">
        <x:v>0</x:v>
      </x:c>
      <x:c r="S1483" s="28" t="str">
        <x:v>1b51dbd7fa489e0c</x:v>
      </x:c>
    </x:row>
    <x:row r="1484" ht="21" customHeight="1">
      <x:c r="A1484" s="60" t="n">
        <x:v>0.65</x:v>
      </x:c>
      <x:c r="B1484" s="28" t="str">
        <x:v>level_low</x:v>
      </x:c>
      <x:c r="C1484" s="60" t="n">
        <x:v>0.3</x:v>
      </x:c>
      <x:c r="D1484" s="60" t="n">
        <x:v>0.3</x:v>
      </x:c>
      <x:c r="E1484" s="62" t="b">
        <x:v>1</x:v>
      </x:c>
      <x:c r="F1484" s="62" t="b">
        <x:v>1</x:v>
      </x:c>
      <x:c r="G1484" s="85" t="n">
        <x:v>0</x:v>
      </x:c>
      <x:c r="H1484" s="85" t="n">
        <x:v>0</x:v>
      </x:c>
      <x:c r="I1484" s="85" t="n">
        <x:v>3165729.5388377244</x:v>
      </x:c>
      <x:c r="J1484" s="85" t="n">
        <x:v>4659964.523253943</x:v>
      </x:c>
      <x:c r="K1484" s="85" t="n">
        <x:v>34762.991917808315</x:v>
      </x:c>
      <x:c r="L1484" s="28" t="n">
        <x:v>0</x:v>
      </x:c>
      <x:c r="M1484" s="28" t="n">
        <x:v>0</x:v>
      </x:c>
      <x:c r="N1484" s="28" t="n">
        <x:v>4.656612873077393e-10</x:v>
      </x:c>
      <x:c r="O1484" s="28" t="n">
        <x:v>7.450580596923828e-9</x:v>
      </x:c>
      <x:c r="P1484" s="28" t="n">
        <x:v>0</x:v>
      </x:c>
      <x:c r="Q1484" s="62" t="b">
        <x:v>1</x:v>
      </x:c>
      <x:c r="R1484" s="28" t="n">
        <x:v>0</x:v>
      </x:c>
      <x:c r="S1484" s="28" t="str">
        <x:v>1169756d26d2fa5f</x:v>
      </x:c>
    </x:row>
    <x:row r="1485" ht="21" customHeight="1">
      <x:c r="A1485" s="60" t="n">
        <x:v>0.65</x:v>
      </x:c>
      <x:c r="B1485" s="28" t="str">
        <x:v>level_low</x:v>
      </x:c>
      <x:c r="C1485" s="60" t="n">
        <x:v>0.35</x:v>
      </x:c>
      <x:c r="D1485" s="60" t="n">
        <x:v>0.35</x:v>
      </x:c>
      <x:c r="E1485" s="62" t="b">
        <x:v>1</x:v>
      </x:c>
      <x:c r="F1485" s="62" t="b">
        <x:v>1</x:v>
      </x:c>
      <x:c r="G1485" s="85" t="n">
        <x:v>0</x:v>
      </x:c>
      <x:c r="H1485" s="85" t="n">
        <x:v>0</x:v>
      </x:c>
      <x:c r="I1485" s="85" t="n">
        <x:v>3943812.145569579</x:v>
      </x:c>
      <x:c r="J1485" s="85" t="n">
        <x:v>6365691.943796256</x:v>
      </x:c>
      <x:c r="K1485" s="85" t="n">
        <x:v>26017.749657534372</x:v>
      </x:c>
      <x:c r="L1485" s="28" t="n">
        <x:v>0</x:v>
      </x:c>
      <x:c r="M1485" s="28" t="n">
        <x:v>0</x:v>
      </x:c>
      <x:c r="N1485" s="28" t="n">
        <x:v>9.313225746154785e-10</x:v>
      </x:c>
      <x:c r="O1485" s="28" t="n">
        <x:v>7.450580596923828e-9</x:v>
      </x:c>
      <x:c r="P1485" s="28" t="n">
        <x:v>0</x:v>
      </x:c>
      <x:c r="Q1485" s="62" t="b">
        <x:v>1</x:v>
      </x:c>
      <x:c r="R1485" s="28" t="n">
        <x:v>0</x:v>
      </x:c>
      <x:c r="S1485" s="28" t="str">
        <x:v>aa63741825882af0</x:v>
      </x:c>
    </x:row>
    <x:row r="1486" ht="21" customHeight="1">
      <x:c r="A1486" s="60" t="n">
        <x:v>0.65</x:v>
      </x:c>
      <x:c r="B1486" s="28" t="str">
        <x:v>level_low</x:v>
      </x:c>
      <x:c r="C1486" s="60" t="n">
        <x:v>0.4</x:v>
      </x:c>
      <x:c r="D1486" s="60" t="n">
        <x:v>0.4</x:v>
      </x:c>
      <x:c r="E1486" s="62" t="b">
        <x:v>1</x:v>
      </x:c>
      <x:c r="F1486" s="62" t="b">
        <x:v>1</x:v>
      </x:c>
      <x:c r="G1486" s="85" t="n">
        <x:v>0</x:v>
      </x:c>
      <x:c r="H1486" s="85" t="n">
        <x:v>0</x:v>
      </x:c>
      <x:c r="I1486" s="85" t="n">
        <x:v>4725423.369489494</x:v>
      </x:c>
      <x:c r="J1486" s="85" t="n">
        <x:v>8071419.3643386</x:v>
      </x:c>
      <x:c r="K1486" s="85" t="n">
        <x:v>22627.285479451944</x:v>
      </x:c>
      <x:c r="L1486" s="28" t="n">
        <x:v>0</x:v>
      </x:c>
      <x:c r="M1486" s="28" t="n">
        <x:v>0</x:v>
      </x:c>
      <x:c r="N1486" s="28" t="n">
        <x:v>9.313225746154785e-10</x:v>
      </x:c>
      <x:c r="O1486" s="28" t="n">
        <x:v>7.450580596923828e-9</x:v>
      </x:c>
      <x:c r="P1486" s="28" t="n">
        <x:v>0</x:v>
      </x:c>
      <x:c r="Q1486" s="62" t="b">
        <x:v>1</x:v>
      </x:c>
      <x:c r="R1486" s="28" t="n">
        <x:v>0</x:v>
      </x:c>
      <x:c r="S1486" s="28" t="str">
        <x:v>fb58fbaf32b5c6d7</x:v>
      </x:c>
    </x:row>
    <x:row r="1487" ht="21" customHeight="1">
      <x:c r="A1487" s="60" t="n">
        <x:v>0.65</x:v>
      </x:c>
      <x:c r="B1487" s="28" t="str">
        <x:v>level_low</x:v>
      </x:c>
      <x:c r="C1487" s="60" t="n">
        <x:v>0.45</x:v>
      </x:c>
      <x:c r="D1487" s="60" t="n">
        <x:v>0.45</x:v>
      </x:c>
      <x:c r="E1487" s="62" t="b">
        <x:v>1</x:v>
      </x:c>
      <x:c r="F1487" s="62" t="b">
        <x:v>1</x:v>
      </x:c>
      <x:c r="G1487" s="85" t="n">
        <x:v>0</x:v>
      </x:c>
      <x:c r="H1487" s="85" t="n">
        <x:v>0</x:v>
      </x:c>
      <x:c r="I1487" s="85" t="n">
        <x:v>5905818.4610088</x:v>
      </x:c>
      <x:c r="J1487" s="85" t="n">
        <x:v>9146650.369203398</x:v>
      </x:c>
      <x:c r="K1487" s="85" t="n">
        <x:v>19236.821301369746</x:v>
      </x:c>
      <x:c r="L1487" s="28" t="n">
        <x:v>7</x:v>
      </x:c>
      <x:c r="M1487" s="28" t="n">
        <x:v>0</x:v>
      </x:c>
      <x:c r="N1487" s="28" t="n">
        <x:v>9.313225746154785e-10</x:v>
      </x:c>
      <x:c r="O1487" s="28" t="n">
        <x:v>3.725290298461914e-9</x:v>
      </x:c>
      <x:c r="P1487" s="28" t="n">
        <x:v>0</x:v>
      </x:c>
      <x:c r="Q1487" s="62" t="b">
        <x:v>1</x:v>
      </x:c>
      <x:c r="R1487" s="28" t="n">
        <x:v>0</x:v>
      </x:c>
      <x:c r="S1487" s="28" t="str">
        <x:v>90f27af96105f1c7</x:v>
      </x:c>
    </x:row>
    <x:row r="1488" ht="21" customHeight="1">
      <x:c r="A1488" s="60" t="n">
        <x:v>0.65</x:v>
      </x:c>
      <x:c r="B1488" s="28" t="str">
        <x:v>level_low</x:v>
      </x:c>
      <x:c r="C1488" s="60" t="n">
        <x:v>0.5</x:v>
      </x:c>
      <x:c r="D1488" s="60" t="n">
        <x:v>0.5</x:v>
      </x:c>
      <x:c r="E1488" s="62" t="b">
        <x:v>1</x:v>
      </x:c>
      <x:c r="F1488" s="62" t="b">
        <x:v>1</x:v>
      </x:c>
      <x:c r="G1488" s="85" t="n">
        <x:v>0</x:v>
      </x:c>
      <x:c r="H1488" s="85" t="n">
        <x:v>0</x:v>
      </x:c>
      <x:c r="I1488" s="85" t="n">
        <x:v>6925995.304461794</x:v>
      </x:c>
      <x:c r="J1488" s="85" t="n">
        <x:v>10452094.842438696</x:v>
      </x:c>
      <x:c r="K1488" s="85" t="n">
        <x:v>15846.357123287606</x:v>
      </x:c>
      <x:c r="L1488" s="28" t="n">
        <x:v>12</x:v>
      </x:c>
      <x:c r="M1488" s="28" t="n">
        <x:v>0</x:v>
      </x:c>
      <x:c r="N1488" s="28" t="n">
        <x:v>2.3283064365386963e-10</x:v>
      </x:c>
      <x:c r="O1488" s="28" t="n">
        <x:v>3.725290298461914e-9</x:v>
      </x:c>
      <x:c r="P1488" s="28" t="n">
        <x:v>0</x:v>
      </x:c>
      <x:c r="Q1488" s="62" t="b">
        <x:v>1</x:v>
      </x:c>
      <x:c r="R1488" s="28" t="n">
        <x:v>0</x:v>
      </x:c>
      <x:c r="S1488" s="28" t="str">
        <x:v>4cc68833e2188d10</x:v>
      </x:c>
    </x:row>
    <x:row r="1489" ht="21" customHeight="1">
      <x:c r="A1489" s="60" t="n">
        <x:v>0.65</x:v>
      </x:c>
      <x:c r="B1489" s="28" t="str">
        <x:v>level_low</x:v>
      </x:c>
      <x:c r="C1489" s="60" t="n">
        <x:v>0.55</x:v>
      </x:c>
      <x:c r="D1489" s="60" t="n">
        <x:v>0.55</x:v>
      </x:c>
      <x:c r="E1489" s="62" t="b">
        <x:v>1</x:v>
      </x:c>
      <x:c r="F1489" s="62" t="b">
        <x:v>1</x:v>
      </x:c>
      <x:c r="G1489" s="85" t="n">
        <x:v>0</x:v>
      </x:c>
      <x:c r="H1489" s="85" t="n">
        <x:v>0</x:v>
      </x:c>
      <x:c r="I1489" s="85" t="n">
        <x:v>7731581.98007555</x:v>
      </x:c>
      <x:c r="J1489" s="85" t="n">
        <x:v>12095261.818314958</x:v>
      </x:c>
      <x:c r="K1489" s="85" t="n">
        <x:v>12455.892945205527</x:v>
      </x:c>
      <x:c r="L1489" s="28" t="n">
        <x:v>15</x:v>
      </x:c>
      <x:c r="M1489" s="28" t="n">
        <x:v>0</x:v>
      </x:c>
      <x:c r="N1489" s="28" t="n">
        <x:v>4.656612873077393e-10</x:v>
      </x:c>
      <x:c r="O1489" s="28" t="n">
        <x:v>3.725290298461914e-9</x:v>
      </x:c>
      <x:c r="P1489" s="28" t="n">
        <x:v>0</x:v>
      </x:c>
      <x:c r="Q1489" s="62" t="b">
        <x:v>1</x:v>
      </x:c>
      <x:c r="R1489" s="28" t="n">
        <x:v>0</x:v>
      </x:c>
      <x:c r="S1489" s="28" t="str">
        <x:v>8ea6a20e9c628d5c</x:v>
      </x:c>
    </x:row>
    <x:row r="1490" ht="21" customHeight="1">
      <x:c r="A1490" s="60" t="n">
        <x:v>0.65</x:v>
      </x:c>
      <x:c r="B1490" s="28" t="str">
        <x:v>level_low</x:v>
      </x:c>
      <x:c r="C1490" s="60" t="n">
        <x:v>0.6</x:v>
      </x:c>
      <x:c r="D1490" s="60" t="n">
        <x:v>0.6</x:v>
      </x:c>
      <x:c r="E1490" s="62" t="b">
        <x:v>1</x:v>
      </x:c>
      <x:c r="F1490" s="62" t="b">
        <x:v>1</x:v>
      </x:c>
      <x:c r="G1490" s="85" t="n">
        <x:v>0</x:v>
      </x:c>
      <x:c r="H1490" s="85" t="n">
        <x:v>0</x:v>
      </x:c>
      <x:c r="I1490" s="85" t="n">
        <x:v>8471695.003342928</x:v>
      </x:c>
      <x:c r="J1490" s="85" t="n">
        <x:v>13809338.439012757</x:v>
      </x:c>
      <x:c r="K1490" s="85" t="n">
        <x:v>9065.42876712315</x:v>
      </x:c>
      <x:c r="L1490" s="28" t="n">
        <x:v>21</x:v>
      </x:c>
      <x:c r="M1490" s="28" t="n">
        <x:v>3</x:v>
      </x:c>
      <x:c r="N1490" s="28" t="n">
        <x:v>4.656612873077393e-10</x:v>
      </x:c>
      <x:c r="O1490" s="28" t="n">
        <x:v>7.450580596923828e-9</x:v>
      </x:c>
      <x:c r="P1490" s="28" t="n">
        <x:v>0</x:v>
      </x:c>
      <x:c r="Q1490" s="62" t="b">
        <x:v>1</x:v>
      </x:c>
      <x:c r="R1490" s="28" t="n">
        <x:v>0</x:v>
      </x:c>
      <x:c r="S1490" s="28" t="str">
        <x:v>dd287b095542dc7f</x:v>
      </x:c>
    </x:row>
    <x:row r="1491" ht="21" customHeight="1">
      <x:c r="A1491" s="60" t="n">
        <x:v>0.65</x:v>
      </x:c>
      <x:c r="B1491" s="28" t="str">
        <x:v>level_low</x:v>
      </x:c>
      <x:c r="C1491" s="60" t="n">
        <x:v>0.65</x:v>
      </x:c>
      <x:c r="D1491" s="60" t="n">
        <x:v>0.65</x:v>
      </x:c>
      <x:c r="E1491" s="62" t="b">
        <x:v>1</x:v>
      </x:c>
      <x:c r="F1491" s="62" t="b">
        <x:v>0</x:v>
      </x:c>
      <x:c r="G1491" s="85" t="n">
        <x:v>136442.38476462752</x:v>
      </x:c>
      <x:c r="H1491" s="85" t="n">
        <x:v>1700649.8051746264</x:v>
      </x:c>
      <x:c r="I1491" s="85" t="n">
        <x:v>8698321.818970887</x:v>
      </x:c>
      <x:c r="J1491" s="85" t="n">
        <x:v>13935999.999999998</x:v>
      </x:c>
      <x:c r="K1491" s="85" t="n">
        <x:v>5674.964589040839</x:v>
      </x:c>
      <x:c r="L1491" s="28" t="n">
        <x:v>41</x:v>
      </x:c>
      <x:c r="M1491" s="28" t="n">
        <x:v>30</x:v>
      </x:c>
      <x:c r="N1491" s="28" t="n">
        <x:v>4.656612873077393e-10</x:v>
      </x:c>
      <x:c r="O1491" s="28" t="n">
        <x:v>3.725290298461914e-9</x:v>
      </x:c>
      <x:c r="P1491" s="28" t="n">
        <x:v>0</x:v>
      </x:c>
      <x:c r="Q1491" s="62" t="b">
        <x:v>1</x:v>
      </x:c>
      <x:c r="R1491" s="28" t="n">
        <x:v>0</x:v>
      </x:c>
      <x:c r="S1491" s="28" t="str">
        <x:v>a0983d66aeef1280</x:v>
      </x:c>
    </x:row>
    <x:row r="1492" ht="21" customHeight="1">
      <x:c r="A1492" s="60" t="n">
        <x:v>0.65</x:v>
      </x:c>
      <x:c r="B1492" s="28" t="str">
        <x:v>level_low</x:v>
      </x:c>
      <x:c r="C1492" s="60" t="n">
        <x:v>0.7</x:v>
      </x:c>
      <x:c r="D1492" s="60" t="n">
        <x:v>0.7</x:v>
      </x:c>
      <x:c r="E1492" s="62" t="b">
        <x:v>1</x:v>
      </x:c>
      <x:c r="F1492" s="62" t="b">
        <x:v>0</x:v>
      </x:c>
      <x:c r="G1492" s="85" t="n">
        <x:v>285409.8591152801</x:v>
      </x:c>
      <x:c r="H1492" s="85" t="n">
        <x:v>3552958.504880046</x:v>
      </x:c>
      <x:c r="I1492" s="85" t="n">
        <x:v>8876528.941409998</x:v>
      </x:c>
      <x:c r="J1492" s="85" t="n">
        <x:v>13935999.999999998</x:v>
      </x:c>
      <x:c r="K1492" s="85" t="n">
        <x:v>2284.5004109589318</x:v>
      </x:c>
      <x:c r="L1492" s="28" t="n">
        <x:v>42</x:v>
      </x:c>
      <x:c r="M1492" s="28" t="n">
        <x:v>31</x:v>
      </x:c>
      <x:c r="N1492" s="28" t="n">
        <x:v>4.656612873077393e-10</x:v>
      </x:c>
      <x:c r="O1492" s="28" t="n">
        <x:v>3.725290298461914e-9</x:v>
      </x:c>
      <x:c r="P1492" s="28" t="n">
        <x:v>0</x:v>
      </x:c>
      <x:c r="Q1492" s="62" t="b">
        <x:v>1</x:v>
      </x:c>
      <x:c r="R1492" s="28" t="n">
        <x:v>0</x:v>
      </x:c>
      <x:c r="S1492" s="28" t="str">
        <x:v>8cfc95bfa0b97c5d</x:v>
      </x:c>
    </x:row>
    <x:row r="1493" ht="21" customHeight="1">
      <x:c r="A1493" s="60" t="n">
        <x:v>0.65</x:v>
      </x:c>
      <x:c r="B1493" s="28" t="str">
        <x:v>level_low</x:v>
      </x:c>
      <x:c r="C1493" s="60" t="n">
        <x:v>0.75</x:v>
      </x:c>
      <x:c r="D1493" s="60" t="n">
        <x:v>0.75</x:v>
      </x:c>
      <x:c r="E1493" s="62" t="b">
        <x:v>1</x:v>
      </x:c>
      <x:c r="F1493" s="62" t="b">
        <x:v>0</x:v>
      </x:c>
      <x:c r="G1493" s="85" t="n">
        <x:v>433630.1356171177</x:v>
      </x:c>
      <x:c r="H1493" s="85" t="n">
        <x:v>5395972.760008652</x:v>
      </x:c>
      <x:c r="I1493" s="85" t="n">
        <x:v>9062081.29767123</x:v>
      </x:c>
      <x:c r="J1493" s="85" t="n">
        <x:v>13935999.999999998</x:v>
      </x:c>
      <x:c r="K1493" s="85" t="n">
        <x:v>332.8397260272832</x:v>
      </x:c>
      <x:c r="L1493" s="28" t="n">
        <x:v>43</x:v>
      </x:c>
      <x:c r="M1493" s="28" t="n">
        <x:v>32</x:v>
      </x:c>
      <x:c r="N1493" s="28" t="n">
        <x:v>2.3283064365386963e-10</x:v>
      </x:c>
      <x:c r="O1493" s="28" t="n">
        <x:v>3.725290298461914e-9</x:v>
      </x:c>
      <x:c r="P1493" s="28" t="n">
        <x:v>0</x:v>
      </x:c>
      <x:c r="Q1493" s="62" t="b">
        <x:v>1</x:v>
      </x:c>
      <x:c r="R1493" s="28" t="n">
        <x:v>0</x:v>
      </x:c>
      <x:c r="S1493" s="28" t="str">
        <x:v>11f1b009e147df47</x:v>
      </x:c>
    </x:row>
    <x:row r="1494" ht="21" customHeight="1">
      <x:c r="A1494" s="60" t="n">
        <x:v>0.65</x:v>
      </x:c>
      <x:c r="B1494" s="28" t="str">
        <x:v>level_low</x:v>
      </x:c>
      <x:c r="C1494" s="60" t="n">
        <x:v>0.8</x:v>
      </x:c>
      <x:c r="D1494" s="60" t="n">
        <x:v>0.8</x:v>
      </x:c>
      <x:c r="E1494" s="62" t="b">
        <x:v>1</x:v>
      </x:c>
      <x:c r="F1494" s="62" t="b">
        <x:v>0</x:v>
      </x:c>
      <x:c r="G1494" s="85" t="n">
        <x:v>628560.145375973</x:v>
      </x:c>
      <x:c r="H1494" s="85" t="n">
        <x:v>7364650.535904363</x:v>
      </x:c>
      <x:c r="I1494" s="85" t="n">
        <x:v>9075238.385095887</x:v>
      </x:c>
      <x:c r="J1494" s="85" t="n">
        <x:v>13935999.999999998</x:v>
      </x:c>
      <x:c r="K1494" s="85" t="n">
        <x:v>0</x:v>
      </x:c>
      <x:c r="L1494" s="28" t="n">
        <x:v>43</x:v>
      </x:c>
      <x:c r="M1494" s="28" t="n">
        <x:v>33</x:v>
      </x:c>
      <x:c r="N1494" s="28" t="n">
        <x:v>2.3283064365386963e-10</x:v>
      </x:c>
      <x:c r="O1494" s="28" t="n">
        <x:v>3.725290298461914e-9</x:v>
      </x:c>
      <x:c r="P1494" s="28" t="n">
        <x:v>0</x:v>
      </x:c>
      <x:c r="Q1494" s="62" t="b">
        <x:v>1</x:v>
      </x:c>
      <x:c r="R1494" s="28" t="n">
        <x:v>0</x:v>
      </x:c>
      <x:c r="S1494" s="28" t="str">
        <x:v>7cdeca506c6027f4</x:v>
      </x:c>
    </x:row>
    <x:row r="1495" ht="21" customHeight="1">
      <x:c r="A1495" s="60" t="n">
        <x:v>0.65</x:v>
      </x:c>
      <x:c r="B1495" s="28" t="str">
        <x:v>level_low</x:v>
      </x:c>
      <x:c r="C1495" s="60" t="n">
        <x:v>0.85</x:v>
      </x:c>
      <x:c r="D1495" s="60" t="n">
        <x:v>0.85</x:v>
      </x:c>
      <x:c r="E1495" s="62" t="b">
        <x:v>1</x:v>
      </x:c>
      <x:c r="F1495" s="62" t="b">
        <x:v>0</x:v>
      </x:c>
      <x:c r="G1495" s="85" t="n">
        <x:v>833153.4805438766</x:v>
      </x:c>
      <x:c r="H1495" s="85" t="n">
        <x:v>9113345.123035563</x:v>
      </x:c>
      <x:c r="I1495" s="85" t="n">
        <x:v>9244509.59506849</x:v>
      </x:c>
      <x:c r="J1495" s="85" t="n">
        <x:v>13935999.999999998</x:v>
      </x:c>
      <x:c r="K1495" s="85" t="n">
        <x:v>0</x:v>
      </x:c>
      <x:c r="L1495" s="28" t="n">
        <x:v>44</x:v>
      </x:c>
      <x:c r="M1495" s="28" t="n">
        <x:v>34</x:v>
      </x:c>
      <x:c r="N1495" s="28" t="n">
        <x:v>4.656612873077393e-10</x:v>
      </x:c>
      <x:c r="O1495" s="28" t="n">
        <x:v>3.725290298461914e-9</x:v>
      </x:c>
      <x:c r="P1495" s="28" t="n">
        <x:v>0</x:v>
      </x:c>
      <x:c r="Q1495" s="62" t="b">
        <x:v>1</x:v>
      </x:c>
      <x:c r="R1495" s="28" t="n">
        <x:v>0</x:v>
      </x:c>
      <x:c r="S1495" s="28" t="str">
        <x:v>b5c408c7a0fdd14b</x:v>
      </x:c>
    </x:row>
    <x:row r="1496" ht="21" customHeight="1">
      <x:c r="A1496" s="60" t="n">
        <x:v>0.65</x:v>
      </x:c>
      <x:c r="B1496" s="28" t="str">
        <x:v>level_low</x:v>
      </x:c>
      <x:c r="C1496" s="60" t="n">
        <x:v>0.9</x:v>
      </x:c>
      <x:c r="D1496" s="60" t="n">
        <x:v>0.8949513562027351</x:v>
      </x:c>
      <x:c r="E1496" s="62" t="b">
        <x:v>0</x:v>
      </x:c>
      <x:c r="F1496" s="62" t="b">
        <x:v>0</x:v>
      </x:c>
      <x:c r="G1496" s="85" t="n">
        <x:v>1208010.1494200819</x:v>
      </x:c>
      <x:c r="H1496" s="85" t="n">
        <x:v>10591743.845356118</x:v>
      </x:c>
      <x:c r="I1496" s="85" t="n">
        <x:v>9252309.84657534</x:v>
      </x:c>
      <x:c r="J1496" s="85" t="n">
        <x:v>13935999.999999998</x:v>
      </x:c>
      <x:c r="K1496" s="85" t="n">
        <x:v>0</x:v>
      </x:c>
      <x:c r="L1496" s="28" t="n">
        <x:v>44</x:v>
      </x:c>
      <x:c r="M1496" s="28" t="n">
        <x:v>35</x:v>
      </x:c>
      <x:c r="N1496" s="28" t="n">
        <x:v>4.656612873077393e-10</x:v>
      </x:c>
      <x:c r="O1496" s="28" t="n">
        <x:v>3.725290298461914e-9</x:v>
      </x:c>
      <x:c r="P1496" s="28" t="n">
        <x:v>0</x:v>
      </x:c>
      <x:c r="Q1496" s="62" t="b">
        <x:v>1</x:v>
      </x:c>
      <x:c r="R1496" s="28" t="n">
        <x:v>281431.5998347327</x:v>
      </x:c>
      <x:c r="S1496" s="28" t="str">
        <x:v>e0003f71a17cffa1</x:v>
      </x:c>
    </x:row>
    <x:row r="1497" ht="21" customHeight="1">
      <x:c r="A1497" s="60" t="n">
        <x:v>0.65</x:v>
      </x:c>
      <x:c r="B1497" s="28" t="str">
        <x:v>level_low</x:v>
      </x:c>
      <x:c r="C1497" s="60" t="n">
        <x:v>0.95</x:v>
      </x:c>
      <x:c r="D1497" s="60" t="n">
        <x:v>0.9109811515371262</x:v>
      </x:c>
      <x:c r="E1497" s="62" t="b">
        <x:v>0</x:v>
      </x:c>
      <x:c r="F1497" s="62" t="b">
        <x:v>0</x:v>
      </x:c>
      <x:c r="G1497" s="85" t="n">
        <x:v>1270076.0077847873</x:v>
      </x:c>
      <x:c r="H1497" s="85" t="n">
        <x:v>11135932.711365813</x:v>
      </x:c>
      <x:c r="I1497" s="85" t="n">
        <x:v>9438925.588054793</x:v>
      </x:c>
      <x:c r="J1497" s="85" t="n">
        <x:v>13935999.999999998</x:v>
      </x:c>
      <x:c r="K1497" s="85" t="n">
        <x:v>0</x:v>
      </x:c>
      <x:c r="L1497" s="28" t="n">
        <x:v>45</x:v>
      </x:c>
      <x:c r="M1497" s="28" t="n">
        <x:v>36</x:v>
      </x:c>
      <x:c r="N1497" s="28" t="n">
        <x:v>2.3283064365386963e-10</x:v>
      </x:c>
      <x:c r="O1497" s="28" t="n">
        <x:v>3.725290298461914e-9</x:v>
      </x:c>
      <x:c r="P1497" s="28" t="n">
        <x:v>0</x:v>
      </x:c>
      <x:c r="Q1497" s="62" t="b">
        <x:v>1</x:v>
      </x:c>
      <x:c r="R1497" s="28" t="n">
        <x:v>2175066.688714437</x:v>
      </x:c>
      <x:c r="S1497" s="28" t="str">
        <x:v>9f2b51e973329026</x:v>
      </x:c>
    </x:row>
    <x:row r="1498" ht="21" customHeight="1">
      <x:c r="A1498" s="60" t="n">
        <x:v>0.65</x:v>
      </x:c>
      <x:c r="B1498" s="28" t="str">
        <x:v>level_low</x:v>
      </x:c>
      <x:c r="C1498" s="60" t="n">
        <x:v>1</x:v>
      </x:c>
      <x:c r="D1498" s="60" t="n">
        <x:v>0.9258453085724337</x:v>
      </x:c>
      <x:c r="E1498" s="62" t="b">
        <x:v>0</x:v>
      </x:c>
      <x:c r="F1498" s="62" t="b">
        <x:v>0</x:v>
      </x:c>
      <x:c r="G1498" s="85" t="n">
        <x:v>1398290.6471707176</x:v>
      </x:c>
      <x:c r="H1498" s="85" t="n">
        <x:v>11766053.120716324</x:v>
      </x:c>
      <x:c r="I1498" s="85" t="n">
        <x:v>9442224.18630137</x:v>
      </x:c>
      <x:c r="J1498" s="85" t="n">
        <x:v>13935999.999999998</x:v>
      </x:c>
      <x:c r="K1498" s="85" t="n">
        <x:v>0</x:v>
      </x:c>
      <x:c r="L1498" s="28" t="n">
        <x:v>45</x:v>
      </x:c>
      <x:c r="M1498" s="28" t="n">
        <x:v>36</x:v>
      </x:c>
      <x:c r="N1498" s="28" t="n">
        <x:v>2.3283064365386963e-10</x:v>
      </x:c>
      <x:c r="O1498" s="28" t="n">
        <x:v>1.862645149230957e-9</x:v>
      </x:c>
      <x:c r="P1498" s="28" t="n">
        <x:v>0</x:v>
      </x:c>
      <x:c r="Q1498" s="62" t="b">
        <x:v>1</x:v>
      </x:c>
      <x:c r="R1498" s="28" t="n">
        <x:v>4133679.1189382523</x:v>
      </x:c>
      <x:c r="S1498" s="28" t="str">
        <x:v>cfe23e7806cc7a37</x:v>
      </x:c>
    </x:row>
    <x:row r="1499" ht="21" customHeight="1">
      <x:c r="A1499" s="60" t="n">
        <x:v>0.65</x:v>
      </x:c>
      <x:c r="B1499" s="28" t="str">
        <x:v>level_high</x:v>
      </x:c>
      <x:c r="C1499" s="60" t="n">
        <x:v>0</x:v>
      </x:c>
      <x:c r="D1499" s="60" t="n">
        <x:v>0</x:v>
      </x:c>
      <x:c r="E1499" s="62" t="b">
        <x:v>1</x:v>
      </x:c>
      <x:c r="F1499" s="62" t="b">
        <x:v>1</x:v>
      </x:c>
      <x:c r="G1499" s="85" t="n">
        <x:v>0</x:v>
      </x:c>
      <x:c r="H1499" s="85" t="n">
        <x:v>0</x:v>
      </x:c>
      <x:c r="I1499" s="85" t="n">
        <x:v>0</x:v>
      </x:c>
      <x:c r="J1499" s="85" t="n">
        <x:v>0</x:v>
      </x:c>
      <x:c r="K1499" s="85" t="n">
        <x:v>7124228.567671235</x:v>
      </x:c>
      <x:c r="L1499" s="28" t="n">
        <x:v>0</x:v>
      </x:c>
      <x:c r="M1499" s="28" t="n">
        <x:v>0</x:v>
      </x:c>
      <x:c r="N1499" s="28" t="n">
        <x:v>9.313225746154785e-10</x:v>
      </x:c>
      <x:c r="O1499" s="28" t="n">
        <x:v>0</x:v>
      </x:c>
      <x:c r="P1499" s="28" t="n">
        <x:v>0</x:v>
      </x:c>
      <x:c r="Q1499" s="62" t="b">
        <x:v>1</x:v>
      </x:c>
      <x:c r="R1499" s="28" t="n">
        <x:v>0</x:v>
      </x:c>
      <x:c r="S1499" s="28" t="str">
        <x:v>34b774acbe925a1e</x:v>
      </x:c>
    </x:row>
    <x:row r="1500" ht="21" customHeight="1">
      <x:c r="A1500" s="60" t="n">
        <x:v>0.65</x:v>
      </x:c>
      <x:c r="B1500" s="28" t="str">
        <x:v>level_high</x:v>
      </x:c>
      <x:c r="C1500" s="60" t="n">
        <x:v>0.05</x:v>
      </x:c>
      <x:c r="D1500" s="60" t="n">
        <x:v>0.05</x:v>
      </x:c>
      <x:c r="E1500" s="62" t="b">
        <x:v>1</x:v>
      </x:c>
      <x:c r="F1500" s="62" t="b">
        <x:v>1</x:v>
      </x:c>
      <x:c r="G1500" s="85" t="n">
        <x:v>0</x:v>
      </x:c>
      <x:c r="H1500" s="85" t="n">
        <x:v>0</x:v>
      </x:c>
      <x:c r="I1500" s="85" t="n">
        <x:v>0</x:v>
      </x:c>
      <x:c r="J1500" s="85" t="n">
        <x:v>0</x:v>
      </x:c>
      <x:c r="K1500" s="85" t="n">
        <x:v>4627407.9745487375</x:v>
      </x:c>
      <x:c r="L1500" s="28" t="n">
        <x:v>0</x:v>
      </x:c>
      <x:c r="M1500" s="28" t="n">
        <x:v>0</x:v>
      </x:c>
      <x:c r="N1500" s="28" t="n">
        <x:v>9.313225746154785e-10</x:v>
      </x:c>
      <x:c r="O1500" s="28" t="n">
        <x:v>7.450580596923828e-9</x:v>
      </x:c>
      <x:c r="P1500" s="28" t="n">
        <x:v>0</x:v>
      </x:c>
      <x:c r="Q1500" s="62" t="b">
        <x:v>1</x:v>
      </x:c>
      <x:c r="R1500" s="28" t="n">
        <x:v>0</x:v>
      </x:c>
      <x:c r="S1500" s="28" t="str">
        <x:v>132e442699cc7955</x:v>
      </x:c>
    </x:row>
    <x:row r="1501" ht="21" customHeight="1">
      <x:c r="A1501" s="60" t="n">
        <x:v>0.65</x:v>
      </x:c>
      <x:c r="B1501" s="28" t="str">
        <x:v>level_high</x:v>
      </x:c>
      <x:c r="C1501" s="60" t="n">
        <x:v>0.1</x:v>
      </x:c>
      <x:c r="D1501" s="60" t="n">
        <x:v>0.1</x:v>
      </x:c>
      <x:c r="E1501" s="62" t="b">
        <x:v>1</x:v>
      </x:c>
      <x:c r="F1501" s="62" t="b">
        <x:v>1</x:v>
      </x:c>
      <x:c r="G1501" s="85" t="n">
        <x:v>0</x:v>
      </x:c>
      <x:c r="H1501" s="85" t="n">
        <x:v>0</x:v>
      </x:c>
      <x:c r="I1501" s="85" t="n">
        <x:v>0</x:v>
      </x:c>
      <x:c r="J1501" s="85" t="n">
        <x:v>0</x:v>
      </x:c>
      <x:c r="K1501" s="85" t="n">
        <x:v>2135693.514569189</x:v>
      </x:c>
      <x:c r="L1501" s="28" t="n">
        <x:v>0</x:v>
      </x:c>
      <x:c r="M1501" s="28" t="n">
        <x:v>0</x:v>
      </x:c>
      <x:c r="N1501" s="28" t="n">
        <x:v>4.656612873077393e-10</x:v>
      </x:c>
      <x:c r="O1501" s="28" t="n">
        <x:v>7.450580596923828e-9</x:v>
      </x:c>
      <x:c r="P1501" s="28" t="n">
        <x:v>0</x:v>
      </x:c>
      <x:c r="Q1501" s="62" t="b">
        <x:v>1</x:v>
      </x:c>
      <x:c r="R1501" s="28" t="n">
        <x:v>0</x:v>
      </x:c>
      <x:c r="S1501" s="28" t="str">
        <x:v>85c3521fb97776a5</x:v>
      </x:c>
    </x:row>
    <x:row r="1502" ht="21" customHeight="1">
      <x:c r="A1502" s="60" t="n">
        <x:v>0.65</x:v>
      </x:c>
      <x:c r="B1502" s="28" t="str">
        <x:v>level_high</x:v>
      </x:c>
      <x:c r="C1502" s="60" t="n">
        <x:v>0.15</x:v>
      </x:c>
      <x:c r="D1502" s="60" t="n">
        <x:v>0.15</x:v>
      </x:c>
      <x:c r="E1502" s="62" t="b">
        <x:v>1</x:v>
      </x:c>
      <x:c r="F1502" s="62" t="b">
        <x:v>1</x:v>
      </x:c>
      <x:c r="G1502" s="85" t="n">
        <x:v>0</x:v>
      </x:c>
      <x:c r="H1502" s="85" t="n">
        <x:v>0</x:v>
      </x:c>
      <x:c r="I1502" s="85" t="n">
        <x:v>753654.7941581239</x:v>
      </x:c>
      <x:c r="J1502" s="85" t="n">
        <x:v>0</x:v>
      </x:c>
      <x:c r="K1502" s="85" t="n">
        <x:v>466314.3719716161</x:v>
      </x:c>
      <x:c r="L1502" s="28" t="n">
        <x:v>0</x:v>
      </x:c>
      <x:c r="M1502" s="28" t="n">
        <x:v>0</x:v>
      </x:c>
      <x:c r="N1502" s="28" t="n">
        <x:v>9.313225746154785e-10</x:v>
      </x:c>
      <x:c r="O1502" s="28" t="n">
        <x:v>7.450580596923828e-9</x:v>
      </x:c>
      <x:c r="P1502" s="28" t="n">
        <x:v>0</x:v>
      </x:c>
      <x:c r="Q1502" s="62" t="b">
        <x:v>1</x:v>
      </x:c>
      <x:c r="R1502" s="28" t="n">
        <x:v>0</x:v>
      </x:c>
      <x:c r="S1502" s="28" t="str">
        <x:v>1219d9be8ebaf450</x:v>
      </x:c>
    </x:row>
    <x:row r="1503" ht="21" customHeight="1">
      <x:c r="A1503" s="60" t="n">
        <x:v>0.65</x:v>
      </x:c>
      <x:c r="B1503" s="28" t="str">
        <x:v>level_high</x:v>
      </x:c>
      <x:c r="C1503" s="60" t="n">
        <x:v>0.2</x:v>
      </x:c>
      <x:c r="D1503" s="60" t="n">
        <x:v>0.2</x:v>
      </x:c>
      <x:c r="E1503" s="62" t="b">
        <x:v>1</x:v>
      </x:c>
      <x:c r="F1503" s="62" t="b">
        <x:v>1</x:v>
      </x:c>
      <x:c r="G1503" s="85" t="n">
        <x:v>0</x:v>
      </x:c>
      <x:c r="H1503" s="85" t="n">
        <x:v>0</x:v>
      </x:c>
      <x:c r="I1503" s="85" t="n">
        <x:v>2630155.5643333797</x:v>
      </x:c>
      <x:c r="J1503" s="85" t="n">
        <x:v>1248509.6821692977</x:v>
      </x:c>
      <x:c r="K1503" s="85" t="n">
        <x:v>343205.539892054</x:v>
      </x:c>
      <x:c r="L1503" s="28" t="n">
        <x:v>0</x:v>
      </x:c>
      <x:c r="M1503" s="28" t="n">
        <x:v>0</x:v>
      </x:c>
      <x:c r="N1503" s="28" t="n">
        <x:v>9.313225746154785e-10</x:v>
      </x:c>
      <x:c r="O1503" s="28" t="n">
        <x:v>7.450580596923828e-9</x:v>
      </x:c>
      <x:c r="P1503" s="28" t="n">
        <x:v>0</x:v>
      </x:c>
      <x:c r="Q1503" s="62" t="b">
        <x:v>1</x:v>
      </x:c>
      <x:c r="R1503" s="28" t="n">
        <x:v>0</x:v>
      </x:c>
      <x:c r="S1503" s="28" t="str">
        <x:v>58690435d2c89442</x:v>
      </x:c>
    </x:row>
    <x:row r="1504" ht="21" customHeight="1">
      <x:c r="A1504" s="60" t="n">
        <x:v>0.65</x:v>
      </x:c>
      <x:c r="B1504" s="28" t="str">
        <x:v>level_high</x:v>
      </x:c>
      <x:c r="C1504" s="60" t="n">
        <x:v>0.25</x:v>
      </x:c>
      <x:c r="D1504" s="60" t="n">
        <x:v>0.25</x:v>
      </x:c>
      <x:c r="E1504" s="62" t="b">
        <x:v>1</x:v>
      </x:c>
      <x:c r="F1504" s="62" t="b">
        <x:v>1</x:v>
      </x:c>
      <x:c r="G1504" s="85" t="n">
        <x:v>0</x:v>
      </x:c>
      <x:c r="H1504" s="85" t="n">
        <x:v>0</x:v>
      </x:c>
      <x:c r="I1504" s="85" t="n">
        <x:v>4279405.969541434</x:v>
      </x:c>
      <x:c r="J1504" s="85" t="n">
        <x:v>2954237.102711631</x:v>
      </x:c>
      <x:c r="K1504" s="85" t="n">
        <x:v>251697.72720753343</x:v>
      </x:c>
      <x:c r="L1504" s="28" t="n">
        <x:v>0</x:v>
      </x:c>
      <x:c r="M1504" s="28" t="n">
        <x:v>0</x:v>
      </x:c>
      <x:c r="N1504" s="28" t="n">
        <x:v>4.656612873077393e-10</x:v>
      </x:c>
      <x:c r="O1504" s="28" t="n">
        <x:v>7.450580596923828e-9</x:v>
      </x:c>
      <x:c r="P1504" s="28" t="n">
        <x:v>0</x:v>
      </x:c>
      <x:c r="Q1504" s="62" t="b">
        <x:v>1</x:v>
      </x:c>
      <x:c r="R1504" s="28" t="n">
        <x:v>0</x:v>
      </x:c>
      <x:c r="S1504" s="28" t="str">
        <x:v>c5c056adcd08b84d</x:v>
      </x:c>
    </x:row>
    <x:row r="1505" ht="21" customHeight="1">
      <x:c r="A1505" s="60" t="n">
        <x:v>0.65</x:v>
      </x:c>
      <x:c r="B1505" s="28" t="str">
        <x:v>level_high</x:v>
      </x:c>
      <x:c r="C1505" s="60" t="n">
        <x:v>0.3</x:v>
      </x:c>
      <x:c r="D1505" s="60" t="n">
        <x:v>0.3</x:v>
      </x:c>
      <x:c r="E1505" s="62" t="b">
        <x:v>1</x:v>
      </x:c>
      <x:c r="F1505" s="62" t="b">
        <x:v>1</x:v>
      </x:c>
      <x:c r="G1505" s="85" t="n">
        <x:v>0</x:v>
      </x:c>
      <x:c r="H1505" s="85" t="n">
        <x:v>0</x:v>
      </x:c>
      <x:c r="I1505" s="85" t="n">
        <x:v>5951390.238961484</x:v>
      </x:c>
      <x:c r="J1505" s="85" t="n">
        <x:v>4659964.523253943</x:v>
      </x:c>
      <x:c r="K1505" s="85" t="n">
        <x:v>192596.36232876743</x:v>
      </x:c>
      <x:c r="L1505" s="28" t="n">
        <x:v>0</x:v>
      </x:c>
      <x:c r="M1505" s="28" t="n">
        <x:v>0</x:v>
      </x:c>
      <x:c r="N1505" s="28" t="n">
        <x:v>4.656612873077393e-10</x:v>
      </x:c>
      <x:c r="O1505" s="28" t="n">
        <x:v>7.450580596923828e-9</x:v>
      </x:c>
      <x:c r="P1505" s="28" t="n">
        <x:v>0</x:v>
      </x:c>
      <x:c r="Q1505" s="62" t="b">
        <x:v>1</x:v>
      </x:c>
      <x:c r="R1505" s="28" t="n">
        <x:v>0</x:v>
      </x:c>
      <x:c r="S1505" s="28" t="str">
        <x:v>a0a2ace77f861145</x:v>
      </x:c>
    </x:row>
    <x:row r="1506" ht="21" customHeight="1">
      <x:c r="A1506" s="60" t="n">
        <x:v>0.65</x:v>
      </x:c>
      <x:c r="B1506" s="28" t="str">
        <x:v>level_high</x:v>
      </x:c>
      <x:c r="C1506" s="60" t="n">
        <x:v>0.35</x:v>
      </x:c>
      <x:c r="D1506" s="60" t="n">
        <x:v>0.35</x:v>
      </x:c>
      <x:c r="E1506" s="62" t="b">
        <x:v>1</x:v>
      </x:c>
      <x:c r="F1506" s="62" t="b">
        <x:v>1</x:v>
      </x:c>
      <x:c r="G1506" s="85" t="n">
        <x:v>0</x:v>
      </x:c>
      <x:c r="H1506" s="85" t="n">
        <x:v>0</x:v>
      </x:c>
      <x:c r="I1506" s="85" t="n">
        <x:v>7645718.574496149</x:v>
      </x:c>
      <x:c r="J1506" s="85" t="n">
        <x:v>6365691.943796256</x:v>
      </x:c>
      <x:c r="K1506" s="85" t="n">
        <x:v>162650.98938356165</x:v>
      </x:c>
      <x:c r="L1506" s="28" t="n">
        <x:v>0</x:v>
      </x:c>
      <x:c r="M1506" s="28" t="n">
        <x:v>0</x:v>
      </x:c>
      <x:c r="N1506" s="28" t="n">
        <x:v>4.656612873077393e-10</x:v>
      </x:c>
      <x:c r="O1506" s="28" t="n">
        <x:v>7.450580596923828e-9</x:v>
      </x:c>
      <x:c r="P1506" s="28" t="n">
        <x:v>0</x:v>
      </x:c>
      <x:c r="Q1506" s="62" t="b">
        <x:v>1</x:v>
      </x:c>
      <x:c r="R1506" s="28" t="n">
        <x:v>0</x:v>
      </x:c>
      <x:c r="S1506" s="28" t="str">
        <x:v>9528ee2e9e246a3c</x:v>
      </x:c>
    </x:row>
    <x:row r="1507" ht="21" customHeight="1">
      <x:c r="A1507" s="60" t="n">
        <x:v>0.65</x:v>
      </x:c>
      <x:c r="B1507" s="28" t="str">
        <x:v>level_high</x:v>
      </x:c>
      <x:c r="C1507" s="60" t="n">
        <x:v>0.4</x:v>
      </x:c>
      <x:c r="D1507" s="60" t="n">
        <x:v>0.4</x:v>
      </x:c>
      <x:c r="E1507" s="62" t="b">
        <x:v>1</x:v>
      </x:c>
      <x:c r="F1507" s="62" t="b">
        <x:v>1</x:v>
      </x:c>
      <x:c r="G1507" s="85" t="n">
        <x:v>0</x:v>
      </x:c>
      <x:c r="H1507" s="85" t="n">
        <x:v>0</x:v>
      </x:c>
      <x:c r="I1507" s="85" t="n">
        <x:v>9366323.45410109</x:v>
      </x:c>
      <x:c r="J1507" s="85" t="n">
        <x:v>8071419.3643386</x:v>
      </x:c>
      <x:c r="K1507" s="85" t="n">
        <x:v>132705.61643835614</x:v>
      </x:c>
      <x:c r="L1507" s="28" t="n">
        <x:v>0</x:v>
      </x:c>
      <x:c r="M1507" s="28" t="n">
        <x:v>0</x:v>
      </x:c>
      <x:c r="N1507" s="28" t="n">
        <x:v>2.3283064365386963e-10</x:v>
      </x:c>
      <x:c r="O1507" s="28" t="n">
        <x:v>7.450580596923828e-9</x:v>
      </x:c>
      <x:c r="P1507" s="28" t="n">
        <x:v>0</x:v>
      </x:c>
      <x:c r="Q1507" s="62" t="b">
        <x:v>1</x:v>
      </x:c>
      <x:c r="R1507" s="28" t="n">
        <x:v>0</x:v>
      </x:c>
      <x:c r="S1507" s="28" t="str">
        <x:v>400df65aa2f7b391</x:v>
      </x:c>
    </x:row>
    <x:row r="1508" ht="21" customHeight="1">
      <x:c r="A1508" s="60" t="n">
        <x:v>0.65</x:v>
      </x:c>
      <x:c r="B1508" s="28" t="str">
        <x:v>level_high</x:v>
      </x:c>
      <x:c r="C1508" s="60" t="n">
        <x:v>0.45</x:v>
      </x:c>
      <x:c r="D1508" s="60" t="n">
        <x:v>0.45</x:v>
      </x:c>
      <x:c r="E1508" s="62" t="b">
        <x:v>1</x:v>
      </x:c>
      <x:c r="F1508" s="62" t="b">
        <x:v>1</x:v>
      </x:c>
      <x:c r="G1508" s="85" t="n">
        <x:v>0</x:v>
      </x:c>
      <x:c r="H1508" s="85" t="n">
        <x:v>0</x:v>
      </x:c>
      <x:c r="I1508" s="85" t="n">
        <x:v>11275359.08981581</x:v>
      </x:c>
      <x:c r="J1508" s="85" t="n">
        <x:v>8798843.617056293</x:v>
      </x:c>
      <x:c r="K1508" s="85" t="n">
        <x:v>109559.42157534207</x:v>
      </x:c>
      <x:c r="L1508" s="28" t="n">
        <x:v>7</x:v>
      </x:c>
      <x:c r="M1508" s="28" t="n">
        <x:v>0</x:v>
      </x:c>
      <x:c r="N1508" s="28" t="n">
        <x:v>4.656612873077393e-10</x:v>
      </x:c>
      <x:c r="O1508" s="28" t="n">
        <x:v>3.725290298461914e-9</x:v>
      </x:c>
      <x:c r="P1508" s="28" t="n">
        <x:v>0</x:v>
      </x:c>
      <x:c r="Q1508" s="62" t="b">
        <x:v>1</x:v>
      </x:c>
      <x:c r="R1508" s="28" t="n">
        <x:v>0</x:v>
      </x:c>
      <x:c r="S1508" s="28" t="str">
        <x:v>e9a0386bddda64f2</x:v>
      </x:c>
    </x:row>
    <x:row r="1509" ht="21" customHeight="1">
      <x:c r="A1509" s="60" t="n">
        <x:v>0.65</x:v>
      </x:c>
      <x:c r="B1509" s="28" t="str">
        <x:v>level_high</x:v>
      </x:c>
      <x:c r="C1509" s="60" t="n">
        <x:v>0.5</x:v>
      </x:c>
      <x:c r="D1509" s="60" t="n">
        <x:v>0.5</x:v>
      </x:c>
      <x:c r="E1509" s="62" t="b">
        <x:v>1</x:v>
      </x:c>
      <x:c r="F1509" s="62" t="b">
        <x:v>1</x:v>
      </x:c>
      <x:c r="G1509" s="85" t="n">
        <x:v>0</x:v>
      </x:c>
      <x:c r="H1509" s="85" t="n">
        <x:v>0</x:v>
      </x:c>
      <x:c r="I1509" s="85" t="n">
        <x:v>13041698.718735425</x:v>
      </x:c>
      <x:c r="J1509" s="85" t="n">
        <x:v>9978209.976980237</x:v>
      </x:c>
      <x:c r="K1509" s="85" t="n">
        <x:v>94226.81191780753</x:v>
      </x:c>
      <x:c r="L1509" s="28" t="n">
        <x:v>11</x:v>
      </x:c>
      <x:c r="M1509" s="28" t="n">
        <x:v>1</x:v>
      </x:c>
      <x:c r="N1509" s="28" t="n">
        <x:v>4.656612873077393e-10</x:v>
      </x:c>
      <x:c r="O1509" s="28" t="n">
        <x:v>3.725290298461914e-9</x:v>
      </x:c>
      <x:c r="P1509" s="28" t="n">
        <x:v>0</x:v>
      </x:c>
      <x:c r="Q1509" s="62" t="b">
        <x:v>1</x:v>
      </x:c>
      <x:c r="R1509" s="28" t="n">
        <x:v>0</x:v>
      </x:c>
      <x:c r="S1509" s="28" t="str">
        <x:v>77f136ba0554f9de</x:v>
      </x:c>
    </x:row>
    <x:row r="1510" ht="21" customHeight="1">
      <x:c r="A1510" s="60" t="n">
        <x:v>0.65</x:v>
      </x:c>
      <x:c r="B1510" s="28" t="str">
        <x:v>level_high</x:v>
      </x:c>
      <x:c r="C1510" s="60" t="n">
        <x:v>0.55</x:v>
      </x:c>
      <x:c r="D1510" s="60" t="n">
        <x:v>0.55</x:v>
      </x:c>
      <x:c r="E1510" s="62" t="b">
        <x:v>1</x:v>
      </x:c>
      <x:c r="F1510" s="62" t="b">
        <x:v>1</x:v>
      </x:c>
      <x:c r="G1510" s="85" t="n">
        <x:v>0</x:v>
      </x:c>
      <x:c r="H1510" s="85" t="n">
        <x:v>0</x:v>
      </x:c>
      <x:c r="I1510" s="85" t="n">
        <x:v>14722923.419437176</x:v>
      </x:c>
      <x:c r="J1510" s="85" t="n">
        <x:v>11730662.81665057</x:v>
      </x:c>
      <x:c r="K1510" s="85" t="n">
        <x:v>85189.05020547911</x:v>
      </x:c>
      <x:c r="L1510" s="28" t="n">
        <x:v>14</x:v>
      </x:c>
      <x:c r="M1510" s="28" t="n">
        <x:v>5</x:v>
      </x:c>
      <x:c r="N1510" s="28" t="n">
        <x:v>2.3283064365386963e-10</x:v>
      </x:c>
      <x:c r="O1510" s="28" t="n">
        <x:v>3.725290298461914e-9</x:v>
      </x:c>
      <x:c r="P1510" s="28" t="n">
        <x:v>0</x:v>
      </x:c>
      <x:c r="Q1510" s="62" t="b">
        <x:v>1</x:v>
      </x:c>
      <x:c r="R1510" s="28" t="n">
        <x:v>0</x:v>
      </x:c>
      <x:c r="S1510" s="28" t="str">
        <x:v>2b0fd9449939d6d8</x:v>
      </x:c>
    </x:row>
    <x:row r="1511" ht="21" customHeight="1">
      <x:c r="A1511" s="60" t="n">
        <x:v>0.65</x:v>
      </x:c>
      <x:c r="B1511" s="28" t="str">
        <x:v>level_high</x:v>
      </x:c>
      <x:c r="C1511" s="60" t="n">
        <x:v>0.6</x:v>
      </x:c>
      <x:c r="D1511" s="60" t="n">
        <x:v>0.6</x:v>
      </x:c>
      <x:c r="E1511" s="62" t="b">
        <x:v>1</x:v>
      </x:c>
      <x:c r="F1511" s="62" t="b">
        <x:v>1</x:v>
      </x:c>
      <x:c r="G1511" s="85" t="n">
        <x:v>0</x:v>
      </x:c>
      <x:c r="H1511" s="85" t="n">
        <x:v>0</x:v>
      </x:c>
      <x:c r="I1511" s="85" t="n">
        <x:v>16336141.321092732</x:v>
      </x:c>
      <x:c r="J1511" s="85" t="n">
        <x:v>13685021.679480398</x:v>
      </x:c>
      <x:c r="K1511" s="85" t="n">
        <x:v>76151.2884931509</x:v>
      </x:c>
      <x:c r="L1511" s="28" t="n">
        <x:v>20</x:v>
      </x:c>
      <x:c r="M1511" s="28" t="n">
        <x:v>14</x:v>
      </x:c>
      <x:c r="N1511" s="28" t="n">
        <x:v>4.656612873077393e-10</x:v>
      </x:c>
      <x:c r="O1511" s="28" t="n">
        <x:v>7.450580596923828e-9</x:v>
      </x:c>
      <x:c r="P1511" s="28" t="n">
        <x:v>0</x:v>
      </x:c>
      <x:c r="Q1511" s="62" t="b">
        <x:v>1</x:v>
      </x:c>
      <x:c r="R1511" s="28" t="n">
        <x:v>0</x:v>
      </x:c>
      <x:c r="S1511" s="28" t="str">
        <x:v>70f813ee98f3f385</x:v>
      </x:c>
    </x:row>
    <x:row r="1512" ht="21" customHeight="1">
      <x:c r="A1512" s="60" t="n">
        <x:v>0.65</x:v>
      </x:c>
      <x:c r="B1512" s="28" t="str">
        <x:v>level_high</x:v>
      </x:c>
      <x:c r="C1512" s="60" t="n">
        <x:v>0.65</x:v>
      </x:c>
      <x:c r="D1512" s="60" t="n">
        <x:v>0.65</x:v>
      </x:c>
      <x:c r="E1512" s="62" t="b">
        <x:v>1</x:v>
      </x:c>
      <x:c r="F1512" s="62" t="b">
        <x:v>0</x:v>
      </x:c>
      <x:c r="G1512" s="85" t="n">
        <x:v>659743.3597859209</x:v>
      </x:c>
      <x:c r="H1512" s="85" t="n">
        <x:v>2120882.282206408</x:v>
      </x:c>
      <x:c r="I1512" s="85" t="n">
        <x:v>16808042.812592458</x:v>
      </x:c>
      <x:c r="J1512" s="85" t="n">
        <x:v>13935999.999999998</x:v>
      </x:c>
      <x:c r="K1512" s="85" t="n">
        <x:v>67113.52678082179</x:v>
      </x:c>
      <x:c r="L1512" s="28" t="n">
        <x:v>41</x:v>
      </x:c>
      <x:c r="M1512" s="28" t="n">
        <x:v>34</x:v>
      </x:c>
      <x:c r="N1512" s="28" t="n">
        <x:v>4.656612873077393e-10</x:v>
      </x:c>
      <x:c r="O1512" s="28" t="n">
        <x:v>3.725290298461914e-9</x:v>
      </x:c>
      <x:c r="P1512" s="28" t="n">
        <x:v>0</x:v>
      </x:c>
      <x:c r="Q1512" s="62" t="b">
        <x:v>1</x:v>
      </x:c>
      <x:c r="R1512" s="28" t="n">
        <x:v>0</x:v>
      </x:c>
      <x:c r="S1512" s="28" t="str">
        <x:v>b45bcec2bf991b24</x:v>
      </x:c>
    </x:row>
    <x:row r="1513" ht="21" customHeight="1">
      <x:c r="A1513" s="60" t="n">
        <x:v>0.65</x:v>
      </x:c>
      <x:c r="B1513" s="28" t="str">
        <x:v>level_high</x:v>
      </x:c>
      <x:c r="C1513" s="60" t="n">
        <x:v>0.7</x:v>
      </x:c>
      <x:c r="D1513" s="60" t="n">
        <x:v>0.7</x:v>
      </x:c>
      <x:c r="E1513" s="62" t="b">
        <x:v>1</x:v>
      </x:c>
      <x:c r="F1513" s="62" t="b">
        <x:v>0</x:v>
      </x:c>
      <x:c r="G1513" s="85" t="n">
        <x:v>1451563.3380126003</x:v>
      </x:c>
      <x:c r="H1513" s="85" t="n">
        <x:v>4383400.86466583</x:v>
      </x:c>
      <x:c r="I1513" s="85" t="n">
        <x:v>17127027.10916136</x:v>
      </x:c>
      <x:c r="J1513" s="85" t="n">
        <x:v>13935999.999999998</x:v>
      </x:c>
      <x:c r="K1513" s="85" t="n">
        <x:v>58075.76506849313</x:v>
      </x:c>
      <x:c r="L1513" s="28" t="n">
        <x:v>42</x:v>
      </x:c>
      <x:c r="M1513" s="28" t="n">
        <x:v>36</x:v>
      </x:c>
      <x:c r="N1513" s="28" t="n">
        <x:v>4.656612873077393e-10</x:v>
      </x:c>
      <x:c r="O1513" s="28" t="n">
        <x:v>3.725290298461914e-9</x:v>
      </x:c>
      <x:c r="P1513" s="28" t="n">
        <x:v>0</x:v>
      </x:c>
      <x:c r="Q1513" s="62" t="b">
        <x:v>1</x:v>
      </x:c>
      <x:c r="R1513" s="28" t="n">
        <x:v>0</x:v>
      </x:c>
      <x:c r="S1513" s="28" t="str">
        <x:v>0e6eaeb25d2f5d88</x:v>
      </x:c>
    </x:row>
    <x:row r="1514" ht="21" customHeight="1">
      <x:c r="A1514" s="60" t="n">
        <x:v>0.65</x:v>
      </x:c>
      <x:c r="B1514" s="28" t="str">
        <x:v>level_high</x:v>
      </x:c>
      <x:c r="C1514" s="60" t="n">
        <x:v>0.75</x:v>
      </x:c>
      <x:c r="D1514" s="60" t="n">
        <x:v>0.75</x:v>
      </x:c>
      <x:c r="E1514" s="62" t="b">
        <x:v>1</x:v>
      </x:c>
      <x:c r="F1514" s="62" t="b">
        <x:v>0</x:v>
      </x:c>
      <x:c r="G1514" s="85" t="n">
        <x:v>2253978.993106449</x:v>
      </x:c>
      <x:c r="H1514" s="85" t="n">
        <x:v>6551958.504627973</x:v>
      </x:c>
      <x:c r="I1514" s="85" t="n">
        <x:v>17445941.913767114</x:v>
      </x:c>
      <x:c r="J1514" s="85" t="n">
        <x:v>13935999.999999998</x:v>
      </x:c>
      <x:c r="K1514" s="85" t="n">
        <x:v>49038.003356164</x:v>
      </x:c>
      <x:c r="L1514" s="28" t="n">
        <x:v>43</x:v>
      </x:c>
      <x:c r="M1514" s="28" t="n">
        <x:v>37</x:v>
      </x:c>
      <x:c r="N1514" s="28" t="n">
        <x:v>2.3283064365386963e-10</x:v>
      </x:c>
      <x:c r="O1514" s="28" t="n">
        <x:v>3.725290298461914e-9</x:v>
      </x:c>
      <x:c r="P1514" s="28" t="n">
        <x:v>0</x:v>
      </x:c>
      <x:c r="Q1514" s="62" t="b">
        <x:v>1</x:v>
      </x:c>
      <x:c r="R1514" s="28" t="n">
        <x:v>0</x:v>
      </x:c>
      <x:c r="S1514" s="28" t="str">
        <x:v>7ac3803c9ab055a8</x:v>
      </x:c>
    </x:row>
    <x:row r="1515" ht="21" customHeight="1">
      <x:c r="A1515" s="60" t="n">
        <x:v>0.65</x:v>
      </x:c>
      <x:c r="B1515" s="28" t="str">
        <x:v>level_high</x:v>
      </x:c>
      <x:c r="C1515" s="60" t="n">
        <x:v>0.8</x:v>
      </x:c>
      <x:c r="D1515" s="60" t="n">
        <x:v>0.8</x:v>
      </x:c>
      <x:c r="E1515" s="62" t="b">
        <x:v>1</x:v>
      </x:c>
      <x:c r="F1515" s="62" t="b">
        <x:v>0</x:v>
      </x:c>
      <x:c r="G1515" s="85" t="n">
        <x:v>3287743.4932245463</x:v>
      </x:c>
      <x:c r="H1515" s="85" t="n">
        <x:v>8981220.70252159</x:v>
      </x:c>
      <x:c r="I1515" s="85" t="n">
        <x:v>17481916.57468492</x:v>
      </x:c>
      <x:c r="J1515" s="85" t="n">
        <x:v>13935999.999999998</x:v>
      </x:c>
      <x:c r="K1515" s="85" t="n">
        <x:v>40000.24164383627</x:v>
      </x:c>
      <x:c r="L1515" s="28" t="n">
        <x:v>43</x:v>
      </x:c>
      <x:c r="M1515" s="28" t="n">
        <x:v>38</x:v>
      </x:c>
      <x:c r="N1515" s="28" t="n">
        <x:v>4.656612873077393e-10</x:v>
      </x:c>
      <x:c r="O1515" s="28" t="n">
        <x:v>3.725290298461914e-9</x:v>
      </x:c>
      <x:c r="P1515" s="28" t="n">
        <x:v>0</x:v>
      </x:c>
      <x:c r="Q1515" s="62" t="b">
        <x:v>1</x:v>
      </x:c>
      <x:c r="R1515" s="28" t="n">
        <x:v>0</x:v>
      </x:c>
      <x:c r="S1515" s="28" t="str">
        <x:v>c36938beba7836f5</x:v>
      </x:c>
    </x:row>
    <x:row r="1516" ht="21" customHeight="1">
      <x:c r="A1516" s="60" t="n">
        <x:v>0.65</x:v>
      </x:c>
      <x:c r="B1516" s="28" t="str">
        <x:v>level_high</x:v>
      </x:c>
      <x:c r="C1516" s="60" t="n">
        <x:v>0.85</x:v>
      </x:c>
      <x:c r="D1516" s="60" t="n">
        <x:v>0.85</x:v>
      </x:c>
      <x:c r="E1516" s="62" t="b">
        <x:v>1</x:v>
      </x:c>
      <x:c r="F1516" s="62" t="b">
        <x:v>0</x:v>
      </x:c>
      <x:c r="G1516" s="85" t="n">
        <x:v>4258792.109902889</x:v>
      </x:c>
      <x:c r="H1516" s="85" t="n">
        <x:v>11000717.770827534</x:v>
      </x:c>
      <x:c r="I1516" s="85" t="n">
        <x:v>17772304.586575333</x:v>
      </x:c>
      <x:c r="J1516" s="85" t="n">
        <x:v>13935999.999999998</x:v>
      </x:c>
      <x:c r="K1516" s="85" t="n">
        <x:v>33309.36369863022</x:v>
      </x:c>
      <x:c r="L1516" s="28" t="n">
        <x:v>44</x:v>
      </x:c>
      <x:c r="M1516" s="28" t="n">
        <x:v>38</x:v>
      </x:c>
      <x:c r="N1516" s="28" t="n">
        <x:v>4.656612873077393e-10</x:v>
      </x:c>
      <x:c r="O1516" s="28" t="n">
        <x:v>3.725290298461914e-9</x:v>
      </x:c>
      <x:c r="P1516" s="28" t="n">
        <x:v>0</x:v>
      </x:c>
      <x:c r="Q1516" s="62" t="b">
        <x:v>1</x:v>
      </x:c>
      <x:c r="R1516" s="28" t="n">
        <x:v>0</x:v>
      </x:c>
      <x:c r="S1516" s="28" t="str">
        <x:v>6b0b09fc24026a5c</x:v>
      </x:c>
    </x:row>
    <x:row r="1517" ht="21" customHeight="1">
      <x:c r="A1517" s="60" t="n">
        <x:v>0.65</x:v>
      </x:c>
      <x:c r="B1517" s="28" t="str">
        <x:v>level_high</x:v>
      </x:c>
      <x:c r="C1517" s="60" t="n">
        <x:v>0.9</x:v>
      </x:c>
      <x:c r="D1517" s="60" t="n">
        <x:v>0.8949513562027351</x:v>
      </x:c>
      <x:c r="E1517" s="62" t="b">
        <x:v>0</x:v>
      </x:c>
      <x:c r="F1517" s="62" t="b">
        <x:v>0</x:v>
      </x:c>
      <x:c r="G1517" s="85" t="n">
        <x:v>5483887.272503217</x:v>
      </x:c>
      <x:c r="H1517" s="85" t="n">
        <x:v>12345460.264125193</x:v>
      </x:c>
      <x:c r="I1517" s="85" t="n">
        <x:v>17793475.64547944</x:v>
      </x:c>
      <x:c r="J1517" s="85" t="n">
        <x:v>13935999.999999998</x:v>
      </x:c>
      <x:c r="K1517" s="85" t="n">
        <x:v>30284.96301369844</x:v>
      </x:c>
      <x:c r="L1517" s="28" t="n">
        <x:v>44</x:v>
      </x:c>
      <x:c r="M1517" s="28" t="n">
        <x:v>40</x:v>
      </x:c>
      <x:c r="N1517" s="28" t="n">
        <x:v>4.656612873077393e-10</x:v>
      </x:c>
      <x:c r="O1517" s="28" t="n">
        <x:v>3.725290298461914e-9</x:v>
      </x:c>
      <x:c r="P1517" s="28" t="n">
        <x:v>0</x:v>
      </x:c>
      <x:c r="Q1517" s="62" t="b">
        <x:v>1</x:v>
      </x:c>
      <x:c r="R1517" s="28" t="n">
        <x:v>281431.5998347327</x:v>
      </x:c>
      <x:c r="S1517" s="28" t="str">
        <x:v>ae11bc9879c96c8b</x:v>
      </x:c>
    </x:row>
    <x:row r="1518" ht="21" customHeight="1">
      <x:c r="A1518" s="60" t="n">
        <x:v>0.65</x:v>
      </x:c>
      <x:c r="B1518" s="28" t="str">
        <x:v>level_high</x:v>
      </x:c>
      <x:c r="C1518" s="60" t="n">
        <x:v>0.95</x:v>
      </x:c>
      <x:c r="D1518" s="60" t="n">
        <x:v>0.9109811515371262</x:v>
      </x:c>
      <x:c r="E1518" s="62" t="b">
        <x:v>0</x:v>
      </x:c>
      <x:c r="F1518" s="62" t="b">
        <x:v>0</x:v>
      </x:c>
      <x:c r="G1518" s="85" t="n">
        <x:v>5803038.606501389</x:v>
      </x:c>
      <x:c r="H1518" s="85" t="n">
        <x:v>12950824.259793023</x:v>
      </x:c>
      <x:c r="I1518" s="85" t="n">
        <x:v>18110032.672164373</x:v>
      </x:c>
      <x:c r="J1518" s="85" t="n">
        <x:v>13935999.999999998</x:v>
      </x:c>
      <x:c r="K1518" s="85" t="n">
        <x:v>27260.56232876666</x:v>
      </x:c>
      <x:c r="L1518" s="28" t="n">
        <x:v>45</x:v>
      </x:c>
      <x:c r="M1518" s="28" t="n">
        <x:v>40</x:v>
      </x:c>
      <x:c r="N1518" s="28" t="n">
        <x:v>2.3283064365386963e-10</x:v>
      </x:c>
      <x:c r="O1518" s="28" t="n">
        <x:v>3.725290298461914e-9</x:v>
      </x:c>
      <x:c r="P1518" s="28" t="n">
        <x:v>0</x:v>
      </x:c>
      <x:c r="Q1518" s="62" t="b">
        <x:v>1</x:v>
      </x:c>
      <x:c r="R1518" s="28" t="n">
        <x:v>2175066.688714437</x:v>
      </x:c>
      <x:c r="S1518" s="28" t="str">
        <x:v>2c6bec38f18e0eb0</x:v>
      </x:c>
    </x:row>
    <x:row r="1519" ht="21" customHeight="1">
      <x:c r="A1519" s="60" t="n">
        <x:v>0.65</x:v>
      </x:c>
      <x:c r="B1519" s="28" t="str">
        <x:v>level_high</x:v>
      </x:c>
      <x:c r="C1519" s="60" t="n">
        <x:v>1</x:v>
      </x:c>
      <x:c r="D1519" s="60" t="n">
        <x:v>0.9258453085724337</x:v>
      </x:c>
      <x:c r="E1519" s="62" t="b">
        <x:v>0</x:v>
      </x:c>
      <x:c r="F1519" s="62" t="b">
        <x:v>0</x:v>
      </x:c>
      <x:c r="G1519" s="85" t="n">
        <x:v>6372110.383892152</x:v>
      </x:c>
      <x:c r="H1519" s="85" t="n">
        <x:v>13766974.998050429</x:v>
      </x:c>
      <x:c r="I1519" s="85" t="n">
        <x:v>18119644.190958895</x:v>
      </x:c>
      <x:c r="J1519" s="85" t="n">
        <x:v>13935999.999999998</x:v>
      </x:c>
      <x:c r="K1519" s="85" t="n">
        <x:v>24236.161643835578</x:v>
      </x:c>
      <x:c r="L1519" s="28" t="n">
        <x:v>45</x:v>
      </x:c>
      <x:c r="M1519" s="28" t="n">
        <x:v>41</x:v>
      </x:c>
      <x:c r="N1519" s="28" t="n">
        <x:v>2.3283064365386963e-10</x:v>
      </x:c>
      <x:c r="O1519" s="28" t="n">
        <x:v>1.862645149230957e-9</x:v>
      </x:c>
      <x:c r="P1519" s="28" t="n">
        <x:v>0</x:v>
      </x:c>
      <x:c r="Q1519" s="62" t="b">
        <x:v>1</x:v>
      </x:c>
      <x:c r="R1519" s="28" t="n">
        <x:v>4133679.1189382523</x:v>
      </x:c>
      <x:c r="S1519" s="28" t="str">
        <x:v>4ac61a261c4c4833</x:v>
      </x:c>
    </x:row>
    <x:row r="1520" ht="21" customHeight="1">
      <x:c r="A1520" s="60" t="n">
        <x:v>0.66</x:v>
      </x:c>
      <x:c r="B1520" s="28" t="str">
        <x:v>front_flat</x:v>
      </x:c>
      <x:c r="C1520" s="60" t="n">
        <x:v>0</x:v>
      </x:c>
      <x:c r="D1520" s="60" t="n">
        <x:v>0</x:v>
      </x:c>
      <x:c r="E1520" s="62" t="b">
        <x:v>1</x:v>
      </x:c>
      <x:c r="F1520" s="62" t="b">
        <x:v>1</x:v>
      </x:c>
      <x:c r="G1520" s="85" t="n">
        <x:v>0</x:v>
      </x:c>
      <x:c r="H1520" s="85" t="n">
        <x:v>0</x:v>
      </x:c>
      <x:c r="I1520" s="85" t="n">
        <x:v>0</x:v>
      </x:c>
      <x:c r="J1520" s="85" t="n">
        <x:v>0</x:v>
      </x:c>
      <x:c r="K1520" s="85" t="n">
        <x:v>6340423.968438363</x:v>
      </x:c>
      <x:c r="L1520" s="28" t="n">
        <x:v>0</x:v>
      </x:c>
      <x:c r="M1520" s="28" t="n">
        <x:v>0</x:v>
      </x:c>
      <x:c r="N1520" s="28" t="n">
        <x:v>9.313225746154785e-10</x:v>
      </x:c>
      <x:c r="O1520" s="28" t="n">
        <x:v>0</x:v>
      </x:c>
      <x:c r="P1520" s="28" t="n">
        <x:v>0</x:v>
      </x:c>
      <x:c r="Q1520" s="62" t="b">
        <x:v>1</x:v>
      </x:c>
      <x:c r="R1520" s="28" t="n">
        <x:v>0</x:v>
      </x:c>
      <x:c r="S1520" s="28" t="str">
        <x:v>902cb1a08fe8aae4</x:v>
      </x:c>
    </x:row>
    <x:row r="1521" ht="21" customHeight="1">
      <x:c r="A1521" s="60" t="n">
        <x:v>0.66</x:v>
      </x:c>
      <x:c r="B1521" s="28" t="str">
        <x:v>front_flat</x:v>
      </x:c>
      <x:c r="C1521" s="60" t="n">
        <x:v>0.05</x:v>
      </x:c>
      <x:c r="D1521" s="60" t="n">
        <x:v>0.05</x:v>
      </x:c>
      <x:c r="E1521" s="62" t="b">
        <x:v>1</x:v>
      </x:c>
      <x:c r="F1521" s="62" t="b">
        <x:v>1</x:v>
      </x:c>
      <x:c r="G1521" s="85" t="n">
        <x:v>0</x:v>
      </x:c>
      <x:c r="H1521" s="85" t="n">
        <x:v>0</x:v>
      </x:c>
      <x:c r="I1521" s="85" t="n">
        <x:v>0</x:v>
      </x:c>
      <x:c r="J1521" s="85" t="n">
        <x:v>0</x:v>
      </x:c>
      <x:c r="K1521" s="85" t="n">
        <x:v>4048059.6929683937</x:v>
      </x:c>
      <x:c r="L1521" s="28" t="n">
        <x:v>0</x:v>
      </x:c>
      <x:c r="M1521" s="28" t="n">
        <x:v>0</x:v>
      </x:c>
      <x:c r="N1521" s="28" t="n">
        <x:v>9.313225746154785e-10</x:v>
      </x:c>
      <x:c r="O1521" s="28" t="n">
        <x:v>7.450580596923828e-9</x:v>
      </x:c>
      <x:c r="P1521" s="28" t="n">
        <x:v>0</x:v>
      </x:c>
      <x:c r="Q1521" s="62" t="b">
        <x:v>1</x:v>
      </x:c>
      <x:c r="R1521" s="28" t="n">
        <x:v>0</x:v>
      </x:c>
      <x:c r="S1521" s="28" t="str">
        <x:v>4430dffdc5101d71</x:v>
      </x:c>
    </x:row>
    <x:row r="1522" ht="21" customHeight="1">
      <x:c r="A1522" s="60" t="n">
        <x:v>0.66</x:v>
      </x:c>
      <x:c r="B1522" s="28" t="str">
        <x:v>front_flat</x:v>
      </x:c>
      <x:c r="C1522" s="60" t="n">
        <x:v>0.1</x:v>
      </x:c>
      <x:c r="D1522" s="60" t="n">
        <x:v>0.1</x:v>
      </x:c>
      <x:c r="E1522" s="62" t="b">
        <x:v>1</x:v>
      </x:c>
      <x:c r="F1522" s="62" t="b">
        <x:v>1</x:v>
      </x:c>
      <x:c r="G1522" s="85" t="n">
        <x:v>0</x:v>
      </x:c>
      <x:c r="H1522" s="85" t="n">
        <x:v>0</x:v>
      </x:c>
      <x:c r="I1522" s="85" t="n">
        <x:v>0</x:v>
      </x:c>
      <x:c r="J1522" s="85" t="n">
        <x:v>0</x:v>
      </x:c>
      <x:c r="K1522" s="85" t="n">
        <x:v>1755240.5094663533</x:v>
      </x:c>
      <x:c r="L1522" s="28" t="n">
        <x:v>0</x:v>
      </x:c>
      <x:c r="M1522" s="28" t="n">
        <x:v>0</x:v>
      </x:c>
      <x:c r="N1522" s="28" t="n">
        <x:v>9.313225746154785e-10</x:v>
      </x:c>
      <x:c r="O1522" s="28" t="n">
        <x:v>7.450580596923828e-9</x:v>
      </x:c>
      <x:c r="P1522" s="28" t="n">
        <x:v>0</x:v>
      </x:c>
      <x:c r="Q1522" s="62" t="b">
        <x:v>1</x:v>
      </x:c>
      <x:c r="R1522" s="28" t="n">
        <x:v>0</x:v>
      </x:c>
      <x:c r="S1522" s="28" t="str">
        <x:v>6aea1af384b436e4</x:v>
      </x:c>
    </x:row>
    <x:row r="1523" ht="21" customHeight="1">
      <x:c r="A1523" s="60" t="n">
        <x:v>0.66</x:v>
      </x:c>
      <x:c r="B1523" s="28" t="str">
        <x:v>front_flat</x:v>
      </x:c>
      <x:c r="C1523" s="60" t="n">
        <x:v>0.15</x:v>
      </x:c>
      <x:c r="D1523" s="60" t="n">
        <x:v>0.15</x:v>
      </x:c>
      <x:c r="E1523" s="62" t="b">
        <x:v>1</x:v>
      </x:c>
      <x:c r="F1523" s="62" t="b">
        <x:v>1</x:v>
      </x:c>
      <x:c r="G1523" s="85" t="n">
        <x:v>0</x:v>
      </x:c>
      <x:c r="H1523" s="85" t="n">
        <x:v>0</x:v>
      </x:c>
      <x:c r="I1523" s="85" t="n">
        <x:v>566632.3067653413</x:v>
      </x:c>
      <x:c r="J1523" s="85" t="n">
        <x:v>0</x:v>
      </x:c>
      <x:c r="K1523" s="85" t="n">
        <x:v>159920.45182606927</x:v>
      </x:c>
      <x:c r="L1523" s="28" t="n">
        <x:v>0</x:v>
      </x:c>
      <x:c r="M1523" s="28" t="n">
        <x:v>0</x:v>
      </x:c>
      <x:c r="N1523" s="28" t="n">
        <x:v>4.656612873077393e-10</x:v>
      </x:c>
      <x:c r="O1523" s="28" t="n">
        <x:v>7.450580596923828e-9</x:v>
      </x:c>
      <x:c r="P1523" s="28" t="n">
        <x:v>0</x:v>
      </x:c>
      <x:c r="Q1523" s="62" t="b">
        <x:v>1</x:v>
      </x:c>
      <x:c r="R1523" s="28" t="n">
        <x:v>0</x:v>
      </x:c>
      <x:c r="S1523" s="28" t="str">
        <x:v>33496b50b5046b5d</x:v>
      </x:c>
    </x:row>
    <x:row r="1524" ht="21" customHeight="1">
      <x:c r="A1524" s="60" t="n">
        <x:v>0.66</x:v>
      </x:c>
      <x:c r="B1524" s="28" t="str">
        <x:v>front_flat</x:v>
      </x:c>
      <x:c r="C1524" s="60" t="n">
        <x:v>0.2</x:v>
      </x:c>
      <x:c r="D1524" s="60" t="n">
        <x:v>0.2</x:v>
      </x:c>
      <x:c r="E1524" s="62" t="b">
        <x:v>1</x:v>
      </x:c>
      <x:c r="F1524" s="62" t="b">
        <x:v>1</x:v>
      </x:c>
      <x:c r="G1524" s="85" t="n">
        <x:v>0</x:v>
      </x:c>
      <x:c r="H1524" s="85" t="n">
        <x:v>0</x:v>
      </x:c>
      <x:c r="I1524" s="85" t="n">
        <x:v>2069536.030638461</x:v>
      </x:c>
      <x:c r="J1524" s="85" t="n">
        <x:v>1254093.4388721085</x:v>
      </x:c>
      <x:c r="K1524" s="85" t="n">
        <x:v>94131.12291780839</x:v>
      </x:c>
      <x:c r="L1524" s="28" t="n">
        <x:v>0</x:v>
      </x:c>
      <x:c r="M1524" s="28" t="n">
        <x:v>0</x:v>
      </x:c>
      <x:c r="N1524" s="28" t="n">
        <x:v>4.656612873077393e-10</x:v>
      </x:c>
      <x:c r="O1524" s="28" t="n">
        <x:v>7.450580596923828e-9</x:v>
      </x:c>
      <x:c r="P1524" s="28" t="n">
        <x:v>0</x:v>
      </x:c>
      <x:c r="Q1524" s="62" t="b">
        <x:v>1</x:v>
      </x:c>
      <x:c r="R1524" s="28" t="n">
        <x:v>0</x:v>
      </x:c>
      <x:c r="S1524" s="28" t="str">
        <x:v>8955ba058fc1e4e5</x:v>
      </x:c>
    </x:row>
    <x:row r="1525" ht="21" customHeight="1">
      <x:c r="A1525" s="60" t="n">
        <x:v>0.66</x:v>
      </x:c>
      <x:c r="B1525" s="28" t="str">
        <x:v>front_flat</x:v>
      </x:c>
      <x:c r="C1525" s="60" t="n">
        <x:v>0.25</x:v>
      </x:c>
      <x:c r="D1525" s="60" t="n">
        <x:v>0.25</x:v>
      </x:c>
      <x:c r="E1525" s="62" t="b">
        <x:v>1</x:v>
      </x:c>
      <x:c r="F1525" s="62" t="b">
        <x:v>1</x:v>
      </x:c>
      <x:c r="G1525" s="85" t="n">
        <x:v>0</x:v>
      </x:c>
      <x:c r="H1525" s="85" t="n">
        <x:v>0</x:v>
      </x:c>
      <x:c r="I1525" s="85" t="n">
        <x:v>3316141.2266105036</x:v>
      </x:c>
      <x:c r="J1525" s="85" t="n">
        <x:v>2961216.79859013</x:v>
      </x:c>
      <x:c r="K1525" s="85" t="n">
        <x:v>64296.78615410965</x:v>
      </x:c>
      <x:c r="L1525" s="28" t="n">
        <x:v>0</x:v>
      </x:c>
      <x:c r="M1525" s="28" t="n">
        <x:v>0</x:v>
      </x:c>
      <x:c r="N1525" s="28" t="n">
        <x:v>4.656612873077393e-10</x:v>
      </x:c>
      <x:c r="O1525" s="28" t="n">
        <x:v>3.725290298461914e-9</x:v>
      </x:c>
      <x:c r="P1525" s="28" t="n">
        <x:v>0</x:v>
      </x:c>
      <x:c r="Q1525" s="62" t="b">
        <x:v>1</x:v>
      </x:c>
      <x:c r="R1525" s="28" t="n">
        <x:v>0</x:v>
      </x:c>
      <x:c r="S1525" s="28" t="str">
        <x:v>16684977cfb02aa5</x:v>
      </x:c>
    </x:row>
    <x:row r="1526" ht="21" customHeight="1">
      <x:c r="A1526" s="60" t="n">
        <x:v>0.66</x:v>
      </x:c>
      <x:c r="B1526" s="28" t="str">
        <x:v>front_flat</x:v>
      </x:c>
      <x:c r="C1526" s="60" t="n">
        <x:v>0.3</x:v>
      </x:c>
      <x:c r="D1526" s="60" t="n">
        <x:v>0.3</x:v>
      </x:c>
      <x:c r="E1526" s="62" t="b">
        <x:v>1</x:v>
      </x:c>
      <x:c r="F1526" s="62" t="b">
        <x:v>1</x:v>
      </x:c>
      <x:c r="G1526" s="85" t="n">
        <x:v>0</x:v>
      </x:c>
      <x:c r="H1526" s="85" t="n">
        <x:v>0</x:v>
      </x:c>
      <x:c r="I1526" s="85" t="n">
        <x:v>4586592.092732616</x:v>
      </x:c>
      <x:c r="J1526" s="85" t="n">
        <x:v>4668340.158308166</x:v>
      </x:c>
      <x:c r="K1526" s="85" t="n">
        <x:v>52679.82182876789</x:v>
      </x:c>
      <x:c r="L1526" s="28" t="n">
        <x:v>0</x:v>
      </x:c>
      <x:c r="M1526" s="28" t="n">
        <x:v>0</x:v>
      </x:c>
      <x:c r="N1526" s="28" t="n">
        <x:v>4.656612873077393e-10</x:v>
      </x:c>
      <x:c r="O1526" s="28" t="n">
        <x:v>7.450580596923828e-9</x:v>
      </x:c>
      <x:c r="P1526" s="28" t="n">
        <x:v>0</x:v>
      </x:c>
      <x:c r="Q1526" s="62" t="b">
        <x:v>1</x:v>
      </x:c>
      <x:c r="R1526" s="28" t="n">
        <x:v>0</x:v>
      </x:c>
      <x:c r="S1526" s="28" t="str">
        <x:v>90ab2ac771f00261</x:v>
      </x:c>
    </x:row>
    <x:row r="1527" ht="21" customHeight="1">
      <x:c r="A1527" s="60" t="n">
        <x:v>0.66</x:v>
      </x:c>
      <x:c r="B1527" s="28" t="str">
        <x:v>front_flat</x:v>
      </x:c>
      <x:c r="C1527" s="60" t="n">
        <x:v>0.35</x:v>
      </x:c>
      <x:c r="D1527" s="60" t="n">
        <x:v>0.35</x:v>
      </x:c>
      <x:c r="E1527" s="62" t="b">
        <x:v>1</x:v>
      </x:c>
      <x:c r="F1527" s="62" t="b">
        <x:v>1</x:v>
      </x:c>
      <x:c r="G1527" s="85" t="n">
        <x:v>0</x:v>
      </x:c>
      <x:c r="H1527" s="85" t="n">
        <x:v>0</x:v>
      </x:c>
      <x:c r="I1527" s="85" t="n">
        <x:v>5874321.063783479</x:v>
      </x:c>
      <x:c r="J1527" s="85" t="n">
        <x:v>6375463.518026184</x:v>
      </x:c>
      <x:c r="K1527" s="85" t="n">
        <x:v>41062.857503424624</x:v>
      </x:c>
      <x:c r="L1527" s="28" t="n">
        <x:v>0</x:v>
      </x:c>
      <x:c r="M1527" s="28" t="n">
        <x:v>0</x:v>
      </x:c>
      <x:c r="N1527" s="28" t="n">
        <x:v>9.313225746154785e-10</x:v>
      </x:c>
      <x:c r="O1527" s="28" t="n">
        <x:v>7.450580596923828e-9</x:v>
      </x:c>
      <x:c r="P1527" s="28" t="n">
        <x:v>0</x:v>
      </x:c>
      <x:c r="Q1527" s="62" t="b">
        <x:v>1</x:v>
      </x:c>
      <x:c r="R1527" s="28" t="n">
        <x:v>0</x:v>
      </x:c>
      <x:c r="S1527" s="28" t="str">
        <x:v>ab7f5cfc165144e1</x:v>
      </x:c>
    </x:row>
    <x:row r="1528" ht="21" customHeight="1">
      <x:c r="A1528" s="60" t="n">
        <x:v>0.66</x:v>
      </x:c>
      <x:c r="B1528" s="28" t="str">
        <x:v>front_flat</x:v>
      </x:c>
      <x:c r="C1528" s="60" t="n">
        <x:v>0.4</x:v>
      </x:c>
      <x:c r="D1528" s="60" t="n">
        <x:v>0.4</x:v>
      </x:c>
      <x:c r="E1528" s="62" t="b">
        <x:v>1</x:v>
      </x:c>
      <x:c r="F1528" s="62" t="b">
        <x:v>1</x:v>
      </x:c>
      <x:c r="G1528" s="85" t="n">
        <x:v>0</x:v>
      </x:c>
      <x:c r="H1528" s="85" t="n">
        <x:v>0</x:v>
      </x:c>
      <x:c r="I1528" s="85" t="n">
        <x:v>7425537.507840772</x:v>
      </x:c>
      <x:c r="J1528" s="85" t="n">
        <x:v>7394986.68293801</x:v>
      </x:c>
      <x:c r="K1528" s="85" t="n">
        <x:v>29445.893178082406</x:v>
      </x:c>
      <x:c r="L1528" s="28" t="n">
        <x:v>4</x:v>
      </x:c>
      <x:c r="M1528" s="28" t="n">
        <x:v>0</x:v>
      </x:c>
      <x:c r="N1528" s="28" t="n">
        <x:v>4.656612873077393e-10</x:v>
      </x:c>
      <x:c r="O1528" s="28" t="n">
        <x:v>7.450580596923828e-9</x:v>
      </x:c>
      <x:c r="P1528" s="28" t="n">
        <x:v>0</x:v>
      </x:c>
      <x:c r="Q1528" s="62" t="b">
        <x:v>1</x:v>
      </x:c>
      <x:c r="R1528" s="28" t="n">
        <x:v>0</x:v>
      </x:c>
      <x:c r="S1528" s="28" t="str">
        <x:v>aa38668ab921bd19</x:v>
      </x:c>
    </x:row>
    <x:row r="1529" ht="21" customHeight="1">
      <x:c r="A1529" s="60" t="n">
        <x:v>0.66</x:v>
      </x:c>
      <x:c r="B1529" s="28" t="str">
        <x:v>front_flat</x:v>
      </x:c>
      <x:c r="C1529" s="60" t="n">
        <x:v>0.45</x:v>
      </x:c>
      <x:c r="D1529" s="60" t="n">
        <x:v>0.45</x:v>
      </x:c>
      <x:c r="E1529" s="62" t="b">
        <x:v>1</x:v>
      </x:c>
      <x:c r="F1529" s="62" t="b">
        <x:v>1</x:v>
      </x:c>
      <x:c r="G1529" s="85" t="n">
        <x:v>0</x:v>
      </x:c>
      <x:c r="H1529" s="85" t="n">
        <x:v>0</x:v>
      </x:c>
      <x:c r="I1529" s="85" t="n">
        <x:v>9085881.510489</x:v>
      </x:c>
      <x:c r="J1529" s="85" t="n">
        <x:v>7971484.104055053</x:v>
      </x:c>
      <x:c r="K1529" s="85" t="n">
        <x:v>18593.931883561578</x:v>
      </x:c>
      <x:c r="L1529" s="28" t="n">
        <x:v>10</x:v>
      </x:c>
      <x:c r="M1529" s="28" t="n">
        <x:v>0</x:v>
      </x:c>
      <x:c r="N1529" s="28" t="n">
        <x:v>4.656612873077393e-10</x:v>
      </x:c>
      <x:c r="O1529" s="28" t="n">
        <x:v>3.725290298461914e-9</x:v>
      </x:c>
      <x:c r="P1529" s="28" t="n">
        <x:v>0</x:v>
      </x:c>
      <x:c r="Q1529" s="62" t="b">
        <x:v>1</x:v>
      </x:c>
      <x:c r="R1529" s="28" t="n">
        <x:v>0</x:v>
      </x:c>
      <x:c r="S1529" s="28" t="str">
        <x:v>f05e09ea0ef55c7e</x:v>
      </x:c>
    </x:row>
    <x:row r="1530" ht="21" customHeight="1">
      <x:c r="A1530" s="60" t="n">
        <x:v>0.66</x:v>
      </x:c>
      <x:c r="B1530" s="28" t="str">
        <x:v>front_flat</x:v>
      </x:c>
      <x:c r="C1530" s="60" t="n">
        <x:v>0.5</x:v>
      </x:c>
      <x:c r="D1530" s="60" t="n">
        <x:v>0.5</x:v>
      </x:c>
      <x:c r="E1530" s="62" t="b">
        <x:v>1</x:v>
      </x:c>
      <x:c r="F1530" s="62" t="b">
        <x:v>1</x:v>
      </x:c>
      <x:c r="G1530" s="85" t="n">
        <x:v>0</x:v>
      </x:c>
      <x:c r="H1530" s="85" t="n">
        <x:v>0</x:v>
      </x:c>
      <x:c r="I1530" s="85" t="n">
        <x:v>10601406.059313606</x:v>
      </x:c>
      <x:c r="J1530" s="85" t="n">
        <x:v>9132103.702970654</x:v>
      </x:c>
      <x:c r="K1530" s="85" t="n">
        <x:v>14683.8519863014</x:v>
      </x:c>
      <x:c r="L1530" s="28" t="n">
        <x:v>17</x:v>
      </x:c>
      <x:c r="M1530" s="28" t="n">
        <x:v>0</x:v>
      </x:c>
      <x:c r="N1530" s="28" t="n">
        <x:v>4.656612873077393e-10</x:v>
      </x:c>
      <x:c r="O1530" s="28" t="n">
        <x:v>7.450580596923828e-9</x:v>
      </x:c>
      <x:c r="P1530" s="28" t="n">
        <x:v>0</x:v>
      </x:c>
      <x:c r="Q1530" s="62" t="b">
        <x:v>1</x:v>
      </x:c>
      <x:c r="R1530" s="28" t="n">
        <x:v>0</x:v>
      </x:c>
      <x:c r="S1530" s="28" t="str">
        <x:v>7c3d0ba4d5e837a2</x:v>
      </x:c>
    </x:row>
    <x:row r="1531" ht="21" customHeight="1">
      <x:c r="A1531" s="60" t="n">
        <x:v>0.66</x:v>
      </x:c>
      <x:c r="B1531" s="28" t="str">
        <x:v>front_flat</x:v>
      </x:c>
      <x:c r="C1531" s="60" t="n">
        <x:v>0.55</x:v>
      </x:c>
      <x:c r="D1531" s="60" t="n">
        <x:v>0.55</x:v>
      </x:c>
      <x:c r="E1531" s="62" t="b">
        <x:v>1</x:v>
      </x:c>
      <x:c r="F1531" s="62" t="b">
        <x:v>1</x:v>
      </x:c>
      <x:c r="G1531" s="85" t="n">
        <x:v>0</x:v>
      </x:c>
      <x:c r="H1531" s="85" t="n">
        <x:v>0</x:v>
      </x:c>
      <x:c r="I1531" s="85" t="n">
        <x:v>11772295.569670836</x:v>
      </x:c>
      <x:c r="J1531" s="85" t="n">
        <x:v>11115078.095467221</x:v>
      </x:c>
      <x:c r="K1531" s="85" t="n">
        <x:v>10773.772089040991</x:v>
      </x:c>
      <x:c r="L1531" s="28" t="n">
        <x:v>20</x:v>
      </x:c>
      <x:c r="M1531" s="28" t="n">
        <x:v>0</x:v>
      </x:c>
      <x:c r="N1531" s="28" t="n">
        <x:v>4.656612873077393e-10</x:v>
      </x:c>
      <x:c r="O1531" s="28" t="n">
        <x:v>3.725290298461914e-9</x:v>
      </x:c>
      <x:c r="P1531" s="28" t="n">
        <x:v>0</x:v>
      </x:c>
      <x:c r="Q1531" s="62" t="b">
        <x:v>1</x:v>
      </x:c>
      <x:c r="R1531" s="28" t="n">
        <x:v>0</x:v>
      </x:c>
      <x:c r="S1531" s="28" t="str">
        <x:v>181ab28ac14f2395</x:v>
      </x:c>
    </x:row>
    <x:row r="1532" ht="21" customHeight="1">
      <x:c r="A1532" s="60" t="n">
        <x:v>0.66</x:v>
      </x:c>
      <x:c r="B1532" s="28" t="str">
        <x:v>front_flat</x:v>
      </x:c>
      <x:c r="C1532" s="60" t="n">
        <x:v>0.6</x:v>
      </x:c>
      <x:c r="D1532" s="60" t="n">
        <x:v>0.6</x:v>
      </x:c>
      <x:c r="E1532" s="62" t="b">
        <x:v>1</x:v>
      </x:c>
      <x:c r="F1532" s="62" t="b">
        <x:v>1</x:v>
      </x:c>
      <x:c r="G1532" s="85" t="n">
        <x:v>0</x:v>
      </x:c>
      <x:c r="H1532" s="85" t="n">
        <x:v>0</x:v>
      </x:c>
      <x:c r="I1532" s="85" t="n">
        <x:v>12945785.900625814</x:v>
      </x:c>
      <x:c r="J1532" s="85" t="n">
        <x:v>12982470.821210003</x:v>
      </x:c>
      <x:c r="K1532" s="85" t="n">
        <x:v>6863.69219178128</x:v>
      </x:c>
      <x:c r="L1532" s="28" t="n">
        <x:v>26</x:v>
      </x:c>
      <x:c r="M1532" s="28" t="n">
        <x:v>9</x:v>
      </x:c>
      <x:c r="N1532" s="28" t="n">
        <x:v>4.656612873077393e-10</x:v>
      </x:c>
      <x:c r="O1532" s="28" t="n">
        <x:v>3.725290298461914e-9</x:v>
      </x:c>
      <x:c r="P1532" s="28" t="n">
        <x:v>0</x:v>
      </x:c>
      <x:c r="Q1532" s="62" t="b">
        <x:v>1</x:v>
      </x:c>
      <x:c r="R1532" s="28" t="n">
        <x:v>0</x:v>
      </x:c>
      <x:c r="S1532" s="28" t="str">
        <x:v>a4e8734e181fdf71</x:v>
      </x:c>
    </x:row>
    <x:row r="1533" ht="21" customHeight="1">
      <x:c r="A1533" s="60" t="n">
        <x:v>0.66</x:v>
      </x:c>
      <x:c r="B1533" s="28" t="str">
        <x:v>front_flat</x:v>
      </x:c>
      <x:c r="C1533" s="60" t="n">
        <x:v>0.65</x:v>
      </x:c>
      <x:c r="D1533" s="60" t="n">
        <x:v>0.65</x:v>
      </x:c>
      <x:c r="E1533" s="62" t="b">
        <x:v>1</x:v>
      </x:c>
      <x:c r="F1533" s="62" t="b">
        <x:v>0</x:v>
      </x:c>
      <x:c r="G1533" s="85" t="n">
        <x:v>388626.2540153181</x:v>
      </x:c>
      <x:c r="H1533" s="85" t="n">
        <x:v>2088863.9313048997</x:v>
      </x:c>
      <x:c r="I1533" s="85" t="n">
        <x:v>13103629.371219866</x:v>
      </x:c>
      <x:c r="J1533" s="85" t="n">
        <x:v>13378559.999999998</x:v>
      </x:c>
      <x:c r="K1533" s="85" t="n">
        <x:v>2953.612294520637</x:v>
      </x:c>
      <x:c r="L1533" s="28" t="n">
        <x:v>46</x:v>
      </x:c>
      <x:c r="M1533" s="28" t="n">
        <x:v>34</x:v>
      </x:c>
      <x:c r="N1533" s="28" t="n">
        <x:v>4.656612873077393e-10</x:v>
      </x:c>
      <x:c r="O1533" s="28" t="n">
        <x:v>3.725290298461914e-9</x:v>
      </x:c>
      <x:c r="P1533" s="28" t="n">
        <x:v>0</x:v>
      </x:c>
      <x:c r="Q1533" s="62" t="b">
        <x:v>1</x:v>
      </x:c>
      <x:c r="R1533" s="28" t="n">
        <x:v>0</x:v>
      </x:c>
      <x:c r="S1533" s="28" t="str">
        <x:v>3885395f40414517</x:v>
      </x:c>
    </x:row>
    <x:row r="1534" ht="21" customHeight="1">
      <x:c r="A1534" s="60" t="n">
        <x:v>0.66</x:v>
      </x:c>
      <x:c r="B1534" s="28" t="str">
        <x:v>front_flat</x:v>
      </x:c>
      <x:c r="C1534" s="60" t="n">
        <x:v>0.7</x:v>
      </x:c>
      <x:c r="D1534" s="60" t="n">
        <x:v>0.7</x:v>
      </x:c>
      <x:c r="E1534" s="62" t="b">
        <x:v>1</x:v>
      </x:c>
      <x:c r="F1534" s="62" t="b">
        <x:v>0</x:v>
      </x:c>
      <x:c r="G1534" s="85" t="n">
        <x:v>880978.4834937764</x:v>
      </x:c>
      <x:c r="H1534" s="85" t="n">
        <x:v>4576873.824224599</x:v>
      </x:c>
      <x:c r="I1534" s="85" t="n">
        <x:v>13111437.883450687</x:v>
      </x:c>
      <x:c r="J1534" s="85" t="n">
        <x:v>13378559.999999998</x:v>
      </x:c>
      <x:c r="K1534" s="85" t="n">
        <x:v>0</x:v>
      </x:c>
      <x:c r="L1534" s="28" t="n">
        <x:v>46</x:v>
      </x:c>
      <x:c r="M1534" s="28" t="n">
        <x:v>38</x:v>
      </x:c>
      <x:c r="N1534" s="28" t="n">
        <x:v>4.656612873077393e-10</x:v>
      </x:c>
      <x:c r="O1534" s="28" t="n">
        <x:v>1.862645149230957e-9</x:v>
      </x:c>
      <x:c r="P1534" s="28" t="n">
        <x:v>0</x:v>
      </x:c>
      <x:c r="Q1534" s="62" t="b">
        <x:v>1</x:v>
      </x:c>
      <x:c r="R1534" s="28" t="n">
        <x:v>0</x:v>
      </x:c>
      <x:c r="S1534" s="28" t="str">
        <x:v>03203d450379e848</x:v>
      </x:c>
    </x:row>
    <x:row r="1535" ht="21" customHeight="1">
      <x:c r="A1535" s="60" t="n">
        <x:v>0.66</x:v>
      </x:c>
      <x:c r="B1535" s="28" t="str">
        <x:v>front_flat</x:v>
      </x:c>
      <x:c r="C1535" s="60" t="n">
        <x:v>0.75</x:v>
      </x:c>
      <x:c r="D1535" s="60" t="n">
        <x:v>0.75</x:v>
      </x:c>
      <x:c r="E1535" s="62" t="b">
        <x:v>1</x:v>
      </x:c>
      <x:c r="F1535" s="62" t="b">
        <x:v>0</x:v>
      </x:c>
      <x:c r="G1535" s="85" t="n">
        <x:v>1372614.0966166076</x:v>
      </x:c>
      <x:c r="H1535" s="85" t="n">
        <x:v>6955660.668931531</x:v>
      </x:c>
      <x:c r="I1535" s="85" t="n">
        <x:v>13119246.39568151</x:v>
      </x:c>
      <x:c r="J1535" s="85" t="n">
        <x:v>13378559.999999998</x:v>
      </x:c>
      <x:c r="K1535" s="85" t="n">
        <x:v>0</x:v>
      </x:c>
      <x:c r="L1535" s="28" t="n">
        <x:v>46</x:v>
      </x:c>
      <x:c r="M1535" s="28" t="n">
        <x:v>40</x:v>
      </x:c>
      <x:c r="N1535" s="28" t="n">
        <x:v>2.3283064365386963e-10</x:v>
      </x:c>
      <x:c r="O1535" s="28" t="n">
        <x:v>3.725290298461914e-9</x:v>
      </x:c>
      <x:c r="P1535" s="28" t="n">
        <x:v>0</x:v>
      </x:c>
      <x:c r="Q1535" s="62" t="b">
        <x:v>1</x:v>
      </x:c>
      <x:c r="R1535" s="28" t="n">
        <x:v>0</x:v>
      </x:c>
      <x:c r="S1535" s="28" t="str">
        <x:v>e0de07e0eff2a805</x:v>
      </x:c>
    </x:row>
    <x:row r="1536" ht="21" customHeight="1">
      <x:c r="A1536" s="60" t="n">
        <x:v>0.66</x:v>
      </x:c>
      <x:c r="B1536" s="28" t="str">
        <x:v>front_flat</x:v>
      </x:c>
      <x:c r="C1536" s="60" t="n">
        <x:v>0.8</x:v>
      </x:c>
      <x:c r="D1536" s="60" t="n">
        <x:v>0.8</x:v>
      </x:c>
      <x:c r="E1536" s="62" t="b">
        <x:v>1</x:v>
      </x:c>
      <x:c r="F1536" s="62" t="b">
        <x:v>0</x:v>
      </x:c>
      <x:c r="G1536" s="85" t="n">
        <x:v>1877005.6422568816</x:v>
      </x:c>
      <x:c r="H1536" s="85" t="n">
        <x:v>9305228.298054287</x:v>
      </x:c>
      <x:c r="I1536" s="85" t="n">
        <x:v>13127054.90791233</x:v>
      </x:c>
      <x:c r="J1536" s="85" t="n">
        <x:v>13378559.999999998</x:v>
      </x:c>
      <x:c r="K1536" s="85" t="n">
        <x:v>0</x:v>
      </x:c>
      <x:c r="L1536" s="28" t="n">
        <x:v>46</x:v>
      </x:c>
      <x:c r="M1536" s="28" t="n">
        <x:v>42</x:v>
      </x:c>
      <x:c r="N1536" s="28" t="n">
        <x:v>4.656612873077393e-10</x:v>
      </x:c>
      <x:c r="O1536" s="28" t="n">
        <x:v>3.725290298461914e-9</x:v>
      </x:c>
      <x:c r="P1536" s="28" t="n">
        <x:v>0</x:v>
      </x:c>
      <x:c r="Q1536" s="62" t="b">
        <x:v>1</x:v>
      </x:c>
      <x:c r="R1536" s="28" t="n">
        <x:v>0</x:v>
      </x:c>
      <x:c r="S1536" s="28" t="str">
        <x:v>4c709a63833c1743</x:v>
      </x:c>
    </x:row>
    <x:row r="1537" ht="21" customHeight="1">
      <x:c r="A1537" s="60" t="n">
        <x:v>0.66</x:v>
      </x:c>
      <x:c r="B1537" s="28" t="str">
        <x:v>front_flat</x:v>
      </x:c>
      <x:c r="C1537" s="60" t="n">
        <x:v>0.85</x:v>
      </x:c>
      <x:c r="D1537" s="60" t="n">
        <x:v>0.85</x:v>
      </x:c>
      <x:c r="E1537" s="62" t="b">
        <x:v>1</x:v>
      </x:c>
      <x:c r="F1537" s="62" t="b">
        <x:v>0</x:v>
      </x:c>
      <x:c r="G1537" s="85" t="n">
        <x:v>2480043.269593607</x:v>
      </x:c>
      <x:c r="H1537" s="85" t="n">
        <x:v>11510175.395740006</x:v>
      </x:c>
      <x:c r="I1537" s="85" t="n">
        <x:v>13134863.420143154</x:v>
      </x:c>
      <x:c r="J1537" s="85" t="n">
        <x:v>13378559.999999998</x:v>
      </x:c>
      <x:c r="K1537" s="85" t="n">
        <x:v>0</x:v>
      </x:c>
      <x:c r="L1537" s="28" t="n">
        <x:v>46</x:v>
      </x:c>
      <x:c r="M1537" s="28" t="n">
        <x:v>44</x:v>
      </x:c>
      <x:c r="N1537" s="28" t="n">
        <x:v>2.3283064365386963e-10</x:v>
      </x:c>
      <x:c r="O1537" s="28" t="n">
        <x:v>1.862645149230957e-9</x:v>
      </x:c>
      <x:c r="P1537" s="28" t="n">
        <x:v>0</x:v>
      </x:c>
      <x:c r="Q1537" s="62" t="b">
        <x:v>1</x:v>
      </x:c>
      <x:c r="R1537" s="28" t="n">
        <x:v>0</x:v>
      </x:c>
      <x:c r="S1537" s="28" t="str">
        <x:v>5e783a7bde1ed17e</x:v>
      </x:c>
    </x:row>
    <x:row r="1538" ht="21" customHeight="1">
      <x:c r="A1538" s="60" t="n">
        <x:v>0.66</x:v>
      </x:c>
      <x:c r="B1538" s="28" t="str">
        <x:v>front_flat</x:v>
      </x:c>
      <x:c r="C1538" s="60" t="n">
        <x:v>0.9</x:v>
      </x:c>
      <x:c r="D1538" s="60" t="n">
        <x:v>0.9</x:v>
      </x:c>
      <x:c r="E1538" s="62" t="b">
        <x:v>1</x:v>
      </x:c>
      <x:c r="F1538" s="62" t="b">
        <x:v>0</x:v>
      </x:c>
      <x:c r="G1538" s="85" t="n">
        <x:v>3018332.057215182</x:v>
      </x:c>
      <x:c r="H1538" s="85" t="n">
        <x:v>13405262.724758089</x:v>
      </x:c>
      <x:c r="I1538" s="85" t="n">
        <x:v>13375077.9090411</x:v>
      </x:c>
      <x:c r="J1538" s="85" t="n">
        <x:v>13378559.999999998</x:v>
      </x:c>
      <x:c r="K1538" s="85" t="n">
        <x:v>0</x:v>
      </x:c>
      <x:c r="L1538" s="28" t="n">
        <x:v>47</x:v>
      </x:c>
      <x:c r="M1538" s="28" t="n">
        <x:v>44</x:v>
      </x:c>
      <x:c r="N1538" s="28" t="n">
        <x:v>2.3283064365386963e-10</x:v>
      </x:c>
      <x:c r="O1538" s="28" t="n">
        <x:v>3.725290298461914e-9</x:v>
      </x:c>
      <x:c r="P1538" s="28" t="n">
        <x:v>0</x:v>
      </x:c>
      <x:c r="Q1538" s="62" t="b">
        <x:v>1</x:v>
      </x:c>
      <x:c r="R1538" s="28" t="n">
        <x:v>0</x:v>
      </x:c>
      <x:c r="S1538" s="28" t="str">
        <x:v>58a9e1de1a663ed5</x:v>
      </x:c>
    </x:row>
    <x:row r="1539" ht="21" customHeight="1">
      <x:c r="A1539" s="60" t="n">
        <x:v>0.66</x:v>
      </x:c>
      <x:c r="B1539" s="28" t="str">
        <x:v>front_flat</x:v>
      </x:c>
      <x:c r="C1539" s="60" t="n">
        <x:v>0.95</x:v>
      </x:c>
      <x:c r="D1539" s="60" t="n">
        <x:v>0.9427119459478259</x:v>
      </x:c>
      <x:c r="E1539" s="62" t="b">
        <x:v>0</x:v>
      </x:c>
      <x:c r="F1539" s="62" t="b">
        <x:v>0</x:v>
      </x:c>
      <x:c r="G1539" s="85" t="n">
        <x:v>3885589.0430444796</x:v>
      </x:c>
      <x:c r="H1539" s="85" t="n">
        <x:v>14711422.769918624</x:v>
      </x:c>
      <x:c r="I1539" s="85" t="n">
        <x:v>13375077.9090411</x:v>
      </x:c>
      <x:c r="J1539" s="85" t="n">
        <x:v>13378559.999999998</x:v>
      </x:c>
      <x:c r="K1539" s="85" t="n">
        <x:v>0</x:v>
      </x:c>
      <x:c r="L1539" s="28" t="n">
        <x:v>47</x:v>
      </x:c>
      <x:c r="M1539" s="28" t="n">
        <x:v>44</x:v>
      </x:c>
      <x:c r="N1539" s="28" t="n">
        <x:v>4.656612873077393e-10</x:v>
      </x:c>
      <x:c r="O1539" s="28" t="n">
        <x:v>1.862645149230957e-9</x:v>
      </x:c>
      <x:c r="P1539" s="28" t="n">
        <x:v>0</x:v>
      </x:c>
      <x:c r="Q1539" s="62" t="b">
        <x:v>1</x:v>
      </x:c>
      <x:c r="R1539" s="28" t="n">
        <x:v>406265.28508438915</x:v>
      </x:c>
      <x:c r="S1539" s="28" t="str">
        <x:v>3e0d80cc9f69a0ff</x:v>
      </x:c>
    </x:row>
    <x:row r="1540" ht="21" customHeight="1">
      <x:c r="A1540" s="60" t="n">
        <x:v>0.66</x:v>
      </x:c>
      <x:c r="B1540" s="28" t="str">
        <x:v>front_flat</x:v>
      </x:c>
      <x:c r="C1540" s="60" t="n">
        <x:v>1</x:v>
      </x:c>
      <x:c r="D1540" s="60" t="n">
        <x:v>0.9596721012870685</x:v>
      </x:c>
      <x:c r="E1540" s="62" t="b">
        <x:v>0</x:v>
      </x:c>
      <x:c r="F1540" s="62" t="b">
        <x:v>0</x:v>
      </x:c>
      <x:c r="G1540" s="85" t="n">
        <x:v>4278709.846333423</x:v>
      </x:c>
      <x:c r="H1540" s="85" t="n">
        <x:v>15547018.415877227</x:v>
      </x:c>
      <x:c r="I1540" s="85" t="n">
        <x:v>13378877.212191783</x:v>
      </x:c>
      <x:c r="J1540" s="85" t="n">
        <x:v>13378559.999999998</x:v>
      </x:c>
      <x:c r="K1540" s="85" t="n">
        <x:v>0</x:v>
      </x:c>
      <x:c r="L1540" s="28" t="n">
        <x:v>47</x:v>
      </x:c>
      <x:c r="M1540" s="28" t="n">
        <x:v>45</x:v>
      </x:c>
      <x:c r="N1540" s="28" t="n">
        <x:v>2.3283064365386963e-10</x:v>
      </x:c>
      <x:c r="O1540" s="28" t="n">
        <x:v>1.862645149230957e-9</x:v>
      </x:c>
      <x:c r="P1540" s="28" t="n">
        <x:v>0</x:v>
      </x:c>
      <x:c r="Q1540" s="62" t="b">
        <x:v>1</x:v>
      </x:c>
      <x:c r="R1540" s="28" t="n">
        <x:v>2248038.3858536556</x:v>
      </x:c>
      <x:c r="S1540" s="28" t="str">
        <x:v>1e0055ec9c536075</x:v>
      </x:c>
    </x:row>
    <x:row r="1541" ht="21" customHeight="1">
      <x:c r="A1541" s="60" t="n">
        <x:v>0.66</x:v>
      </x:c>
      <x:c r="B1541" s="28" t="str">
        <x:v>front_low</x:v>
      </x:c>
      <x:c r="C1541" s="60" t="n">
        <x:v>0</x:v>
      </x:c>
      <x:c r="D1541" s="60" t="n">
        <x:v>0</x:v>
      </x:c>
      <x:c r="E1541" s="62" t="b">
        <x:v>1</x:v>
      </x:c>
      <x:c r="F1541" s="62" t="b">
        <x:v>1</x:v>
      </x:c>
      <x:c r="G1541" s="85" t="n">
        <x:v>0</x:v>
      </x:c>
      <x:c r="H1541" s="85" t="n">
        <x:v>0</x:v>
      </x:c>
      <x:c r="I1541" s="85" t="n">
        <x:v>0</x:v>
      </x:c>
      <x:c r="J1541" s="85" t="n">
        <x:v>0</x:v>
      </x:c>
      <x:c r="K1541" s="85" t="n">
        <x:v>5572561.858849319</x:v>
      </x:c>
      <x:c r="L1541" s="28" t="n">
        <x:v>0</x:v>
      </x:c>
      <x:c r="M1541" s="28" t="n">
        <x:v>0</x:v>
      </x:c>
      <x:c r="N1541" s="28" t="n">
        <x:v>9.313225746154785e-10</x:v>
      </x:c>
      <x:c r="O1541" s="28" t="n">
        <x:v>0</x:v>
      </x:c>
      <x:c r="P1541" s="28" t="n">
        <x:v>0</x:v>
      </x:c>
      <x:c r="Q1541" s="62" t="b">
        <x:v>1</x:v>
      </x:c>
      <x:c r="R1541" s="28" t="n">
        <x:v>0</x:v>
      </x:c>
      <x:c r="S1541" s="28" t="str">
        <x:v>fb4d343ed97245f6</x:v>
      </x:c>
    </x:row>
    <x:row r="1542" ht="21" customHeight="1">
      <x:c r="A1542" s="60" t="n">
        <x:v>0.66</x:v>
      </x:c>
      <x:c r="B1542" s="28" t="str">
        <x:v>front_low</x:v>
      </x:c>
      <x:c r="C1542" s="60" t="n">
        <x:v>0.05</x:v>
      </x:c>
      <x:c r="D1542" s="60" t="n">
        <x:v>0.05</x:v>
      </x:c>
      <x:c r="E1542" s="62" t="b">
        <x:v>1</x:v>
      </x:c>
      <x:c r="F1542" s="62" t="b">
        <x:v>1</x:v>
      </x:c>
      <x:c r="G1542" s="85" t="n">
        <x:v>0</x:v>
      </x:c>
      <x:c r="H1542" s="85" t="n">
        <x:v>0</x:v>
      </x:c>
      <x:c r="I1542" s="85" t="n">
        <x:v>0</x:v>
      </x:c>
      <x:c r="J1542" s="85" t="n">
        <x:v>0</x:v>
      </x:c>
      <x:c r="K1542" s="85" t="n">
        <x:v>3531311.5277329963</x:v>
      </x:c>
      <x:c r="L1542" s="28" t="n">
        <x:v>0</x:v>
      </x:c>
      <x:c r="M1542" s="28" t="n">
        <x:v>0</x:v>
      </x:c>
      <x:c r="N1542" s="28" t="n">
        <x:v>9.313225746154785e-10</x:v>
      </x:c>
      <x:c r="O1542" s="28" t="n">
        <x:v>7.450580596923828e-9</x:v>
      </x:c>
      <x:c r="P1542" s="28" t="n">
        <x:v>0</x:v>
      </x:c>
      <x:c r="Q1542" s="62" t="b">
        <x:v>1</x:v>
      </x:c>
      <x:c r="R1542" s="28" t="n">
        <x:v>0</x:v>
      </x:c>
      <x:c r="S1542" s="28" t="str">
        <x:v>fd49299ed509fa0e</x:v>
      </x:c>
    </x:row>
    <x:row r="1543" ht="21" customHeight="1">
      <x:c r="A1543" s="60" t="n">
        <x:v>0.66</x:v>
      </x:c>
      <x:c r="B1543" s="28" t="str">
        <x:v>front_low</x:v>
      </x:c>
      <x:c r="C1543" s="60" t="n">
        <x:v>0.1</x:v>
      </x:c>
      <x:c r="D1543" s="60" t="n">
        <x:v>0.1</x:v>
      </x:c>
      <x:c r="E1543" s="62" t="b">
        <x:v>1</x:v>
      </x:c>
      <x:c r="F1543" s="62" t="b">
        <x:v>1</x:v>
      </x:c>
      <x:c r="G1543" s="85" t="n">
        <x:v>0</x:v>
      </x:c>
      <x:c r="H1543" s="85" t="n">
        <x:v>0</x:v>
      </x:c>
      <x:c r="I1543" s="85" t="n">
        <x:v>0</x:v>
      </x:c>
      <x:c r="J1543" s="85" t="n">
        <x:v>0</x:v>
      </x:c>
      <x:c r="K1543" s="85" t="n">
        <x:v>1489740.0850646207</x:v>
      </x:c>
      <x:c r="L1543" s="28" t="n">
        <x:v>0</x:v>
      </x:c>
      <x:c r="M1543" s="28" t="n">
        <x:v>0</x:v>
      </x:c>
      <x:c r="N1543" s="28" t="n">
        <x:v>2.3283064365386963e-10</x:v>
      </x:c>
      <x:c r="O1543" s="28" t="n">
        <x:v>7.450580596923828e-9</x:v>
      </x:c>
      <x:c r="P1543" s="28" t="n">
        <x:v>0</x:v>
      </x:c>
      <x:c r="Q1543" s="62" t="b">
        <x:v>1</x:v>
      </x:c>
      <x:c r="R1543" s="28" t="n">
        <x:v>0</x:v>
      </x:c>
      <x:c r="S1543" s="28" t="str">
        <x:v>166aef8deee1d6b9</x:v>
      </x:c>
    </x:row>
    <x:row r="1544" ht="21" customHeight="1">
      <x:c r="A1544" s="60" t="n">
        <x:v>0.66</x:v>
      </x:c>
      <x:c r="B1544" s="28" t="str">
        <x:v>front_low</x:v>
      </x:c>
      <x:c r="C1544" s="60" t="n">
        <x:v>0.15</x:v>
      </x:c>
      <x:c r="D1544" s="60" t="n">
        <x:v>0.15</x:v>
      </x:c>
      <x:c r="E1544" s="62" t="b">
        <x:v>1</x:v>
      </x:c>
      <x:c r="F1544" s="62" t="b">
        <x:v>1</x:v>
      </x:c>
      <x:c r="G1544" s="85" t="n">
        <x:v>0</x:v>
      </x:c>
      <x:c r="H1544" s="85" t="n">
        <x:v>0</x:v>
      </x:c>
      <x:c r="I1544" s="85" t="n">
        <x:v>455287.4124390128</x:v>
      </x:c>
      <x:c r="J1544" s="85" t="n">
        <x:v>0</x:v>
      </x:c>
      <x:c r="K1544" s="85" t="n">
        <x:v>63543.090851428395</x:v>
      </x:c>
      <x:c r="L1544" s="28" t="n">
        <x:v>0</x:v>
      </x:c>
      <x:c r="M1544" s="28" t="n">
        <x:v>0</x:v>
      </x:c>
      <x:c r="N1544" s="28" t="n">
        <x:v>4.656612873077393e-10</x:v>
      </x:c>
      <x:c r="O1544" s="28" t="n">
        <x:v>7.450580596923828e-9</x:v>
      </x:c>
      <x:c r="P1544" s="28" t="n">
        <x:v>0</x:v>
      </x:c>
      <x:c r="Q1544" s="62" t="b">
        <x:v>1</x:v>
      </x:c>
      <x:c r="R1544" s="28" t="n">
        <x:v>0</x:v>
      </x:c>
      <x:c r="S1544" s="28" t="str">
        <x:v>d45b1d628f986123</x:v>
      </x:c>
    </x:row>
    <x:row r="1545" ht="21" customHeight="1">
      <x:c r="A1545" s="60" t="n">
        <x:v>0.66</x:v>
      </x:c>
      <x:c r="B1545" s="28" t="str">
        <x:v>front_low</x:v>
      </x:c>
      <x:c r="C1545" s="60" t="n">
        <x:v>0.2</x:v>
      </x:c>
      <x:c r="D1545" s="60" t="n">
        <x:v>0.2</x:v>
      </x:c>
      <x:c r="E1545" s="62" t="b">
        <x:v>1</x:v>
      </x:c>
      <x:c r="F1545" s="62" t="b">
        <x:v>1</x:v>
      </x:c>
      <x:c r="G1545" s="85" t="n">
        <x:v>0</x:v>
      </x:c>
      <x:c r="H1545" s="85" t="n">
        <x:v>0</x:v>
      </x:c>
      <x:c r="I1545" s="85" t="n">
        <x:v>1583814.4839111557</x:v>
      </x:c>
      <x:c r="J1545" s="85" t="n">
        <x:v>1254093.4388721085</x:v>
      </x:c>
      <x:c r="K1545" s="85" t="n">
        <x:v>37948.94949315107</x:v>
      </x:c>
      <x:c r="L1545" s="28" t="n">
        <x:v>0</x:v>
      </x:c>
      <x:c r="M1545" s="28" t="n">
        <x:v>0</x:v>
      </x:c>
      <x:c r="N1545" s="28" t="n">
        <x:v>4.656612873077393e-10</x:v>
      </x:c>
      <x:c r="O1545" s="28" t="n">
        <x:v>7.450580596923828e-9</x:v>
      </x:c>
      <x:c r="P1545" s="28" t="n">
        <x:v>0</x:v>
      </x:c>
      <x:c r="Q1545" s="62" t="b">
        <x:v>1</x:v>
      </x:c>
      <x:c r="R1545" s="28" t="n">
        <x:v>0</x:v>
      </x:c>
      <x:c r="S1545" s="28" t="str">
        <x:v>6cf6b98a7252f5b6</x:v>
      </x:c>
    </x:row>
    <x:row r="1546" ht="21" customHeight="1">
      <x:c r="A1546" s="60" t="n">
        <x:v>0.66</x:v>
      </x:c>
      <x:c r="B1546" s="28" t="str">
        <x:v>front_low</x:v>
      </x:c>
      <x:c r="C1546" s="60" t="n">
        <x:v>0.25</x:v>
      </x:c>
      <x:c r="D1546" s="60" t="n">
        <x:v>0.25</x:v>
      </x:c>
      <x:c r="E1546" s="62" t="b">
        <x:v>1</x:v>
      </x:c>
      <x:c r="F1546" s="62" t="b">
        <x:v>1</x:v>
      </x:c>
      <x:c r="G1546" s="85" t="n">
        <x:v>0</x:v>
      </x:c>
      <x:c r="H1546" s="85" t="n">
        <x:v>0</x:v>
      </x:c>
      <x:c r="I1546" s="85" t="n">
        <x:v>2383027.2017367166</x:v>
      </x:c>
      <x:c r="J1546" s="85" t="n">
        <x:v>2961216.79859013</x:v>
      </x:c>
      <x:c r="K1546" s="85" t="n">
        <x:v>28027.568345890566</x:v>
      </x:c>
      <x:c r="L1546" s="28" t="n">
        <x:v>0</x:v>
      </x:c>
      <x:c r="M1546" s="28" t="n">
        <x:v>0</x:v>
      </x:c>
      <x:c r="N1546" s="28" t="n">
        <x:v>4.656612873077393e-10</x:v>
      </x:c>
      <x:c r="O1546" s="28" t="n">
        <x:v>3.725290298461914e-9</x:v>
      </x:c>
      <x:c r="P1546" s="28" t="n">
        <x:v>0</x:v>
      </x:c>
      <x:c r="Q1546" s="62" t="b">
        <x:v>1</x:v>
      </x:c>
      <x:c r="R1546" s="28" t="n">
        <x:v>0</x:v>
      </x:c>
      <x:c r="S1546" s="28" t="str">
        <x:v>f1f3ee3af9802381</x:v>
      </x:c>
    </x:row>
    <x:row r="1547" ht="21" customHeight="1">
      <x:c r="A1547" s="60" t="n">
        <x:v>0.66</x:v>
      </x:c>
      <x:c r="B1547" s="28" t="str">
        <x:v>front_low</x:v>
      </x:c>
      <x:c r="C1547" s="60" t="n">
        <x:v>0.3</x:v>
      </x:c>
      <x:c r="D1547" s="60" t="n">
        <x:v>0.3</x:v>
      </x:c>
      <x:c r="E1547" s="62" t="b">
        <x:v>1</x:v>
      </x:c>
      <x:c r="F1547" s="62" t="b">
        <x:v>1</x:v>
      </x:c>
      <x:c r="G1547" s="85" t="n">
        <x:v>0</x:v>
      </x:c>
      <x:c r="H1547" s="85" t="n">
        <x:v>0</x:v>
      </x:c>
      <x:c r="I1547" s="85" t="n">
        <x:v>3202230.5312949065</x:v>
      </x:c>
      <x:c r="J1547" s="85" t="n">
        <x:v>4668340.158308166</x:v>
      </x:c>
      <x:c r="K1547" s="85" t="n">
        <x:v>21416.163198629976</x:v>
      </x:c>
      <x:c r="L1547" s="28" t="n">
        <x:v>0</x:v>
      </x:c>
      <x:c r="M1547" s="28" t="n">
        <x:v>0</x:v>
      </x:c>
      <x:c r="N1547" s="28" t="n">
        <x:v>4.656612873077393e-10</x:v>
      </x:c>
      <x:c r="O1547" s="28" t="n">
        <x:v>7.450580596923828e-9</x:v>
      </x:c>
      <x:c r="P1547" s="28" t="n">
        <x:v>0</x:v>
      </x:c>
      <x:c r="Q1547" s="62" t="b">
        <x:v>1</x:v>
      </x:c>
      <x:c r="R1547" s="28" t="n">
        <x:v>0</x:v>
      </x:c>
      <x:c r="S1547" s="28" t="str">
        <x:v>9983a5a47c1a9b54</x:v>
      </x:c>
    </x:row>
    <x:row r="1548" ht="21" customHeight="1">
      <x:c r="A1548" s="60" t="n">
        <x:v>0.66</x:v>
      </x:c>
      <x:c r="B1548" s="28" t="str">
        <x:v>front_low</x:v>
      </x:c>
      <x:c r="C1548" s="60" t="n">
        <x:v>0.35</x:v>
      </x:c>
      <x:c r="D1548" s="60" t="n">
        <x:v>0.35</x:v>
      </x:c>
      <x:c r="E1548" s="62" t="b">
        <x:v>1</x:v>
      </x:c>
      <x:c r="F1548" s="62" t="b">
        <x:v>1</x:v>
      </x:c>
      <x:c r="G1548" s="85" t="n">
        <x:v>0</x:v>
      </x:c>
      <x:c r="H1548" s="85" t="n">
        <x:v>0</x:v>
      </x:c>
      <x:c r="I1548" s="85" t="n">
        <x:v>4027195.552711632</x:v>
      </x:c>
      <x:c r="J1548" s="85" t="n">
        <x:v>6375463.518026184</x:v>
      </x:c>
      <x:c r="K1548" s="85" t="n">
        <x:v>14804.758051369856</x:v>
      </x:c>
      <x:c r="L1548" s="28" t="n">
        <x:v>0</x:v>
      </x:c>
      <x:c r="M1548" s="28" t="n">
        <x:v>0</x:v>
      </x:c>
      <x:c r="N1548" s="28" t="n">
        <x:v>2.3283064365386963e-10</x:v>
      </x:c>
      <x:c r="O1548" s="28" t="n">
        <x:v>7.450580596923828e-9</x:v>
      </x:c>
      <x:c r="P1548" s="28" t="n">
        <x:v>0</x:v>
      </x:c>
      <x:c r="Q1548" s="62" t="b">
        <x:v>1</x:v>
      </x:c>
      <x:c r="R1548" s="28" t="n">
        <x:v>0</x:v>
      </x:c>
      <x:c r="S1548" s="28" t="str">
        <x:v>0620e66782b78176</x:v>
      </x:c>
    </x:row>
    <x:row r="1549" ht="21" customHeight="1">
      <x:c r="A1549" s="60" t="n">
        <x:v>0.66</x:v>
      </x:c>
      <x:c r="B1549" s="28" t="str">
        <x:v>front_low</x:v>
      </x:c>
      <x:c r="C1549" s="60" t="n">
        <x:v>0.4</x:v>
      </x:c>
      <x:c r="D1549" s="60" t="n">
        <x:v>0.4</x:v>
      </x:c>
      <x:c r="E1549" s="62" t="b">
        <x:v>1</x:v>
      </x:c>
      <x:c r="F1549" s="62" t="b">
        <x:v>1</x:v>
      </x:c>
      <x:c r="G1549" s="85" t="n">
        <x:v>0</x:v>
      </x:c>
      <x:c r="H1549" s="85" t="n">
        <x:v>0</x:v>
      </x:c>
      <x:c r="I1549" s="85" t="n">
        <x:v>5257593.362358321</x:v>
      </x:c>
      <x:c r="J1549" s="85" t="n">
        <x:v>7430226.36786696</x:v>
      </x:c>
      <x:c r="K1549" s="85" t="n">
        <x:v>8193.352904109677</x:v>
      </x:c>
      <x:c r="L1549" s="28" t="n">
        <x:v>5</x:v>
      </x:c>
      <x:c r="M1549" s="28" t="n">
        <x:v>0</x:v>
      </x:c>
      <x:c r="N1549" s="28" t="n">
        <x:v>4.656612873077393e-10</x:v>
      </x:c>
      <x:c r="O1549" s="28" t="n">
        <x:v>7.450580596923828e-9</x:v>
      </x:c>
      <x:c r="P1549" s="28" t="n">
        <x:v>0</x:v>
      </x:c>
      <x:c r="Q1549" s="62" t="b">
        <x:v>1</x:v>
      </x:c>
      <x:c r="R1549" s="28" t="n">
        <x:v>0</x:v>
      </x:c>
      <x:c r="S1549" s="28" t="str">
        <x:v>0210e82a61ae342c</x:v>
      </x:c>
    </x:row>
    <x:row r="1550" ht="21" customHeight="1">
      <x:c r="A1550" s="60" t="n">
        <x:v>0.66</x:v>
      </x:c>
      <x:c r="B1550" s="28" t="str">
        <x:v>front_low</x:v>
      </x:c>
      <x:c r="C1550" s="60" t="n">
        <x:v>0.45</x:v>
      </x:c>
      <x:c r="D1550" s="60" t="n">
        <x:v>0.45</x:v>
      </x:c>
      <x:c r="E1550" s="62" t="b">
        <x:v>1</x:v>
      </x:c>
      <x:c r="F1550" s="62" t="b">
        <x:v>1</x:v>
      </x:c>
      <x:c r="G1550" s="85" t="n">
        <x:v>0</x:v>
      </x:c>
      <x:c r="H1550" s="85" t="n">
        <x:v>0</x:v>
      </x:c>
      <x:c r="I1550" s="85" t="n">
        <x:v>6766736.832036526</x:v>
      </x:c>
      <x:c r="J1550" s="85" t="n">
        <x:v>7985691.961242253</x:v>
      </x:c>
      <x:c r="K1550" s="85" t="n">
        <x:v>3021.014589041246</x:v>
      </x:c>
      <x:c r="L1550" s="28" t="n">
        <x:v>13</x:v>
      </x:c>
      <x:c r="M1550" s="28" t="n">
        <x:v>0</x:v>
      </x:c>
      <x:c r="N1550" s="28" t="n">
        <x:v>4.656612873077393e-10</x:v>
      </x:c>
      <x:c r="O1550" s="28" t="n">
        <x:v>3.725290298461914e-9</x:v>
      </x:c>
      <x:c r="P1550" s="28" t="n">
        <x:v>0</x:v>
      </x:c>
      <x:c r="Q1550" s="62" t="b">
        <x:v>1</x:v>
      </x:c>
      <x:c r="R1550" s="28" t="n">
        <x:v>0</x:v>
      </x:c>
      <x:c r="S1550" s="28" t="str">
        <x:v>2a28dea3ea8c36b5</x:v>
      </x:c>
    </x:row>
    <x:row r="1551" ht="21" customHeight="1">
      <x:c r="A1551" s="60" t="n">
        <x:v>0.66</x:v>
      </x:c>
      <x:c r="B1551" s="28" t="str">
        <x:v>front_low</x:v>
      </x:c>
      <x:c r="C1551" s="60" t="n">
        <x:v>0.5</x:v>
      </x:c>
      <x:c r="D1551" s="60" t="n">
        <x:v>0.5</x:v>
      </x:c>
      <x:c r="E1551" s="62" t="b">
        <x:v>1</x:v>
      </x:c>
      <x:c r="F1551" s="62" t="b">
        <x:v>1</x:v>
      </x:c>
      <x:c r="G1551" s="85" t="n">
        <x:v>0</x:v>
      </x:c>
      <x:c r="H1551" s="85" t="n">
        <x:v>0</x:v>
      </x:c>
      <x:c r="I1551" s="85" t="n">
        <x:v>7647568.604631642</x:v>
      </x:c>
      <x:c r="J1551" s="85" t="n">
        <x:v>9606221.622727908</x:v>
      </x:c>
      <x:c r="K1551" s="85" t="n">
        <x:v>767.1858904109758</x:v>
      </x:c>
      <x:c r="L1551" s="28" t="n">
        <x:v>17</x:v>
      </x:c>
      <x:c r="M1551" s="28" t="n">
        <x:v>0</x:v>
      </x:c>
      <x:c r="N1551" s="28" t="n">
        <x:v>4.656612873077393e-10</x:v>
      </x:c>
      <x:c r="O1551" s="28" t="n">
        <x:v>7.450580596923828e-9</x:v>
      </x:c>
      <x:c r="P1551" s="28" t="n">
        <x:v>0</x:v>
      </x:c>
      <x:c r="Q1551" s="62" t="b">
        <x:v>1</x:v>
      </x:c>
      <x:c r="R1551" s="28" t="n">
        <x:v>0</x:v>
      </x:c>
      <x:c r="S1551" s="28" t="str">
        <x:v>2fa57ee0bc7ff1a7</x:v>
      </x:c>
    </x:row>
    <x:row r="1552" ht="21" customHeight="1">
      <x:c r="A1552" s="60" t="n">
        <x:v>0.66</x:v>
      </x:c>
      <x:c r="B1552" s="28" t="str">
        <x:v>front_low</x:v>
      </x:c>
      <x:c r="C1552" s="60" t="n">
        <x:v>0.55</x:v>
      </x:c>
      <x:c r="D1552" s="60" t="n">
        <x:v>0.55</x:v>
      </x:c>
      <x:c r="E1552" s="62" t="b">
        <x:v>1</x:v>
      </x:c>
      <x:c r="F1552" s="62" t="b">
        <x:v>1</x:v>
      </x:c>
      <x:c r="G1552" s="85" t="n">
        <x:v>0</x:v>
      </x:c>
      <x:c r="H1552" s="85" t="n">
        <x:v>0</x:v>
      </x:c>
      <x:c r="I1552" s="85" t="n">
        <x:v>8417624.587902777</x:v>
      </x:c>
      <x:c r="J1552" s="85" t="n">
        <x:v>11393491.596437205</x:v>
      </x:c>
      <x:c r="K1552" s="85" t="n">
        <x:v>0</x:v>
      </x:c>
      <x:c r="L1552" s="28" t="n">
        <x:v>21</x:v>
      </x:c>
      <x:c r="M1552" s="28" t="n">
        <x:v>0</x:v>
      </x:c>
      <x:c r="N1552" s="28" t="n">
        <x:v>4.656612873077393e-10</x:v>
      </x:c>
      <x:c r="O1552" s="28" t="n">
        <x:v>3.725290298461914e-9</x:v>
      </x:c>
      <x:c r="P1552" s="28" t="n">
        <x:v>0</x:v>
      </x:c>
      <x:c r="Q1552" s="62" t="b">
        <x:v>1</x:v>
      </x:c>
      <x:c r="R1552" s="28" t="n">
        <x:v>0</x:v>
      </x:c>
      <x:c r="S1552" s="28" t="str">
        <x:v>da8931d786228365</x:v>
      </x:c>
    </x:row>
    <x:row r="1553" ht="21" customHeight="1">
      <x:c r="A1553" s="60" t="n">
        <x:v>0.66</x:v>
      </x:c>
      <x:c r="B1553" s="28" t="str">
        <x:v>front_low</x:v>
      </x:c>
      <x:c r="C1553" s="60" t="n">
        <x:v>0.6</x:v>
      </x:c>
      <x:c r="D1553" s="60" t="n">
        <x:v>0.6</x:v>
      </x:c>
      <x:c r="E1553" s="62" t="b">
        <x:v>1</x:v>
      </x:c>
      <x:c r="F1553" s="62" t="b">
        <x:v>1</x:v>
      </x:c>
      <x:c r="G1553" s="85" t="n">
        <x:v>0</x:v>
      </x:c>
      <x:c r="H1553" s="85" t="n">
        <x:v>0</x:v>
      </x:c>
      <x:c r="I1553" s="85" t="n">
        <x:v>9180916.104831701</x:v>
      </x:c>
      <x:c r="J1553" s="85" t="n">
        <x:v>13144924.369786996</x:v>
      </x:c>
      <x:c r="K1553" s="85" t="n">
        <x:v>0</x:v>
      </x:c>
      <x:c r="L1553" s="28" t="n">
        <x:v>26</x:v>
      </x:c>
      <x:c r="M1553" s="28" t="n">
        <x:v>1</x:v>
      </x:c>
      <x:c r="N1553" s="28" t="n">
        <x:v>2.3283064365386963e-10</x:v>
      </x:c>
      <x:c r="O1553" s="28" t="n">
        <x:v>3.725290298461914e-9</x:v>
      </x:c>
      <x:c r="P1553" s="28" t="n">
        <x:v>0</x:v>
      </x:c>
      <x:c r="Q1553" s="62" t="b">
        <x:v>1</x:v>
      </x:c>
      <x:c r="R1553" s="28" t="n">
        <x:v>0</x:v>
      </x:c>
      <x:c r="S1553" s="28" t="str">
        <x:v>aa3b4c884e716926</x:v>
      </x:c>
    </x:row>
    <x:row r="1554" ht="21" customHeight="1">
      <x:c r="A1554" s="60" t="n">
        <x:v>0.66</x:v>
      </x:c>
      <x:c r="B1554" s="28" t="str">
        <x:v>front_low</x:v>
      </x:c>
      <x:c r="C1554" s="60" t="n">
        <x:v>0.65</x:v>
      </x:c>
      <x:c r="D1554" s="60" t="n">
        <x:v>0.65</x:v>
      </x:c>
      <x:c r="E1554" s="62" t="b">
        <x:v>1</x:v>
      </x:c>
      <x:c r="F1554" s="62" t="b">
        <x:v>0</x:v>
      </x:c>
      <x:c r="G1554" s="85" t="n">
        <x:v>148553.67814584833</x:v>
      </x:c>
      <x:c r="H1554" s="85" t="n">
        <x:v>1851755.354421291</x:v>
      </x:c>
      <x:c r="I1554" s="85" t="n">
        <x:v>9241102.8690411</x:v>
      </x:c>
      <x:c r="J1554" s="85" t="n">
        <x:v>13378559.999999998</x:v>
      </x:c>
      <x:c r="K1554" s="85" t="n">
        <x:v>0</x:v>
      </x:c>
      <x:c r="L1554" s="28" t="n">
        <x:v>46</x:v>
      </x:c>
      <x:c r="M1554" s="28" t="n">
        <x:v>30</x:v>
      </x:c>
      <x:c r="N1554" s="28" t="n">
        <x:v>4.656612873077393e-10</x:v>
      </x:c>
      <x:c r="O1554" s="28" t="n">
        <x:v>3.725290298461914e-9</x:v>
      </x:c>
      <x:c r="P1554" s="28" t="n">
        <x:v>0</x:v>
      </x:c>
      <x:c r="Q1554" s="62" t="b">
        <x:v>1</x:v>
      </x:c>
      <x:c r="R1554" s="28" t="n">
        <x:v>0</x:v>
      </x:c>
      <x:c r="S1554" s="28" t="str">
        <x:v>3920c299204335dc</x:v>
      </x:c>
    </x:row>
    <x:row r="1555" ht="21" customHeight="1">
      <x:c r="A1555" s="60" t="n">
        <x:v>0.66</x:v>
      </x:c>
      <x:c r="B1555" s="28" t="str">
        <x:v>front_low</x:v>
      </x:c>
      <x:c r="C1555" s="60" t="n">
        <x:v>0.7</x:v>
      </x:c>
      <x:c r="D1555" s="60" t="n">
        <x:v>0.7</x:v>
      </x:c>
      <x:c r="E1555" s="62" t="b">
        <x:v>1</x:v>
      </x:c>
      <x:c r="F1555" s="62" t="b">
        <x:v>0</x:v>
      </x:c>
      <x:c r="G1555" s="85" t="n">
        <x:v>317416.8442088794</x:v>
      </x:c>
      <x:c r="H1555" s="85" t="n">
        <x:v>3951582.705235422</x:v>
      </x:c>
      <x:c r="I1555" s="85" t="n">
        <x:v>9244905.878587674</x:v>
      </x:c>
      <x:c r="J1555" s="85" t="n">
        <x:v>13378559.999999998</x:v>
      </x:c>
      <x:c r="K1555" s="85" t="n">
        <x:v>0</x:v>
      </x:c>
      <x:c r="L1555" s="28" t="n">
        <x:v>46</x:v>
      </x:c>
      <x:c r="M1555" s="28" t="n">
        <x:v>32</x:v>
      </x:c>
      <x:c r="N1555" s="28" t="n">
        <x:v>4.656612873077393e-10</x:v>
      </x:c>
      <x:c r="O1555" s="28" t="n">
        <x:v>1.862645149230957e-9</x:v>
      </x:c>
      <x:c r="P1555" s="28" t="n">
        <x:v>0</x:v>
      </x:c>
      <x:c r="Q1555" s="62" t="b">
        <x:v>1</x:v>
      </x:c>
      <x:c r="R1555" s="28" t="n">
        <x:v>0</x:v>
      </x:c>
      <x:c r="S1555" s="28" t="str">
        <x:v>9d8129c6d39f34f4</x:v>
      </x:c>
    </x:row>
    <x:row r="1556" ht="21" customHeight="1">
      <x:c r="A1556" s="60" t="n">
        <x:v>0.66</x:v>
      </x:c>
      <x:c r="B1556" s="28" t="str">
        <x:v>front_low</x:v>
      </x:c>
      <x:c r="C1556" s="60" t="n">
        <x:v>0.75</x:v>
      </x:c>
      <x:c r="D1556" s="60" t="n">
        <x:v>0.75</x:v>
      </x:c>
      <x:c r="E1556" s="62" t="b">
        <x:v>1</x:v>
      </x:c>
      <x:c r="F1556" s="62" t="b">
        <x:v>0</x:v>
      </x:c>
      <x:c r="G1556" s="85" t="n">
        <x:v>486280.0102719118</x:v>
      </x:c>
      <x:c r="H1556" s="85" t="n">
        <x:v>6051410.056049569</x:v>
      </x:c>
      <x:c r="I1556" s="85" t="n">
        <x:v>9249365.082839046</x:v>
      </x:c>
      <x:c r="J1556" s="85" t="n">
        <x:v>13378559.999999998</x:v>
      </x:c>
      <x:c r="K1556" s="85" t="n">
        <x:v>0</x:v>
      </x:c>
      <x:c r="L1556" s="28" t="n">
        <x:v>46</x:v>
      </x:c>
      <x:c r="M1556" s="28" t="n">
        <x:v>34</x:v>
      </x:c>
      <x:c r="N1556" s="28" t="n">
        <x:v>4.656612873077393e-10</x:v>
      </x:c>
      <x:c r="O1556" s="28" t="n">
        <x:v>3.725290298461914e-9</x:v>
      </x:c>
      <x:c r="P1556" s="28" t="n">
        <x:v>0</x:v>
      </x:c>
      <x:c r="Q1556" s="62" t="b">
        <x:v>1</x:v>
      </x:c>
      <x:c r="R1556" s="28" t="n">
        <x:v>0</x:v>
      </x:c>
      <x:c r="S1556" s="28" t="str">
        <x:v>94c1e6e0a890e419</x:v>
      </x:c>
    </x:row>
    <x:row r="1557" ht="21" customHeight="1">
      <x:c r="A1557" s="60" t="n">
        <x:v>0.66</x:v>
      </x:c>
      <x:c r="B1557" s="28" t="str">
        <x:v>front_low</x:v>
      </x:c>
      <x:c r="C1557" s="60" t="n">
        <x:v>0.8</x:v>
      </x:c>
      <x:c r="D1557" s="60" t="n">
        <x:v>0.8</x:v>
      </x:c>
      <x:c r="E1557" s="62" t="b">
        <x:v>1</x:v>
      </x:c>
      <x:c r="F1557" s="62" t="b">
        <x:v>0</x:v>
      </x:c>
      <x:c r="G1557" s="85" t="n">
        <x:v>690371.0344806091</x:v>
      </x:c>
      <x:c r="H1557" s="85" t="n">
        <x:v>8094074.793211169</x:v>
      </x:c>
      <x:c r="I1557" s="85" t="n">
        <x:v>9253824.287090415</x:v>
      </x:c>
      <x:c r="J1557" s="85" t="n">
        <x:v>13378559.999999998</x:v>
      </x:c>
      <x:c r="K1557" s="85" t="n">
        <x:v>0</x:v>
      </x:c>
      <x:c r="L1557" s="28" t="n">
        <x:v>46</x:v>
      </x:c>
      <x:c r="M1557" s="28" t="n">
        <x:v>36</x:v>
      </x:c>
      <x:c r="N1557" s="28" t="n">
        <x:v>2.3283064365386963e-10</x:v>
      </x:c>
      <x:c r="O1557" s="28" t="n">
        <x:v>3.725290298461914e-9</x:v>
      </x:c>
      <x:c r="P1557" s="28" t="n">
        <x:v>0</x:v>
      </x:c>
      <x:c r="Q1557" s="62" t="b">
        <x:v>1</x:v>
      </x:c>
      <x:c r="R1557" s="28" t="n">
        <x:v>0</x:v>
      </x:c>
      <x:c r="S1557" s="28" t="str">
        <x:v>30c7cd33507b8099</x:v>
      </x:c>
    </x:row>
    <x:row r="1558" ht="21" customHeight="1">
      <x:c r="A1558" s="60" t="n">
        <x:v>0.66</x:v>
      </x:c>
      <x:c r="B1558" s="28" t="str">
        <x:v>front_low</x:v>
      </x:c>
      <x:c r="C1558" s="60" t="n">
        <x:v>0.85</x:v>
      </x:c>
      <x:c r="D1558" s="60" t="n">
        <x:v>0.85</x:v>
      </x:c>
      <x:c r="E1558" s="62" t="b">
        <x:v>1</x:v>
      </x:c>
      <x:c r="F1558" s="62" t="b">
        <x:v>0</x:v>
      </x:c>
      <x:c r="G1558" s="85" t="n">
        <x:v>864404.2954204837</x:v>
      </x:c>
      <x:c r="H1558" s="85" t="n">
        <x:v>10120570.993565788</x:v>
      </x:c>
      <x:c r="I1558" s="85" t="n">
        <x:v>9258283.491341785</x:v>
      </x:c>
      <x:c r="J1558" s="85" t="n">
        <x:v>13378559.999999998</x:v>
      </x:c>
      <x:c r="K1558" s="85" t="n">
        <x:v>0</x:v>
      </x:c>
      <x:c r="L1558" s="28" t="n">
        <x:v>46</x:v>
      </x:c>
      <x:c r="M1558" s="28" t="n">
        <x:v>37</x:v>
      </x:c>
      <x:c r="N1558" s="28" t="n">
        <x:v>2.3283064365386963e-10</x:v>
      </x:c>
      <x:c r="O1558" s="28" t="n">
        <x:v>1.862645149230957e-9</x:v>
      </x:c>
      <x:c r="P1558" s="28" t="n">
        <x:v>0</x:v>
      </x:c>
      <x:c r="Q1558" s="62" t="b">
        <x:v>1</x:v>
      </x:c>
      <x:c r="R1558" s="28" t="n">
        <x:v>0</x:v>
      </x:c>
      <x:c r="S1558" s="28" t="str">
        <x:v>585f56b21159f5c6</x:v>
      </x:c>
    </x:row>
    <x:row r="1559" ht="21" customHeight="1">
      <x:c r="A1559" s="60" t="n">
        <x:v>0.66</x:v>
      </x:c>
      <x:c r="B1559" s="28" t="str">
        <x:v>front_low</x:v>
      </x:c>
      <x:c r="C1559" s="60" t="n">
        <x:v>0.9</x:v>
      </x:c>
      <x:c r="D1559" s="60" t="n">
        <x:v>0.9</x:v>
      </x:c>
      <x:c r="E1559" s="62" t="b">
        <x:v>1</x:v>
      </x:c>
      <x:c r="F1559" s="62" t="b">
        <x:v>0</x:v>
      </x:c>
      <x:c r="G1559" s="85" t="n">
        <x:v>1105588.0684400948</x:v>
      </x:c>
      <x:c r="H1559" s="85" t="n">
        <x:v>11849763.9565364</x:v>
      </x:c>
      <x:c r="I1559" s="85" t="n">
        <x:v>9441231.465205483</x:v>
      </x:c>
      <x:c r="J1559" s="85" t="n">
        <x:v>13378559.999999998</x:v>
      </x:c>
      <x:c r="K1559" s="85" t="n">
        <x:v>0</x:v>
      </x:c>
      <x:c r="L1559" s="28" t="n">
        <x:v>47</x:v>
      </x:c>
      <x:c r="M1559" s="28" t="n">
        <x:v>38</x:v>
      </x:c>
      <x:c r="N1559" s="28" t="n">
        <x:v>2.3283064365386963e-10</x:v>
      </x:c>
      <x:c r="O1559" s="28" t="n">
        <x:v>3.725290298461914e-9</x:v>
      </x:c>
      <x:c r="P1559" s="28" t="n">
        <x:v>0</x:v>
      </x:c>
      <x:c r="Q1559" s="62" t="b">
        <x:v>1</x:v>
      </x:c>
      <x:c r="R1559" s="28" t="n">
        <x:v>0</x:v>
      </x:c>
      <x:c r="S1559" s="28" t="str">
        <x:v>3074b062d1196ce8</x:v>
      </x:c>
    </x:row>
    <x:row r="1560" ht="21" customHeight="1">
      <x:c r="A1560" s="60" t="n">
        <x:v>0.66</x:v>
      </x:c>
      <x:c r="B1560" s="28" t="str">
        <x:v>front_low</x:v>
      </x:c>
      <x:c r="C1560" s="60" t="n">
        <x:v>0.95</x:v>
      </x:c>
      <x:c r="D1560" s="60" t="n">
        <x:v>0.9427119459478259</x:v>
      </x:c>
      <x:c r="E1560" s="62" t="b">
        <x:v>0</x:v>
      </x:c>
      <x:c r="F1560" s="62" t="b">
        <x:v>0</x:v>
      </x:c>
      <x:c r="G1560" s="85" t="n">
        <x:v>1513269.0183271891</x:v>
      </x:c>
      <x:c r="H1560" s="85" t="n">
        <x:v>13268231.081443805</x:v>
      </x:c>
      <x:c r="I1560" s="85" t="n">
        <x:v>9441231.465205483</x:v>
      </x:c>
      <x:c r="J1560" s="85" t="n">
        <x:v>13378559.999999998</x:v>
      </x:c>
      <x:c r="K1560" s="85" t="n">
        <x:v>0</x:v>
      </x:c>
      <x:c r="L1560" s="28" t="n">
        <x:v>47</x:v>
      </x:c>
      <x:c r="M1560" s="28" t="n">
        <x:v>40</x:v>
      </x:c>
      <x:c r="N1560" s="28" t="n">
        <x:v>2.3283064365386963e-10</x:v>
      </x:c>
      <x:c r="O1560" s="28" t="n">
        <x:v>1.862645149230957e-9</x:v>
      </x:c>
      <x:c r="P1560" s="28" t="n">
        <x:v>0</x:v>
      </x:c>
      <x:c r="Q1560" s="62" t="b">
        <x:v>1</x:v>
      </x:c>
      <x:c r="R1560" s="28" t="n">
        <x:v>406265.28508438915</x:v>
      </x:c>
      <x:c r="S1560" s="28" t="str">
        <x:v>49a47b8d47b2d772</x:v>
      </x:c>
    </x:row>
    <x:row r="1561" ht="21" customHeight="1">
      <x:c r="A1561" s="60" t="n">
        <x:v>0.66</x:v>
      </x:c>
      <x:c r="B1561" s="28" t="str">
        <x:v>front_low</x:v>
      </x:c>
      <x:c r="C1561" s="60" t="n">
        <x:v>1</x:v>
      </x:c>
      <x:c r="D1561" s="60" t="n">
        <x:v>0.9596721012870685</x:v>
      </x:c>
      <x:c r="E1561" s="62" t="b">
        <x:v>0</x:v>
      </x:c>
      <x:c r="F1561" s="62" t="b">
        <x:v>0</x:v>
      </x:c>
      <x:c r="G1561" s="85" t="n">
        <x:v>1665977.914620025</x:v>
      </x:c>
      <x:c r="H1561" s="85" t="n">
        <x:v>14018533.758358328</x:v>
      </x:c>
      <x:c r="I1561" s="85" t="n">
        <x:v>9442384.922465757</x:v>
      </x:c>
      <x:c r="J1561" s="85" t="n">
        <x:v>13378559.999999998</x:v>
      </x:c>
      <x:c r="K1561" s="85" t="n">
        <x:v>0</x:v>
      </x:c>
      <x:c r="L1561" s="28" t="n">
        <x:v>47</x:v>
      </x:c>
      <x:c r="M1561" s="28" t="n">
        <x:v>41</x:v>
      </x:c>
      <x:c r="N1561" s="28" t="n">
        <x:v>2.3283064365386963e-10</x:v>
      </x:c>
      <x:c r="O1561" s="28" t="n">
        <x:v>1.862645149230957e-9</x:v>
      </x:c>
      <x:c r="P1561" s="28" t="n">
        <x:v>0</x:v>
      </x:c>
      <x:c r="Q1561" s="62" t="b">
        <x:v>1</x:v>
      </x:c>
      <x:c r="R1561" s="28" t="n">
        <x:v>2248038.3858536556</x:v>
      </x:c>
      <x:c r="S1561" s="28" t="str">
        <x:v>d1ea0416d79189a3</x:v>
      </x:c>
    </x:row>
    <x:row r="1562" ht="21" customHeight="1">
      <x:c r="A1562" s="60" t="n">
        <x:v>0.66</x:v>
      </x:c>
      <x:c r="B1562" s="28" t="str">
        <x:v>front_high</x:v>
      </x:c>
      <x:c r="C1562" s="60" t="n">
        <x:v>0</x:v>
      </x:c>
      <x:c r="D1562" s="60" t="n">
        <x:v>0</x:v>
      </x:c>
      <x:c r="E1562" s="62" t="b">
        <x:v>1</x:v>
      </x:c>
      <x:c r="F1562" s="62" t="b">
        <x:v>1</x:v>
      </x:c>
      <x:c r="G1562" s="85" t="n">
        <x:v>0</x:v>
      </x:c>
      <x:c r="H1562" s="85" t="n">
        <x:v>0</x:v>
      </x:c>
      <x:c r="I1562" s="85" t="n">
        <x:v>0</x:v>
      </x:c>
      <x:c r="J1562" s="85" t="n">
        <x:v>0</x:v>
      </x:c>
      <x:c r="K1562" s="85" t="n">
        <x:v>7261858.4999452075</x:v>
      </x:c>
      <x:c r="L1562" s="28" t="n">
        <x:v>0</x:v>
      </x:c>
      <x:c r="M1562" s="28" t="n">
        <x:v>0</x:v>
      </x:c>
      <x:c r="N1562" s="28" t="n">
        <x:v>9.313225746154785e-10</x:v>
      </x:c>
      <x:c r="O1562" s="28" t="n">
        <x:v>0</x:v>
      </x:c>
      <x:c r="P1562" s="28" t="n">
        <x:v>0</x:v>
      </x:c>
      <x:c r="Q1562" s="62" t="b">
        <x:v>1</x:v>
      </x:c>
      <x:c r="R1562" s="28" t="n">
        <x:v>0</x:v>
      </x:c>
      <x:c r="S1562" s="28" t="str">
        <x:v>8e4fc0ff1beeea52</x:v>
      </x:c>
    </x:row>
    <x:row r="1563" ht="21" customHeight="1">
      <x:c r="A1563" s="60" t="n">
        <x:v>0.66</x:v>
      </x:c>
      <x:c r="B1563" s="28" t="str">
        <x:v>front_high</x:v>
      </x:c>
      <x:c r="C1563" s="60" t="n">
        <x:v>0.05</x:v>
      </x:c>
      <x:c r="D1563" s="60" t="n">
        <x:v>0.05</x:v>
      </x:c>
      <x:c r="E1563" s="62" t="b">
        <x:v>1</x:v>
      </x:c>
      <x:c r="F1563" s="62" t="b">
        <x:v>1</x:v>
      </x:c>
      <x:c r="G1563" s="85" t="n">
        <x:v>0</x:v>
      </x:c>
      <x:c r="H1563" s="85" t="n">
        <x:v>0</x:v>
      </x:c>
      <x:c r="I1563" s="85" t="n">
        <x:v>0</x:v>
      </x:c>
      <x:c r="J1563" s="85" t="n">
        <x:v>0</x:v>
      </x:c>
      <x:c r="K1563" s="85" t="n">
        <x:v>4668157.49125087</x:v>
      </x:c>
      <x:c r="L1563" s="28" t="n">
        <x:v>0</x:v>
      </x:c>
      <x:c r="M1563" s="28" t="n">
        <x:v>0</x:v>
      </x:c>
      <x:c r="N1563" s="28" t="n">
        <x:v>9.313225746154785e-10</x:v>
      </x:c>
      <x:c r="O1563" s="28" t="n">
        <x:v>7.450580596923828e-9</x:v>
      </x:c>
      <x:c r="P1563" s="28" t="n">
        <x:v>0</x:v>
      </x:c>
      <x:c r="Q1563" s="62" t="b">
        <x:v>1</x:v>
      </x:c>
      <x:c r="R1563" s="28" t="n">
        <x:v>0</x:v>
      </x:c>
      <x:c r="S1563" s="28" t="str">
        <x:v>9b0195410cc57c96</x:v>
      </x:c>
    </x:row>
    <x:row r="1564" ht="21" customHeight="1">
      <x:c r="A1564" s="60" t="n">
        <x:v>0.66</x:v>
      </x:c>
      <x:c r="B1564" s="28" t="str">
        <x:v>front_high</x:v>
      </x:c>
      <x:c r="C1564" s="60" t="n">
        <x:v>0.1</x:v>
      </x:c>
      <x:c r="D1564" s="60" t="n">
        <x:v>0.1</x:v>
      </x:c>
      <x:c r="E1564" s="62" t="b">
        <x:v>1</x:v>
      </x:c>
      <x:c r="F1564" s="62" t="b">
        <x:v>1</x:v>
      </x:c>
      <x:c r="G1564" s="85" t="n">
        <x:v>0</x:v>
      </x:c>
      <x:c r="H1564" s="85" t="n">
        <x:v>0</x:v>
      </x:c>
      <x:c r="I1564" s="85" t="n">
        <x:v>0</x:v>
      </x:c>
      <x:c r="J1564" s="85" t="n">
        <x:v>0</x:v>
      </x:c>
      <x:c r="K1564" s="85" t="n">
        <x:v>2073841.0187484287</x:v>
      </x:c>
      <x:c r="L1564" s="28" t="n">
        <x:v>0</x:v>
      </x:c>
      <x:c r="M1564" s="28" t="n">
        <x:v>0</x:v>
      </x:c>
      <x:c r="N1564" s="28" t="n">
        <x:v>2.3283064365386963e-10</x:v>
      </x:c>
      <x:c r="O1564" s="28" t="n">
        <x:v>7.450580596923828e-9</x:v>
      </x:c>
      <x:c r="P1564" s="28" t="n">
        <x:v>0</x:v>
      </x:c>
      <x:c r="Q1564" s="62" t="b">
        <x:v>1</x:v>
      </x:c>
      <x:c r="R1564" s="28" t="n">
        <x:v>0</x:v>
      </x:c>
      <x:c r="S1564" s="28" t="str">
        <x:v>35a535f3a08614fc</x:v>
      </x:c>
    </x:row>
    <x:row r="1565" ht="21" customHeight="1">
      <x:c r="A1565" s="60" t="n">
        <x:v>0.66</x:v>
      </x:c>
      <x:c r="B1565" s="28" t="str">
        <x:v>front_high</x:v>
      </x:c>
      <x:c r="C1565" s="60" t="n">
        <x:v>0.15</x:v>
      </x:c>
      <x:c r="D1565" s="60" t="n">
        <x:v>0.15</x:v>
      </x:c>
      <x:c r="E1565" s="62" t="b">
        <x:v>1</x:v>
      </x:c>
      <x:c r="F1565" s="62" t="b">
        <x:v>1</x:v>
      </x:c>
      <x:c r="G1565" s="85" t="n">
        <x:v>0</x:v>
      </x:c>
      <x:c r="H1565" s="85" t="n">
        <x:v>0</x:v>
      </x:c>
      <x:c r="I1565" s="85" t="n">
        <x:v>700246.1799569366</x:v>
      </x:c>
      <x:c r="J1565" s="85" t="n">
        <x:v>0</x:v>
      </x:c>
      <x:c r="K1565" s="85" t="n">
        <x:v>279338.0271024042</x:v>
      </x:c>
      <x:c r="L1565" s="28" t="n">
        <x:v>0</x:v>
      </x:c>
      <x:c r="M1565" s="28" t="n">
        <x:v>0</x:v>
      </x:c>
      <x:c r="N1565" s="28" t="n">
        <x:v>9.313225746154785e-10</x:v>
      </x:c>
      <x:c r="O1565" s="28" t="n">
        <x:v>7.450580596923828e-9</x:v>
      </x:c>
      <x:c r="P1565" s="28" t="n">
        <x:v>0</x:v>
      </x:c>
      <x:c r="Q1565" s="62" t="b">
        <x:v>1</x:v>
      </x:c>
      <x:c r="R1565" s="28" t="n">
        <x:v>0</x:v>
      </x:c>
      <x:c r="S1565" s="28" t="str">
        <x:v>6e32f58d842efe5f</x:v>
      </x:c>
    </x:row>
    <x:row r="1566" ht="21" customHeight="1">
      <x:c r="A1566" s="60" t="n">
        <x:v>0.66</x:v>
      </x:c>
      <x:c r="B1566" s="28" t="str">
        <x:v>front_high</x:v>
      </x:c>
      <x:c r="C1566" s="60" t="n">
        <x:v>0.2</x:v>
      </x:c>
      <x:c r="D1566" s="60" t="n">
        <x:v>0.2</x:v>
      </x:c>
      <x:c r="E1566" s="62" t="b">
        <x:v>1</x:v>
      </x:c>
      <x:c r="F1566" s="62" t="b">
        <x:v>1</x:v>
      </x:c>
      <x:c r="G1566" s="85" t="n">
        <x:v>0</x:v>
      </x:c>
      <x:c r="H1566" s="85" t="n">
        <x:v>0</x:v>
      </x:c>
      <x:c r="I1566" s="85" t="n">
        <x:v>2652401.8867112338</x:v>
      </x:c>
      <x:c r="J1566" s="85" t="n">
        <x:v>1254093.4388721085</x:v>
      </x:c>
      <x:c r="K1566" s="85" t="n">
        <x:v>161549.73102739817</x:v>
      </x:c>
      <x:c r="L1566" s="28" t="n">
        <x:v>0</x:v>
      </x:c>
      <x:c r="M1566" s="28" t="n">
        <x:v>0</x:v>
      </x:c>
      <x:c r="N1566" s="28" t="n">
        <x:v>4.656612873077393e-10</x:v>
      </x:c>
      <x:c r="O1566" s="28" t="n">
        <x:v>7.450580596923828e-9</x:v>
      </x:c>
      <x:c r="P1566" s="28" t="n">
        <x:v>0</x:v>
      </x:c>
      <x:c r="Q1566" s="62" t="b">
        <x:v>1</x:v>
      </x:c>
      <x:c r="R1566" s="28" t="n">
        <x:v>0</x:v>
      </x:c>
      <x:c r="S1566" s="28" t="str">
        <x:v>6d75bb9d672b77ed</x:v>
      </x:c>
    </x:row>
    <x:row r="1567" ht="21" customHeight="1">
      <x:c r="A1567" s="60" t="n">
        <x:v>0.66</x:v>
      </x:c>
      <x:c r="B1567" s="28" t="str">
        <x:v>front_high</x:v>
      </x:c>
      <x:c r="C1567" s="60" t="n">
        <x:v>0.25</x:v>
      </x:c>
      <x:c r="D1567" s="60" t="n">
        <x:v>0.25</x:v>
      </x:c>
      <x:c r="E1567" s="62" t="b">
        <x:v>1</x:v>
      </x:c>
      <x:c r="F1567" s="62" t="b">
        <x:v>1</x:v>
      </x:c>
      <x:c r="G1567" s="85" t="n">
        <x:v>0</x:v>
      </x:c>
      <x:c r="H1567" s="85" t="n">
        <x:v>0</x:v>
      </x:c>
      <x:c r="I1567" s="85" t="n">
        <x:v>4440122.3749852</x:v>
      </x:c>
      <x:c r="J1567" s="85" t="n">
        <x:v>2961216.79859013</x:v>
      </x:c>
      <x:c r="K1567" s="85" t="n">
        <x:v>113182.7439760277</x:v>
      </x:c>
      <x:c r="L1567" s="28" t="n">
        <x:v>0</x:v>
      </x:c>
      <x:c r="M1567" s="28" t="n">
        <x:v>0</x:v>
      </x:c>
      <x:c r="N1567" s="28" t="n">
        <x:v>9.313225746154785e-10</x:v>
      </x:c>
      <x:c r="O1567" s="28" t="n">
        <x:v>3.725290298461914e-9</x:v>
      </x:c>
      <x:c r="P1567" s="28" t="n">
        <x:v>0</x:v>
      </x:c>
      <x:c r="Q1567" s="62" t="b">
        <x:v>1</x:v>
      </x:c>
      <x:c r="R1567" s="28" t="n">
        <x:v>0</x:v>
      </x:c>
      <x:c r="S1567" s="28" t="str">
        <x:v>cabb3d3f3130ccd7</x:v>
      </x:c>
    </x:row>
    <x:row r="1568" ht="21" customHeight="1">
      <x:c r="A1568" s="60" t="n">
        <x:v>0.66</x:v>
      </x:c>
      <x:c r="B1568" s="28" t="str">
        <x:v>front_high</x:v>
      </x:c>
      <x:c r="C1568" s="60" t="n">
        <x:v>0.3</x:v>
      </x:c>
      <x:c r="D1568" s="60" t="n">
        <x:v>0.3</x:v>
      </x:c>
      <x:c r="E1568" s="62" t="b">
        <x:v>1</x:v>
      </x:c>
      <x:c r="F1568" s="62" t="b">
        <x:v>1</x:v>
      </x:c>
      <x:c r="G1568" s="85" t="n">
        <x:v>0</x:v>
      </x:c>
      <x:c r="H1568" s="85" t="n">
        <x:v>0</x:v>
      </x:c>
      <x:c r="I1568" s="85" t="n">
        <x:v>6255842.139494578</x:v>
      </x:c>
      <x:c r="J1568" s="85" t="n">
        <x:v>4668340.158308166</x:v>
      </x:c>
      <x:c r="K1568" s="85" t="n">
        <x:v>90196.21218493197</x:v>
      </x:c>
      <x:c r="L1568" s="28" t="n">
        <x:v>0</x:v>
      </x:c>
      <x:c r="M1568" s="28" t="n">
        <x:v>0</x:v>
      </x:c>
      <x:c r="N1568" s="28" t="n">
        <x:v>4.656612873077393e-10</x:v>
      </x:c>
      <x:c r="O1568" s="28" t="n">
        <x:v>7.450580596923828e-9</x:v>
      </x:c>
      <x:c r="P1568" s="28" t="n">
        <x:v>0</x:v>
      </x:c>
      <x:c r="Q1568" s="62" t="b">
        <x:v>1</x:v>
      </x:c>
      <x:c r="R1568" s="28" t="n">
        <x:v>0</x:v>
      </x:c>
      <x:c r="S1568" s="28" t="str">
        <x:v>2821f8e907fcbd15</x:v>
      </x:c>
    </x:row>
    <x:row r="1569" ht="21" customHeight="1">
      <x:c r="A1569" s="60" t="n">
        <x:v>0.66</x:v>
      </x:c>
      <x:c r="B1569" s="28" t="str">
        <x:v>front_high</x:v>
      </x:c>
      <x:c r="C1569" s="60" t="n">
        <x:v>0.35</x:v>
      </x:c>
      <x:c r="D1569" s="60" t="n">
        <x:v>0.35</x:v>
      </x:c>
      <x:c r="E1569" s="62" t="b">
        <x:v>1</x:v>
      </x:c>
      <x:c r="F1569" s="62" t="b">
        <x:v>1</x:v>
      </x:c>
      <x:c r="G1569" s="85" t="n">
        <x:v>0</x:v>
      </x:c>
      <x:c r="H1569" s="85" t="n">
        <x:v>0</x:v>
      </x:c>
      <x:c r="I1569" s="85" t="n">
        <x:v>8090871.677069693</x:v>
      </x:c>
      <x:c r="J1569" s="85" t="n">
        <x:v>6375463.518026184</x:v>
      </x:c>
      <x:c r="K1569" s="85" t="n">
        <x:v>72572.57684589084</x:v>
      </x:c>
      <x:c r="L1569" s="28" t="n">
        <x:v>0</x:v>
      </x:c>
      <x:c r="M1569" s="28" t="n">
        <x:v>0</x:v>
      </x:c>
      <x:c r="N1569" s="28" t="n">
        <x:v>2.3283064365386963e-10</x:v>
      </x:c>
      <x:c r="O1569" s="28" t="n">
        <x:v>7.450580596923828e-9</x:v>
      </x:c>
      <x:c r="P1569" s="28" t="n">
        <x:v>0</x:v>
      </x:c>
      <x:c r="Q1569" s="62" t="b">
        <x:v>1</x:v>
      </x:c>
      <x:c r="R1569" s="28" t="n">
        <x:v>0</x:v>
      </x:c>
      <x:c r="S1569" s="28" t="str">
        <x:v>1fb82c6c4dad4c91</x:v>
      </x:c>
    </x:row>
    <x:row r="1570" ht="21" customHeight="1">
      <x:c r="A1570" s="60" t="n">
        <x:v>0.66</x:v>
      </x:c>
      <x:c r="B1570" s="28" t="str">
        <x:v>front_high</x:v>
      </x:c>
      <x:c r="C1570" s="60" t="n">
        <x:v>0.4</x:v>
      </x:c>
      <x:c r="D1570" s="60" t="n">
        <x:v>0.4</x:v>
      </x:c>
      <x:c r="E1570" s="62" t="b">
        <x:v>1</x:v>
      </x:c>
      <x:c r="F1570" s="62" t="b">
        <x:v>1</x:v>
      </x:c>
      <x:c r="G1570" s="85" t="n">
        <x:v>0</x:v>
      </x:c>
      <x:c r="H1570" s="85" t="n">
        <x:v>0</x:v>
      </x:c>
      <x:c r="I1570" s="85" t="n">
        <x:v>9993957.542440021</x:v>
      </x:c>
      <x:c r="J1570" s="85" t="n">
        <x:v>7439494.153375217</x:v>
      </x:c>
      <x:c r="K1570" s="85" t="n">
        <x:v>54948.94150684924</x:v>
      </x:c>
      <x:c r="L1570" s="28" t="n">
        <x:v>3</x:v>
      </x:c>
      <x:c r="M1570" s="28" t="n">
        <x:v>0</x:v>
      </x:c>
      <x:c r="N1570" s="28" t="n">
        <x:v>4.656612873077393e-10</x:v>
      </x:c>
      <x:c r="O1570" s="28" t="n">
        <x:v>7.450580596923828e-9</x:v>
      </x:c>
      <x:c r="P1570" s="28" t="n">
        <x:v>0</x:v>
      </x:c>
      <x:c r="Q1570" s="62" t="b">
        <x:v>1</x:v>
      </x:c>
      <x:c r="R1570" s="28" t="n">
        <x:v>0</x:v>
      </x:c>
      <x:c r="S1570" s="28" t="str">
        <x:v>cc031263b561a795</x:v>
      </x:c>
    </x:row>
    <x:row r="1571" ht="21" customHeight="1">
      <x:c r="A1571" s="60" t="n">
        <x:v>0.66</x:v>
      </x:c>
      <x:c r="B1571" s="28" t="str">
        <x:v>front_high</x:v>
      </x:c>
      <x:c r="C1571" s="60" t="n">
        <x:v>0.45</x:v>
      </x:c>
      <x:c r="D1571" s="60" t="n">
        <x:v>0.45</x:v>
      </x:c>
      <x:c r="E1571" s="62" t="b">
        <x:v>1</x:v>
      </x:c>
      <x:c r="F1571" s="62" t="b">
        <x:v>1</x:v>
      </x:c>
      <x:c r="G1571" s="85" t="n">
        <x:v>0</x:v>
      </x:c>
      <x:c r="H1571" s="85" t="n">
        <x:v>0</x:v>
      </x:c>
      <x:c r="I1571" s="85" t="n">
        <x:v>11860980.473309638</x:v>
      </x:c>
      <x:c r="J1571" s="85" t="n">
        <x:v>7908052.304334102</x:v>
      </x:c>
      <x:c r="K1571" s="85" t="n">
        <x:v>37325.30616780857</x:v>
      </x:c>
      <x:c r="L1571" s="28" t="n">
        <x:v>8</x:v>
      </x:c>
      <x:c r="M1571" s="28" t="n">
        <x:v>0</x:v>
      </x:c>
      <x:c r="N1571" s="28" t="n">
        <x:v>2.3283064365386963e-10</x:v>
      </x:c>
      <x:c r="O1571" s="28" t="n">
        <x:v>3.725290298461914e-9</x:v>
      </x:c>
      <x:c r="P1571" s="28" t="n">
        <x:v>0</x:v>
      </x:c>
      <x:c r="Q1571" s="62" t="b">
        <x:v>1</x:v>
      </x:c>
      <x:c r="R1571" s="28" t="n">
        <x:v>0</x:v>
      </x:c>
      <x:c r="S1571" s="28" t="str">
        <x:v>0e497c5a56cb61ba</x:v>
      </x:c>
    </x:row>
    <x:row r="1572" ht="21" customHeight="1">
      <x:c r="A1572" s="60" t="n">
        <x:v>0.66</x:v>
      </x:c>
      <x:c r="B1572" s="28" t="str">
        <x:v>front_high</x:v>
      </x:c>
      <x:c r="C1572" s="60" t="n">
        <x:v>0.5</x:v>
      </x:c>
      <x:c r="D1572" s="60" t="n">
        <x:v>0.5</x:v>
      </x:c>
      <x:c r="E1572" s="62" t="b">
        <x:v>1</x:v>
      </x:c>
      <x:c r="F1572" s="62" t="b">
        <x:v>1</x:v>
      </x:c>
      <x:c r="G1572" s="85" t="n">
        <x:v>0</x:v>
      </x:c>
      <x:c r="H1572" s="85" t="n">
        <x:v>0</x:v>
      </x:c>
      <x:c r="I1572" s="85" t="n">
        <x:v>13813382.615909396</x:v>
      </x:c>
      <x:c r="J1572" s="85" t="n">
        <x:v>8667620.352478888</x:v>
      </x:c>
      <x:c r="K1572" s="85" t="n">
        <x:v>31383.851301369526</x:v>
      </x:c>
      <x:c r="L1572" s="28" t="n">
        <x:v>15</x:v>
      </x:c>
      <x:c r="M1572" s="28" t="n">
        <x:v>0</x:v>
      </x:c>
      <x:c r="N1572" s="28" t="n">
        <x:v>4.656612873077393e-10</x:v>
      </x:c>
      <x:c r="O1572" s="28" t="n">
        <x:v>7.450580596923828e-9</x:v>
      </x:c>
      <x:c r="P1572" s="28" t="n">
        <x:v>0</x:v>
      </x:c>
      <x:c r="Q1572" s="62" t="b">
        <x:v>1</x:v>
      </x:c>
      <x:c r="R1572" s="28" t="n">
        <x:v>0</x:v>
      </x:c>
      <x:c r="S1572" s="28" t="str">
        <x:v>f51d83937b42be29</x:v>
      </x:c>
    </x:row>
    <x:row r="1573" ht="21" customHeight="1">
      <x:c r="A1573" s="60" t="n">
        <x:v>0.66</x:v>
      </x:c>
      <x:c r="B1573" s="28" t="str">
        <x:v>front_high</x:v>
      </x:c>
      <x:c r="C1573" s="60" t="n">
        <x:v>0.55</x:v>
      </x:c>
      <x:c r="D1573" s="60" t="n">
        <x:v>0.55</x:v>
      </x:c>
      <x:c r="E1573" s="62" t="b">
        <x:v>1</x:v>
      </x:c>
      <x:c r="F1573" s="62" t="b">
        <x:v>1</x:v>
      </x:c>
      <x:c r="G1573" s="85" t="n">
        <x:v>0</x:v>
      </x:c>
      <x:c r="H1573" s="85" t="n">
        <x:v>0</x:v>
      </x:c>
      <x:c r="I1573" s="85" t="n">
        <x:v>15626036.30759724</x:v>
      </x:c>
      <x:c r="J1573" s="85" t="n">
        <x:v>10725685.473673092</x:v>
      </x:c>
      <x:c r="K1573" s="85" t="n">
        <x:v>25486.26996575323</x:v>
      </x:c>
      <x:c r="L1573" s="28" t="n">
        <x:v>19</x:v>
      </x:c>
      <x:c r="M1573" s="28" t="n">
        <x:v>3</x:v>
      </x:c>
      <x:c r="N1573" s="28" t="n">
        <x:v>4.656612873077393e-10</x:v>
      </x:c>
      <x:c r="O1573" s="28" t="n">
        <x:v>3.725290298461914e-9</x:v>
      </x:c>
      <x:c r="P1573" s="28" t="n">
        <x:v>0</x:v>
      </x:c>
      <x:c r="Q1573" s="62" t="b">
        <x:v>1</x:v>
      </x:c>
      <x:c r="R1573" s="28" t="n">
        <x:v>0</x:v>
      </x:c>
      <x:c r="S1573" s="28" t="str">
        <x:v>6361ebd788d7f45b</x:v>
      </x:c>
    </x:row>
    <x:row r="1574" ht="21" customHeight="1">
      <x:c r="A1574" s="60" t="n">
        <x:v>0.66</x:v>
      </x:c>
      <x:c r="B1574" s="28" t="str">
        <x:v>front_high</x:v>
      </x:c>
      <x:c r="C1574" s="60" t="n">
        <x:v>0.6</x:v>
      </x:c>
      <x:c r="D1574" s="60" t="n">
        <x:v>0.6</x:v>
      </x:c>
      <x:c r="E1574" s="62" t="b">
        <x:v>1</x:v>
      </x:c>
      <x:c r="F1574" s="62" t="b">
        <x:v>1</x:v>
      </x:c>
      <x:c r="G1574" s="85" t="n">
        <x:v>0</x:v>
      </x:c>
      <x:c r="H1574" s="85" t="n">
        <x:v>0</x:v>
      </x:c>
      <x:c r="I1574" s="85" t="n">
        <x:v>17364088.834954087</x:v>
      </x:c>
      <x:c r="J1574" s="85" t="n">
        <x:v>12692693.378153123</x:v>
      </x:c>
      <x:c r="K1574" s="85" t="n">
        <x:v>19588.688630137163</x:v>
      </x:c>
      <x:c r="L1574" s="28" t="n">
        <x:v>26</x:v>
      </x:c>
      <x:c r="M1574" s="28" t="n">
        <x:v>12</x:v>
      </x:c>
      <x:c r="N1574" s="28" t="n">
        <x:v>4.656612873077393e-10</x:v>
      </x:c>
      <x:c r="O1574" s="28" t="n">
        <x:v>3.725290298461914e-9</x:v>
      </x:c>
      <x:c r="P1574" s="28" t="n">
        <x:v>0</x:v>
      </x:c>
      <x:c r="Q1574" s="62" t="b">
        <x:v>1</x:v>
      </x:c>
      <x:c r="R1574" s="28" t="n">
        <x:v>0</x:v>
      </x:c>
      <x:c r="S1574" s="28" t="str">
        <x:v>2befb872ba47fc92</x:v>
      </x:c>
    </x:row>
    <x:row r="1575" ht="21" customHeight="1">
      <x:c r="A1575" s="60" t="n">
        <x:v>0.66</x:v>
      </x:c>
      <x:c r="B1575" s="28" t="str">
        <x:v>front_high</x:v>
      </x:c>
      <x:c r="C1575" s="60" t="n">
        <x:v>0.65</x:v>
      </x:c>
      <x:c r="D1575" s="60" t="n">
        <x:v>0.65</x:v>
      </x:c>
      <x:c r="E1575" s="62" t="b">
        <x:v>1</x:v>
      </x:c>
      <x:c r="F1575" s="62" t="b">
        <x:v>0</x:v>
      </x:c>
      <x:c r="G1575" s="85" t="n">
        <x:v>733291.8423656079</x:v>
      </x:c>
      <x:c r="H1575" s="85" t="n">
        <x:v>2357024.7392351194</x:v>
      </x:c>
      <x:c r="I1575" s="85" t="n">
        <x:v>17739448.60748014</x:v>
      </x:c>
      <x:c r="J1575" s="85" t="n">
        <x:v>13378559.999999998</x:v>
      </x:c>
      <x:c r="K1575" s="85" t="n">
        <x:v>13691.107294520632</x:v>
      </x:c>
      <x:c r="L1575" s="28" t="n">
        <x:v>46</x:v>
      </x:c>
      <x:c r="M1575" s="28" t="n">
        <x:v>39</x:v>
      </x:c>
      <x:c r="N1575" s="28" t="n">
        <x:v>2.3283064365386963e-10</x:v>
      </x:c>
      <x:c r="O1575" s="28" t="n">
        <x:v>3.725290298461914e-9</x:v>
      </x:c>
      <x:c r="P1575" s="28" t="n">
        <x:v>0</x:v>
      </x:c>
      <x:c r="Q1575" s="62" t="b">
        <x:v>1</x:v>
      </x:c>
      <x:c r="R1575" s="28" t="n">
        <x:v>0</x:v>
      </x:c>
      <x:c r="S1575" s="28" t="str">
        <x:v>bbe38cca5d28d28c</x:v>
      </x:c>
    </x:row>
    <x:row r="1576" ht="21" customHeight="1">
      <x:c r="A1576" s="60" t="n">
        <x:v>0.66</x:v>
      </x:c>
      <x:c r="B1576" s="28" t="str">
        <x:v>front_high</x:v>
      </x:c>
      <x:c r="C1576" s="60" t="n">
        <x:v>0.7</x:v>
      </x:c>
      <x:c r="D1576" s="60" t="n">
        <x:v>0.7</x:v>
      </x:c>
      <x:c r="E1576" s="62" t="b">
        <x:v>1</x:v>
      </x:c>
      <x:c r="F1576" s="62" t="b">
        <x:v>0</x:v>
      </x:c>
      <x:c r="G1576" s="85" t="n">
        <x:v>1746925.3532306007</x:v>
      </x:c>
      <x:c r="H1576" s="85" t="n">
        <x:v>5274841.243675013</x:v>
      </x:c>
      <x:c r="I1576" s="85" t="n">
        <x:v>17751276.2892863</x:v>
      </x:c>
      <x:c r="J1576" s="85" t="n">
        <x:v>13378559.999999998</x:v>
      </x:c>
      <x:c r="K1576" s="85" t="n">
        <x:v>7793.525958903869</x:v>
      </x:c>
      <x:c r="L1576" s="28" t="n">
        <x:v>46</x:v>
      </x:c>
      <x:c r="M1576" s="28" t="n">
        <x:v>42</x:v>
      </x:c>
      <x:c r="N1576" s="28" t="n">
        <x:v>4.656612873077393e-10</x:v>
      </x:c>
      <x:c r="O1576" s="28" t="n">
        <x:v>1.862645149230957e-9</x:v>
      </x:c>
      <x:c r="P1576" s="28" t="n">
        <x:v>0</x:v>
      </x:c>
      <x:c r="Q1576" s="62" t="b">
        <x:v>1</x:v>
      </x:c>
      <x:c r="R1576" s="28" t="n">
        <x:v>0</x:v>
      </x:c>
      <x:c r="S1576" s="28" t="str">
        <x:v>2129c47f60767c71</x:v>
      </x:c>
    </x:row>
    <x:row r="1577" ht="21" customHeight="1">
      <x:c r="A1577" s="60" t="n">
        <x:v>0.66</x:v>
      </x:c>
      <x:c r="B1577" s="28" t="str">
        <x:v>front_high</x:v>
      </x:c>
      <x:c r="C1577" s="60" t="n">
        <x:v>0.75</x:v>
      </x:c>
      <x:c r="D1577" s="60" t="n">
        <x:v>0.75</x:v>
      </x:c>
      <x:c r="E1577" s="62" t="b">
        <x:v>1</x:v>
      </x:c>
      <x:c r="F1577" s="62" t="b">
        <x:v>0</x:v>
      </x:c>
      <x:c r="G1577" s="85" t="n">
        <x:v>2774524.066738385</x:v>
      </x:c>
      <x:c r="H1577" s="85" t="n">
        <x:v>8093124.467070691</x:v>
      </x:c>
      <x:c r="I1577" s="85" t="n">
        <x:v>17763103.971092466</x:v>
      </x:c>
      <x:c r="J1577" s="85" t="n">
        <x:v>13378559.999999998</x:v>
      </x:c>
      <x:c r="K1577" s="85" t="n">
        <x:v>1895.944623287105</x:v>
      </x:c>
      <x:c r="L1577" s="28" t="n">
        <x:v>46</x:v>
      </x:c>
      <x:c r="M1577" s="28" t="n">
        <x:v>44</x:v>
      </x:c>
      <x:c r="N1577" s="28" t="n">
        <x:v>4.656612873077393e-10</x:v>
      </x:c>
      <x:c r="O1577" s="28" t="n">
        <x:v>3.725290298461914e-9</x:v>
      </x:c>
      <x:c r="P1577" s="28" t="n">
        <x:v>0</x:v>
      </x:c>
      <x:c r="Q1577" s="62" t="b">
        <x:v>1</x:v>
      </x:c>
      <x:c r="R1577" s="28" t="n">
        <x:v>0</x:v>
      </x:c>
      <x:c r="S1577" s="28" t="str">
        <x:v>115181239b63541a</x:v>
      </x:c>
    </x:row>
    <x:row r="1578" ht="21" customHeight="1">
      <x:c r="A1578" s="60" t="n">
        <x:v>0.66</x:v>
      </x:c>
      <x:c r="B1578" s="28" t="str">
        <x:v>front_high</x:v>
      </x:c>
      <x:c r="C1578" s="60" t="n">
        <x:v>0.8</x:v>
      </x:c>
      <x:c r="D1578" s="60" t="n">
        <x:v>0.8</x:v>
      </x:c>
      <x:c r="E1578" s="62" t="b">
        <x:v>1</x:v>
      </x:c>
      <x:c r="F1578" s="62" t="b">
        <x:v>0</x:v>
      </x:c>
      <x:c r="G1578" s="85" t="n">
        <x:v>3880483.714537818</x:v>
      </x:c>
      <x:c r="H1578" s="85" t="n">
        <x:v>10725570.261755908</x:v>
      </x:c>
      <x:c r="I1578" s="85" t="n">
        <x:v>17774931.652898632</x:v>
      </x:c>
      <x:c r="J1578" s="85" t="n">
        <x:v>13378559.999999998</x:v>
      </x:c>
      <x:c r="K1578" s="85" t="n">
        <x:v>0</x:v>
      </x:c>
      <x:c r="L1578" s="28" t="n">
        <x:v>46</x:v>
      </x:c>
      <x:c r="M1578" s="28" t="n">
        <x:v>44</x:v>
      </x:c>
      <x:c r="N1578" s="28" t="n">
        <x:v>2.3283064365386963e-10</x:v>
      </x:c>
      <x:c r="O1578" s="28" t="n">
        <x:v>3.725290298461914e-9</x:v>
      </x:c>
      <x:c r="P1578" s="28" t="n">
        <x:v>0</x:v>
      </x:c>
      <x:c r="Q1578" s="62" t="b">
        <x:v>1</x:v>
      </x:c>
      <x:c r="R1578" s="28" t="n">
        <x:v>0</x:v>
      </x:c>
      <x:c r="S1578" s="28" t="str">
        <x:v>366452e7a68644c9</x:v>
      </x:c>
    </x:row>
    <x:row r="1579" ht="21" customHeight="1">
      <x:c r="A1579" s="60" t="n">
        <x:v>0.66</x:v>
      </x:c>
      <x:c r="B1579" s="28" t="str">
        <x:v>front_high</x:v>
      </x:c>
      <x:c r="C1579" s="60" t="n">
        <x:v>0.85</x:v>
      </x:c>
      <x:c r="D1579" s="60" t="n">
        <x:v>0.85</x:v>
      </x:c>
      <x:c r="E1579" s="62" t="b">
        <x:v>1</x:v>
      </x:c>
      <x:c r="F1579" s="62" t="b">
        <x:v>0</x:v>
      </x:c>
      <x:c r="G1579" s="85" t="n">
        <x:v>5003609.67965429</x:v>
      </x:c>
      <x:c r="H1579" s="85" t="n">
        <x:v>13356066.436700363</x:v>
      </x:c>
      <x:c r="I1579" s="85" t="n">
        <x:v>17786759.334704794</x:v>
      </x:c>
      <x:c r="J1579" s="85" t="n">
        <x:v>13378559.999999998</x:v>
      </x:c>
      <x:c r="K1579" s="85" t="n">
        <x:v>0</x:v>
      </x:c>
      <x:c r="L1579" s="28" t="n">
        <x:v>46</x:v>
      </x:c>
      <x:c r="M1579" s="28" t="n">
        <x:v>45</x:v>
      </x:c>
      <x:c r="N1579" s="28" t="n">
        <x:v>4.656612873077393e-10</x:v>
      </x:c>
      <x:c r="O1579" s="28" t="n">
        <x:v>1.862645149230957e-9</x:v>
      </x:c>
      <x:c r="P1579" s="28" t="n">
        <x:v>0</x:v>
      </x:c>
      <x:c r="Q1579" s="62" t="b">
        <x:v>1</x:v>
      </x:c>
      <x:c r="R1579" s="28" t="n">
        <x:v>0</x:v>
      </x:c>
      <x:c r="S1579" s="28" t="str">
        <x:v>21b69a56ff0f8735</x:v>
      </x:c>
    </x:row>
    <x:row r="1580" ht="21" customHeight="1">
      <x:c r="A1580" s="60" t="n">
        <x:v>0.66</x:v>
      </x:c>
      <x:c r="B1580" s="28" t="str">
        <x:v>front_high</x:v>
      </x:c>
      <x:c r="C1580" s="60" t="n">
        <x:v>0.9</x:v>
      </x:c>
      <x:c r="D1580" s="60" t="n">
        <x:v>0.9</x:v>
      </x:c>
      <x:c r="E1580" s="62" t="b">
        <x:v>1</x:v>
      </x:c>
      <x:c r="F1580" s="62" t="b">
        <x:v>0</x:v>
      </x:c>
      <x:c r="G1580" s="85" t="n">
        <x:v>6409646.516207729</x:v>
      </x:c>
      <x:c r="H1580" s="85" t="n">
        <x:v>15103941.382159686</x:v>
      </x:c>
      <x:c r="I1580" s="85" t="n">
        <x:v>18095693.641643833</x:v>
      </x:c>
      <x:c r="J1580" s="85" t="n">
        <x:v>13378559.999999998</x:v>
      </x:c>
      <x:c r="K1580" s="85" t="n">
        <x:v>0</x:v>
      </x:c>
      <x:c r="L1580" s="28" t="n">
        <x:v>47</x:v>
      </x:c>
      <x:c r="M1580" s="28" t="n">
        <x:v>45</x:v>
      </x:c>
      <x:c r="N1580" s="28" t="n">
        <x:v>4.656612873077393e-10</x:v>
      </x:c>
      <x:c r="O1580" s="28" t="n">
        <x:v>3.725290298461914e-9</x:v>
      </x:c>
      <x:c r="P1580" s="28" t="n">
        <x:v>0</x:v>
      </x:c>
      <x:c r="Q1580" s="62" t="b">
        <x:v>1</x:v>
      </x:c>
      <x:c r="R1580" s="28" t="n">
        <x:v>0</x:v>
      </x:c>
      <x:c r="S1580" s="28" t="str">
        <x:v>3c275831f9c48efe</x:v>
      </x:c>
    </x:row>
    <x:row r="1581" ht="21" customHeight="1">
      <x:c r="A1581" s="60" t="n">
        <x:v>0.66</x:v>
      </x:c>
      <x:c r="B1581" s="28" t="str">
        <x:v>front_high</x:v>
      </x:c>
      <x:c r="C1581" s="60" t="n">
        <x:v>0.95</x:v>
      </x:c>
      <x:c r="D1581" s="60" t="n">
        <x:v>0.9427119459478259</x:v>
      </x:c>
      <x:c r="E1581" s="62" t="b">
        <x:v>0</x:v>
      </x:c>
      <x:c r="F1581" s="62" t="b">
        <x:v>0</x:v>
      </x:c>
      <x:c r="G1581" s="85" t="n">
        <x:v>7383886.98102799</x:v>
      </x:c>
      <x:c r="H1581" s="85" t="n">
        <x:v>16622785.77025927</x:v>
      </x:c>
      <x:c r="I1581" s="85" t="n">
        <x:v>18096770.378527395</x:v>
      </x:c>
      <x:c r="J1581" s="85" t="n">
        <x:v>13378559.999999998</x:v>
      </x:c>
      <x:c r="K1581" s="85" t="n">
        <x:v>0</x:v>
      </x:c>
      <x:c r="L1581" s="28" t="n">
        <x:v>47</x:v>
      </x:c>
      <x:c r="M1581" s="28" t="n">
        <x:v>45</x:v>
      </x:c>
      <x:c r="N1581" s="28" t="n">
        <x:v>4.656612873077393e-10</x:v>
      </x:c>
      <x:c r="O1581" s="28" t="n">
        <x:v>1.862645149230957e-9</x:v>
      </x:c>
      <x:c r="P1581" s="28" t="n">
        <x:v>0</x:v>
      </x:c>
      <x:c r="Q1581" s="62" t="b">
        <x:v>1</x:v>
      </x:c>
      <x:c r="R1581" s="28" t="n">
        <x:v>406265.28508438915</x:v>
      </x:c>
      <x:c r="S1581" s="28" t="str">
        <x:v>0307597437c7c56d</x:v>
      </x:c>
    </x:row>
    <x:row r="1582" ht="21" customHeight="1">
      <x:c r="A1582" s="60" t="n">
        <x:v>0.66</x:v>
      </x:c>
      <x:c r="B1582" s="28" t="str">
        <x:v>front_high</x:v>
      </x:c>
      <x:c r="C1582" s="60" t="n">
        <x:v>1</x:v>
      </x:c>
      <x:c r="D1582" s="60" t="n">
        <x:v>0.9596721012870685</x:v>
      </x:c>
      <x:c r="E1582" s="62" t="b">
        <x:v>0</x:v>
      </x:c>
      <x:c r="F1582" s="62" t="b">
        <x:v>0</x:v>
      </x:c>
      <x:c r="G1582" s="85" t="n">
        <x:v>8193632.057854991</x:v>
      </x:c>
      <x:c r="H1582" s="85" t="n">
        <x:v>17460127.021834426</x:v>
      </x:c>
      <x:c r="I1582" s="85" t="n">
        <x:v>18102667.95986301</x:v>
      </x:c>
      <x:c r="J1582" s="85" t="n">
        <x:v>13378559.999999998</x:v>
      </x:c>
      <x:c r="K1582" s="85" t="n">
        <x:v>0</x:v>
      </x:c>
      <x:c r="L1582" s="28" t="n">
        <x:v>47</x:v>
      </x:c>
      <x:c r="M1582" s="28" t="n">
        <x:v>45</x:v>
      </x:c>
      <x:c r="N1582" s="28" t="n">
        <x:v>2.3283064365386963e-10</x:v>
      </x:c>
      <x:c r="O1582" s="28" t="n">
        <x:v>1.862645149230957e-9</x:v>
      </x:c>
      <x:c r="P1582" s="28" t="n">
        <x:v>0</x:v>
      </x:c>
      <x:c r="Q1582" s="62" t="b">
        <x:v>1</x:v>
      </x:c>
      <x:c r="R1582" s="28" t="n">
        <x:v>2248038.3858536556</x:v>
      </x:c>
      <x:c r="S1582" s="28" t="str">
        <x:v>1fb3b001554b8c48</x:v>
      </x:c>
    </x:row>
    <x:row r="1583" ht="21" customHeight="1">
      <x:c r="A1583" s="60" t="n">
        <x:v>0.66</x:v>
      </x:c>
      <x:c r="B1583" s="28" t="str">
        <x:v>middle_flat</x:v>
      </x:c>
      <x:c r="C1583" s="60" t="n">
        <x:v>0</x:v>
      </x:c>
      <x:c r="D1583" s="60" t="n">
        <x:v>0</x:v>
      </x:c>
      <x:c r="E1583" s="62" t="b">
        <x:v>1</x:v>
      </x:c>
      <x:c r="F1583" s="62" t="b">
        <x:v>1</x:v>
      </x:c>
      <x:c r="G1583" s="85" t="n">
        <x:v>0</x:v>
      </x:c>
      <x:c r="H1583" s="85" t="n">
        <x:v>0</x:v>
      </x:c>
      <x:c r="I1583" s="85" t="n">
        <x:v>0</x:v>
      </x:c>
      <x:c r="J1583" s="85" t="n">
        <x:v>0</x:v>
      </x:c>
      <x:c r="K1583" s="85" t="n">
        <x:v>6340423.968438363</x:v>
      </x:c>
      <x:c r="L1583" s="28" t="n">
        <x:v>0</x:v>
      </x:c>
      <x:c r="M1583" s="28" t="n">
        <x:v>0</x:v>
      </x:c>
      <x:c r="N1583" s="28" t="n">
        <x:v>9.313225746154785e-10</x:v>
      </x:c>
      <x:c r="O1583" s="28" t="n">
        <x:v>0</x:v>
      </x:c>
      <x:c r="P1583" s="28" t="n">
        <x:v>0</x:v>
      </x:c>
      <x:c r="Q1583" s="62" t="b">
        <x:v>1</x:v>
      </x:c>
      <x:c r="R1583" s="28" t="n">
        <x:v>0</x:v>
      </x:c>
      <x:c r="S1583" s="28" t="str">
        <x:v>225399cc3cab1106</x:v>
      </x:c>
    </x:row>
    <x:row r="1584" ht="21" customHeight="1">
      <x:c r="A1584" s="60" t="n">
        <x:v>0.66</x:v>
      </x:c>
      <x:c r="B1584" s="28" t="str">
        <x:v>middle_flat</x:v>
      </x:c>
      <x:c r="C1584" s="60" t="n">
        <x:v>0.05</x:v>
      </x:c>
      <x:c r="D1584" s="60" t="n">
        <x:v>0.05</x:v>
      </x:c>
      <x:c r="E1584" s="62" t="b">
        <x:v>1</x:v>
      </x:c>
      <x:c r="F1584" s="62" t="b">
        <x:v>1</x:v>
      </x:c>
      <x:c r="G1584" s="85" t="n">
        <x:v>0</x:v>
      </x:c>
      <x:c r="H1584" s="85" t="n">
        <x:v>0</x:v>
      </x:c>
      <x:c r="I1584" s="85" t="n">
        <x:v>0</x:v>
      </x:c>
      <x:c r="J1584" s="85" t="n">
        <x:v>0</x:v>
      </x:c>
      <x:c r="K1584" s="85" t="n">
        <x:v>4108746.243615442</x:v>
      </x:c>
      <x:c r="L1584" s="28" t="n">
        <x:v>0</x:v>
      </x:c>
      <x:c r="M1584" s="28" t="n">
        <x:v>0</x:v>
      </x:c>
      <x:c r="N1584" s="28" t="n">
        <x:v>9.313225746154785e-10</x:v>
      </x:c>
      <x:c r="O1584" s="28" t="n">
        <x:v>7.450580596923828e-9</x:v>
      </x:c>
      <x:c r="P1584" s="28" t="n">
        <x:v>0</x:v>
      </x:c>
      <x:c r="Q1584" s="62" t="b">
        <x:v>1</x:v>
      </x:c>
      <x:c r="R1584" s="28" t="n">
        <x:v>0</x:v>
      </x:c>
      <x:c r="S1584" s="28" t="str">
        <x:v>cb29c08ded5f578f</x:v>
      </x:c>
    </x:row>
    <x:row r="1585" ht="21" customHeight="1">
      <x:c r="A1585" s="60" t="n">
        <x:v>0.66</x:v>
      </x:c>
      <x:c r="B1585" s="28" t="str">
        <x:v>middle_flat</x:v>
      </x:c>
      <x:c r="C1585" s="60" t="n">
        <x:v>0.1</x:v>
      </x:c>
      <x:c r="D1585" s="60" t="n">
        <x:v>0.1</x:v>
      </x:c>
      <x:c r="E1585" s="62" t="b">
        <x:v>1</x:v>
      </x:c>
      <x:c r="F1585" s="62" t="b">
        <x:v>1</x:v>
      </x:c>
      <x:c r="G1585" s="85" t="n">
        <x:v>0</x:v>
      </x:c>
      <x:c r="H1585" s="85" t="n">
        <x:v>0</x:v>
      </x:c>
      <x:c r="I1585" s="85" t="n">
        <x:v>0</x:v>
      </x:c>
      <x:c r="J1585" s="85" t="n">
        <x:v>0</x:v>
      </x:c>
      <x:c r="K1585" s="85" t="n">
        <x:v>1876762.442214121</x:v>
      </x:c>
      <x:c r="L1585" s="28" t="n">
        <x:v>0</x:v>
      </x:c>
      <x:c r="M1585" s="28" t="n">
        <x:v>0</x:v>
      </x:c>
      <x:c r="N1585" s="28" t="n">
        <x:v>2.3283064365386963e-10</x:v>
      </x:c>
      <x:c r="O1585" s="28" t="n">
        <x:v>7.450580596923828e-9</x:v>
      </x:c>
      <x:c r="P1585" s="28" t="n">
        <x:v>0</x:v>
      </x:c>
      <x:c r="Q1585" s="62" t="b">
        <x:v>1</x:v>
      </x:c>
      <x:c r="R1585" s="28" t="n">
        <x:v>0</x:v>
      </x:c>
      <x:c r="S1585" s="28" t="str">
        <x:v>06fa84569c10703c</x:v>
      </x:c>
    </x:row>
    <x:row r="1586" ht="21" customHeight="1">
      <x:c r="A1586" s="60" t="n">
        <x:v>0.66</x:v>
      </x:c>
      <x:c r="B1586" s="28" t="str">
        <x:v>middle_flat</x:v>
      </x:c>
      <x:c r="C1586" s="60" t="n">
        <x:v>0.15</x:v>
      </x:c>
      <x:c r="D1586" s="60" t="n">
        <x:v>0.15</x:v>
      </x:c>
      <x:c r="E1586" s="62" t="b">
        <x:v>1</x:v>
      </x:c>
      <x:c r="F1586" s="62" t="b">
        <x:v>1</x:v>
      </x:c>
      <x:c r="G1586" s="85" t="n">
        <x:v>0</x:v>
      </x:c>
      <x:c r="H1586" s="85" t="n">
        <x:v>0</x:v>
      </x:c>
      <x:c r="I1586" s="85" t="n">
        <x:v>575589.5592327233</x:v>
      </x:c>
      <x:c r="J1586" s="85" t="n">
        <x:v>0</x:v>
      </x:c>
      <x:c r="K1586" s="85" t="n">
        <x:v>325124.9153161628</x:v>
      </x:c>
      <x:c r="L1586" s="28" t="n">
        <x:v>0</x:v>
      </x:c>
      <x:c r="M1586" s="28" t="n">
        <x:v>0</x:v>
      </x:c>
      <x:c r="N1586" s="28" t="n">
        <x:v>4.656612873077393e-10</x:v>
      </x:c>
      <x:c r="O1586" s="28" t="n">
        <x:v>7.450580596923828e-9</x:v>
      </x:c>
      <x:c r="P1586" s="28" t="n">
        <x:v>0</x:v>
      </x:c>
      <x:c r="Q1586" s="62" t="b">
        <x:v>1</x:v>
      </x:c>
      <x:c r="R1586" s="28" t="n">
        <x:v>0</x:v>
      </x:c>
      <x:c r="S1586" s="28" t="str">
        <x:v>9778831da94f8763</x:v>
      </x:c>
    </x:row>
    <x:row r="1587" ht="21" customHeight="1">
      <x:c r="A1587" s="60" t="n">
        <x:v>0.66</x:v>
      </x:c>
      <x:c r="B1587" s="28" t="str">
        <x:v>middle_flat</x:v>
      </x:c>
      <x:c r="C1587" s="60" t="n">
        <x:v>0.2</x:v>
      </x:c>
      <x:c r="D1587" s="60" t="n">
        <x:v>0.2</x:v>
      </x:c>
      <x:c r="E1587" s="62" t="b">
        <x:v>1</x:v>
      </x:c>
      <x:c r="F1587" s="62" t="b">
        <x:v>1</x:v>
      </x:c>
      <x:c r="G1587" s="85" t="n">
        <x:v>0</x:v>
      </x:c>
      <x:c r="H1587" s="85" t="n">
        <x:v>0</x:v>
      </x:c>
      <x:c r="I1587" s="85" t="n">
        <x:v>2045335.2584835857</x:v>
      </x:c>
      <x:c r="J1587" s="85" t="n">
        <x:v>1253157.2790409003</x:v>
      </x:c>
      <x:c r="K1587" s="85" t="n">
        <x:v>256608.93848734332</x:v>
      </x:c>
      <x:c r="L1587" s="28" t="n">
        <x:v>0</x:v>
      </x:c>
      <x:c r="M1587" s="28" t="n">
        <x:v>0</x:v>
      </x:c>
      <x:c r="N1587" s="28" t="n">
        <x:v>2.3283064365386963e-10</x:v>
      </x:c>
      <x:c r="O1587" s="28" t="n">
        <x:v>7.450580596923828e-9</x:v>
      </x:c>
      <x:c r="P1587" s="28" t="n">
        <x:v>0</x:v>
      </x:c>
      <x:c r="Q1587" s="62" t="b">
        <x:v>1</x:v>
      </x:c>
      <x:c r="R1587" s="28" t="n">
        <x:v>0</x:v>
      </x:c>
      <x:c r="S1587" s="28" t="str">
        <x:v>eeedd37c2b336220</x:v>
      </x:c>
    </x:row>
    <x:row r="1588" ht="21" customHeight="1">
      <x:c r="A1588" s="60" t="n">
        <x:v>0.66</x:v>
      </x:c>
      <x:c r="B1588" s="28" t="str">
        <x:v>middle_flat</x:v>
      </x:c>
      <x:c r="C1588" s="60" t="n">
        <x:v>0.25</x:v>
      </x:c>
      <x:c r="D1588" s="60" t="n">
        <x:v>0.25</x:v>
      </x:c>
      <x:c r="E1588" s="62" t="b">
        <x:v>1</x:v>
      </x:c>
      <x:c r="F1588" s="62" t="b">
        <x:v>1</x:v>
      </x:c>
      <x:c r="G1588" s="85" t="n">
        <x:v>0</x:v>
      </x:c>
      <x:c r="H1588" s="85" t="n">
        <x:v>0</x:v>
      </x:c>
      <x:c r="I1588" s="85" t="n">
        <x:v>3222956.081500664</x:v>
      </x:c>
      <x:c r="J1588" s="85" t="n">
        <x:v>2960046.598801145</x:v>
      </x:c>
      <x:c r="K1588" s="85" t="n">
        <x:v>199652.61584616493</x:v>
      </x:c>
      <x:c r="L1588" s="28" t="n">
        <x:v>0</x:v>
      </x:c>
      <x:c r="M1588" s="28" t="n">
        <x:v>0</x:v>
      </x:c>
      <x:c r="N1588" s="28" t="n">
        <x:v>2.3283064365386963e-10</x:v>
      </x:c>
      <x:c r="O1588" s="28" t="n">
        <x:v>7.450580596923828e-9</x:v>
      </x:c>
      <x:c r="P1588" s="28" t="n">
        <x:v>0</x:v>
      </x:c>
      <x:c r="Q1588" s="62" t="b">
        <x:v>1</x:v>
      </x:c>
      <x:c r="R1588" s="28" t="n">
        <x:v>0</x:v>
      </x:c>
      <x:c r="S1588" s="28" t="str">
        <x:v>c46497d6fd3474fe</x:v>
      </x:c>
    </x:row>
    <x:row r="1589" ht="21" customHeight="1">
      <x:c r="A1589" s="60" t="n">
        <x:v>0.66</x:v>
      </x:c>
      <x:c r="B1589" s="28" t="str">
        <x:v>middle_flat</x:v>
      </x:c>
      <x:c r="C1589" s="60" t="n">
        <x:v>0.3</x:v>
      </x:c>
      <x:c r="D1589" s="60" t="n">
        <x:v>0.3</x:v>
      </x:c>
      <x:c r="E1589" s="62" t="b">
        <x:v>1</x:v>
      </x:c>
      <x:c r="F1589" s="62" t="b">
        <x:v>1</x:v>
      </x:c>
      <x:c r="G1589" s="85" t="n">
        <x:v>0</x:v>
      </x:c>
      <x:c r="H1589" s="85" t="n">
        <x:v>0</x:v>
      </x:c>
      <x:c r="I1589" s="85" t="n">
        <x:v>4406343.8656946765</x:v>
      </x:c>
      <x:c r="J1589" s="85" t="n">
        <x:v>4666935.918561366</x:v>
      </x:c>
      <x:c r="K1589" s="85" t="n">
        <x:v>165613.26116334376</x:v>
      </x:c>
      <x:c r="L1589" s="28" t="n">
        <x:v>0</x:v>
      </x:c>
      <x:c r="M1589" s="28" t="n">
        <x:v>0</x:v>
      </x:c>
      <x:c r="N1589" s="28" t="n">
        <x:v>4.656612873077393e-10</x:v>
      </x:c>
      <x:c r="O1589" s="28" t="n">
        <x:v>7.450580596923828e-9</x:v>
      </x:c>
      <x:c r="P1589" s="28" t="n">
        <x:v>0</x:v>
      </x:c>
      <x:c r="Q1589" s="62" t="b">
        <x:v>1</x:v>
      </x:c>
      <x:c r="R1589" s="28" t="n">
        <x:v>0</x:v>
      </x:c>
      <x:c r="S1589" s="28" t="str">
        <x:v>8ba10ad457398024</x:v>
      </x:c>
    </x:row>
    <x:row r="1590" ht="21" customHeight="1">
      <x:c r="A1590" s="60" t="n">
        <x:v>0.66</x:v>
      </x:c>
      <x:c r="B1590" s="28" t="str">
        <x:v>middle_flat</x:v>
      </x:c>
      <x:c r="C1590" s="60" t="n">
        <x:v>0.35</x:v>
      </x:c>
      <x:c r="D1590" s="60" t="n">
        <x:v>0.35</x:v>
      </x:c>
      <x:c r="E1590" s="62" t="b">
        <x:v>1</x:v>
      </x:c>
      <x:c r="F1590" s="62" t="b">
        <x:v>1</x:v>
      </x:c>
      <x:c r="G1590" s="85" t="n">
        <x:v>0</x:v>
      </x:c>
      <x:c r="H1590" s="85" t="n">
        <x:v>0</x:v>
      </x:c>
      <x:c r="I1590" s="85" t="n">
        <x:v>5604736.392809839</x:v>
      </x:c>
      <x:c r="J1590" s="85" t="n">
        <x:v>6373825.238321629</x:v>
      </x:c>
      <x:c r="K1590" s="85" t="n">
        <x:v>137189.21747945188</x:v>
      </x:c>
      <x:c r="L1590" s="28" t="n">
        <x:v>0</x:v>
      </x:c>
      <x:c r="M1590" s="28" t="n">
        <x:v>0</x:v>
      </x:c>
      <x:c r="N1590" s="28" t="n">
        <x:v>9.313225746154785e-10</x:v>
      </x:c>
      <x:c r="O1590" s="28" t="n">
        <x:v>7.450580596923828e-9</x:v>
      </x:c>
      <x:c r="P1590" s="28" t="n">
        <x:v>0</x:v>
      </x:c>
      <x:c r="Q1590" s="62" t="b">
        <x:v>1</x:v>
      </x:c>
      <x:c r="R1590" s="28" t="n">
        <x:v>0</x:v>
      </x:c>
      <x:c r="S1590" s="28" t="str">
        <x:v>f8f0f9eb045d5fab</x:v>
      </x:c>
    </x:row>
    <x:row r="1591" ht="21" customHeight="1">
      <x:c r="A1591" s="60" t="n">
        <x:v>0.66</x:v>
      </x:c>
      <x:c r="B1591" s="28" t="str">
        <x:v>middle_flat</x:v>
      </x:c>
      <x:c r="C1591" s="60" t="n">
        <x:v>0.4</x:v>
      </x:c>
      <x:c r="D1591" s="60" t="n">
        <x:v>0.4</x:v>
      </x:c>
      <x:c r="E1591" s="62" t="b">
        <x:v>1</x:v>
      </x:c>
      <x:c r="F1591" s="62" t="b">
        <x:v>1</x:v>
      </x:c>
      <x:c r="G1591" s="85" t="n">
        <x:v>0</x:v>
      </x:c>
      <x:c r="H1591" s="85" t="n">
        <x:v>0</x:v>
      </x:c>
      <x:c r="I1591" s="85" t="n">
        <x:v>7133937.012126867</x:v>
      </x:c>
      <x:c r="J1591" s="85" t="n">
        <x:v>7276376.364947545</x:v>
      </x:c>
      <x:c r="K1591" s="85" t="n">
        <x:v>121531.72854794601</x:v>
      </x:c>
      <x:c r="L1591" s="28" t="n">
        <x:v>5</x:v>
      </x:c>
      <x:c r="M1591" s="28" t="n">
        <x:v>0</x:v>
      </x:c>
      <x:c r="N1591" s="28" t="n">
        <x:v>4.656612873077393e-10</x:v>
      </x:c>
      <x:c r="O1591" s="28" t="n">
        <x:v>3.725290298461914e-9</x:v>
      </x:c>
      <x:c r="P1591" s="28" t="n">
        <x:v>0</x:v>
      </x:c>
      <x:c r="Q1591" s="62" t="b">
        <x:v>1</x:v>
      </x:c>
      <x:c r="R1591" s="28" t="n">
        <x:v>0</x:v>
      </x:c>
      <x:c r="S1591" s="28" t="str">
        <x:v>a7f936ec3ca99fb1</x:v>
      </x:c>
    </x:row>
    <x:row r="1592" ht="21" customHeight="1">
      <x:c r="A1592" s="60" t="n">
        <x:v>0.66</x:v>
      </x:c>
      <x:c r="B1592" s="28" t="str">
        <x:v>middle_flat</x:v>
      </x:c>
      <x:c r="C1592" s="60" t="n">
        <x:v>0.45</x:v>
      </x:c>
      <x:c r="D1592" s="60" t="n">
        <x:v>0.45</x:v>
      </x:c>
      <x:c r="E1592" s="62" t="b">
        <x:v>1</x:v>
      </x:c>
      <x:c r="F1592" s="62" t="b">
        <x:v>1</x:v>
      </x:c>
      <x:c r="G1592" s="85" t="n">
        <x:v>0</x:v>
      </x:c>
      <x:c r="H1592" s="85" t="n">
        <x:v>0</x:v>
      </x:c>
      <x:c r="I1592" s="85" t="n">
        <x:v>8508697.06470003</x:v>
      </x:c>
      <x:c r="J1592" s="85" t="n">
        <x:v>8584948.536795069</x:v>
      </x:c>
      <x:c r="K1592" s="85" t="n">
        <x:v>105874.23961643873</x:v>
      </x:c>
      <x:c r="L1592" s="28" t="n">
        <x:v>10</x:v>
      </x:c>
      <x:c r="M1592" s="28" t="n">
        <x:v>0</x:v>
      </x:c>
      <x:c r="N1592" s="28" t="n">
        <x:v>9.313225746154785e-10</x:v>
      </x:c>
      <x:c r="O1592" s="28" t="n">
        <x:v>1.862645149230957e-9</x:v>
      </x:c>
      <x:c r="P1592" s="28" t="n">
        <x:v>0</x:v>
      </x:c>
      <x:c r="Q1592" s="62" t="b">
        <x:v>1</x:v>
      </x:c>
      <x:c r="R1592" s="28" t="n">
        <x:v>0</x:v>
      </x:c>
      <x:c r="S1592" s="28" t="str">
        <x:v>fa4d173699f3a2d9</x:v>
      </x:c>
    </x:row>
    <x:row r="1593" ht="21" customHeight="1">
      <x:c r="A1593" s="60" t="n">
        <x:v>0.66</x:v>
      </x:c>
      <x:c r="B1593" s="28" t="str">
        <x:v>middle_flat</x:v>
      </x:c>
      <x:c r="C1593" s="60" t="n">
        <x:v>0.5</x:v>
      </x:c>
      <x:c r="D1593" s="60" t="n">
        <x:v>0.5</x:v>
      </x:c>
      <x:c r="E1593" s="62" t="b">
        <x:v>1</x:v>
      </x:c>
      <x:c r="F1593" s="62" t="b">
        <x:v>1</x:v>
      </x:c>
      <x:c r="G1593" s="85" t="n">
        <x:v>0</x:v>
      </x:c>
      <x:c r="H1593" s="85" t="n">
        <x:v>0</x:v>
      </x:c>
      <x:c r="I1593" s="85" t="n">
        <x:v>9819271.788001306</x:v>
      </x:c>
      <x:c r="J1593" s="85" t="n">
        <x:v>10003821.051724505</x:v>
      </x:c>
      <x:c r="K1593" s="85" t="n">
        <x:v>90216.75068493218</x:v>
      </x:c>
      <x:c r="L1593" s="28" t="n">
        <x:v>14</x:v>
      </x:c>
      <x:c r="M1593" s="28" t="n">
        <x:v>0</x:v>
      </x:c>
      <x:c r="N1593" s="28" t="n">
        <x:v>4.656612873077393e-10</x:v>
      </x:c>
      <x:c r="O1593" s="28" t="n">
        <x:v>7.450580596923828e-9</x:v>
      </x:c>
      <x:c r="P1593" s="28" t="n">
        <x:v>0</x:v>
      </x:c>
      <x:c r="Q1593" s="62" t="b">
        <x:v>1</x:v>
      </x:c>
      <x:c r="R1593" s="28" t="n">
        <x:v>0</x:v>
      </x:c>
      <x:c r="S1593" s="28" t="str">
        <x:v>bf2fbdba2b664323</x:v>
      </x:c>
    </x:row>
    <x:row r="1594" ht="21" customHeight="1">
      <x:c r="A1594" s="60" t="n">
        <x:v>0.66</x:v>
      </x:c>
      <x:c r="B1594" s="28" t="str">
        <x:v>middle_flat</x:v>
      </x:c>
      <x:c r="C1594" s="60" t="n">
        <x:v>0.55</x:v>
      </x:c>
      <x:c r="D1594" s="60" t="n">
        <x:v>0.55</x:v>
      </x:c>
      <x:c r="E1594" s="62" t="b">
        <x:v>1</x:v>
      </x:c>
      <x:c r="F1594" s="62" t="b">
        <x:v>1</x:v>
      </x:c>
      <x:c r="G1594" s="85" t="n">
        <x:v>0</x:v>
      </x:c>
      <x:c r="H1594" s="85" t="n">
        <x:v>0</x:v>
      </x:c>
      <x:c r="I1594" s="85" t="n">
        <x:v>10912966.492603112</x:v>
      </x:c>
      <x:c r="J1594" s="85" t="n">
        <x:v>11973224.595664814</x:v>
      </x:c>
      <x:c r="K1594" s="85" t="n">
        <x:v>74559.26175342515</x:v>
      </x:c>
      <x:c r="L1594" s="28" t="n">
        <x:v>17</x:v>
      </x:c>
      <x:c r="M1594" s="28" t="n">
        <x:v>4</x:v>
      </x:c>
      <x:c r="N1594" s="28" t="n">
        <x:v>4.656612873077393e-10</x:v>
      </x:c>
      <x:c r="O1594" s="28" t="n">
        <x:v>7.450580596923828e-9</x:v>
      </x:c>
      <x:c r="P1594" s="28" t="n">
        <x:v>0</x:v>
      </x:c>
      <x:c r="Q1594" s="62" t="b">
        <x:v>1</x:v>
      </x:c>
      <x:c r="R1594" s="28" t="n">
        <x:v>0</x:v>
      </x:c>
      <x:c r="S1594" s="28" t="str">
        <x:v>c70141bbdfd31b2f</x:v>
      </x:c>
    </x:row>
    <x:row r="1595" ht="21" customHeight="1">
      <x:c r="A1595" s="60" t="n">
        <x:v>0.66</x:v>
      </x:c>
      <x:c r="B1595" s="28" t="str">
        <x:v>middle_flat</x:v>
      </x:c>
      <x:c r="C1595" s="60" t="n">
        <x:v>0.6</x:v>
      </x:c>
      <x:c r="D1595" s="60" t="n">
        <x:v>0.6</x:v>
      </x:c>
      <x:c r="E1595" s="62" t="b">
        <x:v>1</x:v>
      </x:c>
      <x:c r="F1595" s="62" t="b">
        <x:v>0</x:v>
      </x:c>
      <x:c r="G1595" s="85" t="n">
        <x:v>94892.23057076373</x:v>
      </x:c>
      <x:c r="H1595" s="85" t="n">
        <x:v>499834.10213776893</x:v>
      </x:c>
      <x:c r="I1595" s="85" t="n">
        <x:v>11793102.415158905</x:v>
      </x:c>
      <x:c r="J1595" s="85" t="n">
        <x:v>13378559.999999998</x:v>
      </x:c>
      <x:c r="K1595" s="85" t="n">
        <x:v>65190.39879452071</x:v>
      </x:c>
      <x:c r="L1595" s="28" t="n">
        <x:v>41</x:v>
      </x:c>
      <x:c r="M1595" s="28" t="n">
        <x:v>34</x:v>
      </x:c>
      <x:c r="N1595" s="28" t="n">
        <x:v>4.656612873077393e-10</x:v>
      </x:c>
      <x:c r="O1595" s="28" t="n">
        <x:v>3.725290298461914e-9</x:v>
      </x:c>
      <x:c r="P1595" s="28" t="n">
        <x:v>0</x:v>
      </x:c>
      <x:c r="Q1595" s="62" t="b">
        <x:v>1</x:v>
      </x:c>
      <x:c r="R1595" s="28" t="n">
        <x:v>0</x:v>
      </x:c>
      <x:c r="S1595" s="28" t="str">
        <x:v>0a54305c4b60608f</x:v>
      </x:c>
    </x:row>
    <x:row r="1596" ht="21" customHeight="1">
      <x:c r="A1596" s="60" t="n">
        <x:v>0.66</x:v>
      </x:c>
      <x:c r="B1596" s="28" t="str">
        <x:v>middle_flat</x:v>
      </x:c>
      <x:c r="C1596" s="60" t="n">
        <x:v>0.65</x:v>
      </x:c>
      <x:c r="D1596" s="60" t="n">
        <x:v>0.65</x:v>
      </x:c>
      <x:c r="E1596" s="62" t="b">
        <x:v>1</x:v>
      </x:c>
      <x:c r="F1596" s="62" t="b">
        <x:v>0</x:v>
      </x:c>
      <x:c r="G1596" s="85" t="n">
        <x:v>483756.10692078446</x:v>
      </x:c>
      <x:c r="H1596" s="85" t="n">
        <x:v>2603708.7516172165</x:v>
      </x:c>
      <x:c r="I1596" s="85" t="n">
        <x:v>12030597.556783535</x:v>
      </x:c>
      <x:c r="J1596" s="85" t="n">
        <x:v>13378559.999999998</x:v>
      </x:c>
      <x:c r="K1596" s="85" t="n">
        <x:v>60424.464712329565</x:v>
      </x:c>
      <x:c r="L1596" s="28" t="n">
        <x:v>42</x:v>
      </x:c>
      <x:c r="M1596" s="28" t="n">
        <x:v>35</x:v>
      </x:c>
      <x:c r="N1596" s="28" t="n">
        <x:v>4.656612873077393e-10</x:v>
      </x:c>
      <x:c r="O1596" s="28" t="n">
        <x:v>1.862645149230957e-9</x:v>
      </x:c>
      <x:c r="P1596" s="28" t="n">
        <x:v>0</x:v>
      </x:c>
      <x:c r="Q1596" s="62" t="b">
        <x:v>1</x:v>
      </x:c>
      <x:c r="R1596" s="28" t="n">
        <x:v>0</x:v>
      </x:c>
      <x:c r="S1596" s="28" t="str">
        <x:v>40d64ff77f1693e1</x:v>
      </x:c>
    </x:row>
    <x:row r="1597" ht="21" customHeight="1">
      <x:c r="A1597" s="60" t="n">
        <x:v>0.66</x:v>
      </x:c>
      <x:c r="B1597" s="28" t="str">
        <x:v>middle_flat</x:v>
      </x:c>
      <x:c r="C1597" s="60" t="n">
        <x:v>0.7</x:v>
      </x:c>
      <x:c r="D1597" s="60" t="n">
        <x:v>0.7</x:v>
      </x:c>
      <x:c r="E1597" s="62" t="b">
        <x:v>1</x:v>
      </x:c>
      <x:c r="F1597" s="62" t="b">
        <x:v>0</x:v>
      </x:c>
      <x:c r="G1597" s="85" t="n">
        <x:v>973793.1868042211</x:v>
      </x:c>
      <x:c r="H1597" s="85" t="n">
        <x:v>4944474.258864942</x:v>
      </x:c>
      <x:c r="I1597" s="85" t="n">
        <x:v>12049372.90454033</x:v>
      </x:c>
      <x:c r="J1597" s="85" t="n">
        <x:v>13378559.999999998</x:v>
      </x:c>
      <x:c r="K1597" s="85" t="n">
        <x:v>55658.53063013691</x:v>
      </x:c>
      <x:c r="L1597" s="28" t="n">
        <x:v>42</x:v>
      </x:c>
      <x:c r="M1597" s="28" t="n">
        <x:v>36</x:v>
      </x:c>
      <x:c r="N1597" s="28" t="n">
        <x:v>4.656612873077393e-10</x:v>
      </x:c>
      <x:c r="O1597" s="28" t="n">
        <x:v>3.725290298461914e-9</x:v>
      </x:c>
      <x:c r="P1597" s="28" t="n">
        <x:v>0</x:v>
      </x:c>
      <x:c r="Q1597" s="62" t="b">
        <x:v>1</x:v>
      </x:c>
      <x:c r="R1597" s="28" t="n">
        <x:v>0</x:v>
      </x:c>
      <x:c r="S1597" s="28" t="str">
        <x:v>27a2c8857366e991</x:v>
      </x:c>
    </x:row>
    <x:row r="1598" ht="21" customHeight="1">
      <x:c r="A1598" s="60" t="n">
        <x:v>0.66</x:v>
      </x:c>
      <x:c r="B1598" s="28" t="str">
        <x:v>middle_flat</x:v>
      </x:c>
      <x:c r="C1598" s="60" t="n">
        <x:v>0.75</x:v>
      </x:c>
      <x:c r="D1598" s="60" t="n">
        <x:v>0.75</x:v>
      </x:c>
      <x:c r="E1598" s="62" t="b">
        <x:v>1</x:v>
      </x:c>
      <x:c r="F1598" s="62" t="b">
        <x:v>0</x:v>
      </x:c>
      <x:c r="G1598" s="85" t="n">
        <x:v>1366501.660161634</x:v>
      </x:c>
      <x:c r="H1598" s="85" t="n">
        <x:v>6922621.994032192</x:v>
      </x:c>
      <x:c r="I1598" s="85" t="n">
        <x:v>12291198.82194863</x:v>
      </x:c>
      <x:c r="J1598" s="85" t="n">
        <x:v>13378559.999999998</x:v>
      </x:c>
      <x:c r="K1598" s="85" t="n">
        <x:v>50892.59654794518</x:v>
      </x:c>
      <x:c r="L1598" s="28" t="n">
        <x:v>43</x:v>
      </x:c>
      <x:c r="M1598" s="28" t="n">
        <x:v>37</x:v>
      </x:c>
      <x:c r="N1598" s="28" t="n">
        <x:v>2.3283064365386963e-10</x:v>
      </x:c>
      <x:c r="O1598" s="28" t="n">
        <x:v>3.725290298461914e-9</x:v>
      </x:c>
      <x:c r="P1598" s="28" t="n">
        <x:v>0</x:v>
      </x:c>
      <x:c r="Q1598" s="62" t="b">
        <x:v>1</x:v>
      </x:c>
      <x:c r="R1598" s="28" t="n">
        <x:v>0</x:v>
      </x:c>
      <x:c r="S1598" s="28" t="str">
        <x:v>690f882f577a1122</x:v>
      </x:c>
    </x:row>
    <x:row r="1599" ht="21" customHeight="1">
      <x:c r="A1599" s="60" t="n">
        <x:v>0.66</x:v>
      </x:c>
      <x:c r="B1599" s="28" t="str">
        <x:v>middle_flat</x:v>
      </x:c>
      <x:c r="C1599" s="60" t="n">
        <x:v>0.8</x:v>
      </x:c>
      <x:c r="D1599" s="60" t="n">
        <x:v>0.8</x:v>
      </x:c>
      <x:c r="E1599" s="62" t="b">
        <x:v>1</x:v>
      </x:c>
      <x:c r="F1599" s="62" t="b">
        <x:v>0</x:v>
      </x:c>
      <x:c r="G1599" s="85" t="n">
        <x:v>1891129.442268568</x:v>
      </x:c>
      <x:c r="H1599" s="85" t="n">
        <x:v>9136112.10554088</x:v>
      </x:c>
      <x:c r="I1599" s="85" t="n">
        <x:v>12306008.757643837</x:v>
      </x:c>
      <x:c r="J1599" s="85" t="n">
        <x:v>13378559.999999998</x:v>
      </x:c>
      <x:c r="K1599" s="85" t="n">
        <x:v>46126.662465753805</x:v>
      </x:c>
      <x:c r="L1599" s="28" t="n">
        <x:v>43</x:v>
      </x:c>
      <x:c r="M1599" s="28" t="n">
        <x:v>38</x:v>
      </x:c>
      <x:c r="N1599" s="28" t="n">
        <x:v>2.3283064365386963e-10</x:v>
      </x:c>
      <x:c r="O1599" s="28" t="n">
        <x:v>1.862645149230957e-9</x:v>
      </x:c>
      <x:c r="P1599" s="28" t="n">
        <x:v>0</x:v>
      </x:c>
      <x:c r="Q1599" s="62" t="b">
        <x:v>1</x:v>
      </x:c>
      <x:c r="R1599" s="28" t="n">
        <x:v>0</x:v>
      </x:c>
      <x:c r="S1599" s="28" t="str">
        <x:v>fad670d1c4aa4b80</x:v>
      </x:c>
    </x:row>
    <x:row r="1600" ht="21" customHeight="1">
      <x:c r="A1600" s="60" t="n">
        <x:v>0.66</x:v>
      </x:c>
      <x:c r="B1600" s="28" t="str">
        <x:v>middle_flat</x:v>
      </x:c>
      <x:c r="C1600" s="60" t="n">
        <x:v>0.85</x:v>
      </x:c>
      <x:c r="D1600" s="60" t="n">
        <x:v>0.85</x:v>
      </x:c>
      <x:c r="E1600" s="62" t="b">
        <x:v>1</x:v>
      </x:c>
      <x:c r="F1600" s="62" t="b">
        <x:v>0</x:v>
      </x:c>
      <x:c r="G1600" s="85" t="n">
        <x:v>2461445.8976424653</x:v>
      </x:c>
      <x:c r="H1600" s="85" t="n">
        <x:v>11240898.916230902</x:v>
      </x:c>
      <x:c r="I1600" s="85" t="n">
        <x:v>12325047.907629453</x:v>
      </x:c>
      <x:c r="J1600" s="85" t="n">
        <x:v>13378559.999999998</x:v>
      </x:c>
      <x:c r="K1600" s="85" t="n">
        <x:v>41360.728383561844</x:v>
      </x:c>
      <x:c r="L1600" s="28" t="n">
        <x:v>43</x:v>
      </x:c>
      <x:c r="M1600" s="28" t="n">
        <x:v>38</x:v>
      </x:c>
      <x:c r="N1600" s="28" t="n">
        <x:v>4.656612873077393e-10</x:v>
      </x:c>
      <x:c r="O1600" s="28" t="n">
        <x:v>3.725290298461914e-9</x:v>
      </x:c>
      <x:c r="P1600" s="28" t="n">
        <x:v>0</x:v>
      </x:c>
      <x:c r="Q1600" s="62" t="b">
        <x:v>1</x:v>
      </x:c>
      <x:c r="R1600" s="28" t="n">
        <x:v>0</x:v>
      </x:c>
      <x:c r="S1600" s="28" t="str">
        <x:v>2fc85a5dc3f26d24</x:v>
      </x:c>
    </x:row>
    <x:row r="1601" ht="21" customHeight="1">
      <x:c r="A1601" s="60" t="n">
        <x:v>0.66</x:v>
      </x:c>
      <x:c r="B1601" s="28" t="str">
        <x:v>middle_flat</x:v>
      </x:c>
      <x:c r="C1601" s="60" t="n">
        <x:v>0.9</x:v>
      </x:c>
      <x:c r="D1601" s="60" t="n">
        <x:v>0.9</x:v>
      </x:c>
      <x:c r="E1601" s="62" t="b">
        <x:v>1</x:v>
      </x:c>
      <x:c r="F1601" s="62" t="b">
        <x:v>0</x:v>
      </x:c>
      <x:c r="G1601" s="85" t="n">
        <x:v>3291005.8454969376</x:v>
      </x:c>
      <x:c r="H1601" s="85" t="n">
        <x:v>12800559.72913764</x:v>
      </x:c>
      <x:c r="I1601" s="85" t="n">
        <x:v>12551580.239342468</x:v>
      </x:c>
      <x:c r="J1601" s="85" t="n">
        <x:v>13378559.999999998</x:v>
      </x:c>
      <x:c r="K1601" s="85" t="n">
        <x:v>36594.79430137035</x:v>
      </x:c>
      <x:c r="L1601" s="28" t="n">
        <x:v>44</x:v>
      </x:c>
      <x:c r="M1601" s="28" t="n">
        <x:v>39</x:v>
      </x:c>
      <x:c r="N1601" s="28" t="n">
        <x:v>2.3283064365386963e-10</x:v>
      </x:c>
      <x:c r="O1601" s="28" t="n">
        <x:v>3.725290298461914e-9</x:v>
      </x:c>
      <x:c r="P1601" s="28" t="n">
        <x:v>0</x:v>
      </x:c>
      <x:c r="Q1601" s="62" t="b">
        <x:v>1</x:v>
      </x:c>
      <x:c r="R1601" s="28" t="n">
        <x:v>0</x:v>
      </x:c>
      <x:c r="S1601" s="28" t="str">
        <x:v>e3d35523768bc65e</x:v>
      </x:c>
    </x:row>
    <x:row r="1602" ht="21" customHeight="1">
      <x:c r="A1602" s="60" t="n">
        <x:v>0.66</x:v>
      </x:c>
      <x:c r="B1602" s="28" t="str">
        <x:v>middle_flat</x:v>
      </x:c>
      <x:c r="C1602" s="60" t="n">
        <x:v>0.95</x:v>
      </x:c>
      <x:c r="D1602" s="60" t="n">
        <x:v>0.9270639118581285</x:v>
      </x:c>
      <x:c r="E1602" s="62" t="b">
        <x:v>0</x:v>
      </x:c>
      <x:c r="F1602" s="62" t="b">
        <x:v>0</x:v>
      </x:c>
      <x:c r="G1602" s="85" t="n">
        <x:v>3641072.3353964407</x:v>
      </x:c>
      <x:c r="H1602" s="85" t="n">
        <x:v>13785645.848924328</x:v>
      </x:c>
      <x:c r="I1602" s="85" t="n">
        <x:v>12562682.55232877</x:v>
      </x:c>
      <x:c r="J1602" s="85" t="n">
        <x:v>13378559.999999998</x:v>
      </x:c>
      <x:c r="K1602" s="85" t="n">
        <x:v>31828.86021917815</x:v>
      </x:c>
      <x:c r="L1602" s="28" t="n">
        <x:v>44</x:v>
      </x:c>
      <x:c r="M1602" s="28" t="n">
        <x:v>40</x:v>
      </x:c>
      <x:c r="N1602" s="28" t="n">
        <x:v>2.3283064365386963e-10</x:v>
      </x:c>
      <x:c r="O1602" s="28" t="n">
        <x:v>3.725290298461914e-9</x:v>
      </x:c>
      <x:c r="P1602" s="28" t="n">
        <x:v>0</x:v>
      </x:c>
      <x:c r="Q1602" s="62" t="b">
        <x:v>1</x:v>
      </x:c>
      <x:c r="R1602" s="28" t="n">
        <x:v>1278549.2973804846</x:v>
      </x:c>
      <x:c r="S1602" s="28" t="str">
        <x:v>9c211ace8355a5ca</x:v>
      </x:c>
    </x:row>
    <x:row r="1603" ht="21" customHeight="1">
      <x:c r="A1603" s="60" t="n">
        <x:v>0.66</x:v>
      </x:c>
      <x:c r="B1603" s="28" t="str">
        <x:v>middle_flat</x:v>
      </x:c>
      <x:c r="C1603" s="60" t="n">
        <x:v>1</x:v>
      </x:c>
      <x:c r="D1603" s="60" t="n">
        <x:v>0.9427455891708479</x:v>
      </x:c>
      <x:c r="E1603" s="62" t="b">
        <x:v>0</x:v>
      </x:c>
      <x:c r="F1603" s="62" t="b">
        <x:v>0</x:v>
      </x:c>
      <x:c r="G1603" s="85" t="n">
        <x:v>3986286.7898541084</x:v>
      </x:c>
      <x:c r="H1603" s="85" t="n">
        <x:v>14484476.947166307</x:v>
      </x:c>
      <x:c r="I1603" s="85" t="n">
        <x:v>12573784.86531507</x:v>
      </x:c>
      <x:c r="J1603" s="85" t="n">
        <x:v>13378559.999999998</x:v>
      </x:c>
      <x:c r="K1603" s="85" t="n">
        <x:v>27062.926136986658</x:v>
      </x:c>
      <x:c r="L1603" s="28" t="n">
        <x:v>44</x:v>
      </x:c>
      <x:c r="M1603" s="28" t="n">
        <x:v>40</x:v>
      </x:c>
      <x:c r="N1603" s="28" t="n">
        <x:v>2.3283064365386963e-10</x:v>
      </x:c>
      <x:c r="O1603" s="28" t="n">
        <x:v>9.313225746154785e-10</x:v>
      </x:c>
      <x:c r="P1603" s="28" t="n">
        <x:v>0</x:v>
      </x:c>
      <x:c r="Q1603" s="62" t="b">
        <x:v>1</x:v>
      </x:c>
      <x:c r="R1603" s="28" t="n">
        <x:v>3191589.877260253</x:v>
      </x:c>
      <x:c r="S1603" s="28" t="str">
        <x:v>3d8262767db49b70</x:v>
      </x:c>
    </x:row>
    <x:row r="1604" ht="21" customHeight="1">
      <x:c r="A1604" s="60" t="n">
        <x:v>0.66</x:v>
      </x:c>
      <x:c r="B1604" s="28" t="str">
        <x:v>middle_low</x:v>
      </x:c>
      <x:c r="C1604" s="60" t="n">
        <x:v>0</x:v>
      </x:c>
      <x:c r="D1604" s="60" t="n">
        <x:v>0</x:v>
      </x:c>
      <x:c r="E1604" s="62" t="b">
        <x:v>1</x:v>
      </x:c>
      <x:c r="F1604" s="62" t="b">
        <x:v>1</x:v>
      </x:c>
      <x:c r="G1604" s="85" t="n">
        <x:v>0</x:v>
      </x:c>
      <x:c r="H1604" s="85" t="n">
        <x:v>0</x:v>
      </x:c>
      <x:c r="I1604" s="85" t="n">
        <x:v>0</x:v>
      </x:c>
      <x:c r="J1604" s="85" t="n">
        <x:v>0</x:v>
      </x:c>
      <x:c r="K1604" s="85" t="n">
        <x:v>5572561.858849319</x:v>
      </x:c>
      <x:c r="L1604" s="28" t="n">
        <x:v>0</x:v>
      </x:c>
      <x:c r="M1604" s="28" t="n">
        <x:v>0</x:v>
      </x:c>
      <x:c r="N1604" s="28" t="n">
        <x:v>9.313225746154785e-10</x:v>
      </x:c>
      <x:c r="O1604" s="28" t="n">
        <x:v>0</x:v>
      </x:c>
      <x:c r="P1604" s="28" t="n">
        <x:v>0</x:v>
      </x:c>
      <x:c r="Q1604" s="62" t="b">
        <x:v>1</x:v>
      </x:c>
      <x:c r="R1604" s="28" t="n">
        <x:v>0</x:v>
      </x:c>
      <x:c r="S1604" s="28" t="str">
        <x:v>c18f21f1eb3b3ce6</x:v>
      </x:c>
    </x:row>
    <x:row r="1605" ht="21" customHeight="1">
      <x:c r="A1605" s="60" t="n">
        <x:v>0.66</x:v>
      </x:c>
      <x:c r="B1605" s="28" t="str">
        <x:v>middle_low</x:v>
      </x:c>
      <x:c r="C1605" s="60" t="n">
        <x:v>0.05</x:v>
      </x:c>
      <x:c r="D1605" s="60" t="n">
        <x:v>0.05</x:v>
      </x:c>
      <x:c r="E1605" s="62" t="b">
        <x:v>1</x:v>
      </x:c>
      <x:c r="F1605" s="62" t="b">
        <x:v>1</x:v>
      </x:c>
      <x:c r="G1605" s="85" t="n">
        <x:v>0</x:v>
      </x:c>
      <x:c r="H1605" s="85" t="n">
        <x:v>0</x:v>
      </x:c>
      <x:c r="I1605" s="85" t="n">
        <x:v>0</x:v>
      </x:c>
      <x:c r="J1605" s="85" t="n">
        <x:v>0</x:v>
      </x:c>
      <x:c r="K1605" s="85" t="n">
        <x:v>3566838.685809275</x:v>
      </x:c>
      <x:c r="L1605" s="28" t="n">
        <x:v>0</x:v>
      </x:c>
      <x:c r="M1605" s="28" t="n">
        <x:v>0</x:v>
      </x:c>
      <x:c r="N1605" s="28" t="n">
        <x:v>2.3283064365386963e-10</x:v>
      </x:c>
      <x:c r="O1605" s="28" t="n">
        <x:v>7.450580596923828e-9</x:v>
      </x:c>
      <x:c r="P1605" s="28" t="n">
        <x:v>0</x:v>
      </x:c>
      <x:c r="Q1605" s="62" t="b">
        <x:v>1</x:v>
      </x:c>
      <x:c r="R1605" s="28" t="n">
        <x:v>0</x:v>
      </x:c>
      <x:c r="S1605" s="28" t="str">
        <x:v>5087687d72b4c049</x:v>
      </x:c>
    </x:row>
    <x:row r="1606" ht="21" customHeight="1">
      <x:c r="A1606" s="60" t="n">
        <x:v>0.66</x:v>
      </x:c>
      <x:c r="B1606" s="28" t="str">
        <x:v>middle_low</x:v>
      </x:c>
      <x:c r="C1606" s="60" t="n">
        <x:v>0.1</x:v>
      </x:c>
      <x:c r="D1606" s="60" t="n">
        <x:v>0.1</x:v>
      </x:c>
      <x:c r="E1606" s="62" t="b">
        <x:v>1</x:v>
      </x:c>
      <x:c r="F1606" s="62" t="b">
        <x:v>1</x:v>
      </x:c>
      <x:c r="G1606" s="85" t="n">
        <x:v>0</x:v>
      </x:c>
      <x:c r="H1606" s="85" t="n">
        <x:v>0</x:v>
      </x:c>
      <x:c r="I1606" s="85" t="n">
        <x:v>0</x:v>
      </x:c>
      <x:c r="J1606" s="85" t="n">
        <x:v>0</x:v>
      </x:c>
      <x:c r="K1606" s="85" t="n">
        <x:v>1560899.4587138772</x:v>
      </x:c>
      <x:c r="L1606" s="28" t="n">
        <x:v>0</x:v>
      </x:c>
      <x:c r="M1606" s="28" t="n">
        <x:v>0</x:v>
      </x:c>
      <x:c r="N1606" s="28" t="n">
        <x:v>9.313225746154785e-10</x:v>
      </x:c>
      <x:c r="O1606" s="28" t="n">
        <x:v>7.450580596923828e-9</x:v>
      </x:c>
      <x:c r="P1606" s="28" t="n">
        <x:v>0</x:v>
      </x:c>
      <x:c r="Q1606" s="62" t="b">
        <x:v>1</x:v>
      </x:c>
      <x:c r="R1606" s="28" t="n">
        <x:v>0</x:v>
      </x:c>
      <x:c r="S1606" s="28" t="str">
        <x:v>7652311abe13339e</x:v>
      </x:c>
    </x:row>
    <x:row r="1607" ht="21" customHeight="1">
      <x:c r="A1607" s="60" t="n">
        <x:v>0.66</x:v>
      </x:c>
      <x:c r="B1607" s="28" t="str">
        <x:v>middle_low</x:v>
      </x:c>
      <x:c r="C1607" s="60" t="n">
        <x:v>0.15</x:v>
      </x:c>
      <x:c r="D1607" s="60" t="n">
        <x:v>0.15</x:v>
      </x:c>
      <x:c r="E1607" s="62" t="b">
        <x:v>1</x:v>
      </x:c>
      <x:c r="F1607" s="62" t="b">
        <x:v>1</x:v>
      </x:c>
      <x:c r="G1607" s="85" t="n">
        <x:v>0</x:v>
      </x:c>
      <x:c r="H1607" s="85" t="n">
        <x:v>0</x:v>
      </x:c>
      <x:c r="I1607" s="85" t="n">
        <x:v>456972.0745452009</x:v>
      </x:c>
      <x:c r="J1607" s="85" t="n">
        <x:v>0</x:v>
      </x:c>
      <x:c r="K1607" s="85" t="n">
        <x:v>147339.08568126056</x:v>
      </x:c>
      <x:c r="L1607" s="28" t="n">
        <x:v>0</x:v>
      </x:c>
      <x:c r="M1607" s="28" t="n">
        <x:v>0</x:v>
      </x:c>
      <x:c r="N1607" s="28" t="n">
        <x:v>4.656612873077393e-10</x:v>
      </x:c>
      <x:c r="O1607" s="28" t="n">
        <x:v>7.450580596923828e-9</x:v>
      </x:c>
      <x:c r="P1607" s="28" t="n">
        <x:v>0</x:v>
      </x:c>
      <x:c r="Q1607" s="62" t="b">
        <x:v>1</x:v>
      </x:c>
      <x:c r="R1607" s="28" t="n">
        <x:v>0</x:v>
      </x:c>
      <x:c r="S1607" s="28" t="str">
        <x:v>4f181e2496a329cd</x:v>
      </x:c>
    </x:row>
    <x:row r="1608" ht="21" customHeight="1">
      <x:c r="A1608" s="60" t="n">
        <x:v>0.66</x:v>
      </x:c>
      <x:c r="B1608" s="28" t="str">
        <x:v>middle_low</x:v>
      </x:c>
      <x:c r="C1608" s="60" t="n">
        <x:v>0.2</x:v>
      </x:c>
      <x:c r="D1608" s="60" t="n">
        <x:v>0.2</x:v>
      </x:c>
      <x:c r="E1608" s="62" t="b">
        <x:v>1</x:v>
      </x:c>
      <x:c r="F1608" s="62" t="b">
        <x:v>1</x:v>
      </x:c>
      <x:c r="G1608" s="85" t="n">
        <x:v>0</x:v>
      </x:c>
      <x:c r="H1608" s="85" t="n">
        <x:v>0</x:v>
      </x:c>
      <x:c r="I1608" s="85" t="n">
        <x:v>1569265.551352904</x:v>
      </x:c>
      <x:c r="J1608" s="85" t="n">
        <x:v>1253157.2790409003</x:v>
      </x:c>
      <x:c r="K1608" s="85" t="n">
        <x:v>114218.5262599456</x:v>
      </x:c>
      <x:c r="L1608" s="28" t="n">
        <x:v>0</x:v>
      </x:c>
      <x:c r="M1608" s="28" t="n">
        <x:v>0</x:v>
      </x:c>
      <x:c r="N1608" s="28" t="n">
        <x:v>4.656612873077393e-10</x:v>
      </x:c>
      <x:c r="O1608" s="28" t="n">
        <x:v>7.450580596923828e-9</x:v>
      </x:c>
      <x:c r="P1608" s="28" t="n">
        <x:v>0</x:v>
      </x:c>
      <x:c r="Q1608" s="62" t="b">
        <x:v>1</x:v>
      </x:c>
      <x:c r="R1608" s="28" t="n">
        <x:v>0</x:v>
      </x:c>
      <x:c r="S1608" s="28" t="str">
        <x:v>d901988a80771668</x:v>
      </x:c>
    </x:row>
    <x:row r="1609" ht="21" customHeight="1">
      <x:c r="A1609" s="60" t="n">
        <x:v>0.66</x:v>
      </x:c>
      <x:c r="B1609" s="28" t="str">
        <x:v>middle_low</x:v>
      </x:c>
      <x:c r="C1609" s="60" t="n">
        <x:v>0.25</x:v>
      </x:c>
      <x:c r="D1609" s="60" t="n">
        <x:v>0.25</x:v>
      </x:c>
      <x:c r="E1609" s="62" t="b">
        <x:v>1</x:v>
      </x:c>
      <x:c r="F1609" s="62" t="b">
        <x:v>1</x:v>
      </x:c>
      <x:c r="G1609" s="85" t="n">
        <x:v>0</x:v>
      </x:c>
      <x:c r="H1609" s="85" t="n">
        <x:v>0</x:v>
      </x:c>
      <x:c r="I1609" s="85" t="n">
        <x:v>2335838.708983009</x:v>
      </x:c>
      <x:c r="J1609" s="85" t="n">
        <x:v>2960046.598801145</x:v>
      </x:c>
      <x:c r="K1609" s="85" t="n">
        <x:v>89936.09227424637</x:v>
      </x:c>
      <x:c r="L1609" s="28" t="n">
        <x:v>0</x:v>
      </x:c>
      <x:c r="M1609" s="28" t="n">
        <x:v>0</x:v>
      </x:c>
      <x:c r="N1609" s="28" t="n">
        <x:v>4.656612873077393e-10</x:v>
      </x:c>
      <x:c r="O1609" s="28" t="n">
        <x:v>7.450580596923828e-9</x:v>
      </x:c>
      <x:c r="P1609" s="28" t="n">
        <x:v>0</x:v>
      </x:c>
      <x:c r="Q1609" s="62" t="b">
        <x:v>1</x:v>
      </x:c>
      <x:c r="R1609" s="28" t="n">
        <x:v>0</x:v>
      </x:c>
      <x:c r="S1609" s="28" t="str">
        <x:v>bd546104db9dc03c</x:v>
      </x:c>
    </x:row>
    <x:row r="1610" ht="21" customHeight="1">
      <x:c r="A1610" s="60" t="n">
        <x:v>0.66</x:v>
      </x:c>
      <x:c r="B1610" s="28" t="str">
        <x:v>middle_low</x:v>
      </x:c>
      <x:c r="C1610" s="60" t="n">
        <x:v>0.3</x:v>
      </x:c>
      <x:c r="D1610" s="60" t="n">
        <x:v>0.3</x:v>
      </x:c>
      <x:c r="E1610" s="62" t="b">
        <x:v>1</x:v>
      </x:c>
      <x:c r="F1610" s="62" t="b">
        <x:v>1</x:v>
      </x:c>
      <x:c r="G1610" s="85" t="n">
        <x:v>0</x:v>
      </x:c>
      <x:c r="H1610" s="85" t="n">
        <x:v>0</x:v>
      </x:c>
      <x:c r="I1610" s="85" t="n">
        <x:v>3109009.0625091116</x:v>
      </x:c>
      <x:c r="J1610" s="85" t="n">
        <x:v>4666935.918561366</x:v>
      </x:c>
      <x:c r="K1610" s="85" t="n">
        <x:v>71002.56712361652</x:v>
      </x:c>
      <x:c r="L1610" s="28" t="n">
        <x:v>0</x:v>
      </x:c>
      <x:c r="M1610" s="28" t="n">
        <x:v>0</x:v>
      </x:c>
      <x:c r="N1610" s="28" t="n">
        <x:v>2.3283064365386963e-10</x:v>
      </x:c>
      <x:c r="O1610" s="28" t="n">
        <x:v>7.450580596923828e-9</x:v>
      </x:c>
      <x:c r="P1610" s="28" t="n">
        <x:v>0</x:v>
      </x:c>
      <x:c r="Q1610" s="62" t="b">
        <x:v>1</x:v>
      </x:c>
      <x:c r="R1610" s="28" t="n">
        <x:v>0</x:v>
      </x:c>
      <x:c r="S1610" s="28" t="str">
        <x:v>d023fed565778a7f</x:v>
      </x:c>
    </x:row>
    <x:row r="1611" ht="21" customHeight="1">
      <x:c r="A1611" s="60" t="n">
        <x:v>0.66</x:v>
      </x:c>
      <x:c r="B1611" s="28" t="str">
        <x:v>middle_low</x:v>
      </x:c>
      <x:c r="C1611" s="60" t="n">
        <x:v>0.35</x:v>
      </x:c>
      <x:c r="D1611" s="60" t="n">
        <x:v>0.35</x:v>
      </x:c>
      <x:c r="E1611" s="62" t="b">
        <x:v>1</x:v>
      </x:c>
      <x:c r="F1611" s="62" t="b">
        <x:v>1</x:v>
      </x:c>
      <x:c r="G1611" s="85" t="n">
        <x:v>0</x:v>
      </x:c>
      <x:c r="H1611" s="85" t="n">
        <x:v>0</x:v>
      </x:c>
      <x:c r="I1611" s="85" t="n">
        <x:v>3881651.7112286794</x:v>
      </x:c>
      <x:c r="J1611" s="85" t="n">
        <x:v>6373825.238321629</x:v>
      </x:c>
      <x:c r="K1611" s="85" t="n">
        <x:v>61988.93912328759</x:v>
      </x:c>
      <x:c r="L1611" s="28" t="n">
        <x:v>0</x:v>
      </x:c>
      <x:c r="M1611" s="28" t="n">
        <x:v>0</x:v>
      </x:c>
      <x:c r="N1611" s="28" t="n">
        <x:v>4.656612873077393e-10</x:v>
      </x:c>
      <x:c r="O1611" s="28" t="n">
        <x:v>7.450580596923828e-9</x:v>
      </x:c>
      <x:c r="P1611" s="28" t="n">
        <x:v>0</x:v>
      </x:c>
      <x:c r="Q1611" s="62" t="b">
        <x:v>1</x:v>
      </x:c>
      <x:c r="R1611" s="28" t="n">
        <x:v>0</x:v>
      </x:c>
      <x:c r="S1611" s="28" t="str">
        <x:v>f954fb076a913bf6</x:v>
      </x:c>
    </x:row>
    <x:row r="1612" ht="21" customHeight="1">
      <x:c r="A1612" s="60" t="n">
        <x:v>0.66</x:v>
      </x:c>
      <x:c r="B1612" s="28" t="str">
        <x:v>middle_low</x:v>
      </x:c>
      <x:c r="C1612" s="60" t="n">
        <x:v>0.4</x:v>
      </x:c>
      <x:c r="D1612" s="60" t="n">
        <x:v>0.4</x:v>
      </x:c>
      <x:c r="E1612" s="62" t="b">
        <x:v>1</x:v>
      </x:c>
      <x:c r="F1612" s="62" t="b">
        <x:v>1</x:v>
      </x:c>
      <x:c r="G1612" s="85" t="n">
        <x:v>0</x:v>
      </x:c>
      <x:c r="H1612" s="85" t="n">
        <x:v>0</x:v>
      </x:c>
      <x:c r="I1612" s="85" t="n">
        <x:v>5115107.425999503</x:v>
      </x:c>
      <x:c r="J1612" s="85" t="n">
        <x:v>7353287.499893508</x:v>
      </x:c>
      <x:c r="K1612" s="85" t="n">
        <x:v>53247.12471232847</x:v>
      </x:c>
      <x:c r="L1612" s="28" t="n">
        <x:v>6</x:v>
      </x:c>
      <x:c r="M1612" s="28" t="n">
        <x:v>0</x:v>
      </x:c>
      <x:c r="N1612" s="28" t="n">
        <x:v>2.3283064365386963e-10</x:v>
      </x:c>
      <x:c r="O1612" s="28" t="n">
        <x:v>3.725290298461914e-9</x:v>
      </x:c>
      <x:c r="P1612" s="28" t="n">
        <x:v>0</x:v>
      </x:c>
      <x:c r="Q1612" s="62" t="b">
        <x:v>1</x:v>
      </x:c>
      <x:c r="R1612" s="28" t="n">
        <x:v>0</x:v>
      </x:c>
      <x:c r="S1612" s="28" t="str">
        <x:v>e671bd5aa619da52</x:v>
      </x:c>
    </x:row>
    <x:row r="1613" ht="21" customHeight="1">
      <x:c r="A1613" s="60" t="n">
        <x:v>0.66</x:v>
      </x:c>
      <x:c r="B1613" s="28" t="str">
        <x:v>middle_low</x:v>
      </x:c>
      <x:c r="C1613" s="60" t="n">
        <x:v>0.45</x:v>
      </x:c>
      <x:c r="D1613" s="60" t="n">
        <x:v>0.45</x:v>
      </x:c>
      <x:c r="E1613" s="62" t="b">
        <x:v>1</x:v>
      </x:c>
      <x:c r="F1613" s="62" t="b">
        <x:v>1</x:v>
      </x:c>
      <x:c r="G1613" s="85" t="n">
        <x:v>0</x:v>
      </x:c>
      <x:c r="H1613" s="85" t="n">
        <x:v>0</x:v>
      </x:c>
      <x:c r="I1613" s="85" t="n">
        <x:v>6048984.483612448</x:v>
      </x:c>
      <x:c r="J1613" s="85" t="n">
        <x:v>8805563.18620348</x:v>
      </x:c>
      <x:c r="K1613" s="85" t="n">
        <x:v>44505.31030136993</x:v>
      </x:c>
      <x:c r="L1613" s="28" t="n">
        <x:v>10</x:v>
      </x:c>
      <x:c r="M1613" s="28" t="n">
        <x:v>0</x:v>
      </x:c>
      <x:c r="N1613" s="28" t="n">
        <x:v>4.656612873077393e-10</x:v>
      </x:c>
      <x:c r="O1613" s="28" t="n">
        <x:v>1.862645149230957e-9</x:v>
      </x:c>
      <x:c r="P1613" s="28" t="n">
        <x:v>0</x:v>
      </x:c>
      <x:c r="Q1613" s="62" t="b">
        <x:v>1</x:v>
      </x:c>
      <x:c r="R1613" s="28" t="n">
        <x:v>0</x:v>
      </x:c>
      <x:c r="S1613" s="28" t="str">
        <x:v>3b8cc079451e1d5f</x:v>
      </x:c>
    </x:row>
    <x:row r="1614" ht="21" customHeight="1">
      <x:c r="A1614" s="60" t="n">
        <x:v>0.66</x:v>
      </x:c>
      <x:c r="B1614" s="28" t="str">
        <x:v>middle_low</x:v>
      </x:c>
      <x:c r="C1614" s="60" t="n">
        <x:v>0.5</x:v>
      </x:c>
      <x:c r="D1614" s="60" t="n">
        <x:v>0.5</x:v>
      </x:c>
      <x:c r="E1614" s="62" t="b">
        <x:v>1</x:v>
      </x:c>
      <x:c r="F1614" s="62" t="b">
        <x:v>1</x:v>
      </x:c>
      <x:c r="G1614" s="85" t="n">
        <x:v>0</x:v>
      </x:c>
      <x:c r="H1614" s="85" t="n">
        <x:v>0</x:v>
      </x:c>
      <x:c r="I1614" s="85" t="n">
        <x:v>6980126.383148705</x:v>
      </x:c>
      <x:c r="J1614" s="85" t="n">
        <x:v>10245389.06264621</x:v>
      </x:c>
      <x:c r="K1614" s="85" t="n">
        <x:v>35763.49589041092</x:v>
      </x:c>
      <x:c r="L1614" s="28" t="n">
        <x:v>14</x:v>
      </x:c>
      <x:c r="M1614" s="28" t="n">
        <x:v>0</x:v>
      </x:c>
      <x:c r="N1614" s="28" t="n">
        <x:v>4.656612873077393e-10</x:v>
      </x:c>
      <x:c r="O1614" s="28" t="n">
        <x:v>7.450580596923828e-9</x:v>
      </x:c>
      <x:c r="P1614" s="28" t="n">
        <x:v>0</x:v>
      </x:c>
      <x:c r="Q1614" s="62" t="b">
        <x:v>1</x:v>
      </x:c>
      <x:c r="R1614" s="28" t="n">
        <x:v>0</x:v>
      </x:c>
      <x:c r="S1614" s="28" t="str">
        <x:v>8854d678a76bef44</x:v>
      </x:c>
    </x:row>
    <x:row r="1615" ht="21" customHeight="1">
      <x:c r="A1615" s="60" t="n">
        <x:v>0.66</x:v>
      </x:c>
      <x:c r="B1615" s="28" t="str">
        <x:v>middle_low</x:v>
      </x:c>
      <x:c r="C1615" s="60" t="n">
        <x:v>0.55</x:v>
      </x:c>
      <x:c r="D1615" s="60" t="n">
        <x:v>0.55</x:v>
      </x:c>
      <x:c r="E1615" s="62" t="b">
        <x:v>1</x:v>
      </x:c>
      <x:c r="F1615" s="62" t="b">
        <x:v>1</x:v>
      </x:c>
      <x:c r="G1615" s="85" t="n">
        <x:v>0</x:v>
      </x:c>
      <x:c r="H1615" s="85" t="n">
        <x:v>0</x:v>
      </x:c>
      <x:c r="I1615" s="85" t="n">
        <x:v>7687371.9481271235</x:v>
      </x:c>
      <x:c r="J1615" s="85" t="n">
        <x:v>12060875.370846787</x:v>
      </x:c>
      <x:c r="K1615" s="85" t="n">
        <x:v>31248.509315068604</x:v>
      </x:c>
      <x:c r="L1615" s="28" t="n">
        <x:v>17</x:v>
      </x:c>
      <x:c r="M1615" s="28" t="n">
        <x:v>0</x:v>
      </x:c>
      <x:c r="N1615" s="28" t="n">
        <x:v>4.656612873077393e-10</x:v>
      </x:c>
      <x:c r="O1615" s="28" t="n">
        <x:v>7.450580596923828e-9</x:v>
      </x:c>
      <x:c r="P1615" s="28" t="n">
        <x:v>0</x:v>
      </x:c>
      <x:c r="Q1615" s="62" t="b">
        <x:v>1</x:v>
      </x:c>
      <x:c r="R1615" s="28" t="n">
        <x:v>0</x:v>
      </x:c>
      <x:c r="S1615" s="28" t="str">
        <x:v>926f27765be63952</x:v>
      </x:c>
    </x:row>
    <x:row r="1616" ht="21" customHeight="1">
      <x:c r="A1616" s="60" t="n">
        <x:v>0.66</x:v>
      </x:c>
      <x:c r="B1616" s="28" t="str">
        <x:v>middle_low</x:v>
      </x:c>
      <x:c r="C1616" s="60" t="n">
        <x:v>0.6</x:v>
      </x:c>
      <x:c r="D1616" s="60" t="n">
        <x:v>0.6</x:v>
      </x:c>
      <x:c r="E1616" s="62" t="b">
        <x:v>1</x:v>
      </x:c>
      <x:c r="F1616" s="62" t="b">
        <x:v>0</x:v>
      </x:c>
      <x:c r="G1616" s="85" t="n">
        <x:v>31979.211935903677</x:v>
      </x:c>
      <x:c r="H1616" s="85" t="n">
        <x:v>418034.4398689314</x:v>
      </x:c>
      <x:c r="I1616" s="85" t="n">
        <x:v>8294078.507008226</x:v>
      </x:c>
      <x:c r="J1616" s="85" t="n">
        <x:v>13378559.999999998</x:v>
      </x:c>
      <x:c r="K1616" s="85" t="n">
        <x:v>28536.137972602977</x:v>
      </x:c>
      <x:c r="L1616" s="28" t="n">
        <x:v>41</x:v>
      </x:c>
      <x:c r="M1616" s="28" t="n">
        <x:v>21</x:v>
      </x:c>
      <x:c r="N1616" s="28" t="n">
        <x:v>4.656612873077393e-10</x:v>
      </x:c>
      <x:c r="O1616" s="28" t="n">
        <x:v>3.725290298461914e-9</x:v>
      </x:c>
      <x:c r="P1616" s="28" t="n">
        <x:v>0</x:v>
      </x:c>
      <x:c r="Q1616" s="62" t="b">
        <x:v>1</x:v>
      </x:c>
      <x:c r="R1616" s="28" t="n">
        <x:v>0</x:v>
      </x:c>
      <x:c r="S1616" s="28" t="str">
        <x:v>69040c420654e97f</x:v>
      </x:c>
    </x:row>
    <x:row r="1617" ht="21" customHeight="1">
      <x:c r="A1617" s="60" t="n">
        <x:v>0.66</x:v>
      </x:c>
      <x:c r="B1617" s="28" t="str">
        <x:v>middle_low</x:v>
      </x:c>
      <x:c r="C1617" s="60" t="n">
        <x:v>0.65</x:v>
      </x:c>
      <x:c r="D1617" s="60" t="n">
        <x:v>0.65</x:v>
      </x:c>
      <x:c r="E1617" s="62" t="b">
        <x:v>1</x:v>
      </x:c>
      <x:c r="F1617" s="62" t="b">
        <x:v>0</x:v>
      </x:c>
      <x:c r="G1617" s="85" t="n">
        <x:v>182239.72663154005</x:v>
      </x:c>
      <x:c r="H1617" s="85" t="n">
        <x:v>2270555.312666847</x:v>
      </x:c>
      <x:c r="I1617" s="85" t="n">
        <x:v>8470682.02382395</x:v>
      </x:c>
      <x:c r="J1617" s="85" t="n">
        <x:v>13378559.999999998</x:v>
      </x:c>
      <x:c r="K1617" s="85" t="n">
        <x:v>25823.766630137055</x:v>
      </x:c>
      <x:c r="L1617" s="28" t="n">
        <x:v>42</x:v>
      </x:c>
      <x:c r="M1617" s="28" t="n">
        <x:v>31</x:v>
      </x:c>
      <x:c r="N1617" s="28" t="n">
        <x:v>2.3283064365386963e-10</x:v>
      </x:c>
      <x:c r="O1617" s="28" t="n">
        <x:v>1.862645149230957e-9</x:v>
      </x:c>
      <x:c r="P1617" s="28" t="n">
        <x:v>0</x:v>
      </x:c>
      <x:c r="Q1617" s="62" t="b">
        <x:v>1</x:v>
      </x:c>
      <x:c r="R1617" s="28" t="n">
        <x:v>0</x:v>
      </x:c>
      <x:c r="S1617" s="28" t="str">
        <x:v>33e4aeb09c6f888f</x:v>
      </x:c>
    </x:row>
    <x:row r="1618" ht="21" customHeight="1">
      <x:c r="A1618" s="60" t="n">
        <x:v>0.66</x:v>
      </x:c>
      <x:c r="B1618" s="28" t="str">
        <x:v>middle_low</x:v>
      </x:c>
      <x:c r="C1618" s="60" t="n">
        <x:v>0.7</x:v>
      </x:c>
      <x:c r="D1618" s="60" t="n">
        <x:v>0.7</x:v>
      </x:c>
      <x:c r="E1618" s="62" t="b">
        <x:v>1</x:v>
      </x:c>
      <x:c r="F1618" s="62" t="b">
        <x:v>0</x:v>
      </x:c>
      <x:c r="G1618" s="85" t="n">
        <x:v>346461.5243544867</x:v>
      </x:c>
      <x:c r="H1618" s="85" t="n">
        <x:v>4312631.209006094</x:v>
      </x:c>
      <x:c r="I1618" s="85" t="n">
        <x:v>8481267.216569101</x:v>
      </x:c>
      <x:c r="J1618" s="85" t="n">
        <x:v>13378559.999999998</x:v>
      </x:c>
      <x:c r="K1618" s="85" t="n">
        <x:v>23111.39528767108</x:v>
      </x:c>
      <x:c r="L1618" s="28" t="n">
        <x:v>42</x:v>
      </x:c>
      <x:c r="M1618" s="28" t="n">
        <x:v>32</x:v>
      </x:c>
      <x:c r="N1618" s="28" t="n">
        <x:v>4.656612873077393e-10</x:v>
      </x:c>
      <x:c r="O1618" s="28" t="n">
        <x:v>3.725290298461914e-9</x:v>
      </x:c>
      <x:c r="P1618" s="28" t="n">
        <x:v>0</x:v>
      </x:c>
      <x:c r="Q1618" s="62" t="b">
        <x:v>1</x:v>
      </x:c>
      <x:c r="R1618" s="28" t="n">
        <x:v>0</x:v>
      </x:c>
      <x:c r="S1618" s="28" t="str">
        <x:v>9d65ca6179793221</x:v>
      </x:c>
    </x:row>
    <x:row r="1619" ht="21" customHeight="1">
      <x:c r="A1619" s="60" t="n">
        <x:v>0.66</x:v>
      </x:c>
      <x:c r="B1619" s="28" t="str">
        <x:v>middle_low</x:v>
      </x:c>
      <x:c r="C1619" s="60" t="n">
        <x:v>0.75</x:v>
      </x:c>
      <x:c r="D1619" s="60" t="n">
        <x:v>0.75</x:v>
      </x:c>
      <x:c r="E1619" s="62" t="b">
        <x:v>1</x:v>
      </x:c>
      <x:c r="F1619" s="62" t="b">
        <x:v>0</x:v>
      </x:c>
      <x:c r="G1619" s="85" t="n">
        <x:v>494960.85214651446</x:v>
      </x:c>
      <x:c r="H1619" s="85" t="n">
        <x:v>6159134.23851326</x:v>
      </x:c>
      <x:c r="I1619" s="85" t="n">
        <x:v>8662324.952102745</x:v>
      </x:c>
      <x:c r="J1619" s="85" t="n">
        <x:v>13378559.999999998</x:v>
      </x:c>
      <x:c r="K1619" s="85" t="n">
        <x:v>20399.023945205387</x:v>
      </x:c>
      <x:c r="L1619" s="28" t="n">
        <x:v>43</x:v>
      </x:c>
      <x:c r="M1619" s="28" t="n">
        <x:v>34</x:v>
      </x:c>
      <x:c r="N1619" s="28" t="n">
        <x:v>4.656612873077393e-10</x:v>
      </x:c>
      <x:c r="O1619" s="28" t="n">
        <x:v>3.725290298461914e-9</x:v>
      </x:c>
      <x:c r="P1619" s="28" t="n">
        <x:v>0</x:v>
      </x:c>
      <x:c r="Q1619" s="62" t="b">
        <x:v>1</x:v>
      </x:c>
      <x:c r="R1619" s="28" t="n">
        <x:v>0</x:v>
      </x:c>
      <x:c r="S1619" s="28" t="str">
        <x:v>9f8474e82b611c80</x:v>
      </x:c>
    </x:row>
    <x:row r="1620" ht="21" customHeight="1">
      <x:c r="A1620" s="60" t="n">
        <x:v>0.66</x:v>
      </x:c>
      <x:c r="B1620" s="28" t="str">
        <x:v>middle_low</x:v>
      </x:c>
      <x:c r="C1620" s="60" t="n">
        <x:v>0.8</x:v>
      </x:c>
      <x:c r="D1620" s="60" t="n">
        <x:v>0.8</x:v>
      </x:c>
      <x:c r="E1620" s="62" t="b">
        <x:v>1</x:v>
      </x:c>
      <x:c r="F1620" s="62" t="b">
        <x:v>0</x:v>
      </x:c>
      <x:c r="G1620" s="85" t="n">
        <x:v>694225.9465711047</x:v>
      </x:c>
      <x:c r="H1620" s="85" t="n">
        <x:v>8135804.257095238</x:v>
      </x:c>
      <x:c r="I1620" s="85" t="n">
        <x:v>8667019.449008225</x:v>
      </x:c>
      <x:c r="J1620" s="85" t="n">
        <x:v>13378559.999999998</x:v>
      </x:c>
      <x:c r="K1620" s="85" t="n">
        <x:v>17686.65260273976</x:v>
      </x:c>
      <x:c r="L1620" s="28" t="n">
        <x:v>43</x:v>
      </x:c>
      <x:c r="M1620" s="28" t="n">
        <x:v>35</x:v>
      </x:c>
      <x:c r="N1620" s="28" t="n">
        <x:v>4.656612873077393e-10</x:v>
      </x:c>
      <x:c r="O1620" s="28" t="n">
        <x:v>1.862645149230957e-9</x:v>
      </x:c>
      <x:c r="P1620" s="28" t="n">
        <x:v>0</x:v>
      </x:c>
      <x:c r="Q1620" s="62" t="b">
        <x:v>1</x:v>
      </x:c>
      <x:c r="R1620" s="28" t="n">
        <x:v>0</x:v>
      </x:c>
      <x:c r="S1620" s="28" t="str">
        <x:v>1023b087593dd9eb</x:v>
      </x:c>
    </x:row>
    <x:row r="1621" ht="21" customHeight="1">
      <x:c r="A1621" s="60" t="n">
        <x:v>0.66</x:v>
      </x:c>
      <x:c r="B1621" s="28" t="str">
        <x:v>middle_low</x:v>
      </x:c>
      <x:c r="C1621" s="60" t="n">
        <x:v>0.85</x:v>
      </x:c>
      <x:c r="D1621" s="60" t="n">
        <x:v>0.85</x:v>
      </x:c>
      <x:c r="E1621" s="62" t="b">
        <x:v>1</x:v>
      </x:c>
      <x:c r="F1621" s="62" t="b">
        <x:v>0</x:v>
      </x:c>
      <x:c r="G1621" s="85" t="n">
        <x:v>877027.5955782862</x:v>
      </x:c>
      <x:c r="H1621" s="85" t="n">
        <x:v>10099803.97273113</x:v>
      </x:c>
      <x:c r="I1621" s="85" t="n">
        <x:v>8673586.942910964</x:v>
      </x:c>
      <x:c r="J1621" s="85" t="n">
        <x:v>13378559.999999998</x:v>
      </x:c>
      <x:c r="K1621" s="85" t="n">
        <x:v>14974.281260274129</x:v>
      </x:c>
      <x:c r="L1621" s="28" t="n">
        <x:v>43</x:v>
      </x:c>
      <x:c r="M1621" s="28" t="n">
        <x:v>36</x:v>
      </x:c>
      <x:c r="N1621" s="28" t="n">
        <x:v>4.656612873077393e-10</x:v>
      </x:c>
      <x:c r="O1621" s="28" t="n">
        <x:v>3.725290298461914e-9</x:v>
      </x:c>
      <x:c r="P1621" s="28" t="n">
        <x:v>0</x:v>
      </x:c>
      <x:c r="Q1621" s="62" t="b">
        <x:v>1</x:v>
      </x:c>
      <x:c r="R1621" s="28" t="n">
        <x:v>0</x:v>
      </x:c>
      <x:c r="S1621" s="28" t="str">
        <x:v>ae7c06883d8c6a6b</x:v>
      </x:c>
    </x:row>
    <x:row r="1622" ht="21" customHeight="1">
      <x:c r="A1622" s="60" t="n">
        <x:v>0.66</x:v>
      </x:c>
      <x:c r="B1622" s="28" t="str">
        <x:v>middle_low</x:v>
      </x:c>
      <x:c r="C1622" s="60" t="n">
        <x:v>0.9</x:v>
      </x:c>
      <x:c r="D1622" s="60" t="n">
        <x:v>0.9</x:v>
      </x:c>
      <x:c r="E1622" s="62" t="b">
        <x:v>1</x:v>
      </x:c>
      <x:c r="F1622" s="62" t="b">
        <x:v>0</x:v>
      </x:c>
      <x:c r="G1622" s="85" t="n">
        <x:v>1143158.788820108</x:v>
      </x:c>
      <x:c r="H1622" s="85" t="n">
        <x:v>11769130.094277203</x:v>
      </x:c>
      <x:c r="I1622" s="85" t="n">
        <x:v>8844522.194410965</x:v>
      </x:c>
      <x:c r="J1622" s="85" t="n">
        <x:v>13378559.999999998</x:v>
      </x:c>
      <x:c r="K1622" s="85" t="n">
        <x:v>12261.909917808269</x:v>
      </x:c>
      <x:c r="L1622" s="28" t="n">
        <x:v>44</x:v>
      </x:c>
      <x:c r="M1622" s="28" t="n">
        <x:v>36</x:v>
      </x:c>
      <x:c r="N1622" s="28" t="n">
        <x:v>2.3283064365386963e-10</x:v>
      </x:c>
      <x:c r="O1622" s="28" t="n">
        <x:v>3.725290298461914e-9</x:v>
      </x:c>
      <x:c r="P1622" s="28" t="n">
        <x:v>0</x:v>
      </x:c>
      <x:c r="Q1622" s="62" t="b">
        <x:v>1</x:v>
      </x:c>
      <x:c r="R1622" s="28" t="n">
        <x:v>0</x:v>
      </x:c>
      <x:c r="S1622" s="28" t="str">
        <x:v>16ee26bb2c6df4d1</x:v>
      </x:c>
    </x:row>
    <x:row r="1623" ht="21" customHeight="1">
      <x:c r="A1623" s="60" t="n">
        <x:v>0.66</x:v>
      </x:c>
      <x:c r="B1623" s="28" t="str">
        <x:v>middle_low</x:v>
      </x:c>
      <x:c r="C1623" s="60" t="n">
        <x:v>0.95</x:v>
      </x:c>
      <x:c r="D1623" s="60" t="n">
        <x:v>0.9270639118581285</x:v>
      </x:c>
      <x:c r="E1623" s="62" t="b">
        <x:v>0</x:v>
      </x:c>
      <x:c r="F1623" s="62" t="b">
        <x:v>0</x:v>
      </x:c>
      <x:c r="G1623" s="85" t="n">
        <x:v>1442311.9443915812</x:v>
      </x:c>
      <x:c r="H1623" s="85" t="n">
        <x:v>12646084.693433115</x:v>
      </x:c>
      <x:c r="I1623" s="85" t="n">
        <x:v>8850762.395616444</x:v>
      </x:c>
      <x:c r="J1623" s="85" t="n">
        <x:v>13378559.999999998</x:v>
      </x:c>
      <x:c r="K1623" s="85" t="n">
        <x:v>9549.538575342634</x:v>
      </x:c>
      <x:c r="L1623" s="28" t="n">
        <x:v>44</x:v>
      </x:c>
      <x:c r="M1623" s="28" t="n">
        <x:v>37</x:v>
      </x:c>
      <x:c r="N1623" s="28" t="n">
        <x:v>2.3283064365386963e-10</x:v>
      </x:c>
      <x:c r="O1623" s="28" t="n">
        <x:v>3.725290298461914e-9</x:v>
      </x:c>
      <x:c r="P1623" s="28" t="n">
        <x:v>0</x:v>
      </x:c>
      <x:c r="Q1623" s="62" t="b">
        <x:v>1</x:v>
      </x:c>
      <x:c r="R1623" s="28" t="n">
        <x:v>1278549.2973804846</x:v>
      </x:c>
      <x:c r="S1623" s="28" t="str">
        <x:v>4f761762159cb077</x:v>
      </x:c>
    </x:row>
    <x:row r="1624" ht="21" customHeight="1">
      <x:c r="A1624" s="60" t="n">
        <x:v>0.66</x:v>
      </x:c>
      <x:c r="B1624" s="28" t="str">
        <x:v>middle_low</x:v>
      </x:c>
      <x:c r="C1624" s="60" t="n">
        <x:v>1</x:v>
      </x:c>
      <x:c r="D1624" s="60" t="n">
        <x:v>0.9427455891708479</x:v>
      </x:c>
      <x:c r="E1624" s="62" t="b">
        <x:v>0</x:v>
      </x:c>
      <x:c r="F1624" s="62" t="b">
        <x:v>0</x:v>
      </x:c>
      <x:c r="G1624" s="85" t="n">
        <x:v>1580505.221806022</x:v>
      </x:c>
      <x:c r="H1624" s="85" t="n">
        <x:v>13299315.442727666</x:v>
      </x:c>
      <x:c r="I1624" s="85" t="n">
        <x:v>8857002.596821923</x:v>
      </x:c>
      <x:c r="J1624" s="85" t="n">
        <x:v>13378559.999999998</x:v>
      </x:c>
      <x:c r="K1624" s="85" t="n">
        <x:v>6837.1672328767745</x:v>
      </x:c>
      <x:c r="L1624" s="28" t="n">
        <x:v>44</x:v>
      </x:c>
      <x:c r="M1624" s="28" t="n">
        <x:v>38</x:v>
      </x:c>
      <x:c r="N1624" s="28" t="n">
        <x:v>2.3283064365386963e-10</x:v>
      </x:c>
      <x:c r="O1624" s="28" t="n">
        <x:v>9.313225746154785e-10</x:v>
      </x:c>
      <x:c r="P1624" s="28" t="n">
        <x:v>0</x:v>
      </x:c>
      <x:c r="Q1624" s="62" t="b">
        <x:v>1</x:v>
      </x:c>
      <x:c r="R1624" s="28" t="n">
        <x:v>3191589.877260253</x:v>
      </x:c>
      <x:c r="S1624" s="28" t="str">
        <x:v>b7d40f148d365030</x:v>
      </x:c>
    </x:row>
    <x:row r="1625" ht="21" customHeight="1">
      <x:c r="A1625" s="60" t="n">
        <x:v>0.66</x:v>
      </x:c>
      <x:c r="B1625" s="28" t="str">
        <x:v>middle_high</x:v>
      </x:c>
      <x:c r="C1625" s="60" t="n">
        <x:v>0</x:v>
      </x:c>
      <x:c r="D1625" s="60" t="n">
        <x:v>0</x:v>
      </x:c>
      <x:c r="E1625" s="62" t="b">
        <x:v>1</x:v>
      </x:c>
      <x:c r="F1625" s="62" t="b">
        <x:v>1</x:v>
      </x:c>
      <x:c r="G1625" s="85" t="n">
        <x:v>0</x:v>
      </x:c>
      <x:c r="H1625" s="85" t="n">
        <x:v>0</x:v>
      </x:c>
      <x:c r="I1625" s="85" t="n">
        <x:v>0</x:v>
      </x:c>
      <x:c r="J1625" s="85" t="n">
        <x:v>0</x:v>
      </x:c>
      <x:c r="K1625" s="85" t="n">
        <x:v>7261858.4999452075</x:v>
      </x:c>
      <x:c r="L1625" s="28" t="n">
        <x:v>0</x:v>
      </x:c>
      <x:c r="M1625" s="28" t="n">
        <x:v>0</x:v>
      </x:c>
      <x:c r="N1625" s="28" t="n">
        <x:v>9.313225746154785e-10</x:v>
      </x:c>
      <x:c r="O1625" s="28" t="n">
        <x:v>0</x:v>
      </x:c>
      <x:c r="P1625" s="28" t="n">
        <x:v>0</x:v>
      </x:c>
      <x:c r="Q1625" s="62" t="b">
        <x:v>1</x:v>
      </x:c>
      <x:c r="R1625" s="28" t="n">
        <x:v>0</x:v>
      </x:c>
      <x:c r="S1625" s="28" t="str">
        <x:v>b8095e103ccdc4ca</x:v>
      </x:c>
    </x:row>
    <x:row r="1626" ht="21" customHeight="1">
      <x:c r="A1626" s="60" t="n">
        <x:v>0.66</x:v>
      </x:c>
      <x:c r="B1626" s="28" t="str">
        <x:v>middle_high</x:v>
      </x:c>
      <x:c r="C1626" s="60" t="n">
        <x:v>0.05</x:v>
      </x:c>
      <x:c r="D1626" s="60" t="n">
        <x:v>0.05</x:v>
      </x:c>
      <x:c r="E1626" s="62" t="b">
        <x:v>1</x:v>
      </x:c>
      <x:c r="F1626" s="62" t="b">
        <x:v>1</x:v>
      </x:c>
      <x:c r="G1626" s="85" t="n">
        <x:v>0</x:v>
      </x:c>
      <x:c r="H1626" s="85" t="n">
        <x:v>0</x:v>
      </x:c>
      <x:c r="I1626" s="85" t="n">
        <x:v>0</x:v>
      </x:c>
      <x:c r="J1626" s="85" t="n">
        <x:v>0</x:v>
      </x:c>
      <x:c r="K1626" s="85" t="n">
        <x:v>4759035.312982839</x:v>
      </x:c>
      <x:c r="L1626" s="28" t="n">
        <x:v>0</x:v>
      </x:c>
      <x:c r="M1626" s="28" t="n">
        <x:v>0</x:v>
      </x:c>
      <x:c r="N1626" s="28" t="n">
        <x:v>9.313225746154785e-10</x:v>
      </x:c>
      <x:c r="O1626" s="28" t="n">
        <x:v>7.450580596923828e-9</x:v>
      </x:c>
      <x:c r="P1626" s="28" t="n">
        <x:v>0</x:v>
      </x:c>
      <x:c r="Q1626" s="62" t="b">
        <x:v>1</x:v>
      </x:c>
      <x:c r="R1626" s="28" t="n">
        <x:v>0</x:v>
      </x:c>
      <x:c r="S1626" s="28" t="str">
        <x:v>69337dfd3e0bdcc4</x:v>
      </x:c>
    </x:row>
    <x:row r="1627" ht="21" customHeight="1">
      <x:c r="A1627" s="60" t="n">
        <x:v>0.66</x:v>
      </x:c>
      <x:c r="B1627" s="28" t="str">
        <x:v>middle_high</x:v>
      </x:c>
      <x:c r="C1627" s="60" t="n">
        <x:v>0.1</x:v>
      </x:c>
      <x:c r="D1627" s="60" t="n">
        <x:v>0.1</x:v>
      </x:c>
      <x:c r="E1627" s="62" t="b">
        <x:v>1</x:v>
      </x:c>
      <x:c r="F1627" s="62" t="b">
        <x:v>1</x:v>
      </x:c>
      <x:c r="G1627" s="85" t="n">
        <x:v>0</x:v>
      </x:c>
      <x:c r="H1627" s="85" t="n">
        <x:v>0</x:v>
      </x:c>
      <x:c r="I1627" s="85" t="n">
        <x:v>0</x:v>
      </x:c>
      <x:c r="J1627" s="85" t="n">
        <x:v>0</x:v>
      </x:c>
      <x:c r="K1627" s="85" t="n">
        <x:v>2255798.022414411</x:v>
      </x:c>
      <x:c r="L1627" s="28" t="n">
        <x:v>0</x:v>
      </x:c>
      <x:c r="M1627" s="28" t="n">
        <x:v>0</x:v>
      </x:c>
      <x:c r="N1627" s="28" t="n">
        <x:v>4.656612873077393e-10</x:v>
      </x:c>
      <x:c r="O1627" s="28" t="n">
        <x:v>7.450580596923828e-9</x:v>
      </x:c>
      <x:c r="P1627" s="28" t="n">
        <x:v>0</x:v>
      </x:c>
      <x:c r="Q1627" s="62" t="b">
        <x:v>1</x:v>
      </x:c>
      <x:c r="R1627" s="28" t="n">
        <x:v>0</x:v>
      </x:c>
      <x:c r="S1627" s="28" t="str">
        <x:v>f0bc84f02371e76b</x:v>
      </x:c>
    </x:row>
    <x:row r="1628" ht="21" customHeight="1">
      <x:c r="A1628" s="60" t="n">
        <x:v>0.66</x:v>
      </x:c>
      <x:c r="B1628" s="28" t="str">
        <x:v>middle_high</x:v>
      </x:c>
      <x:c r="C1628" s="60" t="n">
        <x:v>0.15</x:v>
      </x:c>
      <x:c r="D1628" s="60" t="n">
        <x:v>0.15</x:v>
      </x:c>
      <x:c r="E1628" s="62" t="b">
        <x:v>1</x:v>
      </x:c>
      <x:c r="F1628" s="62" t="b">
        <x:v>1</x:v>
      </x:c>
      <x:c r="G1628" s="85" t="n">
        <x:v>0</x:v>
      </x:c>
      <x:c r="H1628" s="85" t="n">
        <x:v>0</x:v>
      </x:c>
      <x:c r="I1628" s="85" t="n">
        <x:v>717930.5408577519</x:v>
      </x:c>
      <x:c r="J1628" s="85" t="n">
        <x:v>0</x:v>
      </x:c>
      <x:c r="K1628" s="85" t="n">
        <x:v>543339.9134298356</x:v>
      </x:c>
      <x:c r="L1628" s="28" t="n">
        <x:v>0</x:v>
      </x:c>
      <x:c r="M1628" s="28" t="n">
        <x:v>0</x:v>
      </x:c>
      <x:c r="N1628" s="28" t="n">
        <x:v>9.313225746154785e-10</x:v>
      </x:c>
      <x:c r="O1628" s="28" t="n">
        <x:v>7.450580596923828e-9</x:v>
      </x:c>
      <x:c r="P1628" s="28" t="n">
        <x:v>0</x:v>
      </x:c>
      <x:c r="Q1628" s="62" t="b">
        <x:v>1</x:v>
      </x:c>
      <x:c r="R1628" s="28" t="n">
        <x:v>0</x:v>
      </x:c>
      <x:c r="S1628" s="28" t="str">
        <x:v>d4ed464d5b2d8ed4</x:v>
      </x:c>
    </x:row>
    <x:row r="1629" ht="21" customHeight="1">
      <x:c r="A1629" s="60" t="n">
        <x:v>0.66</x:v>
      </x:c>
      <x:c r="B1629" s="28" t="str">
        <x:v>middle_high</x:v>
      </x:c>
      <x:c r="C1629" s="60" t="n">
        <x:v>0.2</x:v>
      </x:c>
      <x:c r="D1629" s="60" t="n">
        <x:v>0.2</x:v>
      </x:c>
      <x:c r="E1629" s="62" t="b">
        <x:v>1</x:v>
      </x:c>
      <x:c r="F1629" s="62" t="b">
        <x:v>1</x:v>
      </x:c>
      <x:c r="G1629" s="85" t="n">
        <x:v>0</x:v>
      </x:c>
      <x:c r="H1629" s="85" t="n">
        <x:v>0</x:v>
      </x:c>
      <x:c r="I1629" s="85" t="n">
        <x:v>2616618.9070404056</x:v>
      </x:c>
      <x:c r="J1629" s="85" t="n">
        <x:v>1253157.2790409003</x:v>
      </x:c>
      <x:c r="K1629" s="85" t="n">
        <x:v>427477.4331602197</x:v>
      </x:c>
      <x:c r="L1629" s="28" t="n">
        <x:v>0</x:v>
      </x:c>
      <x:c r="M1629" s="28" t="n">
        <x:v>0</x:v>
      </x:c>
      <x:c r="N1629" s="28" t="n">
        <x:v>4.656612873077393e-10</x:v>
      </x:c>
      <x:c r="O1629" s="28" t="n">
        <x:v>7.450580596923828e-9</x:v>
      </x:c>
      <x:c r="P1629" s="28" t="n">
        <x:v>0</x:v>
      </x:c>
      <x:c r="Q1629" s="62" t="b">
        <x:v>1</x:v>
      </x:c>
      <x:c r="R1629" s="28" t="n">
        <x:v>0</x:v>
      </x:c>
      <x:c r="S1629" s="28" t="str">
        <x:v>859ff286299ce64f</x:v>
      </x:c>
    </x:row>
    <x:row r="1630" ht="21" customHeight="1">
      <x:c r="A1630" s="60" t="n">
        <x:v>0.66</x:v>
      </x:c>
      <x:c r="B1630" s="28" t="str">
        <x:v>middle_high</x:v>
      </x:c>
      <x:c r="C1630" s="60" t="n">
        <x:v>0.25</x:v>
      </x:c>
      <x:c r="D1630" s="60" t="n">
        <x:v>0.25</x:v>
      </x:c>
      <x:c r="E1630" s="62" t="b">
        <x:v>1</x:v>
      </x:c>
      <x:c r="F1630" s="62" t="b">
        <x:v>1</x:v>
      </x:c>
      <x:c r="G1630" s="85" t="n">
        <x:v>0</x:v>
      </x:c>
      <x:c r="H1630" s="85" t="n">
        <x:v>0</x:v>
      </x:c>
      <x:c r="I1630" s="85" t="n">
        <x:v>4287496.928521848</x:v>
      </x:c>
      <x:c r="J1630" s="85" t="n">
        <x:v>2960046.598801145</x:v>
      </x:c>
      <x:c r="K1630" s="85" t="n">
        <x:v>336514.3388201371</x:v>
      </x:c>
      <x:c r="L1630" s="28" t="n">
        <x:v>0</x:v>
      </x:c>
      <x:c r="M1630" s="28" t="n">
        <x:v>0</x:v>
      </x:c>
      <x:c r="N1630" s="28" t="n">
        <x:v>4.656612873077393e-10</x:v>
      </x:c>
      <x:c r="O1630" s="28" t="n">
        <x:v>7.450580596923828e-9</x:v>
      </x:c>
      <x:c r="P1630" s="28" t="n">
        <x:v>0</x:v>
      </x:c>
      <x:c r="Q1630" s="62" t="b">
        <x:v>1</x:v>
      </x:c>
      <x:c r="R1630" s="28" t="n">
        <x:v>0</x:v>
      </x:c>
      <x:c r="S1630" s="28" t="str">
        <x:v>b52dbf03e360f9e6</x:v>
      </x:c>
    </x:row>
    <x:row r="1631" ht="21" customHeight="1">
      <x:c r="A1631" s="60" t="n">
        <x:v>0.66</x:v>
      </x:c>
      <x:c r="B1631" s="28" t="str">
        <x:v>middle_high</x:v>
      </x:c>
      <x:c r="C1631" s="60" t="n">
        <x:v>0.3</x:v>
      </x:c>
      <x:c r="D1631" s="60" t="n">
        <x:v>0.3</x:v>
      </x:c>
      <x:c r="E1631" s="62" t="b">
        <x:v>1</x:v>
      </x:c>
      <x:c r="F1631" s="62" t="b">
        <x:v>1</x:v>
      </x:c>
      <x:c r="G1631" s="85" t="n">
        <x:v>0</x:v>
      </x:c>
      <x:c r="H1631" s="85" t="n">
        <x:v>0</x:v>
      </x:c>
      <x:c r="I1631" s="85" t="n">
        <x:v>5963145.629517356</x:v>
      </x:c>
      <x:c r="J1631" s="85" t="n">
        <x:v>4666935.918561366</x:v>
      </x:c>
      <x:c r="K1631" s="85" t="n">
        <x:v>279146.09401101415</x:v>
      </x:c>
      <x:c r="L1631" s="28" t="n">
        <x:v>0</x:v>
      </x:c>
      <x:c r="M1631" s="28" t="n">
        <x:v>0</x:v>
      </x:c>
      <x:c r="N1631" s="28" t="n">
        <x:v>9.313225746154785e-10</x:v>
      </x:c>
      <x:c r="O1631" s="28" t="n">
        <x:v>7.450580596923828e-9</x:v>
      </x:c>
      <x:c r="P1631" s="28" t="n">
        <x:v>0</x:v>
      </x:c>
      <x:c r="Q1631" s="62" t="b">
        <x:v>1</x:v>
      </x:c>
      <x:c r="R1631" s="28" t="n">
        <x:v>0</x:v>
      </x:c>
      <x:c r="S1631" s="28" t="str">
        <x:v>9237a35073279c7a</x:v>
      </x:c>
    </x:row>
    <x:row r="1632" ht="21" customHeight="1">
      <x:c r="A1632" s="60" t="n">
        <x:v>0.66</x:v>
      </x:c>
      <x:c r="B1632" s="28" t="str">
        <x:v>middle_high</x:v>
      </x:c>
      <x:c r="C1632" s="60" t="n">
        <x:v>0.35</x:v>
      </x:c>
      <x:c r="D1632" s="60" t="n">
        <x:v>0.35</x:v>
      </x:c>
      <x:c r="E1632" s="62" t="b">
        <x:v>1</x:v>
      </x:c>
      <x:c r="F1632" s="62" t="b">
        <x:v>1</x:v>
      </x:c>
      <x:c r="G1632" s="85" t="n">
        <x:v>0</x:v>
      </x:c>
      <x:c r="H1632" s="85" t="n">
        <x:v>0</x:v>
      </x:c>
      <x:c r="I1632" s="85" t="n">
        <x:v>7672987.83694635</x:v>
      </x:c>
      <x:c r="J1632" s="85" t="n">
        <x:v>6373825.238321629</x:v>
      </x:c>
      <x:c r="K1632" s="85" t="n">
        <x:v>229568.34538698685</x:v>
      </x:c>
      <x:c r="L1632" s="28" t="n">
        <x:v>0</x:v>
      </x:c>
      <x:c r="M1632" s="28" t="n">
        <x:v>0</x:v>
      </x:c>
      <x:c r="N1632" s="28" t="n">
        <x:v>9.313225746154785e-10</x:v>
      </x:c>
      <x:c r="O1632" s="28" t="n">
        <x:v>7.450580596923828e-9</x:v>
      </x:c>
      <x:c r="P1632" s="28" t="n">
        <x:v>0</x:v>
      </x:c>
      <x:c r="Q1632" s="62" t="b">
        <x:v>1</x:v>
      </x:c>
      <x:c r="R1632" s="28" t="n">
        <x:v>0</x:v>
      </x:c>
      <x:c r="S1632" s="28" t="str">
        <x:v>367a22929db3715a</x:v>
      </x:c>
    </x:row>
    <x:row r="1633" ht="21" customHeight="1">
      <x:c r="A1633" s="60" t="n">
        <x:v>0.66</x:v>
      </x:c>
      <x:c r="B1633" s="28" t="str">
        <x:v>middle_high</x:v>
      </x:c>
      <x:c r="C1633" s="60" t="n">
        <x:v>0.4</x:v>
      </x:c>
      <x:c r="D1633" s="60" t="n">
        <x:v>0.4</x:v>
      </x:c>
      <x:c r="E1633" s="62" t="b">
        <x:v>1</x:v>
      </x:c>
      <x:c r="F1633" s="62" t="b">
        <x:v>1</x:v>
      </x:c>
      <x:c r="G1633" s="85" t="n">
        <x:v>0</x:v>
      </x:c>
      <x:c r="H1633" s="85" t="n">
        <x:v>0</x:v>
      </x:c>
      <x:c r="I1633" s="85" t="n">
        <x:v>9503998.498789888</x:v>
      </x:c>
      <x:c r="J1633" s="85" t="n">
        <x:v>7281560.47529786</x:v>
      </x:c>
      <x:c r="K1633" s="85" t="n">
        <x:v>203473.2531506841</x:v>
      </x:c>
      <x:c r="L1633" s="28" t="n">
        <x:v>4</x:v>
      </x:c>
      <x:c r="M1633" s="28" t="n">
        <x:v>0</x:v>
      </x:c>
      <x:c r="N1633" s="28" t="n">
        <x:v>4.656612873077393e-10</x:v>
      </x:c>
      <x:c r="O1633" s="28" t="n">
        <x:v>3.725290298461914e-9</x:v>
      </x:c>
      <x:c r="P1633" s="28" t="n">
        <x:v>0</x:v>
      </x:c>
      <x:c r="Q1633" s="62" t="b">
        <x:v>1</x:v>
      </x:c>
      <x:c r="R1633" s="28" t="n">
        <x:v>0</x:v>
      </x:c>
      <x:c r="S1633" s="28" t="str">
        <x:v>c1f10b557c388a09</x:v>
      </x:c>
    </x:row>
    <x:row r="1634" ht="21" customHeight="1">
      <x:c r="A1634" s="60" t="n">
        <x:v>0.66</x:v>
      </x:c>
      <x:c r="B1634" s="28" t="str">
        <x:v>middle_high</x:v>
      </x:c>
      <x:c r="C1634" s="60" t="n">
        <x:v>0.45</x:v>
      </x:c>
      <x:c r="D1634" s="60" t="n">
        <x:v>0.45</x:v>
      </x:c>
      <x:c r="E1634" s="62" t="b">
        <x:v>1</x:v>
      </x:c>
      <x:c r="F1634" s="62" t="b">
        <x:v>1</x:v>
      </x:c>
      <x:c r="G1634" s="85" t="n">
        <x:v>0</x:v>
      </x:c>
      <x:c r="H1634" s="85" t="n">
        <x:v>0</x:v>
      </x:c>
      <x:c r="I1634" s="85" t="n">
        <x:v>11302384.697049202</x:v>
      </x:c>
      <x:c r="J1634" s="85" t="n">
        <x:v>8483927.057616431</x:v>
      </x:c>
      <x:c r="K1634" s="85" t="n">
        <x:v>179516.95479452144</x:v>
      </x:c>
      <x:c r="L1634" s="28" t="n">
        <x:v>8</x:v>
      </x:c>
      <x:c r="M1634" s="28" t="n">
        <x:v>0</x:v>
      </x:c>
      <x:c r="N1634" s="28" t="n">
        <x:v>9.313225746154785e-10</x:v>
      </x:c>
      <x:c r="O1634" s="28" t="n">
        <x:v>1.862645149230957e-9</x:v>
      </x:c>
      <x:c r="P1634" s="28" t="n">
        <x:v>0</x:v>
      </x:c>
      <x:c r="Q1634" s="62" t="b">
        <x:v>1</x:v>
      </x:c>
      <x:c r="R1634" s="28" t="n">
        <x:v>0</x:v>
      </x:c>
      <x:c r="S1634" s="28" t="str">
        <x:v>74952ed4ea24f525</x:v>
      </x:c>
    </x:row>
    <x:row r="1635" ht="21" customHeight="1">
      <x:c r="A1635" s="60" t="n">
        <x:v>0.66</x:v>
      </x:c>
      <x:c r="B1635" s="28" t="str">
        <x:v>middle_high</x:v>
      </x:c>
      <x:c r="C1635" s="60" t="n">
        <x:v>0.5</x:v>
      </x:c>
      <x:c r="D1635" s="60" t="n">
        <x:v>0.5</x:v>
      </x:c>
      <x:c r="E1635" s="62" t="b">
        <x:v>1</x:v>
      </x:c>
      <x:c r="F1635" s="62" t="b">
        <x:v>1</x:v>
      </x:c>
      <x:c r="G1635" s="85" t="n">
        <x:v>0</x:v>
      </x:c>
      <x:c r="H1635" s="85" t="n">
        <x:v>0</x:v>
      </x:c>
      <x:c r="I1635" s="85" t="n">
        <x:v>13073674.31819166</x:v>
      </x:c>
      <x:c r="J1635" s="85" t="n">
        <x:v>9741356.780267477</x:v>
      </x:c>
      <x:c r="K1635" s="85" t="n">
        <x:v>155560.65643835647</x:v>
      </x:c>
      <x:c r="L1635" s="28" t="n">
        <x:v>13</x:v>
      </x:c>
      <x:c r="M1635" s="28" t="n">
        <x:v>1</x:v>
      </x:c>
      <x:c r="N1635" s="28" t="n">
        <x:v>9.313225746154785e-10</x:v>
      </x:c>
      <x:c r="O1635" s="28" t="n">
        <x:v>7.450580596923828e-9</x:v>
      </x:c>
      <x:c r="P1635" s="28" t="n">
        <x:v>0</x:v>
      </x:c>
      <x:c r="Q1635" s="62" t="b">
        <x:v>1</x:v>
      </x:c>
      <x:c r="R1635" s="28" t="n">
        <x:v>0</x:v>
      </x:c>
      <x:c r="S1635" s="28" t="str">
        <x:v>672d92466ef0e359</x:v>
      </x:c>
    </x:row>
    <x:row r="1636" ht="21" customHeight="1">
      <x:c r="A1636" s="60" t="n">
        <x:v>0.66</x:v>
      </x:c>
      <x:c r="B1636" s="28" t="str">
        <x:v>middle_high</x:v>
      </x:c>
      <x:c r="C1636" s="60" t="n">
        <x:v>0.55</x:v>
      </x:c>
      <x:c r="D1636" s="60" t="n">
        <x:v>0.55</x:v>
      </x:c>
      <x:c r="E1636" s="62" t="b">
        <x:v>1</x:v>
      </x:c>
      <x:c r="F1636" s="62" t="b">
        <x:v>1</x:v>
      </x:c>
      <x:c r="G1636" s="85" t="n">
        <x:v>0</x:v>
      </x:c>
      <x:c r="H1636" s="85" t="n">
        <x:v>0</x:v>
      </x:c>
      <x:c r="I1636" s="85" t="n">
        <x:v>14731110.207126329</x:v>
      </x:c>
      <x:c r="J1636" s="85" t="n">
        <x:v>11837507.187682606</x:v>
      </x:c>
      <x:c r="K1636" s="85" t="n">
        <x:v>131604.3580821917</x:v>
      </x:c>
      <x:c r="L1636" s="28" t="n">
        <x:v>16</x:v>
      </x:c>
      <x:c r="M1636" s="28" t="n">
        <x:v>10</x:v>
      </x:c>
      <x:c r="N1636" s="28" t="n">
        <x:v>4.656612873077393e-10</x:v>
      </x:c>
      <x:c r="O1636" s="28" t="n">
        <x:v>7.450580596923828e-9</x:v>
      </x:c>
      <x:c r="P1636" s="28" t="n">
        <x:v>0</x:v>
      </x:c>
      <x:c r="Q1636" s="62" t="b">
        <x:v>1</x:v>
      </x:c>
      <x:c r="R1636" s="28" t="n">
        <x:v>0</x:v>
      </x:c>
      <x:c r="S1636" s="28" t="str">
        <x:v>0226d9f482eb15be</x:v>
      </x:c>
    </x:row>
    <x:row r="1637" ht="21" customHeight="1">
      <x:c r="A1637" s="60" t="n">
        <x:v>0.66</x:v>
      </x:c>
      <x:c r="B1637" s="28" t="str">
        <x:v>middle_high</x:v>
      </x:c>
      <x:c r="C1637" s="60" t="n">
        <x:v>0.6</x:v>
      </x:c>
      <x:c r="D1637" s="60" t="n">
        <x:v>0.6</x:v>
      </x:c>
      <x:c r="E1637" s="62" t="b">
        <x:v>1</x:v>
      </x:c>
      <x:c r="F1637" s="62" t="b">
        <x:v>0</x:v>
      </x:c>
      <x:c r="G1637" s="85" t="n">
        <x:v>184589.8167694848</x:v>
      </x:c>
      <x:c r="H1637" s="85" t="n">
        <x:v>579041.4972945472</x:v>
      </x:c>
      <x:c r="I1637" s="85" t="n">
        <x:v>15991931.104939725</x:v>
      </x:c>
      <x:c r="J1637" s="85" t="n">
        <x:v>13378559.999999998</x:v>
      </x:c>
      <x:c r="K1637" s="85" t="n">
        <x:v>115876.94301369894</x:v>
      </x:c>
      <x:c r="L1637" s="28" t="n">
        <x:v>41</x:v>
      </x:c>
      <x:c r="M1637" s="28" t="n">
        <x:v>36</x:v>
      </x:c>
      <x:c r="N1637" s="28" t="n">
        <x:v>4.656612873077393e-10</x:v>
      </x:c>
      <x:c r="O1637" s="28" t="n">
        <x:v>3.725290298461914e-9</x:v>
      </x:c>
      <x:c r="P1637" s="28" t="n">
        <x:v>0</x:v>
      </x:c>
      <x:c r="Q1637" s="62" t="b">
        <x:v>1</x:v>
      </x:c>
      <x:c r="R1637" s="28" t="n">
        <x:v>0</x:v>
      </x:c>
      <x:c r="S1637" s="28" t="str">
        <x:v>bb7de712a827939f</x:v>
      </x:c>
    </x:row>
    <x:row r="1638" ht="21" customHeight="1">
      <x:c r="A1638" s="60" t="n">
        <x:v>0.66</x:v>
      </x:c>
      <x:c r="B1638" s="28" t="str">
        <x:v>middle_high</x:v>
      </x:c>
      <x:c r="C1638" s="60" t="n">
        <x:v>0.65</x:v>
      </x:c>
      <x:c r="D1638" s="60" t="n">
        <x:v>0.65</x:v>
      </x:c>
      <x:c r="E1638" s="62" t="b">
        <x:v>1</x:v>
      </x:c>
      <x:c r="F1638" s="62" t="b">
        <x:v>0</x:v>
      </x:c>
      <x:c r="G1638" s="85" t="n">
        <x:v>955243.3879076306</x:v>
      </x:c>
      <x:c r="H1638" s="85" t="n">
        <x:v>2999095.7223035446</x:v>
      </x:c>
      <x:c r="I1638" s="85" t="n">
        <x:v>16302496.196335042</x:v>
      </x:c>
      <x:c r="J1638" s="85" t="n">
        <x:v>13378559.999999998</x:v>
      </x:c>
      <x:c r="K1638" s="85" t="n">
        <x:v>101945.30241095868</x:v>
      </x:c>
      <x:c r="L1638" s="28" t="n">
        <x:v>42</x:v>
      </x:c>
      <x:c r="M1638" s="28" t="n">
        <x:v>37</x:v>
      </x:c>
      <x:c r="N1638" s="28" t="n">
        <x:v>4.656612873077393e-10</x:v>
      </x:c>
      <x:c r="O1638" s="28" t="n">
        <x:v>1.862645149230957e-9</x:v>
      </x:c>
      <x:c r="P1638" s="28" t="n">
        <x:v>0</x:v>
      </x:c>
      <x:c r="Q1638" s="62" t="b">
        <x:v>1</x:v>
      </x:c>
      <x:c r="R1638" s="28" t="n">
        <x:v>0</x:v>
      </x:c>
      <x:c r="S1638" s="28" t="str">
        <x:v>13bbf67fe16c149d</x:v>
      </x:c>
    </x:row>
    <x:row r="1639" ht="21" customHeight="1">
      <x:c r="A1639" s="60" t="n">
        <x:v>0.66</x:v>
      </x:c>
      <x:c r="B1639" s="28" t="str">
        <x:v>middle_high</x:v>
      </x:c>
      <x:c r="C1639" s="60" t="n">
        <x:v>0.7</x:v>
      </x:c>
      <x:c r="D1639" s="60" t="n">
        <x:v>0.7</x:v>
      </x:c>
      <x:c r="E1639" s="62" t="b">
        <x:v>1</x:v>
      </x:c>
      <x:c r="F1639" s="62" t="b">
        <x:v>0</x:v>
      </x:c>
      <x:c r="G1639" s="85" t="n">
        <x:v>1880920.6073497129</x:v>
      </x:c>
      <x:c r="H1639" s="85" t="n">
        <x:v>5675924.822517927</x:v>
      </x:c>
      <x:c r="I1639" s="85" t="n">
        <x:v>16339197.64168937</x:v>
      </x:c>
      <x:c r="J1639" s="85" t="n">
        <x:v>13378559.999999998</x:v>
      </x:c>
      <x:c r="K1639" s="85" t="n">
        <x:v>94715.09304109548</x:v>
      </x:c>
      <x:c r="L1639" s="28" t="n">
        <x:v>42</x:v>
      </x:c>
      <x:c r="M1639" s="28" t="n">
        <x:v>38</x:v>
      </x:c>
      <x:c r="N1639" s="28" t="n">
        <x:v>4.656612873077393e-10</x:v>
      </x:c>
      <x:c r="O1639" s="28" t="n">
        <x:v>3.725290298461914e-9</x:v>
      </x:c>
      <x:c r="P1639" s="28" t="n">
        <x:v>0</x:v>
      </x:c>
      <x:c r="Q1639" s="62" t="b">
        <x:v>1</x:v>
      </x:c>
      <x:c r="R1639" s="28" t="n">
        <x:v>0</x:v>
      </x:c>
      <x:c r="S1639" s="28" t="str">
        <x:v>431663d2091b7698</x:v>
      </x:c>
    </x:row>
    <x:row r="1640" ht="21" customHeight="1">
      <x:c r="A1640" s="60" t="n">
        <x:v>0.66</x:v>
      </x:c>
      <x:c r="B1640" s="28" t="str">
        <x:v>middle_high</x:v>
      </x:c>
      <x:c r="C1640" s="60" t="n">
        <x:v>0.75</x:v>
      </x:c>
      <x:c r="D1640" s="60" t="n">
        <x:v>0.75</x:v>
      </x:c>
      <x:c r="E1640" s="62" t="b">
        <x:v>1</x:v>
      </x:c>
      <x:c r="F1640" s="62" t="b">
        <x:v>0</x:v>
      </x:c>
      <x:c r="G1640" s="85" t="n">
        <x:v>2719574.304381712</x:v>
      </x:c>
      <x:c r="H1640" s="85" t="n">
        <x:v>7828939.573772592</x:v>
      </x:c>
      <x:c r="I1640" s="85" t="n">
        <x:v>16652243.043626713</x:v>
      </x:c>
      <x:c r="J1640" s="85" t="n">
        <x:v>13378559.999999998</x:v>
      </x:c>
      <x:c r="K1640" s="85" t="n">
        <x:v>87484.8836712332</x:v>
      </x:c>
      <x:c r="L1640" s="28" t="n">
        <x:v>43</x:v>
      </x:c>
      <x:c r="M1640" s="28" t="n">
        <x:v>38</x:v>
      </x:c>
      <x:c r="N1640" s="28" t="n">
        <x:v>2.3283064365386963e-10</x:v>
      </x:c>
      <x:c r="O1640" s="28" t="n">
        <x:v>3.725290298461914e-9</x:v>
      </x:c>
      <x:c r="P1640" s="28" t="n">
        <x:v>0</x:v>
      </x:c>
      <x:c r="Q1640" s="62" t="b">
        <x:v>1</x:v>
      </x:c>
      <x:c r="R1640" s="28" t="n">
        <x:v>0</x:v>
      </x:c>
      <x:c r="S1640" s="28" t="str">
        <x:v>6b7044efb51c262c</x:v>
      </x:c>
    </x:row>
    <x:row r="1641" ht="21" customHeight="1">
      <x:c r="A1641" s="60" t="n">
        <x:v>0.66</x:v>
      </x:c>
      <x:c r="B1641" s="28" t="str">
        <x:v>middle_high</x:v>
      </x:c>
      <x:c r="C1641" s="60" t="n">
        <x:v>0.8</x:v>
      </x:c>
      <x:c r="D1641" s="60" t="n">
        <x:v>0.8</x:v>
      </x:c>
      <x:c r="E1641" s="62" t="b">
        <x:v>1</x:v>
      </x:c>
      <x:c r="F1641" s="62" t="b">
        <x:v>0</x:v>
      </x:c>
      <x:c r="G1641" s="85" t="n">
        <x:v>3751751.939963788</x:v>
      </x:c>
      <x:c r="H1641" s="85" t="n">
        <x:v>10286737.421820492</x:v>
      </x:c>
      <x:c r="I1641" s="85" t="n">
        <x:v>16676996.934542466</x:v>
      </x:c>
      <x:c r="J1641" s="85" t="n">
        <x:v>13378559.999999998</x:v>
      </x:c>
      <x:c r="K1641" s="85" t="n">
        <x:v>80254.67430136977</x:v>
      </x:c>
      <x:c r="L1641" s="28" t="n">
        <x:v>43</x:v>
      </x:c>
      <x:c r="M1641" s="28" t="n">
        <x:v>40</x:v>
      </x:c>
      <x:c r="N1641" s="28" t="n">
        <x:v>4.656612873077393e-10</x:v>
      </x:c>
      <x:c r="O1641" s="28" t="n">
        <x:v>1.862645149230957e-9</x:v>
      </x:c>
      <x:c r="P1641" s="28" t="n">
        <x:v>0</x:v>
      </x:c>
      <x:c r="Q1641" s="62" t="b">
        <x:v>1</x:v>
      </x:c>
      <x:c r="R1641" s="28" t="n">
        <x:v>0</x:v>
      </x:c>
      <x:c r="S1641" s="28" t="str">
        <x:v>1a49379152f8d2d1</x:v>
      </x:c>
    </x:row>
    <x:row r="1642" ht="21" customHeight="1">
      <x:c r="A1642" s="60" t="n">
        <x:v>0.66</x:v>
      </x:c>
      <x:c r="B1642" s="28" t="str">
        <x:v>middle_high</x:v>
      </x:c>
      <x:c r="C1642" s="60" t="n">
        <x:v>0.85</x:v>
      </x:c>
      <x:c r="D1642" s="60" t="n">
        <x:v>0.85</x:v>
      </x:c>
      <x:c r="E1642" s="62" t="b">
        <x:v>1</x:v>
      </x:c>
      <x:c r="F1642" s="62" t="b">
        <x:v>0</x:v>
      </x:c>
      <x:c r="G1642" s="85" t="n">
        <x:v>4809832.411515926</x:v>
      </x:c>
      <x:c r="H1642" s="85" t="n">
        <x:v>12742969.593553388</x:v>
      </x:c>
      <x:c r="I1642" s="85" t="n">
        <x:v>16706846.965074658</x:v>
      </x:c>
      <x:c r="J1642" s="85" t="n">
        <x:v>13378559.999999998</x:v>
      </x:c>
      <x:c r="K1642" s="85" t="n">
        <x:v>73024.4649315068</x:v>
      </x:c>
      <x:c r="L1642" s="28" t="n">
        <x:v>43</x:v>
      </x:c>
      <x:c r="M1642" s="28" t="n">
        <x:v>40</x:v>
      </x:c>
      <x:c r="N1642" s="28" t="n">
        <x:v>4.656612873077393e-10</x:v>
      </x:c>
      <x:c r="O1642" s="28" t="n">
        <x:v>3.725290298461914e-9</x:v>
      </x:c>
      <x:c r="P1642" s="28" t="n">
        <x:v>0</x:v>
      </x:c>
      <x:c r="Q1642" s="62" t="b">
        <x:v>1</x:v>
      </x:c>
      <x:c r="R1642" s="28" t="n">
        <x:v>0</x:v>
      </x:c>
      <x:c r="S1642" s="28" t="str">
        <x:v>6e44e49ab2d95592</x:v>
      </x:c>
    </x:row>
    <x:row r="1643" ht="21" customHeight="1">
      <x:c r="A1643" s="60" t="n">
        <x:v>0.66</x:v>
      </x:c>
      <x:c r="B1643" s="28" t="str">
        <x:v>middle_high</x:v>
      </x:c>
      <x:c r="C1643" s="60" t="n">
        <x:v>0.9</x:v>
      </x:c>
      <x:c r="D1643" s="60" t="n">
        <x:v>0.9</x:v>
      </x:c>
      <x:c r="E1643" s="62" t="b">
        <x:v>1</x:v>
      </x:c>
      <x:c r="F1643" s="62" t="b">
        <x:v>0</x:v>
      </x:c>
      <x:c r="G1643" s="85" t="n">
        <x:v>6149953.03947104</x:v>
      </x:c>
      <x:c r="H1643" s="85" t="n">
        <x:v>14036194.519368969</x:v>
      </x:c>
      <x:c r="I1643" s="85" t="n">
        <x:v>17000049.893260274</x:v>
      </x:c>
      <x:c r="J1643" s="85" t="n">
        <x:v>13378559.999999998</x:v>
      </x:c>
      <x:c r="K1643" s="85" t="n">
        <x:v>65794.25556164405</x:v>
      </x:c>
      <x:c r="L1643" s="28" t="n">
        <x:v>44</x:v>
      </x:c>
      <x:c r="M1643" s="28" t="n">
        <x:v>40</x:v>
      </x:c>
      <x:c r="N1643" s="28" t="n">
        <x:v>4.656612873077393e-10</x:v>
      </x:c>
      <x:c r="O1643" s="28" t="n">
        <x:v>3.725290298461914e-9</x:v>
      </x:c>
      <x:c r="P1643" s="28" t="n">
        <x:v>0</x:v>
      </x:c>
      <x:c r="Q1643" s="62" t="b">
        <x:v>1</x:v>
      </x:c>
      <x:c r="R1643" s="28" t="n">
        <x:v>0</x:v>
      </x:c>
      <x:c r="S1643" s="28" t="str">
        <x:v>ec6f1b24962ee11a</x:v>
      </x:c>
    </x:row>
    <x:row r="1644" ht="21" customHeight="1">
      <x:c r="A1644" s="60" t="n">
        <x:v>0.66</x:v>
      </x:c>
      <x:c r="B1644" s="28" t="str">
        <x:v>middle_high</x:v>
      </x:c>
      <x:c r="C1644" s="60" t="n">
        <x:v>0.95</x:v>
      </x:c>
      <x:c r="D1644" s="60" t="n">
        <x:v>0.9270639118581285</x:v>
      </x:c>
      <x:c r="E1644" s="62" t="b">
        <x:v>0</x:v>
      </x:c>
      <x:c r="F1644" s="62" t="b">
        <x:v>0</x:v>
      </x:c>
      <x:c r="G1644" s="85" t="n">
        <x:v>6831726.426493367</x:v>
      </x:c>
      <x:c r="H1644" s="85" t="n">
        <x:v>15146883.001234083</x:v>
      </x:c>
      <x:c r="I1644" s="85" t="n">
        <x:v>17016986.74038356</x:v>
      </x:c>
      <x:c r="J1644" s="85" t="n">
        <x:v>13378559.999999998</x:v>
      </x:c>
      <x:c r="K1644" s="85" t="n">
        <x:v>58564.04619178084</x:v>
      </x:c>
      <x:c r="L1644" s="28" t="n">
        <x:v>44</x:v>
      </x:c>
      <x:c r="M1644" s="28" t="n">
        <x:v>41</x:v>
      </x:c>
      <x:c r="N1644" s="28" t="n">
        <x:v>4.656612873077393e-10</x:v>
      </x:c>
      <x:c r="O1644" s="28" t="n">
        <x:v>3.725290298461914e-9</x:v>
      </x:c>
      <x:c r="P1644" s="28" t="n">
        <x:v>0</x:v>
      </x:c>
      <x:c r="Q1644" s="62" t="b">
        <x:v>1</x:v>
      </x:c>
      <x:c r="R1644" s="28" t="n">
        <x:v>1278549.2973804846</x:v>
      </x:c>
      <x:c r="S1644" s="28" t="str">
        <x:v>2f2ac6ece91307e0</x:v>
      </x:c>
    </x:row>
    <x:row r="1645" ht="21" customHeight="1">
      <x:c r="A1645" s="60" t="n">
        <x:v>0.66</x:v>
      </x:c>
      <x:c r="B1645" s="28" t="str">
        <x:v>middle_high</x:v>
      </x:c>
      <x:c r="C1645" s="60" t="n">
        <x:v>1</x:v>
      </x:c>
      <x:c r="D1645" s="60" t="n">
        <x:v>0.9427455891708479</x:v>
      </x:c>
      <x:c r="E1645" s="62" t="b">
        <x:v>0</x:v>
      </x:c>
      <x:c r="F1645" s="62" t="b">
        <x:v>0</x:v>
      </x:c>
      <x:c r="G1645" s="85" t="n">
        <x:v>7476923.774115941</x:v>
      </x:c>
      <x:c r="H1645" s="85" t="n">
        <x:v>15883324.056116471</x:v>
      </x:c>
      <x:c r="I1645" s="85" t="n">
        <x:v>17033923.58750685</x:v>
      </x:c>
      <x:c r="J1645" s="85" t="n">
        <x:v>13378559.999999998</x:v>
      </x:c>
      <x:c r="K1645" s="85" t="n">
        <x:v>51333.836821918565</x:v>
      </x:c>
      <x:c r="L1645" s="28" t="n">
        <x:v>44</x:v>
      </x:c>
      <x:c r="M1645" s="28" t="n">
        <x:v>41</x:v>
      </x:c>
      <x:c r="N1645" s="28" t="n">
        <x:v>2.3283064365386963e-10</x:v>
      </x:c>
      <x:c r="O1645" s="28" t="n">
        <x:v>9.313225746154785e-10</x:v>
      </x:c>
      <x:c r="P1645" s="28" t="n">
        <x:v>0</x:v>
      </x:c>
      <x:c r="Q1645" s="62" t="b">
        <x:v>1</x:v>
      </x:c>
      <x:c r="R1645" s="28" t="n">
        <x:v>3191589.877260253</x:v>
      </x:c>
      <x:c r="S1645" s="28" t="str">
        <x:v>cc3e658949a1017a</x:v>
      </x:c>
    </x:row>
    <x:row r="1646" ht="21" customHeight="1">
      <x:c r="A1646" s="60" t="n">
        <x:v>0.66</x:v>
      </x:c>
      <x:c r="B1646" s="28" t="str">
        <x:v>back_flat</x:v>
      </x:c>
      <x:c r="C1646" s="60" t="n">
        <x:v>0</x:v>
      </x:c>
      <x:c r="D1646" s="60" t="n">
        <x:v>0</x:v>
      </x:c>
      <x:c r="E1646" s="62" t="b">
        <x:v>1</x:v>
      </x:c>
      <x:c r="F1646" s="62" t="b">
        <x:v>1</x:v>
      </x:c>
      <x:c r="G1646" s="85" t="n">
        <x:v>0</x:v>
      </x:c>
      <x:c r="H1646" s="85" t="n">
        <x:v>0</x:v>
      </x:c>
      <x:c r="I1646" s="85" t="n">
        <x:v>0</x:v>
      </x:c>
      <x:c r="J1646" s="85" t="n">
        <x:v>0</x:v>
      </x:c>
      <x:c r="K1646" s="85" t="n">
        <x:v>6340423.968438363</x:v>
      </x:c>
      <x:c r="L1646" s="28" t="n">
        <x:v>0</x:v>
      </x:c>
      <x:c r="M1646" s="28" t="n">
        <x:v>0</x:v>
      </x:c>
      <x:c r="N1646" s="28" t="n">
        <x:v>9.313225746154785e-10</x:v>
      </x:c>
      <x:c r="O1646" s="28" t="n">
        <x:v>0</x:v>
      </x:c>
      <x:c r="P1646" s="28" t="n">
        <x:v>0</x:v>
      </x:c>
      <x:c r="Q1646" s="62" t="b">
        <x:v>1</x:v>
      </x:c>
      <x:c r="R1646" s="28" t="n">
        <x:v>0</x:v>
      </x:c>
      <x:c r="S1646" s="28" t="str">
        <x:v>678f1944664a5c3d</x:v>
      </x:c>
    </x:row>
    <x:row r="1647" ht="21" customHeight="1">
      <x:c r="A1647" s="60" t="n">
        <x:v>0.66</x:v>
      </x:c>
      <x:c r="B1647" s="28" t="str">
        <x:v>back_flat</x:v>
      </x:c>
      <x:c r="C1647" s="60" t="n">
        <x:v>0.05</x:v>
      </x:c>
      <x:c r="D1647" s="60" t="n">
        <x:v>0.05</x:v>
      </x:c>
      <x:c r="E1647" s="62" t="b">
        <x:v>1</x:v>
      </x:c>
      <x:c r="F1647" s="62" t="b">
        <x:v>1</x:v>
      </x:c>
      <x:c r="G1647" s="85" t="n">
        <x:v>0</x:v>
      </x:c>
      <x:c r="H1647" s="85" t="n">
        <x:v>0</x:v>
      </x:c>
      <x:c r="I1647" s="85" t="n">
        <x:v>0</x:v>
      </x:c>
      <x:c r="J1647" s="85" t="n">
        <x:v>0</x:v>
      </x:c>
      <x:c r="K1647" s="85" t="n">
        <x:v>4148106.719704063</x:v>
      </x:c>
      <x:c r="L1647" s="28" t="n">
        <x:v>0</x:v>
      </x:c>
      <x:c r="M1647" s="28" t="n">
        <x:v>0</x:v>
      </x:c>
      <x:c r="N1647" s="28" t="n">
        <x:v>9.313225746154785e-10</x:v>
      </x:c>
      <x:c r="O1647" s="28" t="n">
        <x:v>7.450580596923828e-9</x:v>
      </x:c>
      <x:c r="P1647" s="28" t="n">
        <x:v>0</x:v>
      </x:c>
      <x:c r="Q1647" s="62" t="b">
        <x:v>1</x:v>
      </x:c>
      <x:c r="R1647" s="28" t="n">
        <x:v>0</x:v>
      </x:c>
      <x:c r="S1647" s="28" t="str">
        <x:v>038738e3cc13a39b</x:v>
      </x:c>
    </x:row>
    <x:row r="1648" ht="21" customHeight="1">
      <x:c r="A1648" s="60" t="n">
        <x:v>0.66</x:v>
      </x:c>
      <x:c r="B1648" s="28" t="str">
        <x:v>back_flat</x:v>
      </x:c>
      <x:c r="C1648" s="60" t="n">
        <x:v>0.1</x:v>
      </x:c>
      <x:c r="D1648" s="60" t="n">
        <x:v>0.1</x:v>
      </x:c>
      <x:c r="E1648" s="62" t="b">
        <x:v>1</x:v>
      </x:c>
      <x:c r="F1648" s="62" t="b">
        <x:v>1</x:v>
      </x:c>
      <x:c r="G1648" s="85" t="n">
        <x:v>0</x:v>
      </x:c>
      <x:c r="H1648" s="85" t="n">
        <x:v>0</x:v>
      </x:c>
      <x:c r="I1648" s="85" t="n">
        <x:v>0</x:v>
      </x:c>
      <x:c r="J1648" s="85" t="n">
        <x:v>0</x:v>
      </x:c>
      <x:c r="K1648" s="85" t="n">
        <x:v>1955789.4709697864</x:v>
      </x:c>
      <x:c r="L1648" s="28" t="n">
        <x:v>0</x:v>
      </x:c>
      <x:c r="M1648" s="28" t="n">
        <x:v>0</x:v>
      </x:c>
      <x:c r="N1648" s="28" t="n">
        <x:v>4.656612873077393e-10</x:v>
      </x:c>
      <x:c r="O1648" s="28" t="n">
        <x:v>7.450580596923828e-9</x:v>
      </x:c>
      <x:c r="P1648" s="28" t="n">
        <x:v>0</x:v>
      </x:c>
      <x:c r="Q1648" s="62" t="b">
        <x:v>1</x:v>
      </x:c>
      <x:c r="R1648" s="28" t="n">
        <x:v>0</x:v>
      </x:c>
      <x:c r="S1648" s="28" t="str">
        <x:v>16314331ef694c6c</x:v>
      </x:c>
    </x:row>
    <x:row r="1649" ht="21" customHeight="1">
      <x:c r="A1649" s="60" t="n">
        <x:v>0.66</x:v>
      </x:c>
      <x:c r="B1649" s="28" t="str">
        <x:v>back_flat</x:v>
      </x:c>
      <x:c r="C1649" s="60" t="n">
        <x:v>0.15</x:v>
      </x:c>
      <x:c r="D1649" s="60" t="n">
        <x:v>0.15</x:v>
      </x:c>
      <x:c r="E1649" s="62" t="b">
        <x:v>1</x:v>
      </x:c>
      <x:c r="F1649" s="62" t="b">
        <x:v>1</x:v>
      </x:c>
      <x:c r="G1649" s="85" t="n">
        <x:v>0</x:v>
      </x:c>
      <x:c r="H1649" s="85" t="n">
        <x:v>0</x:v>
      </x:c>
      <x:c r="I1649" s="85" t="n">
        <x:v>541487.0970067829</x:v>
      </x:c>
      <x:c r="J1649" s="85" t="n">
        <x:v>0</x:v>
      </x:c>
      <x:c r="K1649" s="85" t="n">
        <x:v>391227.6285350858</x:v>
      </x:c>
      <x:c r="L1649" s="28" t="n">
        <x:v>0</x:v>
      </x:c>
      <x:c r="M1649" s="28" t="n">
        <x:v>0</x:v>
      </x:c>
      <x:c r="N1649" s="28" t="n">
        <x:v>9.313225746154785e-10</x:v>
      </x:c>
      <x:c r="O1649" s="28" t="n">
        <x:v>7.450580596923828e-9</x:v>
      </x:c>
      <x:c r="P1649" s="28" t="n">
        <x:v>0</x:v>
      </x:c>
      <x:c r="Q1649" s="62" t="b">
        <x:v>1</x:v>
      </x:c>
      <x:c r="R1649" s="28" t="n">
        <x:v>0</x:v>
      </x:c>
      <x:c r="S1649" s="28" t="str">
        <x:v>b5e73203c06fbe87</x:v>
      </x:c>
    </x:row>
    <x:row r="1650" ht="21" customHeight="1">
      <x:c r="A1650" s="60" t="n">
        <x:v>0.66</x:v>
      </x:c>
      <x:c r="B1650" s="28" t="str">
        <x:v>back_flat</x:v>
      </x:c>
      <x:c r="C1650" s="60" t="n">
        <x:v>0.2</x:v>
      </x:c>
      <x:c r="D1650" s="60" t="n">
        <x:v>0.2</x:v>
      </x:c>
      <x:c r="E1650" s="62" t="b">
        <x:v>1</x:v>
      </x:c>
      <x:c r="F1650" s="62" t="b">
        <x:v>1</x:v>
      </x:c>
      <x:c r="G1650" s="85" t="n">
        <x:v>0</x:v>
      </x:c>
      <x:c r="H1650" s="85" t="n">
        <x:v>0</x:v>
      </x:c>
      <x:c r="I1650" s="85" t="n">
        <x:v>1979961.1771698857</x:v>
      </x:c>
      <x:c r="J1650" s="85" t="n">
        <x:v>1245718.905732936</x:v>
      </x:c>
      <x:c r="K1650" s="85" t="n">
        <x:v>317110.1184488882</x:v>
      </x:c>
      <x:c r="L1650" s="28" t="n">
        <x:v>0</x:v>
      </x:c>
      <x:c r="M1650" s="28" t="n">
        <x:v>0</x:v>
      </x:c>
      <x:c r="N1650" s="28" t="n">
        <x:v>2.3283064365386963e-10</x:v>
      </x:c>
      <x:c r="O1650" s="28" t="n">
        <x:v>7.450580596923828e-9</x:v>
      </x:c>
      <x:c r="P1650" s="28" t="n">
        <x:v>0</x:v>
      </x:c>
      <x:c r="Q1650" s="62" t="b">
        <x:v>1</x:v>
      </x:c>
      <x:c r="R1650" s="28" t="n">
        <x:v>0</x:v>
      </x:c>
      <x:c r="S1650" s="28" t="str">
        <x:v>7486f803f01bd14b</x:v>
      </x:c>
    </x:row>
    <x:row r="1651" ht="21" customHeight="1">
      <x:c r="A1651" s="60" t="n">
        <x:v>0.66</x:v>
      </x:c>
      <x:c r="B1651" s="28" t="str">
        <x:v>back_flat</x:v>
      </x:c>
      <x:c r="C1651" s="60" t="n">
        <x:v>0.25</x:v>
      </x:c>
      <x:c r="D1651" s="60" t="n">
        <x:v>0.25</x:v>
      </x:c>
      <x:c r="E1651" s="62" t="b">
        <x:v>1</x:v>
      </x:c>
      <x:c r="F1651" s="62" t="b">
        <x:v>1</x:v>
      </x:c>
      <x:c r="G1651" s="85" t="n">
        <x:v>0</x:v>
      </x:c>
      <x:c r="H1651" s="85" t="n">
        <x:v>0</x:v>
      </x:c>
      <x:c r="I1651" s="85" t="n">
        <x:v>3111516.046758363</x:v>
      </x:c>
      <x:c r="J1651" s="85" t="n">
        <x:v>2950748.6321661994</x:v>
      </x:c>
      <x:c r="K1651" s="85" t="n">
        <x:v>267788.11864438374</x:v>
      </x:c>
      <x:c r="L1651" s="28" t="n">
        <x:v>0</x:v>
      </x:c>
      <x:c r="M1651" s="28" t="n">
        <x:v>0</x:v>
      </x:c>
      <x:c r="N1651" s="28" t="n">
        <x:v>9.313225746154785e-10</x:v>
      </x:c>
      <x:c r="O1651" s="28" t="n">
        <x:v>7.450580596923828e-9</x:v>
      </x:c>
      <x:c r="P1651" s="28" t="n">
        <x:v>0</x:v>
      </x:c>
      <x:c r="Q1651" s="62" t="b">
        <x:v>1</x:v>
      </x:c>
      <x:c r="R1651" s="28" t="n">
        <x:v>0</x:v>
      </x:c>
      <x:c r="S1651" s="28" t="str">
        <x:v>b4558552bfa5f681</x:v>
      </x:c>
    </x:row>
    <x:row r="1652" ht="21" customHeight="1">
      <x:c r="A1652" s="60" t="n">
        <x:v>0.66</x:v>
      </x:c>
      <x:c r="B1652" s="28" t="str">
        <x:v>back_flat</x:v>
      </x:c>
      <x:c r="C1652" s="60" t="n">
        <x:v>0.3</x:v>
      </x:c>
      <x:c r="D1652" s="60" t="n">
        <x:v>0.3</x:v>
      </x:c>
      <x:c r="E1652" s="62" t="b">
        <x:v>1</x:v>
      </x:c>
      <x:c r="F1652" s="62" t="b">
        <x:v>1</x:v>
      </x:c>
      <x:c r="G1652" s="85" t="n">
        <x:v>0</x:v>
      </x:c>
      <x:c r="H1652" s="85" t="n">
        <x:v>0</x:v>
      </x:c>
      <x:c r="I1652" s="85" t="n">
        <x:v>4255362.133663075</x:v>
      </x:c>
      <x:c r="J1652" s="85" t="n">
        <x:v>4655778.358599424</x:v>
      </x:c>
      <x:c r="K1652" s="85" t="n">
        <x:v>222493.8580773709</x:v>
      </x:c>
      <x:c r="L1652" s="28" t="n">
        <x:v>0</x:v>
      </x:c>
      <x:c r="M1652" s="28" t="n">
        <x:v>0</x:v>
      </x:c>
      <x:c r="N1652" s="28" t="n">
        <x:v>4.656612873077393e-10</x:v>
      </x:c>
      <x:c r="O1652" s="28" t="n">
        <x:v>7.450580596923828e-9</x:v>
      </x:c>
      <x:c r="P1652" s="28" t="n">
        <x:v>0</x:v>
      </x:c>
      <x:c r="Q1652" s="62" t="b">
        <x:v>1</x:v>
      </x:c>
      <x:c r="R1652" s="28" t="n">
        <x:v>0</x:v>
      </x:c>
      <x:c r="S1652" s="28" t="str">
        <x:v>f6ce4928520a5129</x:v>
      </x:c>
    </x:row>
    <x:row r="1653" ht="21" customHeight="1">
      <x:c r="A1653" s="60" t="n">
        <x:v>0.66</x:v>
      </x:c>
      <x:c r="B1653" s="28" t="str">
        <x:v>back_flat</x:v>
      </x:c>
      <x:c r="C1653" s="60" t="n">
        <x:v>0.35</x:v>
      </x:c>
      <x:c r="D1653" s="60" t="n">
        <x:v>0.35</x:v>
      </x:c>
      <x:c r="E1653" s="62" t="b">
        <x:v>1</x:v>
      </x:c>
      <x:c r="F1653" s="62" t="b">
        <x:v>1</x:v>
      </x:c>
      <x:c r="G1653" s="85" t="n">
        <x:v>0</x:v>
      </x:c>
      <x:c r="H1653" s="85" t="n">
        <x:v>0</x:v>
      </x:c>
      <x:c r="I1653" s="85" t="n">
        <x:v>5413058.591045285</x:v>
      </x:c>
      <x:c r="J1653" s="85" t="n">
        <x:v>6360808.085032671</x:v>
      </x:c>
      <x:c r="K1653" s="85" t="n">
        <x:v>189573.0035684391</x:v>
      </x:c>
      <x:c r="L1653" s="28" t="n">
        <x:v>0</x:v>
      </x:c>
      <x:c r="M1653" s="28" t="n">
        <x:v>0</x:v>
      </x:c>
      <x:c r="N1653" s="28" t="n">
        <x:v>2.3283064365386963e-10</x:v>
      </x:c>
      <x:c r="O1653" s="28" t="n">
        <x:v>3.725290298461914e-9</x:v>
      </x:c>
      <x:c r="P1653" s="28" t="n">
        <x:v>0</x:v>
      </x:c>
      <x:c r="Q1653" s="62" t="b">
        <x:v>1</x:v>
      </x:c>
      <x:c r="R1653" s="28" t="n">
        <x:v>0</x:v>
      </x:c>
      <x:c r="S1653" s="28" t="str">
        <x:v>1cd33419ec950b03</x:v>
      </x:c>
    </x:row>
    <x:row r="1654" ht="21" customHeight="1">
      <x:c r="A1654" s="60" t="n">
        <x:v>0.66</x:v>
      </x:c>
      <x:c r="B1654" s="28" t="str">
        <x:v>back_flat</x:v>
      </x:c>
      <x:c r="C1654" s="60" t="n">
        <x:v>0.4</x:v>
      </x:c>
      <x:c r="D1654" s="60" t="n">
        <x:v>0.4</x:v>
      </x:c>
      <x:c r="E1654" s="62" t="b">
        <x:v>1</x:v>
      </x:c>
      <x:c r="F1654" s="62" t="b">
        <x:v>1</x:v>
      </x:c>
      <x:c r="G1654" s="85" t="n">
        <x:v>0</x:v>
      </x:c>
      <x:c r="H1654" s="85" t="n">
        <x:v>0</x:v>
      </x:c>
      <x:c r="I1654" s="85" t="n">
        <x:v>6703520.580526062</x:v>
      </x:c>
      <x:c r="J1654" s="85" t="n">
        <x:v>7762893.112164973</x:v>
      </x:c>
      <x:c r="K1654" s="85" t="n">
        <x:v>163819.23418389133</x:v>
      </x:c>
      <x:c r="L1654" s="28" t="n">
        <x:v>3</x:v>
      </x:c>
      <x:c r="M1654" s="28" t="n">
        <x:v>0</x:v>
      </x:c>
      <x:c r="N1654" s="28" t="n">
        <x:v>9.313225746154785e-10</x:v>
      </x:c>
      <x:c r="O1654" s="28" t="n">
        <x:v>7.450580596923828e-9</x:v>
      </x:c>
      <x:c r="P1654" s="28" t="n">
        <x:v>0</x:v>
      </x:c>
      <x:c r="Q1654" s="62" t="b">
        <x:v>1</x:v>
      </x:c>
      <x:c r="R1654" s="28" t="n">
        <x:v>0</x:v>
      </x:c>
      <x:c r="S1654" s="28" t="str">
        <x:v>480b6e0bc8451b0c</x:v>
      </x:c>
    </x:row>
    <x:row r="1655" ht="21" customHeight="1">
      <x:c r="A1655" s="60" t="n">
        <x:v>0.66</x:v>
      </x:c>
      <x:c r="B1655" s="28" t="str">
        <x:v>back_flat</x:v>
      </x:c>
      <x:c r="C1655" s="60" t="n">
        <x:v>0.45</x:v>
      </x:c>
      <x:c r="D1655" s="60" t="n">
        <x:v>0.45</x:v>
      </x:c>
      <x:c r="E1655" s="62" t="b">
        <x:v>1</x:v>
      </x:c>
      <x:c r="F1655" s="62" t="b">
        <x:v>1</x:v>
      </x:c>
      <x:c r="G1655" s="85" t="n">
        <x:v>0</x:v>
      </x:c>
      <x:c r="H1655" s="85" t="n">
        <x:v>0</x:v>
      </x:c>
      <x:c r="I1655" s="85" t="n">
        <x:v>8082033.687668112</x:v>
      </x:c>
      <x:c r="J1655" s="85" t="n">
        <x:v>8954207.883249022</x:v>
      </x:c>
      <x:c r="K1655" s="85" t="n">
        <x:v>141103.58971232857</x:v>
      </x:c>
      <x:c r="L1655" s="28" t="n">
        <x:v>8</x:v>
      </x:c>
      <x:c r="M1655" s="28" t="n">
        <x:v>0</x:v>
      </x:c>
      <x:c r="N1655" s="28" t="n">
        <x:v>4.656612873077393e-10</x:v>
      </x:c>
      <x:c r="O1655" s="28" t="n">
        <x:v>7.450580596923828e-9</x:v>
      </x:c>
      <x:c r="P1655" s="28" t="n">
        <x:v>0</x:v>
      </x:c>
      <x:c r="Q1655" s="62" t="b">
        <x:v>1</x:v>
      </x:c>
      <x:c r="R1655" s="28" t="n">
        <x:v>0</x:v>
      </x:c>
      <x:c r="S1655" s="28" t="str">
        <x:v>64664459c90570fa</x:v>
      </x:c>
    </x:row>
    <x:row r="1656" ht="21" customHeight="1">
      <x:c r="A1656" s="60" t="n">
        <x:v>0.66</x:v>
      </x:c>
      <x:c r="B1656" s="28" t="str">
        <x:v>back_flat</x:v>
      </x:c>
      <x:c r="C1656" s="60" t="n">
        <x:v>0.5</x:v>
      </x:c>
      <x:c r="D1656" s="60" t="n">
        <x:v>0.5</x:v>
      </x:c>
      <x:c r="E1656" s="62" t="b">
        <x:v>1</x:v>
      </x:c>
      <x:c r="F1656" s="62" t="b">
        <x:v>1</x:v>
      </x:c>
      <x:c r="G1656" s="85" t="n">
        <x:v>0</x:v>
      </x:c>
      <x:c r="H1656" s="85" t="n">
        <x:v>0</x:v>
      </x:c>
      <x:c r="I1656" s="85" t="n">
        <x:v>9340791.779927935</x:v>
      </x:c>
      <x:c r="J1656" s="85" t="n">
        <x:v>10398852.473304702</x:v>
      </x:c>
      <x:c r="K1656" s="85" t="n">
        <x:v>129360.47301369865</x:v>
      </x:c>
      <x:c r="L1656" s="28" t="n">
        <x:v>12</x:v>
      </x:c>
      <x:c r="M1656" s="28" t="n">
        <x:v>1</x:v>
      </x:c>
      <x:c r="N1656" s="28" t="n">
        <x:v>9.313225746154785e-10</x:v>
      </x:c>
      <x:c r="O1656" s="28" t="n">
        <x:v>1.862645149230957e-9</x:v>
      </x:c>
      <x:c r="P1656" s="28" t="n">
        <x:v>0</x:v>
      </x:c>
      <x:c r="Q1656" s="62" t="b">
        <x:v>1</x:v>
      </x:c>
      <x:c r="R1656" s="28" t="n">
        <x:v>0</x:v>
      </x:c>
      <x:c r="S1656" s="28" t="str">
        <x:v>1fc910588b8fe5e3</x:v>
      </x:c>
    </x:row>
    <x:row r="1657" ht="21" customHeight="1">
      <x:c r="A1657" s="60" t="n">
        <x:v>0.66</x:v>
      </x:c>
      <x:c r="B1657" s="28" t="str">
        <x:v>back_flat</x:v>
      </x:c>
      <x:c r="C1657" s="60" t="n">
        <x:v>0.55</x:v>
      </x:c>
      <x:c r="D1657" s="60" t="n">
        <x:v>0.55</x:v>
      </x:c>
      <x:c r="E1657" s="62" t="b">
        <x:v>1</x:v>
      </x:c>
      <x:c r="F1657" s="62" t="b">
        <x:v>1</x:v>
      </x:c>
      <x:c r="G1657" s="85" t="n">
        <x:v>0</x:v>
      </x:c>
      <x:c r="H1657" s="85" t="n">
        <x:v>0</x:v>
      </x:c>
      <x:c r="I1657" s="85" t="n">
        <x:v>10461064.923063586</x:v>
      </x:c>
      <x:c r="J1657" s="85" t="n">
        <x:v>12152245.495936504</x:v>
      </x:c>
      <x:c r="K1657" s="85" t="n">
        <x:v>117617.35631506934</x:v>
      </x:c>
      <x:c r="L1657" s="28" t="n">
        <x:v>15</x:v>
      </x:c>
      <x:c r="M1657" s="28" t="n">
        <x:v>7</x:v>
      </x:c>
      <x:c r="N1657" s="28" t="n">
        <x:v>4.656612873077393e-10</x:v>
      </x:c>
      <x:c r="O1657" s="28" t="n">
        <x:v>7.450580596923828e-9</x:v>
      </x:c>
      <x:c r="P1657" s="28" t="n">
        <x:v>0</x:v>
      </x:c>
      <x:c r="Q1657" s="62" t="b">
        <x:v>1</x:v>
      </x:c>
      <x:c r="R1657" s="28" t="n">
        <x:v>0</x:v>
      </x:c>
      <x:c r="S1657" s="28" t="str">
        <x:v>cba68e52a9e1fd00</x:v>
      </x:c>
    </x:row>
    <x:row r="1658" ht="21" customHeight="1">
      <x:c r="A1658" s="60" t="n">
        <x:v>0.66</x:v>
      </x:c>
      <x:c r="B1658" s="28" t="str">
        <x:v>back_flat</x:v>
      </x:c>
      <x:c r="C1658" s="60" t="n">
        <x:v>0.6</x:v>
      </x:c>
      <x:c r="D1658" s="60" t="n">
        <x:v>0.6</x:v>
      </x:c>
      <x:c r="E1658" s="62" t="b">
        <x:v>1</x:v>
      </x:c>
      <x:c r="F1658" s="62" t="b">
        <x:v>0</x:v>
      </x:c>
      <x:c r="G1658" s="85" t="n">
        <x:v>122481.81603211575</x:v>
      </x:c>
      <x:c r="H1658" s="85" t="n">
        <x:v>650202.1516188681</x:v>
      </x:c>
      <x:c r="I1658" s="85" t="n">
        <x:v>11260703.317892384</x:v>
      </x:c>
      <x:c r="J1658" s="85" t="n">
        <x:v>13378559.999999998</x:v>
      </x:c>
      <x:c r="K1658" s="85" t="n">
        <x:v>105874.23961643873</x:v>
      </x:c>
      <x:c r="L1658" s="28" t="n">
        <x:v>39</x:v>
      </x:c>
      <x:c r="M1658" s="28" t="n">
        <x:v>32</x:v>
      </x:c>
      <x:c r="N1658" s="28" t="n">
        <x:v>4.656612873077393e-10</x:v>
      </x:c>
      <x:c r="O1658" s="28" t="n">
        <x:v>7.450580596923828e-9</x:v>
      </x:c>
      <x:c r="P1658" s="28" t="n">
        <x:v>0</x:v>
      </x:c>
      <x:c r="Q1658" s="62" t="b">
        <x:v>1</x:v>
      </x:c>
      <x:c r="R1658" s="28" t="n">
        <x:v>0</x:v>
      </x:c>
      <x:c r="S1658" s="28" t="str">
        <x:v>69226ab5bdc9b82f</x:v>
      </x:c>
    </x:row>
    <x:row r="1659" ht="21" customHeight="1">
      <x:c r="A1659" s="60" t="n">
        <x:v>0.66</x:v>
      </x:c>
      <x:c r="B1659" s="28" t="str">
        <x:v>back_flat</x:v>
      </x:c>
      <x:c r="C1659" s="60" t="n">
        <x:v>0.65</x:v>
      </x:c>
      <x:c r="D1659" s="60" t="n">
        <x:v>0.65</x:v>
      </x:c>
      <x:c r="E1659" s="62" t="b">
        <x:v>1</x:v>
      </x:c>
      <x:c r="F1659" s="62" t="b">
        <x:v>0</x:v>
      </x:c>
      <x:c r="G1659" s="85" t="n">
        <x:v>505034.48301759793</x:v>
      </x:c>
      <x:c r="H1659" s="85" t="n">
        <x:v>2720068.6801687665</x:v>
      </x:c>
      <x:c r="I1659" s="85" t="n">
        <x:v>11493091.135209536</x:v>
      </x:c>
      <x:c r="J1659" s="85" t="n">
        <x:v>13378559.999999998</x:v>
      </x:c>
      <x:c r="K1659" s="85" t="n">
        <x:v>94131.12291780839</x:v>
      </x:c>
      <x:c r="L1659" s="28" t="n">
        <x:v>40</x:v>
      </x:c>
      <x:c r="M1659" s="28" t="n">
        <x:v>33</x:v>
      </x:c>
      <x:c r="N1659" s="28" t="n">
        <x:v>4.656612873077393e-10</x:v>
      </x:c>
      <x:c r="O1659" s="28" t="n">
        <x:v>7.450580596923828e-9</x:v>
      </x:c>
      <x:c r="P1659" s="28" t="n">
        <x:v>0</x:v>
      </x:c>
      <x:c r="Q1659" s="62" t="b">
        <x:v>1</x:v>
      </x:c>
      <x:c r="R1659" s="28" t="n">
        <x:v>0</x:v>
      </x:c>
      <x:c r="S1659" s="28" t="str">
        <x:v>df53d55978e5f0fa</x:v>
      </x:c>
    </x:row>
    <x:row r="1660" ht="21" customHeight="1">
      <x:c r="A1660" s="60" t="n">
        <x:v>0.66</x:v>
      </x:c>
      <x:c r="B1660" s="28" t="str">
        <x:v>back_flat</x:v>
      </x:c>
      <x:c r="C1660" s="60" t="n">
        <x:v>0.7</x:v>
      </x:c>
      <x:c r="D1660" s="60" t="n">
        <x:v>0.7</x:v>
      </x:c>
      <x:c r="E1660" s="62" t="b">
        <x:v>1</x:v>
      </x:c>
      <x:c r="F1660" s="62" t="b">
        <x:v>0</x:v>
      </x:c>
      <x:c r="G1660" s="85" t="n">
        <x:v>978919.9462424461</x:v>
      </x:c>
      <x:c r="H1660" s="85" t="n">
        <x:v>4966306.917389839</x:v>
      </x:c>
      <x:c r="I1660" s="85" t="n">
        <x:v>11527429.357631344</x:v>
      </x:c>
      <x:c r="J1660" s="85" t="n">
        <x:v>13378559.999999998</x:v>
      </x:c>
      <x:c r="K1660" s="85" t="n">
        <x:v>82388.0062191786</x:v>
      </x:c>
      <x:c r="L1660" s="28" t="n">
        <x:v>40</x:v>
      </x:c>
      <x:c r="M1660" s="28" t="n">
        <x:v>34</x:v>
      </x:c>
      <x:c r="N1660" s="28" t="n">
        <x:v>2.3283064365386963e-10</x:v>
      </x:c>
      <x:c r="O1660" s="28" t="n">
        <x:v>3.725290298461914e-9</x:v>
      </x:c>
      <x:c r="P1660" s="28" t="n">
        <x:v>0</x:v>
      </x:c>
      <x:c r="Q1660" s="62" t="b">
        <x:v>1</x:v>
      </x:c>
      <x:c r="R1660" s="28" t="n">
        <x:v>0</x:v>
      </x:c>
      <x:c r="S1660" s="28" t="str">
        <x:v>80a28511951e5ceb</x:v>
      </x:c>
    </x:row>
    <x:row r="1661" ht="21" customHeight="1">
      <x:c r="A1661" s="60" t="n">
        <x:v>0.66</x:v>
      </x:c>
      <x:c r="B1661" s="28" t="str">
        <x:v>back_flat</x:v>
      </x:c>
      <x:c r="C1661" s="60" t="n">
        <x:v>0.75</x:v>
      </x:c>
      <x:c r="D1661" s="60" t="n">
        <x:v>0.75</x:v>
      </x:c>
      <x:c r="E1661" s="62" t="b">
        <x:v>1</x:v>
      </x:c>
      <x:c r="F1661" s="62" t="b">
        <x:v>0</x:v>
      </x:c>
      <x:c r="G1661" s="85" t="n">
        <x:v>1360442.8538626328</x:v>
      </x:c>
      <x:c r="H1661" s="85" t="n">
        <x:v>6887655.399970043</x:v>
      </x:c>
      <x:c r="I1661" s="85" t="n">
        <x:v>11776736.692972604</x:v>
      </x:c>
      <x:c r="J1661" s="85" t="n">
        <x:v>13378559.999999998</x:v>
      </x:c>
      <x:c r="K1661" s="85" t="n">
        <x:v>71563.41752054816</x:v>
      </x:c>
      <x:c r="L1661" s="28" t="n">
        <x:v>41</x:v>
      </x:c>
      <x:c r="M1661" s="28" t="n">
        <x:v>34</x:v>
      </x:c>
      <x:c r="N1661" s="28" t="n">
        <x:v>4.656612873077393e-10</x:v>
      </x:c>
      <x:c r="O1661" s="28" t="n">
        <x:v>7.450580596923828e-9</x:v>
      </x:c>
      <x:c r="P1661" s="28" t="n">
        <x:v>0</x:v>
      </x:c>
      <x:c r="Q1661" s="62" t="b">
        <x:v>1</x:v>
      </x:c>
      <x:c r="R1661" s="28" t="n">
        <x:v>0</x:v>
      </x:c>
      <x:c r="S1661" s="28" t="str">
        <x:v>53b9eb9af2ee26b7</x:v>
      </x:c>
    </x:row>
    <x:row r="1662" ht="21" customHeight="1">
      <x:c r="A1662" s="60" t="n">
        <x:v>0.66</x:v>
      </x:c>
      <x:c r="B1662" s="28" t="str">
        <x:v>back_flat</x:v>
      </x:c>
      <x:c r="C1662" s="60" t="n">
        <x:v>0.8</x:v>
      </x:c>
      <x:c r="D1662" s="60" t="n">
        <x:v>0.8</x:v>
      </x:c>
      <x:c r="E1662" s="62" t="b">
        <x:v>1</x:v>
      </x:c>
      <x:c r="F1662" s="62" t="b">
        <x:v>0</x:v>
      </x:c>
      <x:c r="G1662" s="85" t="n">
        <x:v>1917717.36364156</x:v>
      </x:c>
      <x:c r="H1662" s="85" t="n">
        <x:v>8957714.528852599</x:v>
      </x:c>
      <x:c r="I1662" s="85" t="n">
        <x:v>11800263.719802741</x:v>
      </x:c>
      <x:c r="J1662" s="85" t="n">
        <x:v>13378559.999999998</x:v>
      </x:c>
      <x:c r="K1662" s="85" t="n">
        <x:v>65190.39879452071</x:v>
      </x:c>
      <x:c r="L1662" s="28" t="n">
        <x:v>41</x:v>
      </x:c>
      <x:c r="M1662" s="28" t="n">
        <x:v>36</x:v>
      </x:c>
      <x:c r="N1662" s="28" t="n">
        <x:v>4.656612873077393e-10</x:v>
      </x:c>
      <x:c r="O1662" s="28" t="n">
        <x:v>3.725290298461914e-9</x:v>
      </x:c>
      <x:c r="P1662" s="28" t="n">
        <x:v>0</x:v>
      </x:c>
      <x:c r="Q1662" s="62" t="b">
        <x:v>1</x:v>
      </x:c>
      <x:c r="R1662" s="28" t="n">
        <x:v>0</x:v>
      </x:c>
      <x:c r="S1662" s="28" t="str">
        <x:v>2898864063128c20</x:v>
      </x:c>
    </x:row>
    <x:row r="1663" ht="21" customHeight="1">
      <x:c r="A1663" s="60" t="n">
        <x:v>0.66</x:v>
      </x:c>
      <x:c r="B1663" s="28" t="str">
        <x:v>back_flat</x:v>
      </x:c>
      <x:c r="C1663" s="60" t="n">
        <x:v>0.85</x:v>
      </x:c>
      <x:c r="D1663" s="60" t="n">
        <x:v>0.85</x:v>
      </x:c>
      <x:c r="E1663" s="62" t="b">
        <x:v>1</x:v>
      </x:c>
      <x:c r="F1663" s="62" t="b">
        <x:v>0</x:v>
      </x:c>
      <x:c r="G1663" s="85" t="n">
        <x:v>2536476.3658811445</x:v>
      </x:c>
      <x:c r="H1663" s="85" t="n">
        <x:v>10682400.762011977</x:v>
      </x:c>
      <x:c r="I1663" s="85" t="n">
        <x:v>12029749.251649644</x:v>
      </x:c>
      <x:c r="J1663" s="85" t="n">
        <x:v>13378559.999999998</x:v>
      </x:c>
      <x:c r="K1663" s="85" t="n">
        <x:v>61615.948232876915</x:v>
      </x:c>
      <x:c r="L1663" s="28" t="n">
        <x:v>42</x:v>
      </x:c>
      <x:c r="M1663" s="28" t="n">
        <x:v>36</x:v>
      </x:c>
      <x:c r="N1663" s="28" t="n">
        <x:v>4.656612873077393e-10</x:v>
      </x:c>
      <x:c r="O1663" s="28" t="n">
        <x:v>9.313225746154785e-10</x:v>
      </x:c>
      <x:c r="P1663" s="28" t="n">
        <x:v>0</x:v>
      </x:c>
      <x:c r="Q1663" s="62" t="b">
        <x:v>1</x:v>
      </x:c>
      <x:c r="R1663" s="28" t="n">
        <x:v>0</x:v>
      </x:c>
      <x:c r="S1663" s="28" t="str">
        <x:v>46544e9f3fdd7c18</x:v>
      </x:c>
    </x:row>
    <x:row r="1664" ht="21" customHeight="1">
      <x:c r="A1664" s="60" t="n">
        <x:v>0.66</x:v>
      </x:c>
      <x:c r="B1664" s="28" t="str">
        <x:v>back_flat</x:v>
      </x:c>
      <x:c r="C1664" s="60" t="n">
        <x:v>0.9</x:v>
      </x:c>
      <x:c r="D1664" s="60" t="n">
        <x:v>0.880265491166173</x:v>
      </x:c>
      <x:c r="E1664" s="62" t="b">
        <x:v>0</x:v>
      </x:c>
      <x:c r="F1664" s="62" t="b">
        <x:v>0</x:v>
      </x:c>
      <x:c r="G1664" s="85" t="n">
        <x:v>3058695.9981725984</x:v>
      </x:c>
      <x:c r="H1664" s="85" t="n">
        <x:v>11580681.707532868</x:v>
      </x:c>
      <x:c r="I1664" s="85" t="n">
        <x:v>12044056.970220495</x:v>
      </x:c>
      <x:c r="J1664" s="85" t="n">
        <x:v>13378559.999999998</x:v>
      </x:c>
      <x:c r="K1664" s="85" t="n">
        <x:v>58041.49767123312</x:v>
      </x:c>
      <x:c r="L1664" s="28" t="n">
        <x:v>42</x:v>
      </x:c>
      <x:c r="M1664" s="28" t="n">
        <x:v>37</x:v>
      </x:c>
      <x:c r="N1664" s="28" t="n">
        <x:v>2.3283064365386963e-10</x:v>
      </x:c>
      <x:c r="O1664" s="28" t="n">
        <x:v>3.725290298461914e-9</x:v>
      </x:c>
      <x:c r="P1664" s="28" t="n">
        <x:v>0</x:v>
      </x:c>
      <x:c r="Q1664" s="62" t="b">
        <x:v>1</x:v>
      </x:c>
      <x:c r="R1664" s="28" t="n">
        <x:v>1100080.4604328498</x:v>
      </x:c>
      <x:c r="S1664" s="28" t="str">
        <x:v>8acfbba815d54e91</x:v>
      </x:c>
    </x:row>
    <x:row r="1665" ht="21" customHeight="1">
      <x:c r="A1665" s="60" t="n">
        <x:v>0.66</x:v>
      </x:c>
      <x:c r="B1665" s="28" t="str">
        <x:v>back_flat</x:v>
      </x:c>
      <x:c r="C1665" s="60" t="n">
        <x:v>0.95</x:v>
      </x:c>
      <x:c r="D1665" s="60" t="n">
        <x:v>0.8954794051096439</x:v>
      </x:c>
      <x:c r="E1665" s="62" t="b">
        <x:v>0</x:v>
      </x:c>
      <x:c r="F1665" s="62" t="b">
        <x:v>0</x:v>
      </x:c>
      <x:c r="G1665" s="85" t="n">
        <x:v>3292215.302731323</x:v>
      </x:c>
      <x:c r="H1665" s="85" t="n">
        <x:v>12360401.420761544</x:v>
      </x:c>
      <x:c r="I1665" s="85" t="n">
        <x:v>12058769.037109151</x:v>
      </x:c>
      <x:c r="J1665" s="85" t="n">
        <x:v>13378559.999999998</x:v>
      </x:c>
      <x:c r="K1665" s="85" t="n">
        <x:v>54467.04710958909</x:v>
      </x:c>
      <x:c r="L1665" s="28" t="n">
        <x:v>42</x:v>
      </x:c>
      <x:c r="M1665" s="28" t="n">
        <x:v>38</x:v>
      </x:c>
      <x:c r="N1665" s="28" t="n">
        <x:v>4.656612873077393e-10</x:v>
      </x:c>
      <x:c r="O1665" s="28" t="n">
        <x:v>3.725290298461914e-9</x:v>
      </x:c>
      <x:c r="P1665" s="28" t="n">
        <x:v>0</x:v>
      </x:c>
      <x:c r="Q1665" s="62" t="b">
        <x:v>1</x:v>
      </x:c>
      <x:c r="R1665" s="28" t="n">
        <x:v>3039196.041568011</x:v>
      </x:c>
      <x:c r="S1665" s="28" t="str">
        <x:v>70c4905e822b3151</x:v>
      </x:c>
    </x:row>
    <x:row r="1666" ht="21" customHeight="1">
      <x:c r="A1666" s="60" t="n">
        <x:v>0.66</x:v>
      </x:c>
      <x:c r="B1666" s="28" t="str">
        <x:v>back_flat</x:v>
      </x:c>
      <x:c r="C1666" s="60" t="n">
        <x:v>1</x:v>
      </x:c>
      <x:c r="D1666" s="60" t="n">
        <x:v>0.9093341115290656</x:v>
      </x:c>
      <x:c r="E1666" s="62" t="b">
        <x:v>0</x:v>
      </x:c>
      <x:c r="F1666" s="62" t="b">
        <x:v>0</x:v>
      </x:c>
      <x:c r="G1666" s="85" t="n">
        <x:v>3499188.858115576</x:v>
      </x:c>
      <x:c r="H1666" s="85" t="n">
        <x:v>12714569.478080932</x:v>
      </x:c>
      <x:c r="I1666" s="85" t="n">
        <x:v>12292719.408575343</x:v>
      </x:c>
      <x:c r="J1666" s="85" t="n">
        <x:v>13378559.999999998</x:v>
      </x:c>
      <x:c r="K1666" s="85" t="n">
        <x:v>50892.59654794518</x:v>
      </x:c>
      <x:c r="L1666" s="28" t="n">
        <x:v>43</x:v>
      </x:c>
      <x:c r="M1666" s="28" t="n">
        <x:v>38</x:v>
      </x:c>
      <x:c r="N1666" s="28" t="n">
        <x:v>2.3283064365386963e-10</x:v>
      </x:c>
      <x:c r="O1666" s="28" t="n">
        <x:v>3.725290298461914e-9</x:v>
      </x:c>
      <x:c r="P1666" s="28" t="n">
        <x:v>0</x:v>
      </x:c>
      <x:c r="Q1666" s="62" t="b">
        <x:v>1</x:v>
      </x:c>
      <x:c r="R1666" s="28" t="n">
        <x:v>5054079.286923766</x:v>
      </x:c>
      <x:c r="S1666" s="28" t="str">
        <x:v>3f9fc9baaf90a773</x:v>
      </x:c>
    </x:row>
    <x:row r="1667" ht="21" customHeight="1">
      <x:c r="A1667" s="60" t="n">
        <x:v>0.66</x:v>
      </x:c>
      <x:c r="B1667" s="28" t="str">
        <x:v>back_low</x:v>
      </x:c>
      <x:c r="C1667" s="60" t="n">
        <x:v>0</x:v>
      </x:c>
      <x:c r="D1667" s="60" t="n">
        <x:v>0</x:v>
      </x:c>
      <x:c r="E1667" s="62" t="b">
        <x:v>1</x:v>
      </x:c>
      <x:c r="F1667" s="62" t="b">
        <x:v>1</x:v>
      </x:c>
      <x:c r="G1667" s="85" t="n">
        <x:v>0</x:v>
      </x:c>
      <x:c r="H1667" s="85" t="n">
        <x:v>0</x:v>
      </x:c>
      <x:c r="I1667" s="85" t="n">
        <x:v>0</x:v>
      </x:c>
      <x:c r="J1667" s="85" t="n">
        <x:v>0</x:v>
      </x:c>
      <x:c r="K1667" s="85" t="n">
        <x:v>5572561.858849319</x:v>
      </x:c>
      <x:c r="L1667" s="28" t="n">
        <x:v>0</x:v>
      </x:c>
      <x:c r="M1667" s="28" t="n">
        <x:v>0</x:v>
      </x:c>
      <x:c r="N1667" s="28" t="n">
        <x:v>9.313225746154785e-10</x:v>
      </x:c>
      <x:c r="O1667" s="28" t="n">
        <x:v>0</x:v>
      </x:c>
      <x:c r="P1667" s="28" t="n">
        <x:v>0</x:v>
      </x:c>
      <x:c r="Q1667" s="62" t="b">
        <x:v>1</x:v>
      </x:c>
      <x:c r="R1667" s="28" t="n">
        <x:v>0</x:v>
      </x:c>
      <x:c r="S1667" s="28" t="str">
        <x:v>05d0da7e84c021c4</x:v>
      </x:c>
    </x:row>
    <x:row r="1668" ht="21" customHeight="1">
      <x:c r="A1668" s="60" t="n">
        <x:v>0.66</x:v>
      </x:c>
      <x:c r="B1668" s="28" t="str">
        <x:v>back_low</x:v>
      </x:c>
      <x:c r="C1668" s="60" t="n">
        <x:v>0.05</x:v>
      </x:c>
      <x:c r="D1668" s="60" t="n">
        <x:v>0.05</x:v>
      </x:c>
      <x:c r="E1668" s="62" t="b">
        <x:v>1</x:v>
      </x:c>
      <x:c r="F1668" s="62" t="b">
        <x:v>1</x:v>
      </x:c>
      <x:c r="G1668" s="85" t="n">
        <x:v>0</x:v>
      </x:c>
      <x:c r="H1668" s="85" t="n">
        <x:v>0</x:v>
      </x:c>
      <x:c r="I1668" s="85" t="n">
        <x:v>0</x:v>
      </x:c>
      <x:c r="J1668" s="85" t="n">
        <x:v>0</x:v>
      </x:c>
      <x:c r="K1668" s="85" t="n">
        <x:v>3590217.730180518</x:v>
      </x:c>
      <x:c r="L1668" s="28" t="n">
        <x:v>0</x:v>
      </x:c>
      <x:c r="M1668" s="28" t="n">
        <x:v>0</x:v>
      </x:c>
      <x:c r="N1668" s="28" t="n">
        <x:v>9.313225746154785e-10</x:v>
      </x:c>
      <x:c r="O1668" s="28" t="n">
        <x:v>7.450580596923828e-9</x:v>
      </x:c>
      <x:c r="P1668" s="28" t="n">
        <x:v>0</x:v>
      </x:c>
      <x:c r="Q1668" s="62" t="b">
        <x:v>1</x:v>
      </x:c>
      <x:c r="R1668" s="28" t="n">
        <x:v>0</x:v>
      </x:c>
      <x:c r="S1668" s="28" t="str">
        <x:v>0ba3f33e058e86e4</x:v>
      </x:c>
    </x:row>
    <x:row r="1669" ht="21" customHeight="1">
      <x:c r="A1669" s="60" t="n">
        <x:v>0.66</x:v>
      </x:c>
      <x:c r="B1669" s="28" t="str">
        <x:v>back_low</x:v>
      </x:c>
      <x:c r="C1669" s="60" t="n">
        <x:v>0.1</x:v>
      </x:c>
      <x:c r="D1669" s="60" t="n">
        <x:v>0.1</x:v>
      </x:c>
      <x:c r="E1669" s="62" t="b">
        <x:v>1</x:v>
      </x:c>
      <x:c r="F1669" s="62" t="b">
        <x:v>1</x:v>
      </x:c>
      <x:c r="G1669" s="85" t="n">
        <x:v>0</x:v>
      </x:c>
      <x:c r="H1669" s="85" t="n">
        <x:v>0</x:v>
      </x:c>
      <x:c r="I1669" s="85" t="n">
        <x:v>0</x:v>
      </x:c>
      <x:c r="J1669" s="85" t="n">
        <x:v>0</x:v>
      </x:c>
      <x:c r="K1669" s="85" t="n">
        <x:v>1607873.6015117336</x:v>
      </x:c>
      <x:c r="L1669" s="28" t="n">
        <x:v>0</x:v>
      </x:c>
      <x:c r="M1669" s="28" t="n">
        <x:v>0</x:v>
      </x:c>
      <x:c r="N1669" s="28" t="n">
        <x:v>4.656612873077393e-10</x:v>
      </x:c>
      <x:c r="O1669" s="28" t="n">
        <x:v>7.450580596923828e-9</x:v>
      </x:c>
      <x:c r="P1669" s="28" t="n">
        <x:v>0</x:v>
      </x:c>
      <x:c r="Q1669" s="62" t="b">
        <x:v>1</x:v>
      </x:c>
      <x:c r="R1669" s="28" t="n">
        <x:v>0</x:v>
      </x:c>
      <x:c r="S1669" s="28" t="str">
        <x:v>6155d9f19f48b5f5</x:v>
      </x:c>
    </x:row>
    <x:row r="1670" ht="21" customHeight="1">
      <x:c r="A1670" s="60" t="n">
        <x:v>0.66</x:v>
      </x:c>
      <x:c r="B1670" s="28" t="str">
        <x:v>back_low</x:v>
      </x:c>
      <x:c r="C1670" s="60" t="n">
        <x:v>0.15</x:v>
      </x:c>
      <x:c r="D1670" s="60" t="n">
        <x:v>0.15</x:v>
      </x:c>
      <x:c r="E1670" s="62" t="b">
        <x:v>1</x:v>
      </x:c>
      <x:c r="F1670" s="62" t="b">
        <x:v>1</x:v>
      </x:c>
      <x:c r="G1670" s="85" t="n">
        <x:v>0</x:v>
      </x:c>
      <x:c r="H1670" s="85" t="n">
        <x:v>0</x:v>
      </x:c>
      <x:c r="I1670" s="85" t="n">
        <x:v>431774.1695525378</x:v>
      </x:c>
      <x:c r="J1670" s="85" t="n">
        <x:v>0</x:v>
      </x:c>
      <x:c r="K1670" s="85" t="n">
        <x:v>178220.10937683255</x:v>
      </x:c>
      <x:c r="L1670" s="28" t="n">
        <x:v>0</x:v>
      </x:c>
      <x:c r="M1670" s="28" t="n">
        <x:v>0</x:v>
      </x:c>
      <x:c r="N1670" s="28" t="n">
        <x:v>9.313225746154785e-10</x:v>
      </x:c>
      <x:c r="O1670" s="28" t="n">
        <x:v>7.450580596923828e-9</x:v>
      </x:c>
      <x:c r="P1670" s="28" t="n">
        <x:v>0</x:v>
      </x:c>
      <x:c r="Q1670" s="62" t="b">
        <x:v>1</x:v>
      </x:c>
      <x:c r="R1670" s="28" t="n">
        <x:v>0</x:v>
      </x:c>
      <x:c r="S1670" s="28" t="str">
        <x:v>0b2e42f39ce9f6d6</x:v>
      </x:c>
    </x:row>
    <x:row r="1671" ht="21" customHeight="1">
      <x:c r="A1671" s="60" t="n">
        <x:v>0.66</x:v>
      </x:c>
      <x:c r="B1671" s="28" t="str">
        <x:v>back_low</x:v>
      </x:c>
      <x:c r="C1671" s="60" t="n">
        <x:v>0.2</x:v>
      </x:c>
      <x:c r="D1671" s="60" t="n">
        <x:v>0.2</x:v>
      </x:c>
      <x:c r="E1671" s="62" t="b">
        <x:v>1</x:v>
      </x:c>
      <x:c r="F1671" s="62" t="b">
        <x:v>1</x:v>
      </x:c>
      <x:c r="G1671" s="85" t="n">
        <x:v>0</x:v>
      </x:c>
      <x:c r="H1671" s="85" t="n">
        <x:v>0</x:v>
      </x:c>
      <x:c r="I1671" s="85" t="n">
        <x:v>1534506.054439292</x:v>
      </x:c>
      <x:c r="J1671" s="85" t="n">
        <x:v>1245718.905732936</x:v>
      </x:c>
      <x:c r="K1671" s="85" t="n">
        <x:v>145698.01022920574</x:v>
      </x:c>
      <x:c r="L1671" s="28" t="n">
        <x:v>0</x:v>
      </x:c>
      <x:c r="M1671" s="28" t="n">
        <x:v>0</x:v>
      </x:c>
      <x:c r="N1671" s="28" t="n">
        <x:v>9.313225746154785e-10</x:v>
      </x:c>
      <x:c r="O1671" s="28" t="n">
        <x:v>7.450580596923828e-9</x:v>
      </x:c>
      <x:c r="P1671" s="28" t="n">
        <x:v>0</x:v>
      </x:c>
      <x:c r="Q1671" s="62" t="b">
        <x:v>1</x:v>
      </x:c>
      <x:c r="R1671" s="28" t="n">
        <x:v>0</x:v>
      </x:c>
      <x:c r="S1671" s="28" t="str">
        <x:v>db730a6568ab428a</x:v>
      </x:c>
    </x:row>
    <x:row r="1672" ht="21" customHeight="1">
      <x:c r="A1672" s="60" t="n">
        <x:v>0.66</x:v>
      </x:c>
      <x:c r="B1672" s="28" t="str">
        <x:v>back_low</x:v>
      </x:c>
      <x:c r="C1672" s="60" t="n">
        <x:v>0.25</x:v>
      </x:c>
      <x:c r="D1672" s="60" t="n">
        <x:v>0.25</x:v>
      </x:c>
      <x:c r="E1672" s="62" t="b">
        <x:v>1</x:v>
      </x:c>
      <x:c r="F1672" s="62" t="b">
        <x:v>1</x:v>
      </x:c>
      <x:c r="G1672" s="85" t="n">
        <x:v>0</x:v>
      </x:c>
      <x:c r="H1672" s="85" t="n">
        <x:v>0</x:v>
      </x:c>
      <x:c r="I1672" s="85" t="n">
        <x:v>2275092.7400041413</x:v>
      </x:c>
      <x:c r="J1672" s="85" t="n">
        <x:v>2950748.6321661994</x:v>
      </x:c>
      <x:c r="K1672" s="85" t="n">
        <x:v>120447.32180020539</x:v>
      </x:c>
      <x:c r="L1672" s="28" t="n">
        <x:v>0</x:v>
      </x:c>
      <x:c r="M1672" s="28" t="n">
        <x:v>0</x:v>
      </x:c>
      <x:c r="N1672" s="28" t="n">
        <x:v>4.656612873077393e-10</x:v>
      </x:c>
      <x:c r="O1672" s="28" t="n">
        <x:v>7.450580596923828e-9</x:v>
      </x:c>
      <x:c r="P1672" s="28" t="n">
        <x:v>0</x:v>
      </x:c>
      <x:c r="Q1672" s="62" t="b">
        <x:v>1</x:v>
      </x:c>
      <x:c r="R1672" s="28" t="n">
        <x:v>0</x:v>
      </x:c>
      <x:c r="S1672" s="28" t="str">
        <x:v>f9ba1210cc7b2441</x:v>
      </x:c>
    </x:row>
    <x:row r="1673" ht="21" customHeight="1">
      <x:c r="A1673" s="60" t="n">
        <x:v>0.66</x:v>
      </x:c>
      <x:c r="B1673" s="28" t="str">
        <x:v>back_low</x:v>
      </x:c>
      <x:c r="C1673" s="60" t="n">
        <x:v>0.3</x:v>
      </x:c>
      <x:c r="D1673" s="60" t="n">
        <x:v>0.3</x:v>
      </x:c>
      <x:c r="E1673" s="62" t="b">
        <x:v>1</x:v>
      </x:c>
      <x:c r="F1673" s="62" t="b">
        <x:v>1</x:v>
      </x:c>
      <x:c r="G1673" s="85" t="n">
        <x:v>0</x:v>
      </x:c>
      <x:c r="H1673" s="85" t="n">
        <x:v>0</x:v>
      </x:c>
      <x:c r="I1673" s="85" t="n">
        <x:v>3020467.3375526024</x:v>
      </x:c>
      <x:c r="J1673" s="85" t="n">
        <x:v>4655778.358599424</x:v>
      </x:c>
      <x:c r="K1673" s="85" t="n">
        <x:v>98637.02253449327</x:v>
      </x:c>
      <x:c r="L1673" s="28" t="n">
        <x:v>0</x:v>
      </x:c>
      <x:c r="M1673" s="28" t="n">
        <x:v>0</x:v>
      </x:c>
      <x:c r="N1673" s="28" t="n">
        <x:v>9.313225746154785e-10</x:v>
      </x:c>
      <x:c r="O1673" s="28" t="n">
        <x:v>7.450580596923828e-9</x:v>
      </x:c>
      <x:c r="P1673" s="28" t="n">
        <x:v>0</x:v>
      </x:c>
      <x:c r="Q1673" s="62" t="b">
        <x:v>1</x:v>
      </x:c>
      <x:c r="R1673" s="28" t="n">
        <x:v>0</x:v>
      </x:c>
      <x:c r="S1673" s="28" t="str">
        <x:v>46afc0f086d98905</x:v>
      </x:c>
    </x:row>
    <x:row r="1674" ht="21" customHeight="1">
      <x:c r="A1674" s="60" t="n">
        <x:v>0.66</x:v>
      </x:c>
      <x:c r="B1674" s="28" t="str">
        <x:v>back_low</x:v>
      </x:c>
      <x:c r="C1674" s="60" t="n">
        <x:v>0.35</x:v>
      </x:c>
      <x:c r="D1674" s="60" t="n">
        <x:v>0.35</x:v>
      </x:c>
      <x:c r="E1674" s="62" t="b">
        <x:v>1</x:v>
      </x:c>
      <x:c r="F1674" s="62" t="b">
        <x:v>1</x:v>
      </x:c>
      <x:c r="G1674" s="85" t="n">
        <x:v>0</x:v>
      </x:c>
      <x:c r="H1674" s="85" t="n">
        <x:v>0</x:v>
      </x:c>
      <x:c r="I1674" s="85" t="n">
        <x:v>3776291.8902631155</x:v>
      </x:c>
      <x:c r="J1674" s="85" t="n">
        <x:v>6360808.085032671</x:v>
      </x:c>
      <x:c r="K1674" s="85" t="n">
        <x:v>84309.23995234247</x:v>
      </x:c>
      <x:c r="L1674" s="28" t="n">
        <x:v>0</x:v>
      </x:c>
      <x:c r="M1674" s="28" t="n">
        <x:v>0</x:v>
      </x:c>
      <x:c r="N1674" s="28" t="n">
        <x:v>9.313225746154785e-10</x:v>
      </x:c>
      <x:c r="O1674" s="28" t="n">
        <x:v>3.725290298461914e-9</x:v>
      </x:c>
      <x:c r="P1674" s="28" t="n">
        <x:v>0</x:v>
      </x:c>
      <x:c r="Q1674" s="62" t="b">
        <x:v>1</x:v>
      </x:c>
      <x:c r="R1674" s="28" t="n">
        <x:v>0</x:v>
      </x:c>
      <x:c r="S1674" s="28" t="str">
        <x:v>88e3df479f110a66</x:v>
      </x:c>
    </x:row>
    <x:row r="1675" ht="21" customHeight="1">
      <x:c r="A1675" s="60" t="n">
        <x:v>0.66</x:v>
      </x:c>
      <x:c r="B1675" s="28" t="str">
        <x:v>back_low</x:v>
      </x:c>
      <x:c r="C1675" s="60" t="n">
        <x:v>0.4</x:v>
      </x:c>
      <x:c r="D1675" s="60" t="n">
        <x:v>0.4</x:v>
      </x:c>
      <x:c r="E1675" s="62" t="b">
        <x:v>1</x:v>
      </x:c>
      <x:c r="F1675" s="62" t="b">
        <x:v>1</x:v>
      </x:c>
      <x:c r="G1675" s="85" t="n">
        <x:v>0</x:v>
      </x:c>
      <x:c r="H1675" s="85" t="n">
        <x:v>0</x:v>
      </x:c>
      <x:c r="I1675" s="85" t="n">
        <x:v>4731108.197127235</x:v>
      </x:c>
      <x:c r="J1675" s="85" t="n">
        <x:v>7751451.251038986</x:v>
      </x:c>
      <x:c r="K1675" s="85" t="n">
        <x:v>70730.75353424673</x:v>
      </x:c>
      <x:c r="L1675" s="28" t="n">
        <x:v>4</x:v>
      </x:c>
      <x:c r="M1675" s="28" t="n">
        <x:v>0</x:v>
      </x:c>
      <x:c r="N1675" s="28" t="n">
        <x:v>9.313225746154785e-10</x:v>
      </x:c>
      <x:c r="O1675" s="28" t="n">
        <x:v>7.450580596923828e-9</x:v>
      </x:c>
      <x:c r="P1675" s="28" t="n">
        <x:v>0</x:v>
      </x:c>
      <x:c r="Q1675" s="62" t="b">
        <x:v>1</x:v>
      </x:c>
      <x:c r="R1675" s="28" t="n">
        <x:v>0</x:v>
      </x:c>
      <x:c r="S1675" s="28" t="str">
        <x:v>f4c4bfb782a7ab0b</x:v>
      </x:c>
    </x:row>
    <x:row r="1676" ht="21" customHeight="1">
      <x:c r="A1676" s="60" t="n">
        <x:v>0.66</x:v>
      </x:c>
      <x:c r="B1676" s="28" t="str">
        <x:v>back_low</x:v>
      </x:c>
      <x:c r="C1676" s="60" t="n">
        <x:v>0.45</x:v>
      </x:c>
      <x:c r="D1676" s="60" t="n">
        <x:v>0.45</x:v>
      </x:c>
      <x:c r="E1676" s="62" t="b">
        <x:v>1</x:v>
      </x:c>
      <x:c r="F1676" s="62" t="b">
        <x:v>1</x:v>
      </x:c>
      <x:c r="G1676" s="85" t="n">
        <x:v>0</x:v>
      </x:c>
      <x:c r="H1676" s="85" t="n">
        <x:v>0</x:v>
      </x:c>
      <x:c r="I1676" s="85" t="n">
        <x:v>5699226.421948071</x:v>
      </x:c>
      <x:c r="J1676" s="85" t="n">
        <x:v>9098278.473733976</x:v>
      </x:c>
      <x:c r="K1676" s="85" t="n">
        <x:v>64174.39272602768</x:v>
      </x:c>
      <x:c r="L1676" s="28" t="n">
        <x:v>8</x:v>
      </x:c>
      <x:c r="M1676" s="28" t="n">
        <x:v>0</x:v>
      </x:c>
      <x:c r="N1676" s="28" t="n">
        <x:v>9.313225746154785e-10</x:v>
      </x:c>
      <x:c r="O1676" s="28" t="n">
        <x:v>7.450580596923828e-9</x:v>
      </x:c>
      <x:c r="P1676" s="28" t="n">
        <x:v>0</x:v>
      </x:c>
      <x:c r="Q1676" s="62" t="b">
        <x:v>1</x:v>
      </x:c>
      <x:c r="R1676" s="28" t="n">
        <x:v>0</x:v>
      </x:c>
      <x:c r="S1676" s="28" t="str">
        <x:v>36e68f2faa3eafa5</x:v>
      </x:c>
    </x:row>
    <x:row r="1677" ht="21" customHeight="1">
      <x:c r="A1677" s="60" t="n">
        <x:v>0.66</x:v>
      </x:c>
      <x:c r="B1677" s="28" t="str">
        <x:v>back_low</x:v>
      </x:c>
      <x:c r="C1677" s="60" t="n">
        <x:v>0.5</x:v>
      </x:c>
      <x:c r="D1677" s="60" t="n">
        <x:v>0.5</x:v>
      </x:c>
      <x:c r="E1677" s="62" t="b">
        <x:v>1</x:v>
      </x:c>
      <x:c r="F1677" s="62" t="b">
        <x:v>1</x:v>
      </x:c>
      <x:c r="G1677" s="85" t="n">
        <x:v>0</x:v>
      </x:c>
      <x:c r="H1677" s="85" t="n">
        <x:v>0</x:v>
      </x:c>
      <x:c r="I1677" s="85" t="n">
        <x:v>6598602.664186138</x:v>
      </x:c>
      <x:c r="J1677" s="85" t="n">
        <x:v>10556999.124358311</x:v>
      </x:c>
      <x:c r="K1677" s="85" t="n">
        <x:v>57618.031917808345</x:v>
      </x:c>
      <x:c r="L1677" s="28" t="n">
        <x:v>12</x:v>
      </x:c>
      <x:c r="M1677" s="28" t="n">
        <x:v>0</x:v>
      </x:c>
      <x:c r="N1677" s="28" t="n">
        <x:v>9.313225746154785e-10</x:v>
      </x:c>
      <x:c r="O1677" s="28" t="n">
        <x:v>1.862645149230957e-9</x:v>
      </x:c>
      <x:c r="P1677" s="28" t="n">
        <x:v>0</x:v>
      </x:c>
      <x:c r="Q1677" s="62" t="b">
        <x:v>1</x:v>
      </x:c>
      <x:c r="R1677" s="28" t="n">
        <x:v>0</x:v>
      </x:c>
      <x:c r="S1677" s="28" t="str">
        <x:v>cec5f82bd476394b</x:v>
      </x:c>
    </x:row>
    <x:row r="1678" ht="21" customHeight="1">
      <x:c r="A1678" s="60" t="n">
        <x:v>0.66</x:v>
      </x:c>
      <x:c r="B1678" s="28" t="str">
        <x:v>back_low</x:v>
      </x:c>
      <x:c r="C1678" s="60" t="n">
        <x:v>0.55</x:v>
      </x:c>
      <x:c r="D1678" s="60" t="n">
        <x:v>0.55</x:v>
      </x:c>
      <x:c r="E1678" s="62" t="b">
        <x:v>1</x:v>
      </x:c>
      <x:c r="F1678" s="62" t="b">
        <x:v>1</x:v>
      </x:c>
      <x:c r="G1678" s="85" t="n">
        <x:v>0</x:v>
      </x:c>
      <x:c r="H1678" s="85" t="n">
        <x:v>0</x:v>
      </x:c>
      <x:c r="I1678" s="85" t="n">
        <x:v>7363400.816414901</x:v>
      </x:c>
      <x:c r="J1678" s="85" t="n">
        <x:v>12227490.997324087</x:v>
      </x:c>
      <x:c r="K1678" s="85" t="n">
        <x:v>51061.67110958919</x:v>
      </x:c>
      <x:c r="L1678" s="28" t="n">
        <x:v>15</x:v>
      </x:c>
      <x:c r="M1678" s="28" t="n">
        <x:v>0</x:v>
      </x:c>
      <x:c r="N1678" s="28" t="n">
        <x:v>4.656612873077393e-10</x:v>
      </x:c>
      <x:c r="O1678" s="28" t="n">
        <x:v>7.450580596923828e-9</x:v>
      </x:c>
      <x:c r="P1678" s="28" t="n">
        <x:v>0</x:v>
      </x:c>
      <x:c r="Q1678" s="62" t="b">
        <x:v>1</x:v>
      </x:c>
      <x:c r="R1678" s="28" t="n">
        <x:v>0</x:v>
      </x:c>
      <x:c r="S1678" s="28" t="str">
        <x:v>c1059da2efeada72</x:v>
      </x:c>
    </x:row>
    <x:row r="1679" ht="21" customHeight="1">
      <x:c r="A1679" s="60" t="n">
        <x:v>0.66</x:v>
      </x:c>
      <x:c r="B1679" s="28" t="str">
        <x:v>back_low</x:v>
      </x:c>
      <x:c r="C1679" s="60" t="n">
        <x:v>0.6</x:v>
      </x:c>
      <x:c r="D1679" s="60" t="n">
        <x:v>0.6</x:v>
      </x:c>
      <x:c r="E1679" s="62" t="b">
        <x:v>1</x:v>
      </x:c>
      <x:c r="F1679" s="62" t="b">
        <x:v>0</x:v>
      </x:c>
      <x:c r="G1679" s="85" t="n">
        <x:v>45518.19091539875</x:v>
      </x:c>
      <x:c r="H1679" s="85" t="n">
        <x:v>571115.6410159225</x:v>
      </x:c>
      <x:c r="I1679" s="85" t="n">
        <x:v>7911510.578302471</x:v>
      </x:c>
      <x:c r="J1679" s="85" t="n">
        <x:v>13378559.999999998</x:v>
      </x:c>
      <x:c r="K1679" s="85" t="n">
        <x:v>44505.31030136993</x:v>
      </x:c>
      <x:c r="L1679" s="28" t="n">
        <x:v>39</x:v>
      </x:c>
      <x:c r="M1679" s="28" t="n">
        <x:v>26</x:v>
      </x:c>
      <x:c r="N1679" s="28" t="n">
        <x:v>4.656612873077393e-10</x:v>
      </x:c>
      <x:c r="O1679" s="28" t="n">
        <x:v>7.450580596923828e-9</x:v>
      </x:c>
      <x:c r="P1679" s="28" t="n">
        <x:v>0</x:v>
      </x:c>
      <x:c r="Q1679" s="62" t="b">
        <x:v>1</x:v>
      </x:c>
      <x:c r="R1679" s="28" t="n">
        <x:v>0</x:v>
      </x:c>
      <x:c r="S1679" s="28" t="str">
        <x:v>9683b5d3b13bfd35</x:v>
      </x:c>
    </x:row>
    <x:row r="1680" ht="21" customHeight="1">
      <x:c r="A1680" s="60" t="n">
        <x:v>0.66</x:v>
      </x:c>
      <x:c r="B1680" s="28" t="str">
        <x:v>back_low</x:v>
      </x:c>
      <x:c r="C1680" s="60" t="n">
        <x:v>0.65</x:v>
      </x:c>
      <x:c r="D1680" s="60" t="n">
        <x:v>0.65</x:v>
      </x:c>
      <x:c r="E1680" s="62" t="b">
        <x:v>1</x:v>
      </x:c>
      <x:c r="F1680" s="62" t="b">
        <x:v>0</x:v>
      </x:c>
      <x:c r="G1680" s="85" t="n">
        <x:v>193189.04671172332</x:v>
      </x:c>
      <x:c r="H1680" s="85" t="n">
        <x:v>2406304.3793958966</x:v>
      </x:c>
      <x:c r="I1680" s="85" t="n">
        <x:v>8077428.502072896</x:v>
      </x:c>
      <x:c r="J1680" s="85" t="n">
        <x:v>13378559.999999998</x:v>
      </x:c>
      <x:c r="K1680" s="85" t="n">
        <x:v>37948.94949315107</x:v>
      </x:c>
      <x:c r="L1680" s="28" t="n">
        <x:v>40</x:v>
      </x:c>
      <x:c r="M1680" s="28" t="n">
        <x:v>30</x:v>
      </x:c>
      <x:c r="N1680" s="28" t="n">
        <x:v>4.656612873077393e-10</x:v>
      </x:c>
      <x:c r="O1680" s="28" t="n">
        <x:v>7.450580596923828e-9</x:v>
      </x:c>
      <x:c r="P1680" s="28" t="n">
        <x:v>0</x:v>
      </x:c>
      <x:c r="Q1680" s="62" t="b">
        <x:v>1</x:v>
      </x:c>
      <x:c r="R1680" s="28" t="n">
        <x:v>0</x:v>
      </x:c>
      <x:c r="S1680" s="28" t="str">
        <x:v>6c911ae97950501d</x:v>
      </x:c>
    </x:row>
    <x:row r="1681" ht="21" customHeight="1">
      <x:c r="A1681" s="60" t="n">
        <x:v>0.66</x:v>
      </x:c>
      <x:c r="B1681" s="28" t="str">
        <x:v>back_low</x:v>
      </x:c>
      <x:c r="C1681" s="60" t="n">
        <x:v>0.7</x:v>
      </x:c>
      <x:c r="D1681" s="60" t="n">
        <x:v>0.7</x:v>
      </x:c>
      <x:c r="E1681" s="62" t="b">
        <x:v>1</x:v>
      </x:c>
      <x:c r="F1681" s="62" t="b">
        <x:v>0</x:v>
      </x:c>
      <x:c r="G1681" s="85" t="n">
        <x:v>354668.6826959285</x:v>
      </x:c>
      <x:c r="H1681" s="85" t="n">
        <x:v>4414235.70453752</x:v>
      </x:c>
      <x:c r="I1681" s="85" t="n">
        <x:v>8096909.908247101</x:v>
      </x:c>
      <x:c r="J1681" s="85" t="n">
        <x:v>13378559.999999998</x:v>
      </x:c>
      <x:c r="K1681" s="85" t="n">
        <x:v>32604.694986301394</x:v>
      </x:c>
      <x:c r="L1681" s="28" t="n">
        <x:v>40</x:v>
      </x:c>
      <x:c r="M1681" s="28" t="n">
        <x:v>31</x:v>
      </x:c>
      <x:c r="N1681" s="28" t="n">
        <x:v>4.656612873077393e-10</x:v>
      </x:c>
      <x:c r="O1681" s="28" t="n">
        <x:v>3.725290298461914e-9</x:v>
      </x:c>
      <x:c r="P1681" s="28" t="n">
        <x:v>0</x:v>
      </x:c>
      <x:c r="Q1681" s="62" t="b">
        <x:v>1</x:v>
      </x:c>
      <x:c r="R1681" s="28" t="n">
        <x:v>0</x:v>
      </x:c>
      <x:c r="S1681" s="28" t="str">
        <x:v>ea7f7fbb32afe953</x:v>
      </x:c>
    </x:row>
    <x:row r="1682" ht="21" customHeight="1">
      <x:c r="A1682" s="60" t="n">
        <x:v>0.66</x:v>
      </x:c>
      <x:c r="B1682" s="28" t="str">
        <x:v>back_low</x:v>
      </x:c>
      <x:c r="C1682" s="60" t="n">
        <x:v>0.75</x:v>
      </x:c>
      <x:c r="D1682" s="60" t="n">
        <x:v>0.75</x:v>
      </x:c>
      <x:c r="E1682" s="62" t="b">
        <x:v>1</x:v>
      </x:c>
      <x:c r="F1682" s="62" t="b">
        <x:v>0</x:v>
      </x:c>
      <x:c r="G1682" s="85" t="n">
        <x:v>525743.2119341511</x:v>
      </x:c>
      <x:c r="H1682" s="85" t="n">
        <x:v>6204095.091503247</x:v>
      </x:c>
      <x:c r="I1682" s="85" t="n">
        <x:v>8284863.428375006</x:v>
      </x:c>
      <x:c r="J1682" s="85" t="n">
        <x:v>13378559.999999998</x:v>
      </x:c>
      <x:c r="K1682" s="85" t="n">
        <x:v>30570.416479451982</x:v>
      </x:c>
      <x:c r="L1682" s="28" t="n">
        <x:v>41</x:v>
      </x:c>
      <x:c r="M1682" s="28" t="n">
        <x:v>32</x:v>
      </x:c>
      <x:c r="N1682" s="28" t="n">
        <x:v>4.656612873077393e-10</x:v>
      </x:c>
      <x:c r="O1682" s="28" t="n">
        <x:v>7.450580596923828e-9</x:v>
      </x:c>
      <x:c r="P1682" s="28" t="n">
        <x:v>0</x:v>
      </x:c>
      <x:c r="Q1682" s="62" t="b">
        <x:v>1</x:v>
      </x:c>
      <x:c r="R1682" s="28" t="n">
        <x:v>0</x:v>
      </x:c>
      <x:c r="S1682" s="28" t="str">
        <x:v>7aae8c0688ba8971</x:v>
      </x:c>
    </x:row>
    <x:row r="1683" ht="21" customHeight="1">
      <x:c r="A1683" s="60" t="n">
        <x:v>0.66</x:v>
      </x:c>
      <x:c r="B1683" s="28" t="str">
        <x:v>back_low</x:v>
      </x:c>
      <x:c r="C1683" s="60" t="n">
        <x:v>0.8</x:v>
      </x:c>
      <x:c r="D1683" s="60" t="n">
        <x:v>0.8</x:v>
      </x:c>
      <x:c r="E1683" s="62" t="b">
        <x:v>1</x:v>
      </x:c>
      <x:c r="F1683" s="62" t="b">
        <x:v>0</x:v>
      </x:c>
      <x:c r="G1683" s="85" t="n">
        <x:v>695564.0272683653</x:v>
      </x:c>
      <x:c r="H1683" s="85" t="n">
        <x:v>8144707.39636185</x:v>
      </x:c>
      <x:c r="I1683" s="85" t="n">
        <x:v>8298131.155556171</x:v>
      </x:c>
      <x:c r="J1683" s="85" t="n">
        <x:v>13378559.999999998</x:v>
      </x:c>
      <x:c r="K1683" s="85" t="n">
        <x:v>28536.137972602977</x:v>
      </x:c>
      <x:c r="L1683" s="28" t="n">
        <x:v>41</x:v>
      </x:c>
      <x:c r="M1683" s="28" t="n">
        <x:v>33</x:v>
      </x:c>
      <x:c r="N1683" s="28" t="n">
        <x:v>4.656612873077393e-10</x:v>
      </x:c>
      <x:c r="O1683" s="28" t="n">
        <x:v>3.725290298461914e-9</x:v>
      </x:c>
      <x:c r="P1683" s="28" t="n">
        <x:v>0</x:v>
      </x:c>
      <x:c r="Q1683" s="62" t="b">
        <x:v>1</x:v>
      </x:c>
      <x:c r="R1683" s="28" t="n">
        <x:v>0</x:v>
      </x:c>
      <x:c r="S1683" s="28" t="str">
        <x:v>e4739363f260b751</x:v>
      </x:c>
    </x:row>
    <x:row r="1684" ht="21" customHeight="1">
      <x:c r="A1684" s="60" t="n">
        <x:v>0.66</x:v>
      </x:c>
      <x:c r="B1684" s="28" t="str">
        <x:v>back_low</x:v>
      </x:c>
      <x:c r="C1684" s="60" t="n">
        <x:v>0.85</x:v>
      </x:c>
      <x:c r="D1684" s="60" t="n">
        <x:v>0.85</x:v>
      </x:c>
      <x:c r="E1684" s="62" t="b">
        <x:v>1</x:v>
      </x:c>
      <x:c r="F1684" s="62" t="b">
        <x:v>0</x:v>
      </x:c>
      <x:c r="G1684" s="85" t="n">
        <x:v>933016.0246507878</x:v>
      </x:c>
      <x:c r="H1684" s="85" t="n">
        <x:v>9813378.110289676</x:v>
      </x:c>
      <x:c r="I1684" s="85" t="n">
        <x:v>8470238.808337664</x:v>
      </x:c>
      <x:c r="J1684" s="85" t="n">
        <x:v>13378559.999999998</x:v>
      </x:c>
      <x:c r="K1684" s="85" t="n">
        <x:v>26501.859465753158</x:v>
      </x:c>
      <x:c r="L1684" s="28" t="n">
        <x:v>42</x:v>
      </x:c>
      <x:c r="M1684" s="28" t="n">
        <x:v>34</x:v>
      </x:c>
      <x:c r="N1684" s="28" t="n">
        <x:v>4.656612873077393e-10</x:v>
      </x:c>
      <x:c r="O1684" s="28" t="n">
        <x:v>9.313225746154785e-10</x:v>
      </x:c>
      <x:c r="P1684" s="28" t="n">
        <x:v>0</x:v>
      </x:c>
      <x:c r="Q1684" s="62" t="b">
        <x:v>1</x:v>
      </x:c>
      <x:c r="R1684" s="28" t="n">
        <x:v>0</x:v>
      </x:c>
      <x:c r="S1684" s="28" t="str">
        <x:v>556702c6e820400b</x:v>
      </x:c>
    </x:row>
    <x:row r="1685" ht="21" customHeight="1">
      <x:c r="A1685" s="60" t="n">
        <x:v>0.66</x:v>
      </x:c>
      <x:c r="B1685" s="28" t="str">
        <x:v>back_low</x:v>
      </x:c>
      <x:c r="C1685" s="60" t="n">
        <x:v>0.9</x:v>
      </x:c>
      <x:c r="D1685" s="60" t="n">
        <x:v>0.880265491166173</x:v>
      </x:c>
      <x:c r="E1685" s="62" t="b">
        <x:v>0</x:v>
      </x:c>
      <x:c r="F1685" s="62" t="b">
        <x:v>0</x:v>
      </x:c>
      <x:c r="G1685" s="85" t="n">
        <x:v>1230543.0224616865</x:v>
      </x:c>
      <x:c r="H1685" s="85" t="n">
        <x:v>10789310.41337807</x:v>
      </x:c>
      <x:c r="I1685" s="85" t="n">
        <x:v>8478307.295996526</x:v>
      </x:c>
      <x:c r="J1685" s="85" t="n">
        <x:v>13378559.999999998</x:v>
      </x:c>
      <x:c r="K1685" s="85" t="n">
        <x:v>24467.58095890392</x:v>
      </x:c>
      <x:c r="L1685" s="28" t="n">
        <x:v>42</x:v>
      </x:c>
      <x:c r="M1685" s="28" t="n">
        <x:v>34</x:v>
      </x:c>
      <x:c r="N1685" s="28" t="n">
        <x:v>4.656612873077393e-10</x:v>
      </x:c>
      <x:c r="O1685" s="28" t="n">
        <x:v>3.725290298461914e-9</x:v>
      </x:c>
      <x:c r="P1685" s="28" t="n">
        <x:v>0</x:v>
      </x:c>
      <x:c r="Q1685" s="62" t="b">
        <x:v>1</x:v>
      </x:c>
      <x:c r="R1685" s="28" t="n">
        <x:v>1100080.4604328498</x:v>
      </x:c>
      <x:c r="S1685" s="28" t="str">
        <x:v>de5725ce4eb3def0</x:v>
      </x:c>
    </x:row>
    <x:row r="1686" ht="21" customHeight="1">
      <x:c r="A1686" s="60" t="n">
        <x:v>0.66</x:v>
      </x:c>
      <x:c r="B1686" s="28" t="str">
        <x:v>back_low</x:v>
      </x:c>
      <x:c r="C1686" s="60" t="n">
        <x:v>0.95</x:v>
      </x:c>
      <x:c r="D1686" s="60" t="n">
        <x:v>0.8954794051096439</x:v>
      </x:c>
      <x:c r="E1686" s="62" t="b">
        <x:v>0</x:v>
      </x:c>
      <x:c r="F1686" s="62" t="b">
        <x:v>0</x:v>
      </x:c>
      <x:c r="G1686" s="85" t="n">
        <x:v>1308919.2126233878</x:v>
      </x:c>
      <x:c r="H1686" s="85" t="n">
        <x:v>11476507.06496761</x:v>
      </x:c>
      <x:c r="I1686" s="85" t="n">
        <x:v>8486375.78365539</x:v>
      </x:c>
      <x:c r="J1686" s="85" t="n">
        <x:v>13378559.999999998</x:v>
      </x:c>
      <x:c r="K1686" s="85" t="n">
        <x:v>22433.30245205503</x:v>
      </x:c>
      <x:c r="L1686" s="28" t="n">
        <x:v>42</x:v>
      </x:c>
      <x:c r="M1686" s="28" t="n">
        <x:v>35</x:v>
      </x:c>
      <x:c r="N1686" s="28" t="n">
        <x:v>4.656612873077393e-10</x:v>
      </x:c>
      <x:c r="O1686" s="28" t="n">
        <x:v>3.725290298461914e-9</x:v>
      </x:c>
      <x:c r="P1686" s="28" t="n">
        <x:v>0</x:v>
      </x:c>
      <x:c r="Q1686" s="62" t="b">
        <x:v>1</x:v>
      </x:c>
      <x:c r="R1686" s="28" t="n">
        <x:v>3039196.041568011</x:v>
      </x:c>
      <x:c r="S1686" s="28" t="str">
        <x:v>9758032b861c70d2</x:v>
      </x:c>
    </x:row>
    <x:row r="1687" ht="21" customHeight="1">
      <x:c r="A1687" s="60" t="n">
        <x:v>0.66</x:v>
      </x:c>
      <x:c r="B1687" s="28" t="str">
        <x:v>back_low</x:v>
      </x:c>
      <x:c r="C1687" s="60" t="n">
        <x:v>1</x:v>
      </x:c>
      <x:c r="D1687" s="60" t="n">
        <x:v>0.9093341115290656</x:v>
      </x:c>
      <x:c r="E1687" s="62" t="b">
        <x:v>0</x:v>
      </x:c>
      <x:c r="F1687" s="62" t="b">
        <x:v>0</x:v>
      </x:c>
      <x:c r="G1687" s="85" t="n">
        <x:v>1408742.3912416378</x:v>
      </x:c>
      <x:c r="H1687" s="85" t="n">
        <x:v>11854000.341268359</x:v>
      </x:c>
      <x:c r="I1687" s="85" t="n">
        <x:v>8663201.4410411</x:v>
      </x:c>
      <x:c r="J1687" s="85" t="n">
        <x:v>13378559.999999998</x:v>
      </x:c>
      <x:c r="K1687" s="85" t="n">
        <x:v>20399.023945205387</x:v>
      </x:c>
      <x:c r="L1687" s="28" t="n">
        <x:v>43</x:v>
      </x:c>
      <x:c r="M1687" s="28" t="n">
        <x:v>36</x:v>
      </x:c>
      <x:c r="N1687" s="28" t="n">
        <x:v>2.3283064365386963e-10</x:v>
      </x:c>
      <x:c r="O1687" s="28" t="n">
        <x:v>3.725290298461914e-9</x:v>
      </x:c>
      <x:c r="P1687" s="28" t="n">
        <x:v>0</x:v>
      </x:c>
      <x:c r="Q1687" s="62" t="b">
        <x:v>1</x:v>
      </x:c>
      <x:c r="R1687" s="28" t="n">
        <x:v>5054079.286923766</x:v>
      </x:c>
      <x:c r="S1687" s="28" t="str">
        <x:v>981b6d26e2a00f54</x:v>
      </x:c>
    </x:row>
    <x:row r="1688" ht="21" customHeight="1">
      <x:c r="A1688" s="60" t="n">
        <x:v>0.66</x:v>
      </x:c>
      <x:c r="B1688" s="28" t="str">
        <x:v>back_high</x:v>
      </x:c>
      <x:c r="C1688" s="60" t="n">
        <x:v>0</x:v>
      </x:c>
      <x:c r="D1688" s="60" t="n">
        <x:v>0</x:v>
      </x:c>
      <x:c r="E1688" s="62" t="b">
        <x:v>1</x:v>
      </x:c>
      <x:c r="F1688" s="62" t="b">
        <x:v>1</x:v>
      </x:c>
      <x:c r="G1688" s="85" t="n">
        <x:v>0</x:v>
      </x:c>
      <x:c r="H1688" s="85" t="n">
        <x:v>0</x:v>
      </x:c>
      <x:c r="I1688" s="85" t="n">
        <x:v>0</x:v>
      </x:c>
      <x:c r="J1688" s="85" t="n">
        <x:v>0</x:v>
      </x:c>
      <x:c r="K1688" s="85" t="n">
        <x:v>7261858.4999452075</x:v>
      </x:c>
      <x:c r="L1688" s="28" t="n">
        <x:v>0</x:v>
      </x:c>
      <x:c r="M1688" s="28" t="n">
        <x:v>0</x:v>
      </x:c>
      <x:c r="N1688" s="28" t="n">
        <x:v>9.313225746154785e-10</x:v>
      </x:c>
      <x:c r="O1688" s="28" t="n">
        <x:v>0</x:v>
      </x:c>
      <x:c r="P1688" s="28" t="n">
        <x:v>0</x:v>
      </x:c>
      <x:c r="Q1688" s="62" t="b">
        <x:v>1</x:v>
      </x:c>
      <x:c r="R1688" s="28" t="n">
        <x:v>0</x:v>
      </x:c>
      <x:c r="S1688" s="28" t="str">
        <x:v>c2097498eaf6cd99</x:v>
      </x:c>
    </x:row>
    <x:row r="1689" ht="21" customHeight="1">
      <x:c r="A1689" s="60" t="n">
        <x:v>0.66</x:v>
      </x:c>
      <x:c r="B1689" s="28" t="str">
        <x:v>back_high</x:v>
      </x:c>
      <x:c r="C1689" s="60" t="n">
        <x:v>0.05</x:v>
      </x:c>
      <x:c r="D1689" s="60" t="n">
        <x:v>0.05</x:v>
      </x:c>
      <x:c r="E1689" s="62" t="b">
        <x:v>1</x:v>
      </x:c>
      <x:c r="F1689" s="62" t="b">
        <x:v>1</x:v>
      </x:c>
      <x:c r="G1689" s="85" t="n">
        <x:v>0</x:v>
      </x:c>
      <x:c r="H1689" s="85" t="n">
        <x:v>0</x:v>
      </x:c>
      <x:c r="I1689" s="85" t="n">
        <x:v>0</x:v>
      </x:c>
      <x:c r="J1689" s="85" t="n">
        <x:v>0</x:v>
      </x:c>
      <x:c r="K1689" s="85" t="n">
        <x:v>4817573.507132318</x:v>
      </x:c>
      <x:c r="L1689" s="28" t="n">
        <x:v>0</x:v>
      </x:c>
      <x:c r="M1689" s="28" t="n">
        <x:v>0</x:v>
      </x:c>
      <x:c r="N1689" s="28" t="n">
        <x:v>9.313225746154785e-10</x:v>
      </x:c>
      <x:c r="O1689" s="28" t="n">
        <x:v>7.450580596923828e-9</x:v>
      </x:c>
      <x:c r="P1689" s="28" t="n">
        <x:v>0</x:v>
      </x:c>
      <x:c r="Q1689" s="62" t="b">
        <x:v>1</x:v>
      </x:c>
      <x:c r="R1689" s="28" t="n">
        <x:v>0</x:v>
      </x:c>
      <x:c r="S1689" s="28" t="str">
        <x:v>6b1a1dfa538b9f5c</x:v>
      </x:c>
    </x:row>
    <x:row r="1690" ht="21" customHeight="1">
      <x:c r="A1690" s="60" t="n">
        <x:v>0.66</x:v>
      </x:c>
      <x:c r="B1690" s="28" t="str">
        <x:v>back_high</x:v>
      </x:c>
      <x:c r="C1690" s="60" t="n">
        <x:v>0.1</x:v>
      </x:c>
      <x:c r="D1690" s="60" t="n">
        <x:v>0.1</x:v>
      </x:c>
      <x:c r="E1690" s="62" t="b">
        <x:v>1</x:v>
      </x:c>
      <x:c r="F1690" s="62" t="b">
        <x:v>1</x:v>
      </x:c>
      <x:c r="G1690" s="85" t="n">
        <x:v>0</x:v>
      </x:c>
      <x:c r="H1690" s="85" t="n">
        <x:v>0</x:v>
      </x:c>
      <x:c r="I1690" s="85" t="n">
        <x:v>0</x:v>
      </x:c>
      <x:c r="J1690" s="85" t="n">
        <x:v>0</x:v>
      </x:c>
      <x:c r="K1690" s="85" t="n">
        <x:v>2373288.514319448</x:v>
      </x:c>
      <x:c r="L1690" s="28" t="n">
        <x:v>0</x:v>
      </x:c>
      <x:c r="M1690" s="28" t="n">
        <x:v>0</x:v>
      </x:c>
      <x:c r="N1690" s="28" t="n">
        <x:v>9.313225746154785e-10</x:v>
      </x:c>
      <x:c r="O1690" s="28" t="n">
        <x:v>7.450580596923828e-9</x:v>
      </x:c>
      <x:c r="P1690" s="28" t="n">
        <x:v>0</x:v>
      </x:c>
      <x:c r="Q1690" s="62" t="b">
        <x:v>1</x:v>
      </x:c>
      <x:c r="R1690" s="28" t="n">
        <x:v>0</x:v>
      </x:c>
      <x:c r="S1690" s="28" t="str">
        <x:v>820afd03acdd36f0</x:v>
      </x:c>
    </x:row>
    <x:row r="1691" ht="21" customHeight="1">
      <x:c r="A1691" s="60" t="n">
        <x:v>0.66</x:v>
      </x:c>
      <x:c r="B1691" s="28" t="str">
        <x:v>back_high</x:v>
      </x:c>
      <x:c r="C1691" s="60" t="n">
        <x:v>0.15</x:v>
      </x:c>
      <x:c r="D1691" s="60" t="n">
        <x:v>0.15</x:v>
      </x:c>
      <x:c r="E1691" s="62" t="b">
        <x:v>1</x:v>
      </x:c>
      <x:c r="F1691" s="62" t="b">
        <x:v>1</x:v>
      </x:c>
      <x:c r="G1691" s="85" t="n">
        <x:v>0</x:v>
      </x:c>
      <x:c r="H1691" s="85" t="n">
        <x:v>0</x:v>
      </x:c>
      <x:c r="I1691" s="85" t="n">
        <x:v>679064.6520500113</x:v>
      </x:c>
      <x:c r="J1691" s="85" t="n">
        <x:v>0</x:v>
      </x:c>
      <x:c r="K1691" s="85" t="n">
        <x:v>656664.5762320664</x:v>
      </x:c>
      <x:c r="L1691" s="28" t="n">
        <x:v>0</x:v>
      </x:c>
      <x:c r="M1691" s="28" t="n">
        <x:v>0</x:v>
      </x:c>
      <x:c r="N1691" s="28" t="n">
        <x:v>9.313225746154785e-10</x:v>
      </x:c>
      <x:c r="O1691" s="28" t="n">
        <x:v>7.450580596923828e-9</x:v>
      </x:c>
      <x:c r="P1691" s="28" t="n">
        <x:v>0</x:v>
      </x:c>
      <x:c r="Q1691" s="62" t="b">
        <x:v>1</x:v>
      </x:c>
      <x:c r="R1691" s="28" t="n">
        <x:v>0</x:v>
      </x:c>
      <x:c r="S1691" s="28" t="str">
        <x:v>390f7b53010c05e6</x:v>
      </x:c>
    </x:row>
    <x:row r="1692" ht="21" customHeight="1">
      <x:c r="A1692" s="60" t="n">
        <x:v>0.66</x:v>
      </x:c>
      <x:c r="B1692" s="28" t="str">
        <x:v>back_high</x:v>
      </x:c>
      <x:c r="C1692" s="60" t="n">
        <x:v>0.2</x:v>
      </x:c>
      <x:c r="D1692" s="60" t="n">
        <x:v>0.2</x:v>
      </x:c>
      <x:c r="E1692" s="62" t="b">
        <x:v>1</x:v>
      </x:c>
      <x:c r="F1692" s="62" t="b">
        <x:v>1</x:v>
      </x:c>
      <x:c r="G1692" s="85" t="n">
        <x:v>0</x:v>
      </x:c>
      <x:c r="H1692" s="85" t="n">
        <x:v>0</x:v>
      </x:c>
      <x:c r="I1692" s="85" t="n">
        <x:v>2514507.3244465985</x:v>
      </x:c>
      <x:c r="J1692" s="85" t="n">
        <x:v>1245718.905732936</x:v>
      </x:c>
      <x:c r="K1692" s="85" t="n">
        <x:v>531078.3022202384</x:v>
      </x:c>
      <x:c r="L1692" s="28" t="n">
        <x:v>0</x:v>
      </x:c>
      <x:c r="M1692" s="28" t="n">
        <x:v>0</x:v>
      </x:c>
      <x:c r="N1692" s="28" t="n">
        <x:v>9.313225746154785e-10</x:v>
      </x:c>
      <x:c r="O1692" s="28" t="n">
        <x:v>7.450580596923828e-9</x:v>
      </x:c>
      <x:c r="P1692" s="28" t="n">
        <x:v>0</x:v>
      </x:c>
      <x:c r="Q1692" s="62" t="b">
        <x:v>1</x:v>
      </x:c>
      <x:c r="R1692" s="28" t="n">
        <x:v>0</x:v>
      </x:c>
      <x:c r="S1692" s="28" t="str">
        <x:v>10cdf7a4ab2e44e5</x:v>
      </x:c>
    </x:row>
    <x:row r="1693" ht="21" customHeight="1">
      <x:c r="A1693" s="60" t="n">
        <x:v>0.66</x:v>
      </x:c>
      <x:c r="B1693" s="28" t="str">
        <x:v>back_high</x:v>
      </x:c>
      <x:c r="C1693" s="60" t="n">
        <x:v>0.25</x:v>
      </x:c>
      <x:c r="D1693" s="60" t="n">
        <x:v>0.25</x:v>
      </x:c>
      <x:c r="E1693" s="62" t="b">
        <x:v>1</x:v>
      </x:c>
      <x:c r="F1693" s="62" t="b">
        <x:v>1</x:v>
      </x:c>
      <x:c r="G1693" s="85" t="n">
        <x:v>0</x:v>
      </x:c>
      <x:c r="H1693" s="85" t="n">
        <x:v>0</x:v>
      </x:c>
      <x:c r="I1693" s="85" t="n">
        <x:v>4115224.0148634347</x:v>
      </x:c>
      <x:c r="J1693" s="85" t="n">
        <x:v>2950748.6321661994</x:v>
      </x:c>
      <x:c r="K1693" s="85" t="n">
        <x:v>444597.0748573966</x:v>
      </x:c>
      <x:c r="L1693" s="28" t="n">
        <x:v>0</x:v>
      </x:c>
      <x:c r="M1693" s="28" t="n">
        <x:v>0</x:v>
      </x:c>
      <x:c r="N1693" s="28" t="n">
        <x:v>9.313225746154785e-10</x:v>
      </x:c>
      <x:c r="O1693" s="28" t="n">
        <x:v>7.450580596923828e-9</x:v>
      </x:c>
      <x:c r="P1693" s="28" t="n">
        <x:v>0</x:v>
      </x:c>
      <x:c r="Q1693" s="62" t="b">
        <x:v>1</x:v>
      </x:c>
      <x:c r="R1693" s="28" t="n">
        <x:v>0</x:v>
      </x:c>
      <x:c r="S1693" s="28" t="str">
        <x:v>90e955d16cd87a4a</x:v>
      </x:c>
    </x:row>
    <x:row r="1694" ht="21" customHeight="1">
      <x:c r="A1694" s="60" t="n">
        <x:v>0.66</x:v>
      </x:c>
      <x:c r="B1694" s="28" t="str">
        <x:v>back_high</x:v>
      </x:c>
      <x:c r="C1694" s="60" t="n">
        <x:v>0.3</x:v>
      </x:c>
      <x:c r="D1694" s="60" t="n">
        <x:v>0.3</x:v>
      </x:c>
      <x:c r="E1694" s="62" t="b">
        <x:v>1</x:v>
      </x:c>
      <x:c r="F1694" s="62" t="b">
        <x:v>1</x:v>
      </x:c>
      <x:c r="G1694" s="85" t="n">
        <x:v>0</x:v>
      </x:c>
      <x:c r="H1694" s="85" t="n">
        <x:v>0</x:v>
      </x:c>
      <x:c r="I1694" s="85" t="n">
        <x:v>5739355.920612409</x:v>
      </x:c>
      <x:c r="J1694" s="85" t="n">
        <x:v>4655778.358599424</x:v>
      </x:c>
      <x:c r="K1694" s="85" t="n">
        <x:v>375250.52772476897</x:v>
      </x:c>
      <x:c r="L1694" s="28" t="n">
        <x:v>0</x:v>
      </x:c>
      <x:c r="M1694" s="28" t="n">
        <x:v>0</x:v>
      </x:c>
      <x:c r="N1694" s="28" t="n">
        <x:v>4.656612873077393e-10</x:v>
      </x:c>
      <x:c r="O1694" s="28" t="n">
        <x:v>7.450580596923828e-9</x:v>
      </x:c>
      <x:c r="P1694" s="28" t="n">
        <x:v>0</x:v>
      </x:c>
      <x:c r="Q1694" s="62" t="b">
        <x:v>1</x:v>
      </x:c>
      <x:c r="R1694" s="28" t="n">
        <x:v>0</x:v>
      </x:c>
      <x:c r="S1694" s="28" t="str">
        <x:v>1301b93f78e1521c</x:v>
      </x:c>
    </x:row>
    <x:row r="1695" ht="21" customHeight="1">
      <x:c r="A1695" s="60" t="n">
        <x:v>0.66</x:v>
      </x:c>
      <x:c r="B1695" s="28" t="str">
        <x:v>back_high</x:v>
      </x:c>
      <x:c r="C1695" s="60" t="n">
        <x:v>0.35</x:v>
      </x:c>
      <x:c r="D1695" s="60" t="n">
        <x:v>0.35</x:v>
      </x:c>
      <x:c r="E1695" s="62" t="b">
        <x:v>1</x:v>
      </x:c>
      <x:c r="F1695" s="62" t="b">
        <x:v>1</x:v>
      </x:c>
      <x:c r="G1695" s="85" t="n">
        <x:v>0</x:v>
      </x:c>
      <x:c r="H1695" s="85" t="n">
        <x:v>0</x:v>
      </x:c>
      <x:c r="I1695" s="85" t="n">
        <x:v>7377178.631983887</x:v>
      </x:c>
      <x:c r="J1695" s="85" t="n">
        <x:v>6360808.085032671</x:v>
      </x:c>
      <x:c r="K1695" s="85" t="n">
        <x:v>315889.51990775473</x:v>
      </x:c>
      <x:c r="L1695" s="28" t="n">
        <x:v>0</x:v>
      </x:c>
      <x:c r="M1695" s="28" t="n">
        <x:v>0</x:v>
      </x:c>
      <x:c r="N1695" s="28" t="n">
        <x:v>4.656612873077393e-10</x:v>
      </x:c>
      <x:c r="O1695" s="28" t="n">
        <x:v>3.725290298461914e-9</x:v>
      </x:c>
      <x:c r="P1695" s="28" t="n">
        <x:v>0</x:v>
      </x:c>
      <x:c r="Q1695" s="62" t="b">
        <x:v>1</x:v>
      </x:c>
      <x:c r="R1695" s="28" t="n">
        <x:v>0</x:v>
      </x:c>
      <x:c r="S1695" s="28" t="str">
        <x:v>5c9258e3fa2aa733</x:v>
      </x:c>
    </x:row>
    <x:row r="1696" ht="21" customHeight="1">
      <x:c r="A1696" s="60" t="n">
        <x:v>0.66</x:v>
      </x:c>
      <x:c r="B1696" s="28" t="str">
        <x:v>back_high</x:v>
      </x:c>
      <x:c r="C1696" s="60" t="n">
        <x:v>0.4</x:v>
      </x:c>
      <x:c r="D1696" s="60" t="n">
        <x:v>0.4</x:v>
      </x:c>
      <x:c r="E1696" s="62" t="b">
        <x:v>1</x:v>
      </x:c>
      <x:c r="F1696" s="62" t="b">
        <x:v>1</x:v>
      </x:c>
      <x:c r="G1696" s="85" t="n">
        <x:v>0</x:v>
      </x:c>
      <x:c r="H1696" s="85" t="n">
        <x:v>0</x:v>
      </x:c>
      <x:c r="I1696" s="85" t="n">
        <x:v>9097767.105481386</x:v>
      </x:c>
      <x:c r="J1696" s="85" t="n">
        <x:v>7695081.62168914</x:v>
      </x:c>
      <x:c r="K1696" s="85" t="n">
        <x:v>276424.566360329</x:v>
      </x:c>
      <x:c r="L1696" s="28" t="n">
        <x:v>3</x:v>
      </x:c>
      <x:c r="M1696" s="28" t="n">
        <x:v>0</x:v>
      </x:c>
      <x:c r="N1696" s="28" t="n">
        <x:v>2.3283064365386963e-10</x:v>
      </x:c>
      <x:c r="O1696" s="28" t="n">
        <x:v>7.450580596923828e-9</x:v>
      </x:c>
      <x:c r="P1696" s="28" t="n">
        <x:v>0</x:v>
      </x:c>
      <x:c r="Q1696" s="62" t="b">
        <x:v>1</x:v>
      </x:c>
      <x:c r="R1696" s="28" t="n">
        <x:v>0</x:v>
      </x:c>
      <x:c r="S1696" s="28" t="str">
        <x:v>7f8712eb6d687647</x:v>
      </x:c>
    </x:row>
    <x:row r="1697" ht="21" customHeight="1">
      <x:c r="A1697" s="60" t="n">
        <x:v>0.66</x:v>
      </x:c>
      <x:c r="B1697" s="28" t="str">
        <x:v>back_high</x:v>
      </x:c>
      <x:c r="C1697" s="60" t="n">
        <x:v>0.45</x:v>
      </x:c>
      <x:c r="D1697" s="60" t="n">
        <x:v>0.45</x:v>
      </x:c>
      <x:c r="E1697" s="62" t="b">
        <x:v>1</x:v>
      </x:c>
      <x:c r="F1697" s="62" t="b">
        <x:v>1</x:v>
      </x:c>
      <x:c r="G1697" s="85" t="n">
        <x:v>0</x:v>
      </x:c>
      <x:c r="H1697" s="85" t="n">
        <x:v>0</x:v>
      </x:c>
      <x:c r="I1697" s="85" t="n">
        <x:v>10870481.217257984</x:v>
      </x:c>
      <x:c r="J1697" s="85" t="n">
        <x:v>8769242.058736917</x:v>
      </x:c>
      <x:c r="K1697" s="85" t="n">
        <x:v>237711.94563698696</x:v>
      </x:c>
      <x:c r="L1697" s="28" t="n">
        <x:v>8</x:v>
      </x:c>
      <x:c r="M1697" s="28" t="n">
        <x:v>1</x:v>
      </x:c>
      <x:c r="N1697" s="28" t="n">
        <x:v>2.3283064365386963e-10</x:v>
      </x:c>
      <x:c r="O1697" s="28" t="n">
        <x:v>7.450580596923828e-9</x:v>
      </x:c>
      <x:c r="P1697" s="28" t="n">
        <x:v>0</x:v>
      </x:c>
      <x:c r="Q1697" s="62" t="b">
        <x:v>1</x:v>
      </x:c>
      <x:c r="R1697" s="28" t="n">
        <x:v>0</x:v>
      </x:c>
      <x:c r="S1697" s="28" t="str">
        <x:v>72bb8f3c8696eb50</x:v>
      </x:c>
    </x:row>
    <x:row r="1698" ht="21" customHeight="1">
      <x:c r="A1698" s="60" t="n">
        <x:v>0.66</x:v>
      </x:c>
      <x:c r="B1698" s="28" t="str">
        <x:v>back_high</x:v>
      </x:c>
      <x:c r="C1698" s="60" t="n">
        <x:v>0.5</x:v>
      </x:c>
      <x:c r="D1698" s="60" t="n">
        <x:v>0.5</x:v>
      </x:c>
      <x:c r="E1698" s="62" t="b">
        <x:v>1</x:v>
      </x:c>
      <x:c r="F1698" s="62" t="b">
        <x:v>1</x:v>
      </x:c>
      <x:c r="G1698" s="85" t="n">
        <x:v>0</x:v>
      </x:c>
      <x:c r="H1698" s="85" t="n">
        <x:v>0</x:v>
      </x:c>
      <x:c r="I1698" s="85" t="n">
        <x:v>12529864.544508386</x:v>
      </x:c>
      <x:c r="J1698" s="85" t="n">
        <x:v>10242061.246297263</x:v>
      </x:c>
      <x:c r="K1698" s="85" t="n">
        <x:v>215451.40232876776</x:v>
      </x:c>
      <x:c r="L1698" s="28" t="n">
        <x:v>11</x:v>
      </x:c>
      <x:c r="M1698" s="28" t="n">
        <x:v>5</x:v>
      </x:c>
      <x:c r="N1698" s="28" t="n">
        <x:v>4.656612873077393e-10</x:v>
      </x:c>
      <x:c r="O1698" s="28" t="n">
        <x:v>1.862645149230957e-9</x:v>
      </x:c>
      <x:c r="P1698" s="28" t="n">
        <x:v>0</x:v>
      </x:c>
      <x:c r="Q1698" s="62" t="b">
        <x:v>1</x:v>
      </x:c>
      <x:c r="R1698" s="28" t="n">
        <x:v>0</x:v>
      </x:c>
      <x:c r="S1698" s="28" t="str">
        <x:v>ba8b939d6d8344ca</x:v>
      </x:c>
    </x:row>
    <x:row r="1699" ht="21" customHeight="1">
      <x:c r="A1699" s="60" t="n">
        <x:v>0.66</x:v>
      </x:c>
      <x:c r="B1699" s="28" t="str">
        <x:v>back_high</x:v>
      </x:c>
      <x:c r="C1699" s="60" t="n">
        <x:v>0.55</x:v>
      </x:c>
      <x:c r="D1699" s="60" t="n">
        <x:v>0.55</x:v>
      </x:c>
      <x:c r="E1699" s="62" t="b">
        <x:v>1</x:v>
      </x:c>
      <x:c r="F1699" s="62" t="b">
        <x:v>1</x:v>
      </x:c>
      <x:c r="G1699" s="85" t="n">
        <x:v>0</x:v>
      </x:c>
      <x:c r="H1699" s="85" t="n">
        <x:v>0</x:v>
      </x:c>
      <x:c r="I1699" s="85" t="n">
        <x:v>14140462.464585438</x:v>
      </x:c>
      <x:c r="J1699" s="85" t="n">
        <x:v>12027757.18166481</x:v>
      </x:c>
      <x:c r="K1699" s="85" t="n">
        <x:v>197484.17856164285</x:v>
      </x:c>
      <x:c r="L1699" s="28" t="n">
        <x:v>15</x:v>
      </x:c>
      <x:c r="M1699" s="28" t="n">
        <x:v>10</x:v>
      </x:c>
      <x:c r="N1699" s="28" t="n">
        <x:v>4.656612873077393e-10</x:v>
      </x:c>
      <x:c r="O1699" s="28" t="n">
        <x:v>7.450580596923828e-9</x:v>
      </x:c>
      <x:c r="P1699" s="28" t="n">
        <x:v>0</x:v>
      </x:c>
      <x:c r="Q1699" s="62" t="b">
        <x:v>1</x:v>
      </x:c>
      <x:c r="R1699" s="28" t="n">
        <x:v>0</x:v>
      </x:c>
      <x:c r="S1699" s="28" t="str">
        <x:v>c29fad84736967e4</x:v>
      </x:c>
    </x:row>
    <x:row r="1700" ht="21" customHeight="1">
      <x:c r="A1700" s="60" t="n">
        <x:v>0.66</x:v>
      </x:c>
      <x:c r="B1700" s="28" t="str">
        <x:v>back_high</x:v>
      </x:c>
      <x:c r="C1700" s="60" t="n">
        <x:v>0.6</x:v>
      </x:c>
      <x:c r="D1700" s="60" t="n">
        <x:v>0.6</x:v>
      </x:c>
      <x:c r="E1700" s="62" t="b">
        <x:v>1</x:v>
      </x:c>
      <x:c r="F1700" s="62" t="b">
        <x:v>0</x:v>
      </x:c>
      <x:c r="G1700" s="85" t="n">
        <x:v>228885.28660046647</x:v>
      </x:c>
      <x:c r="H1700" s="85" t="n">
        <x:v>724173.8761346808</x:v>
      </x:c>
      <x:c r="I1700" s="85" t="n">
        <x:v>15287287.025786629</x:v>
      </x:c>
      <x:c r="J1700" s="85" t="n">
        <x:v>13378559.999999998</x:v>
      </x:c>
      <x:c r="K1700" s="85" t="n">
        <x:v>179516.95479452144</x:v>
      </x:c>
      <x:c r="L1700" s="28" t="n">
        <x:v>39</x:v>
      </x:c>
      <x:c r="M1700" s="28" t="n">
        <x:v>33</x:v>
      </x:c>
      <x:c r="N1700" s="28" t="n">
        <x:v>4.656612873077393e-10</x:v>
      </x:c>
      <x:c r="O1700" s="28" t="n">
        <x:v>7.450580596923828e-9</x:v>
      </x:c>
      <x:c r="P1700" s="28" t="n">
        <x:v>0</x:v>
      </x:c>
      <x:c r="Q1700" s="62" t="b">
        <x:v>1</x:v>
      </x:c>
      <x:c r="R1700" s="28" t="n">
        <x:v>0</x:v>
      </x:c>
      <x:c r="S1700" s="28" t="str">
        <x:v>94ed9f25477e4e73</x:v>
      </x:c>
    </x:row>
    <x:row r="1701" ht="21" customHeight="1">
      <x:c r="A1701" s="60" t="n">
        <x:v>0.66</x:v>
      </x:c>
      <x:c r="B1701" s="28" t="str">
        <x:v>back_high</x:v>
      </x:c>
      <x:c r="C1701" s="60" t="n">
        <x:v>0.65</x:v>
      </x:c>
      <x:c r="D1701" s="60" t="n">
        <x:v>0.65</x:v>
      </x:c>
      <x:c r="E1701" s="62" t="b">
        <x:v>1</x:v>
      </x:c>
      <x:c r="F1701" s="62" t="b">
        <x:v>0</x:v>
      </x:c>
      <x:c r="G1701" s="85" t="n">
        <x:v>1003407.2320158784</x:v>
      </x:c>
      <x:c r="H1701" s="85" t="n">
        <x:v>3057213.2709290725</x:v>
      </x:c>
      <x:c r="I1701" s="85" t="n">
        <x:v>15591886.294973504</x:v>
      </x:c>
      <x:c r="J1701" s="85" t="n">
        <x:v>13378559.999999998</x:v>
      </x:c>
      <x:c r="K1701" s="85" t="n">
        <x:v>161549.73102739817</x:v>
      </x:c>
      <x:c r="L1701" s="28" t="n">
        <x:v>40</x:v>
      </x:c>
      <x:c r="M1701" s="28" t="n">
        <x:v>34</x:v>
      </x:c>
      <x:c r="N1701" s="28" t="n">
        <x:v>4.656612873077393e-10</x:v>
      </x:c>
      <x:c r="O1701" s="28" t="n">
        <x:v>7.450580596923828e-9</x:v>
      </x:c>
      <x:c r="P1701" s="28" t="n">
        <x:v>0</x:v>
      </x:c>
      <x:c r="Q1701" s="62" t="b">
        <x:v>1</x:v>
      </x:c>
      <x:c r="R1701" s="28" t="n">
        <x:v>0</x:v>
      </x:c>
      <x:c r="S1701" s="28" t="str">
        <x:v>48e36f56d0242fc2</x:v>
      </x:c>
    </x:row>
    <x:row r="1702" ht="21" customHeight="1">
      <x:c r="A1702" s="60" t="n">
        <x:v>0.66</x:v>
      </x:c>
      <x:c r="B1702" s="28" t="str">
        <x:v>back_high</x:v>
      </x:c>
      <x:c r="C1702" s="60" t="n">
        <x:v>0.7</x:v>
      </x:c>
      <x:c r="D1702" s="60" t="n">
        <x:v>0.7</x:v>
      </x:c>
      <x:c r="E1702" s="62" t="b">
        <x:v>1</x:v>
      </x:c>
      <x:c r="F1702" s="62" t="b">
        <x:v>0</x:v>
      </x:c>
      <x:c r="G1702" s="85" t="n">
        <x:v>1862884.7036764412</x:v>
      </x:c>
      <x:c r="H1702" s="85" t="n">
        <x:v>5618202.840046729</x:v>
      </x:c>
      <x:c r="I1702" s="85" t="n">
        <x:v>15644052.696892437</x:v>
      </x:c>
      <x:c r="J1702" s="85" t="n">
        <x:v>13378559.999999998</x:v>
      </x:c>
      <x:c r="K1702" s="85" t="n">
        <x:v>143582.50726027397</x:v>
      </x:c>
      <x:c r="L1702" s="28" t="n">
        <x:v>40</x:v>
      </x:c>
      <x:c r="M1702" s="28" t="n">
        <x:v>36</x:v>
      </x:c>
      <x:c r="N1702" s="28" t="n">
        <x:v>2.3283064365386963e-10</x:v>
      </x:c>
      <x:c r="O1702" s="28" t="n">
        <x:v>3.725290298461914e-9</x:v>
      </x:c>
      <x:c r="P1702" s="28" t="n">
        <x:v>0</x:v>
      </x:c>
      <x:c r="Q1702" s="62" t="b">
        <x:v>1</x:v>
      </x:c>
      <x:c r="R1702" s="28" t="n">
        <x:v>0</x:v>
      </x:c>
      <x:c r="S1702" s="28" t="str">
        <x:v>4c88efbdebbcb571</x:v>
      </x:c>
    </x:row>
    <x:row r="1703" ht="21" customHeight="1">
      <x:c r="A1703" s="60" t="n">
        <x:v>0.66</x:v>
      </x:c>
      <x:c r="B1703" s="28" t="str">
        <x:v>back_high</x:v>
      </x:c>
      <x:c r="C1703" s="60" t="n">
        <x:v>0.75</x:v>
      </x:c>
      <x:c r="D1703" s="60" t="n">
        <x:v>0.75</x:v>
      </x:c>
      <x:c r="E1703" s="62" t="b">
        <x:v>1</x:v>
      </x:c>
      <x:c r="F1703" s="62" t="b">
        <x:v>0</x:v>
      </x:c>
      <x:c r="G1703" s="85" t="n">
        <x:v>2723565.7355782404</x:v>
      </x:c>
      <x:c r="H1703" s="85" t="n">
        <x:v>7609962.234900817</x:v>
      </x:c>
      <x:c r="I1703" s="85" t="n">
        <x:v>15966984.610489726</x:v>
      </x:c>
      <x:c r="J1703" s="85" t="n">
        <x:v>13378559.999999998</x:v>
      </x:c>
      <x:c r="K1703" s="85" t="n">
        <x:v>126653.73916438338</x:v>
      </x:c>
      <x:c r="L1703" s="28" t="n">
        <x:v>41</x:v>
      </x:c>
      <x:c r="M1703" s="28" t="n">
        <x:v>36</x:v>
      </x:c>
      <x:c r="N1703" s="28" t="n">
        <x:v>4.656612873077393e-10</x:v>
      </x:c>
      <x:c r="O1703" s="28" t="n">
        <x:v>7.450580596923828e-9</x:v>
      </x:c>
      <x:c r="P1703" s="28" t="n">
        <x:v>0</x:v>
      </x:c>
      <x:c r="Q1703" s="62" t="b">
        <x:v>1</x:v>
      </x:c>
      <x:c r="R1703" s="28" t="n">
        <x:v>0</x:v>
      </x:c>
      <x:c r="S1703" s="28" t="str">
        <x:v>3ec78bee0887a7ee</x:v>
      </x:c>
    </x:row>
    <x:row r="1704" ht="21" customHeight="1">
      <x:c r="A1704" s="60" t="n">
        <x:v>0.66</x:v>
      </x:c>
      <x:c r="B1704" s="28" t="str">
        <x:v>back_high</x:v>
      </x:c>
      <x:c r="C1704" s="60" t="n">
        <x:v>0.8</x:v>
      </x:c>
      <x:c r="D1704" s="60" t="n">
        <x:v>0.8</x:v>
      </x:c>
      <x:c r="E1704" s="62" t="b">
        <x:v>1</x:v>
      </x:c>
      <x:c r="F1704" s="62" t="b">
        <x:v>0</x:v>
      </x:c>
      <x:c r="G1704" s="85" t="n">
        <x:v>3705893.3263672153</x:v>
      </x:c>
      <x:c r="H1704" s="85" t="n">
        <x:v>9952210.613450099</x:v>
      </x:c>
      <x:c r="I1704" s="85" t="n">
        <x:v>16002822.79689863</x:v>
      </x:c>
      <x:c r="J1704" s="85" t="n">
        <x:v>13378559.999999998</x:v>
      </x:c>
      <x:c r="K1704" s="85" t="n">
        <x:v>115876.94301369894</x:v>
      </x:c>
      <x:c r="L1704" s="28" t="n">
        <x:v>41</x:v>
      </x:c>
      <x:c r="M1704" s="28" t="n">
        <x:v>37</x:v>
      </x:c>
      <x:c r="N1704" s="28" t="n">
        <x:v>4.656612873077393e-10</x:v>
      </x:c>
      <x:c r="O1704" s="28" t="n">
        <x:v>3.725290298461914e-9</x:v>
      </x:c>
      <x:c r="P1704" s="28" t="n">
        <x:v>0</x:v>
      </x:c>
      <x:c r="Q1704" s="62" t="b">
        <x:v>1</x:v>
      </x:c>
      <x:c r="R1704" s="28" t="n">
        <x:v>0</x:v>
      </x:c>
      <x:c r="S1704" s="28" t="str">
        <x:v>3dfcdeafa39f8f22</x:v>
      </x:c>
    </x:row>
    <x:row r="1705" ht="21" customHeight="1">
      <x:c r="A1705" s="60" t="n">
        <x:v>0.66</x:v>
      </x:c>
      <x:c r="B1705" s="28" t="str">
        <x:v>back_high</x:v>
      </x:c>
      <x:c r="C1705" s="60" t="n">
        <x:v>0.85</x:v>
      </x:c>
      <x:c r="D1705" s="60" t="n">
        <x:v>0.85</x:v>
      </x:c>
      <x:c r="E1705" s="62" t="b">
        <x:v>1</x:v>
      </x:c>
      <x:c r="F1705" s="62" t="b">
        <x:v>0</x:v>
      </x:c>
      <x:c r="G1705" s="85" t="n">
        <x:v>4964482.345529422</x:v>
      </x:c>
      <x:c r="H1705" s="85" t="n">
        <x:v>11483632.123895079</x:v>
      </x:c>
      <x:c r="I1705" s="85" t="n">
        <x:v>16301161.783624027</x:v>
      </x:c>
      <x:c r="J1705" s="85" t="n">
        <x:v>13378559.999999998</x:v>
      </x:c>
      <x:c r="K1705" s="85" t="n">
        <x:v>105100.14686301406</x:v>
      </x:c>
      <x:c r="L1705" s="28" t="n">
        <x:v>42</x:v>
      </x:c>
      <x:c r="M1705" s="28" t="n">
        <x:v>38</x:v>
      </x:c>
      <x:c r="N1705" s="28" t="n">
        <x:v>4.656612873077393e-10</x:v>
      </x:c>
      <x:c r="O1705" s="28" t="n">
        <x:v>9.313225746154785e-10</x:v>
      </x:c>
      <x:c r="P1705" s="28" t="n">
        <x:v>0</x:v>
      </x:c>
      <x:c r="Q1705" s="62" t="b">
        <x:v>1</x:v>
      </x:c>
      <x:c r="R1705" s="28" t="n">
        <x:v>0</x:v>
      </x:c>
      <x:c r="S1705" s="28" t="str">
        <x:v>9ee675d77d9e938c</x:v>
      </x:c>
    </x:row>
    <x:row r="1706" ht="21" customHeight="1">
      <x:c r="A1706" s="60" t="n">
        <x:v>0.66</x:v>
      </x:c>
      <x:c r="B1706" s="28" t="str">
        <x:v>back_high</x:v>
      </x:c>
      <x:c r="C1706" s="60" t="n">
        <x:v>0.9</x:v>
      </x:c>
      <x:c r="D1706" s="60" t="n">
        <x:v>0.880265491166173</x:v>
      </x:c>
      <x:c r="E1706" s="62" t="b">
        <x:v>0</x:v>
      </x:c>
      <x:c r="F1706" s="62" t="b">
        <x:v>0</x:v>
      </x:c>
      <x:c r="G1706" s="85" t="n">
        <x:v>5584086.565951787</x:v>
      </x:c>
      <x:c r="H1706" s="85" t="n">
        <x:v>12571031.347973911</x:v>
      </x:c>
      <x:c r="I1706" s="85" t="n">
        <x:v>16326197.645020766</x:v>
      </x:c>
      <x:c r="J1706" s="85" t="n">
        <x:v>13378559.999999998</x:v>
      </x:c>
      <x:c r="K1706" s="85" t="n">
        <x:v>98330.19772602708</x:v>
      </x:c>
      <x:c r="L1706" s="28" t="n">
        <x:v>42</x:v>
      </x:c>
      <x:c r="M1706" s="28" t="n">
        <x:v>38</x:v>
      </x:c>
      <x:c r="N1706" s="28" t="n">
        <x:v>4.656612873077393e-10</x:v>
      </x:c>
      <x:c r="O1706" s="28" t="n">
        <x:v>3.725290298461914e-9</x:v>
      </x:c>
      <x:c r="P1706" s="28" t="n">
        <x:v>0</x:v>
      </x:c>
      <x:c r="Q1706" s="62" t="b">
        <x:v>1</x:v>
      </x:c>
      <x:c r="R1706" s="28" t="n">
        <x:v>1100080.4604328498</x:v>
      </x:c>
      <x:c r="S1706" s="28" t="str">
        <x:v>fcbae1d2802ca587</x:v>
      </x:c>
    </x:row>
    <x:row r="1707" ht="21" customHeight="1">
      <x:c r="A1707" s="60" t="n">
        <x:v>0.66</x:v>
      </x:c>
      <x:c r="B1707" s="28" t="str">
        <x:v>back_high</x:v>
      </x:c>
      <x:c r="C1707" s="60" t="n">
        <x:v>0.95</x:v>
      </x:c>
      <x:c r="D1707" s="60" t="n">
        <x:v>0.8954794051096439</x:v>
      </x:c>
      <x:c r="E1707" s="62" t="b">
        <x:v>0</x:v>
      </x:c>
      <x:c r="F1707" s="62" t="b">
        <x:v>0</x:v>
      </x:c>
      <x:c r="G1707" s="85" t="n">
        <x:v>6093629.620791282</x:v>
      </x:c>
      <x:c r="H1707" s="85" t="n">
        <x:v>13401896.92089725</x:v>
      </x:c>
      <x:c r="I1707" s="85" t="n">
        <x:v>16355277.709464082</x:v>
      </x:c>
      <x:c r="J1707" s="85" t="n">
        <x:v>13378559.999999998</x:v>
      </x:c>
      <x:c r="K1707" s="85" t="n">
        <x:v>92907.54069863027</x:v>
      </x:c>
      <x:c r="L1707" s="28" t="n">
        <x:v>42</x:v>
      </x:c>
      <x:c r="M1707" s="28" t="n">
        <x:v>39</x:v>
      </x:c>
      <x:c r="N1707" s="28" t="n">
        <x:v>4.656612873077393e-10</x:v>
      </x:c>
      <x:c r="O1707" s="28" t="n">
        <x:v>3.725290298461914e-9</x:v>
      </x:c>
      <x:c r="P1707" s="28" t="n">
        <x:v>0</x:v>
      </x:c>
      <x:c r="Q1707" s="62" t="b">
        <x:v>1</x:v>
      </x:c>
      <x:c r="R1707" s="28" t="n">
        <x:v>3039196.041568011</x:v>
      </x:c>
      <x:c r="S1707" s="28" t="str">
        <x:v>212d5a616ca91c6e</x:v>
      </x:c>
    </x:row>
    <x:row r="1708" ht="21" customHeight="1">
      <x:c r="A1708" s="60" t="n">
        <x:v>0.66</x:v>
      </x:c>
      <x:c r="B1708" s="28" t="str">
        <x:v>back_high</x:v>
      </x:c>
      <x:c r="C1708" s="60" t="n">
        <x:v>1</x:v>
      </x:c>
      <x:c r="D1708" s="60" t="n">
        <x:v>0.9093341115290656</x:v>
      </x:c>
      <x:c r="E1708" s="62" t="b">
        <x:v>0</x:v>
      </x:c>
      <x:c r="F1708" s="62" t="b">
        <x:v>0</x:v>
      </x:c>
      <x:c r="G1708" s="85" t="n">
        <x:v>6383192.85696195</x:v>
      </x:c>
      <x:c r="H1708" s="85" t="n">
        <x:v>13790918.734187545</x:v>
      </x:c>
      <x:c r="I1708" s="85" t="n">
        <x:v>16654536.547479453</x:v>
      </x:c>
      <x:c r="J1708" s="85" t="n">
        <x:v>13378559.999999998</x:v>
      </x:c>
      <x:c r="K1708" s="85" t="n">
        <x:v>87484.8836712332</x:v>
      </x:c>
      <x:c r="L1708" s="28" t="n">
        <x:v>43</x:v>
      </x:c>
      <x:c r="M1708" s="28" t="n">
        <x:v>40</x:v>
      </x:c>
      <x:c r="N1708" s="28" t="n">
        <x:v>4.656612873077393e-10</x:v>
      </x:c>
      <x:c r="O1708" s="28" t="n">
        <x:v>3.725290298461914e-9</x:v>
      </x:c>
      <x:c r="P1708" s="28" t="n">
        <x:v>0</x:v>
      </x:c>
      <x:c r="Q1708" s="62" t="b">
        <x:v>1</x:v>
      </x:c>
      <x:c r="R1708" s="28" t="n">
        <x:v>5054079.286923766</x:v>
      </x:c>
      <x:c r="S1708" s="28" t="str">
        <x:v>933adfba24488f1b</x:v>
      </x:c>
    </x:row>
    <x:row r="1709" ht="21" customHeight="1">
      <x:c r="A1709" s="60" t="n">
        <x:v>0.66</x:v>
      </x:c>
      <x:c r="B1709" s="28" t="str">
        <x:v>level_flat</x:v>
      </x:c>
      <x:c r="C1709" s="60" t="n">
        <x:v>0</x:v>
      </x:c>
      <x:c r="D1709" s="60" t="n">
        <x:v>0</x:v>
      </x:c>
      <x:c r="E1709" s="62" t="b">
        <x:v>1</x:v>
      </x:c>
      <x:c r="F1709" s="62" t="b">
        <x:v>1</x:v>
      </x:c>
      <x:c r="G1709" s="85" t="n">
        <x:v>0</x:v>
      </x:c>
      <x:c r="H1709" s="85" t="n">
        <x:v>0</x:v>
      </x:c>
      <x:c r="I1709" s="85" t="n">
        <x:v>0</x:v>
      </x:c>
      <x:c r="J1709" s="85" t="n">
        <x:v>0</x:v>
      </x:c>
      <x:c r="K1709" s="85" t="n">
        <x:v>6340423.968438363</x:v>
      </x:c>
      <x:c r="L1709" s="28" t="n">
        <x:v>0</x:v>
      </x:c>
      <x:c r="M1709" s="28" t="n">
        <x:v>0</x:v>
      </x:c>
      <x:c r="N1709" s="28" t="n">
        <x:v>9.313225746154785e-10</x:v>
      </x:c>
      <x:c r="O1709" s="28" t="n">
        <x:v>0</x:v>
      </x:c>
      <x:c r="P1709" s="28" t="n">
        <x:v>0</x:v>
      </x:c>
      <x:c r="Q1709" s="62" t="b">
        <x:v>1</x:v>
      </x:c>
      <x:c r="R1709" s="28" t="n">
        <x:v>0</x:v>
      </x:c>
      <x:c r="S1709" s="28" t="str">
        <x:v>fe979662cef5c337</x:v>
      </x:c>
    </x:row>
    <x:row r="1710" ht="21" customHeight="1">
      <x:c r="A1710" s="60" t="n">
        <x:v>0.66</x:v>
      </x:c>
      <x:c r="B1710" s="28" t="str">
        <x:v>level_flat</x:v>
      </x:c>
      <x:c r="C1710" s="60" t="n">
        <x:v>0.05</x:v>
      </x:c>
      <x:c r="D1710" s="60" t="n">
        <x:v>0.05</x:v>
      </x:c>
      <x:c r="E1710" s="62" t="b">
        <x:v>1</x:v>
      </x:c>
      <x:c r="F1710" s="62" t="b">
        <x:v>1</x:v>
      </x:c>
      <x:c r="G1710" s="85" t="n">
        <x:v>0</x:v>
      </x:c>
      <x:c r="H1710" s="85" t="n">
        <x:v>0</x:v>
      </x:c>
      <x:c r="I1710" s="85" t="n">
        <x:v>0</x:v>
      </x:c>
      <x:c r="J1710" s="85" t="n">
        <x:v>0</x:v>
      </x:c>
      <x:c r="K1710" s="85" t="n">
        <x:v>4116448.780025339</x:v>
      </x:c>
      <x:c r="L1710" s="28" t="n">
        <x:v>0</x:v>
      </x:c>
      <x:c r="M1710" s="28" t="n">
        <x:v>0</x:v>
      </x:c>
      <x:c r="N1710" s="28" t="n">
        <x:v>2.3283064365386963e-10</x:v>
      </x:c>
      <x:c r="O1710" s="28" t="n">
        <x:v>7.450580596923828e-9</x:v>
      </x:c>
      <x:c r="P1710" s="28" t="n">
        <x:v>0</x:v>
      </x:c>
      <x:c r="Q1710" s="62" t="b">
        <x:v>1</x:v>
      </x:c>
      <x:c r="R1710" s="28" t="n">
        <x:v>0</x:v>
      </x:c>
      <x:c r="S1710" s="28" t="str">
        <x:v>d9674a7a737f0610</x:v>
      </x:c>
    </x:row>
    <x:row r="1711" ht="21" customHeight="1">
      <x:c r="A1711" s="60" t="n">
        <x:v>0.66</x:v>
      </x:c>
      <x:c r="B1711" s="28" t="str">
        <x:v>level_flat</x:v>
      </x:c>
      <x:c r="C1711" s="60" t="n">
        <x:v>0.1</x:v>
      </x:c>
      <x:c r="D1711" s="60" t="n">
        <x:v>0.1</x:v>
      </x:c>
      <x:c r="E1711" s="62" t="b">
        <x:v>1</x:v>
      </x:c>
      <x:c r="F1711" s="62" t="b">
        <x:v>1</x:v>
      </x:c>
      <x:c r="G1711" s="85" t="n">
        <x:v>0</x:v>
      </x:c>
      <x:c r="H1711" s="85" t="n">
        <x:v>0</x:v>
      </x:c>
      <x:c r="I1711" s="85" t="n">
        <x:v>0</x:v>
      </x:c>
      <x:c r="J1711" s="85" t="n">
        <x:v>0</x:v>
      </x:c>
      <x:c r="K1711" s="85" t="n">
        <x:v>1892359.1025297618</x:v>
      </x:c>
      <x:c r="L1711" s="28" t="n">
        <x:v>0</x:v>
      </x:c>
      <x:c r="M1711" s="28" t="n">
        <x:v>0</x:v>
      </x:c>
      <x:c r="N1711" s="28" t="n">
        <x:v>4.656612873077393e-10</x:v>
      </x:c>
      <x:c r="O1711" s="28" t="n">
        <x:v>7.450580596923828e-9</x:v>
      </x:c>
      <x:c r="P1711" s="28" t="n">
        <x:v>0</x:v>
      </x:c>
      <x:c r="Q1711" s="62" t="b">
        <x:v>1</x:v>
      </x:c>
      <x:c r="R1711" s="28" t="n">
        <x:v>0</x:v>
      </x:c>
      <x:c r="S1711" s="28" t="str">
        <x:v>2d684d1669059f9b</x:v>
      </x:c>
    </x:row>
    <x:row r="1712" ht="21" customHeight="1">
      <x:c r="A1712" s="60" t="n">
        <x:v>0.66</x:v>
      </x:c>
      <x:c r="B1712" s="28" t="str">
        <x:v>level_flat</x:v>
      </x:c>
      <x:c r="C1712" s="60" t="n">
        <x:v>0.15</x:v>
      </x:c>
      <x:c r="D1712" s="60" t="n">
        <x:v>0.15</x:v>
      </x:c>
      <x:c r="E1712" s="62" t="b">
        <x:v>1</x:v>
      </x:c>
      <x:c r="F1712" s="62" t="b">
        <x:v>1</x:v>
      </x:c>
      <x:c r="G1712" s="85" t="n">
        <x:v>0</x:v>
      </x:c>
      <x:c r="H1712" s="85" t="n">
        <x:v>0</x:v>
      </x:c>
      <x:c r="I1712" s="85" t="n">
        <x:v>548656.5940218125</x:v>
      </x:c>
      <x:c r="J1712" s="85" t="n">
        <x:v>0</x:v>
      </x:c>
      <x:c r="K1712" s="85" t="n">
        <x:v>311957.2046196084</x:v>
      </x:c>
      <x:c r="L1712" s="28" t="n">
        <x:v>0</x:v>
      </x:c>
      <x:c r="M1712" s="28" t="n">
        <x:v>0</x:v>
      </x:c>
      <x:c r="N1712" s="28" t="n">
        <x:v>4.656612873077393e-10</x:v>
      </x:c>
      <x:c r="O1712" s="28" t="n">
        <x:v>7.450580596923828e-9</x:v>
      </x:c>
      <x:c r="P1712" s="28" t="n">
        <x:v>0</x:v>
      </x:c>
      <x:c r="Q1712" s="62" t="b">
        <x:v>1</x:v>
      </x:c>
      <x:c r="R1712" s="28" t="n">
        <x:v>0</x:v>
      </x:c>
      <x:c r="S1712" s="28" t="str">
        <x:v>42ae74b5f1d9cf21</x:v>
      </x:c>
    </x:row>
    <x:row r="1713" ht="21" customHeight="1">
      <x:c r="A1713" s="60" t="n">
        <x:v>0.66</x:v>
      </x:c>
      <x:c r="B1713" s="28" t="str">
        <x:v>level_flat</x:v>
      </x:c>
      <x:c r="C1713" s="60" t="n">
        <x:v>0.2</x:v>
      </x:c>
      <x:c r="D1713" s="60" t="n">
        <x:v>0.2</x:v>
      </x:c>
      <x:c r="E1713" s="62" t="b">
        <x:v>1</x:v>
      </x:c>
      <x:c r="F1713" s="62" t="b">
        <x:v>1</x:v>
      </x:c>
      <x:c r="G1713" s="85" t="n">
        <x:v>0</x:v>
      </x:c>
      <x:c r="H1713" s="85" t="n">
        <x:v>0</x:v>
      </x:c>
      <x:c r="I1713" s="85" t="n">
        <x:v>1997389.7255004763</x:v>
      </x:c>
      <x:c r="J1713" s="85" t="n">
        <x:v>1248509.6821692977</x:v>
      </x:c>
      <x:c r="K1713" s="85" t="n">
        <x:v>231486.75135232933</x:v>
      </x:c>
      <x:c r="L1713" s="28" t="n">
        <x:v>0</x:v>
      </x:c>
      <x:c r="M1713" s="28" t="n">
        <x:v>0</x:v>
      </x:c>
      <x:c r="N1713" s="28" t="n">
        <x:v>9.313225746154785e-10</x:v>
      </x:c>
      <x:c r="O1713" s="28" t="n">
        <x:v>7.450580596923828e-9</x:v>
      </x:c>
      <x:c r="P1713" s="28" t="n">
        <x:v>0</x:v>
      </x:c>
      <x:c r="Q1713" s="62" t="b">
        <x:v>1</x:v>
      </x:c>
      <x:c r="R1713" s="28" t="n">
        <x:v>0</x:v>
      </x:c>
      <x:c r="S1713" s="28" t="str">
        <x:v>74b5999f34606a65</x:v>
      </x:c>
    </x:row>
    <x:row r="1714" ht="21" customHeight="1">
      <x:c r="A1714" s="60" t="n">
        <x:v>0.66</x:v>
      </x:c>
      <x:c r="B1714" s="28" t="str">
        <x:v>level_flat</x:v>
      </x:c>
      <x:c r="C1714" s="60" t="n">
        <x:v>0.25</x:v>
      </x:c>
      <x:c r="D1714" s="60" t="n">
        <x:v>0.25</x:v>
      </x:c>
      <x:c r="E1714" s="62" t="b">
        <x:v>1</x:v>
      </x:c>
      <x:c r="F1714" s="62" t="b">
        <x:v>1</x:v>
      </x:c>
      <x:c r="G1714" s="85" t="n">
        <x:v>0</x:v>
      </x:c>
      <x:c r="H1714" s="85" t="n">
        <x:v>0</x:v>
      </x:c>
      <x:c r="I1714" s="85" t="n">
        <x:v>3153593.6540904054</x:v>
      </x:c>
      <x:c r="J1714" s="85" t="n">
        <x:v>2954237.102711631</x:v>
      </x:c>
      <x:c r="K1714" s="85" t="n">
        <x:v>170184.8692178086</x:v>
      </x:c>
      <x:c r="L1714" s="28" t="n">
        <x:v>0</x:v>
      </x:c>
      <x:c r="M1714" s="28" t="n">
        <x:v>0</x:v>
      </x:c>
      <x:c r="N1714" s="28" t="n">
        <x:v>4.656612873077393e-10</x:v>
      </x:c>
      <x:c r="O1714" s="28" t="n">
        <x:v>7.450580596923828e-9</x:v>
      </x:c>
      <x:c r="P1714" s="28" t="n">
        <x:v>0</x:v>
      </x:c>
      <x:c r="Q1714" s="62" t="b">
        <x:v>1</x:v>
      </x:c>
      <x:c r="R1714" s="28" t="n">
        <x:v>0</x:v>
      </x:c>
      <x:c r="S1714" s="28" t="str">
        <x:v>f4c200a37e8f565c</x:v>
      </x:c>
    </x:row>
    <x:row r="1715" ht="21" customHeight="1">
      <x:c r="A1715" s="60" t="n">
        <x:v>0.66</x:v>
      </x:c>
      <x:c r="B1715" s="28" t="str">
        <x:v>level_flat</x:v>
      </x:c>
      <x:c r="C1715" s="60" t="n">
        <x:v>0.3</x:v>
      </x:c>
      <x:c r="D1715" s="60" t="n">
        <x:v>0.3</x:v>
      </x:c>
      <x:c r="E1715" s="62" t="b">
        <x:v>1</x:v>
      </x:c>
      <x:c r="F1715" s="62" t="b">
        <x:v>1</x:v>
      </x:c>
      <x:c r="G1715" s="85" t="n">
        <x:v>0</x:v>
      </x:c>
      <x:c r="H1715" s="85" t="n">
        <x:v>0</x:v>
      </x:c>
      <x:c r="I1715" s="85" t="n">
        <x:v>4324401.172864092</x:v>
      </x:c>
      <x:c r="J1715" s="85" t="n">
        <x:v>4659964.523253945</x:v>
      </x:c>
      <x:c r="K1715" s="85" t="n">
        <x:v>130251.96520931537</x:v>
      </x:c>
      <x:c r="L1715" s="28" t="n">
        <x:v>0</x:v>
      </x:c>
      <x:c r="M1715" s="28" t="n">
        <x:v>0</x:v>
      </x:c>
      <x:c r="N1715" s="28" t="n">
        <x:v>4.656612873077393e-10</x:v>
      </x:c>
      <x:c r="O1715" s="28" t="n">
        <x:v>7.450580596923828e-9</x:v>
      </x:c>
      <x:c r="P1715" s="28" t="n">
        <x:v>0</x:v>
      </x:c>
      <x:c r="Q1715" s="62" t="b">
        <x:v>1</x:v>
      </x:c>
      <x:c r="R1715" s="28" t="n">
        <x:v>0</x:v>
      </x:c>
      <x:c r="S1715" s="28" t="str">
        <x:v>c576db9551f8be02</x:v>
      </x:c>
    </x:row>
    <x:row r="1716" ht="21" customHeight="1">
      <x:c r="A1716" s="60" t="n">
        <x:v>0.66</x:v>
      </x:c>
      <x:c r="B1716" s="28" t="str">
        <x:v>level_flat</x:v>
      </x:c>
      <x:c r="C1716" s="60" t="n">
        <x:v>0.35</x:v>
      </x:c>
      <x:c r="D1716" s="60" t="n">
        <x:v>0.35</x:v>
      </x:c>
      <x:c r="E1716" s="62" t="b">
        <x:v>1</x:v>
      </x:c>
      <x:c r="F1716" s="62" t="b">
        <x:v>1</x:v>
      </x:c>
      <x:c r="G1716" s="85" t="n">
        <x:v>0</x:v>
      </x:c>
      <x:c r="H1716" s="85" t="n">
        <x:v>0</x:v>
      </x:c>
      <x:c r="I1716" s="85" t="n">
        <x:v>5512159.069442798</x:v>
      </x:c>
      <x:c r="J1716" s="85" t="n">
        <x:v>6365691.943796252</x:v>
      </x:c>
      <x:c r="K1716" s="85" t="n">
        <x:v>109788.61184931578</x:v>
      </x:c>
      <x:c r="L1716" s="28" t="n">
        <x:v>0</x:v>
      </x:c>
      <x:c r="M1716" s="28" t="n">
        <x:v>0</x:v>
      </x:c>
      <x:c r="N1716" s="28" t="n">
        <x:v>2.3283064365386963e-10</x:v>
      </x:c>
      <x:c r="O1716" s="28" t="n">
        <x:v>7.450580596923828e-9</x:v>
      </x:c>
      <x:c r="P1716" s="28" t="n">
        <x:v>0</x:v>
      </x:c>
      <x:c r="Q1716" s="62" t="b">
        <x:v>1</x:v>
      </x:c>
      <x:c r="R1716" s="28" t="n">
        <x:v>0</x:v>
      </x:c>
      <x:c r="S1716" s="28" t="str">
        <x:v>bebb1a31cd22ddff</x:v>
      </x:c>
    </x:row>
    <x:row r="1717" ht="21" customHeight="1">
      <x:c r="A1717" s="60" t="n">
        <x:v>0.66</x:v>
      </x:c>
      <x:c r="B1717" s="28" t="str">
        <x:v>level_flat</x:v>
      </x:c>
      <x:c r="C1717" s="60" t="n">
        <x:v>0.4</x:v>
      </x:c>
      <x:c r="D1717" s="60" t="n">
        <x:v>0.4</x:v>
      </x:c>
      <x:c r="E1717" s="62" t="b">
        <x:v>1</x:v>
      </x:c>
      <x:c r="F1717" s="62" t="b">
        <x:v>1</x:v>
      </x:c>
      <x:c r="G1717" s="85" t="n">
        <x:v>0</x:v>
      </x:c>
      <x:c r="H1717" s="85" t="n">
        <x:v>0</x:v>
      </x:c>
      <x:c r="I1717" s="85" t="n">
        <x:v>6853213.732955896</x:v>
      </x:c>
      <x:c r="J1717" s="85" t="n">
        <x:v>7738232.917503981</x:v>
      </x:c>
      <x:c r="K1717" s="85" t="n">
        <x:v>90216.75068493218</x:v>
      </x:c>
      <x:c r="L1717" s="28" t="n">
        <x:v>3</x:v>
      </x:c>
      <x:c r="M1717" s="28" t="n">
        <x:v>0</x:v>
      </x:c>
      <x:c r="N1717" s="28" t="n">
        <x:v>9.313225746154785e-10</x:v>
      </x:c>
      <x:c r="O1717" s="28" t="n">
        <x:v>7.450580596923828e-9</x:v>
      </x:c>
      <x:c r="P1717" s="28" t="n">
        <x:v>0</x:v>
      </x:c>
      <x:c r="Q1717" s="62" t="b">
        <x:v>1</x:v>
      </x:c>
      <x:c r="R1717" s="28" t="n">
        <x:v>0</x:v>
      </x:c>
      <x:c r="S1717" s="28" t="str">
        <x:v>39ee16097a7a8886</x:v>
      </x:c>
    </x:row>
    <x:row r="1718" ht="21" customHeight="1">
      <x:c r="A1718" s="60" t="n">
        <x:v>0.66</x:v>
      </x:c>
      <x:c r="B1718" s="28" t="str">
        <x:v>level_flat</x:v>
      </x:c>
      <x:c r="C1718" s="60" t="n">
        <x:v>0.45</x:v>
      </x:c>
      <x:c r="D1718" s="60" t="n">
        <x:v>0.45</x:v>
      </x:c>
      <x:c r="E1718" s="62" t="b">
        <x:v>1</x:v>
      </x:c>
      <x:c r="F1718" s="62" t="b">
        <x:v>1</x:v>
      </x:c>
      <x:c r="G1718" s="85" t="n">
        <x:v>0</x:v>
      </x:c>
      <x:c r="H1718" s="85" t="n">
        <x:v>0</x:v>
      </x:c>
      <x:c r="I1718" s="85" t="n">
        <x:v>8380828.80472394</x:v>
      </x:c>
      <x:c r="J1718" s="85" t="n">
        <x:v>8659710.145510675</x:v>
      </x:c>
      <x:c r="K1718" s="85" t="n">
        <x:v>71563.41752054816</x:v>
      </x:c>
      <x:c r="L1718" s="28" t="n">
        <x:v>9</x:v>
      </x:c>
      <x:c r="M1718" s="28" t="n">
        <x:v>0</x:v>
      </x:c>
      <x:c r="N1718" s="28" t="n">
        <x:v>4.656612873077393e-10</x:v>
      </x:c>
      <x:c r="O1718" s="28" t="n">
        <x:v>3.725290298461914e-9</x:v>
      </x:c>
      <x:c r="P1718" s="28" t="n">
        <x:v>0</x:v>
      </x:c>
      <x:c r="Q1718" s="62" t="b">
        <x:v>1</x:v>
      </x:c>
      <x:c r="R1718" s="28" t="n">
        <x:v>0</x:v>
      </x:c>
      <x:c r="S1718" s="28" t="str">
        <x:v>08829a85d7e128ef</x:v>
      </x:c>
    </x:row>
    <x:row r="1719" ht="21" customHeight="1">
      <x:c r="A1719" s="60" t="n">
        <x:v>0.66</x:v>
      </x:c>
      <x:c r="B1719" s="28" t="str">
        <x:v>level_flat</x:v>
      </x:c>
      <x:c r="C1719" s="60" t="n">
        <x:v>0.5</x:v>
      </x:c>
      <x:c r="D1719" s="60" t="n">
        <x:v>0.5</x:v>
      </x:c>
      <x:c r="E1719" s="62" t="b">
        <x:v>1</x:v>
      </x:c>
      <x:c r="F1719" s="62" t="b">
        <x:v>1</x:v>
      </x:c>
      <x:c r="G1719" s="85" t="n">
        <x:v>0</x:v>
      </x:c>
      <x:c r="H1719" s="85" t="n">
        <x:v>0</x:v>
      </x:c>
      <x:c r="I1719" s="85" t="n">
        <x:v>9686839.559898082</x:v>
      </x:c>
      <x:c r="J1719" s="85" t="n">
        <x:v>10067729.596701905</x:v>
      </x:c>
      <x:c r="K1719" s="85" t="n">
        <x:v>62807.43175342485</x:v>
      </x:c>
      <x:c r="L1719" s="28" t="n">
        <x:v>13</x:v>
      </x:c>
      <x:c r="M1719" s="28" t="n">
        <x:v>0</x:v>
      </x:c>
      <x:c r="N1719" s="28" t="n">
        <x:v>2.3283064365386963e-10</x:v>
      </x:c>
      <x:c r="O1719" s="28" t="n">
        <x:v>3.725290298461914e-9</x:v>
      </x:c>
      <x:c r="P1719" s="28" t="n">
        <x:v>0</x:v>
      </x:c>
      <x:c r="Q1719" s="62" t="b">
        <x:v>1</x:v>
      </x:c>
      <x:c r="R1719" s="28" t="n">
        <x:v>0</x:v>
      </x:c>
      <x:c r="S1719" s="28" t="str">
        <x:v>15eb860a25ad7735</x:v>
      </x:c>
    </x:row>
    <x:row r="1720" ht="21" customHeight="1">
      <x:c r="A1720" s="60" t="n">
        <x:v>0.66</x:v>
      </x:c>
      <x:c r="B1720" s="28" t="str">
        <x:v>level_flat</x:v>
      </x:c>
      <x:c r="C1720" s="60" t="n">
        <x:v>0.55</x:v>
      </x:c>
      <x:c r="D1720" s="60" t="n">
        <x:v>0.55</x:v>
      </x:c>
      <x:c r="E1720" s="62" t="b">
        <x:v>1</x:v>
      </x:c>
      <x:c r="F1720" s="62" t="b">
        <x:v>1</x:v>
      </x:c>
      <x:c r="G1720" s="85" t="n">
        <x:v>0</x:v>
      </x:c>
      <x:c r="H1720" s="85" t="n">
        <x:v>0</x:v>
      </x:c>
      <x:c r="I1720" s="85" t="n">
        <x:v>10848560.834955065</x:v>
      </x:c>
      <x:c r="J1720" s="85" t="n">
        <x:v>11817565.88989307</x:v>
      </x:c>
      <x:c r="K1720" s="85" t="n">
        <x:v>56850.01415068496</x:v>
      </x:c>
      <x:c r="L1720" s="28" t="n">
        <x:v>16</x:v>
      </x:c>
      <x:c r="M1720" s="28" t="n">
        <x:v>5</x:v>
      </x:c>
      <x:c r="N1720" s="28" t="n">
        <x:v>4.656612873077393e-10</x:v>
      </x:c>
      <x:c r="O1720" s="28" t="n">
        <x:v>3.725290298461914e-9</x:v>
      </x:c>
      <x:c r="P1720" s="28" t="n">
        <x:v>0</x:v>
      </x:c>
      <x:c r="Q1720" s="62" t="b">
        <x:v>1</x:v>
      </x:c>
      <x:c r="R1720" s="28" t="n">
        <x:v>0</x:v>
      </x:c>
      <x:c r="S1720" s="28" t="str">
        <x:v>3f316880fb2d4ad3</x:v>
      </x:c>
    </x:row>
    <x:row r="1721" ht="21" customHeight="1">
      <x:c r="A1721" s="60" t="n">
        <x:v>0.66</x:v>
      </x:c>
      <x:c r="B1721" s="28" t="str">
        <x:v>level_flat</x:v>
      </x:c>
      <x:c r="C1721" s="60" t="n">
        <x:v>0.6</x:v>
      </x:c>
      <x:c r="D1721" s="60" t="n">
        <x:v>0.6</x:v>
      </x:c>
      <x:c r="E1721" s="62" t="b">
        <x:v>1</x:v>
      </x:c>
      <x:c r="F1721" s="62" t="b">
        <x:v>0</x:v>
      </x:c>
      <x:c r="G1721" s="85" t="n">
        <x:v>54404.6065056888</x:v>
      </x:c>
      <x:c r="H1721" s="85" t="n">
        <x:v>287582.29920210515</x:v>
      </x:c>
      <x:c r="I1721" s="85" t="n">
        <x:v>11827947.883150687</x:v>
      </x:c>
      <x:c r="J1721" s="85" t="n">
        <x:v>13378559.999999998</x:v>
      </x:c>
      <x:c r="K1721" s="85" t="n">
        <x:v>50892.59654794518</x:v>
      </x:c>
      <x:c r="L1721" s="28" t="n">
        <x:v>41</x:v>
      </x:c>
      <x:c r="M1721" s="28" t="n">
        <x:v>32</x:v>
      </x:c>
      <x:c r="N1721" s="28" t="n">
        <x:v>4.656612873077393e-10</x:v>
      </x:c>
      <x:c r="O1721" s="28" t="n">
        <x:v>7.450580596923828e-9</x:v>
      </x:c>
      <x:c r="P1721" s="28" t="n">
        <x:v>0</x:v>
      </x:c>
      <x:c r="Q1721" s="62" t="b">
        <x:v>1</x:v>
      </x:c>
      <x:c r="R1721" s="28" t="n">
        <x:v>0</x:v>
      </x:c>
      <x:c r="S1721" s="28" t="str">
        <x:v>3ec375cb4945b909</x:v>
      </x:c>
    </x:row>
    <x:row r="1722" ht="21" customHeight="1">
      <x:c r="A1722" s="60" t="n">
        <x:v>0.66</x:v>
      </x:c>
      <x:c r="B1722" s="28" t="str">
        <x:v>level_flat</x:v>
      </x:c>
      <x:c r="C1722" s="60" t="n">
        <x:v>0.65</x:v>
      </x:c>
      <x:c r="D1722" s="60" t="n">
        <x:v>0.65</x:v>
      </x:c>
      <x:c r="E1722" s="62" t="b">
        <x:v>1</x:v>
      </x:c>
      <x:c r="F1722" s="62" t="b">
        <x:v>0</x:v>
      </x:c>
      <x:c r="G1722" s="85" t="n">
        <x:v>442447.0232006747</x:v>
      </x:c>
      <x:c r="H1722" s="85" t="n">
        <x:v>2381121.3566876478</x:v>
      </x:c>
      <x:c r="I1722" s="85" t="n">
        <x:v>12071160.187493972</x:v>
      </x:c>
      <x:c r="J1722" s="85" t="n">
        <x:v>13378559.999999998</x:v>
      </x:c>
      <x:c r="K1722" s="85" t="n">
        <x:v>44935.17894520576</x:v>
      </x:c>
      <x:c r="L1722" s="28" t="n">
        <x:v>42</x:v>
      </x:c>
      <x:c r="M1722" s="28" t="n">
        <x:v>33</x:v>
      </x:c>
      <x:c r="N1722" s="28" t="n">
        <x:v>4.656612873077393e-10</x:v>
      </x:c>
      <x:c r="O1722" s="28" t="n">
        <x:v>3.725290298461914e-9</x:v>
      </x:c>
      <x:c r="P1722" s="28" t="n">
        <x:v>0</x:v>
      </x:c>
      <x:c r="Q1722" s="62" t="b">
        <x:v>1</x:v>
      </x:c>
      <x:c r="R1722" s="28" t="n">
        <x:v>0</x:v>
      </x:c>
      <x:c r="S1722" s="28" t="str">
        <x:v>c65b6909dd679e05</x:v>
      </x:c>
    </x:row>
    <x:row r="1723" ht="21" customHeight="1">
      <x:c r="A1723" s="60" t="n">
        <x:v>0.66</x:v>
      </x:c>
      <x:c r="B1723" s="28" t="str">
        <x:v>level_flat</x:v>
      </x:c>
      <x:c r="C1723" s="60" t="n">
        <x:v>0.7</x:v>
      </x:c>
      <x:c r="D1723" s="60" t="n">
        <x:v>0.7</x:v>
      </x:c>
      <x:c r="E1723" s="62" t="b">
        <x:v>1</x:v>
      </x:c>
      <x:c r="F1723" s="62" t="b">
        <x:v>0</x:v>
      </x:c>
      <x:c r="G1723" s="85" t="n">
        <x:v>869925.540658716</x:v>
      </x:c>
      <x:c r="H1723" s="85" t="n">
        <x:v>4417670.799597472</x:v>
      </x:c>
      <x:c r="I1723" s="85" t="n">
        <x:v>12322396.071753426</x:v>
      </x:c>
      <x:c r="J1723" s="85" t="n">
        <x:v>13378559.999999998</x:v>
      </x:c>
      <x:c r="K1723" s="85" t="n">
        <x:v>38977.76134246598</x:v>
      </x:c>
      <x:c r="L1723" s="28" t="n">
        <x:v>43</x:v>
      </x:c>
      <x:c r="M1723" s="28" t="n">
        <x:v>34</x:v>
      </x:c>
      <x:c r="N1723" s="28" t="n">
        <x:v>2.3283064365386963e-10</x:v>
      </x:c>
      <x:c r="O1723" s="28" t="n">
        <x:v>3.725290298461914e-9</x:v>
      </x:c>
      <x:c r="P1723" s="28" t="n">
        <x:v>0</x:v>
      </x:c>
      <x:c r="Q1723" s="62" t="b">
        <x:v>1</x:v>
      </x:c>
      <x:c r="R1723" s="28" t="n">
        <x:v>0</x:v>
      </x:c>
      <x:c r="S1723" s="28" t="str">
        <x:v>48e3662ea0df1b2a</x:v>
      </x:c>
    </x:row>
    <x:row r="1724" ht="21" customHeight="1">
      <x:c r="A1724" s="60" t="n">
        <x:v>0.66</x:v>
      </x:c>
      <x:c r="B1724" s="28" t="str">
        <x:v>level_flat</x:v>
      </x:c>
      <x:c r="C1724" s="60" t="n">
        <x:v>0.75</x:v>
      </x:c>
      <x:c r="D1724" s="60" t="n">
        <x:v>0.75</x:v>
      </x:c>
      <x:c r="E1724" s="62" t="b">
        <x:v>1</x:v>
      </x:c>
      <x:c r="F1724" s="62" t="b">
        <x:v>0</x:v>
      </x:c>
      <x:c r="G1724" s="85" t="n">
        <x:v>1318843.3762217744</x:v>
      </x:c>
      <x:c r="H1724" s="85" t="n">
        <x:v>6679636.512625073</x:v>
      </x:c>
      <x:c r="I1724" s="85" t="n">
        <x:v>12345924.783493152</x:v>
      </x:c>
      <x:c r="J1724" s="85" t="n">
        <x:v>13378559.999999998</x:v>
      </x:c>
      <x:c r="K1724" s="85" t="n">
        <x:v>33020.3437397262</x:v>
      </x:c>
      <x:c r="L1724" s="28" t="n">
        <x:v>43</x:v>
      </x:c>
      <x:c r="M1724" s="28" t="n">
        <x:v>36</x:v>
      </x:c>
      <x:c r="N1724" s="28" t="n">
        <x:v>4.656612873077393e-10</x:v>
      </x:c>
      <x:c r="O1724" s="28" t="n">
        <x:v>3.725290298461914e-9</x:v>
      </x:c>
      <x:c r="P1724" s="28" t="n">
        <x:v>0</x:v>
      </x:c>
      <x:c r="Q1724" s="62" t="b">
        <x:v>1</x:v>
      </x:c>
      <x:c r="R1724" s="28" t="n">
        <x:v>0</x:v>
      </x:c>
      <x:c r="S1724" s="28" t="str">
        <x:v>32c55a986edf2096</x:v>
      </x:c>
    </x:row>
    <x:row r="1725" ht="21" customHeight="1">
      <x:c r="A1725" s="60" t="n">
        <x:v>0.66</x:v>
      </x:c>
      <x:c r="B1725" s="28" t="str">
        <x:v>level_flat</x:v>
      </x:c>
      <x:c r="C1725" s="60" t="n">
        <x:v>0.8</x:v>
      </x:c>
      <x:c r="D1725" s="60" t="n">
        <x:v>0.8</x:v>
      </x:c>
      <x:c r="E1725" s="62" t="b">
        <x:v>1</x:v>
      </x:c>
      <x:c r="F1725" s="62" t="b">
        <x:v>0</x:v>
      </x:c>
      <x:c r="G1725" s="85" t="n">
        <x:v>1813523.6160019096</x:v>
      </x:c>
      <x:c r="H1725" s="85" t="n">
        <x:v>8581533.32179771</x:v>
      </x:c>
      <x:c r="I1725" s="85" t="n">
        <x:v>12573784.86531507</x:v>
      </x:c>
      <x:c r="J1725" s="85" t="n">
        <x:v>13378559.999999998</x:v>
      </x:c>
      <x:c r="K1725" s="85" t="n">
        <x:v>27062.926136986658</x:v>
      </x:c>
      <x:c r="L1725" s="28" t="n">
        <x:v>44</x:v>
      </x:c>
      <x:c r="M1725" s="28" t="n">
        <x:v>36</x:v>
      </x:c>
      <x:c r="N1725" s="28" t="n">
        <x:v>4.656612873077393e-10</x:v>
      </x:c>
      <x:c r="O1725" s="28" t="n">
        <x:v>3.725290298461914e-9</x:v>
      </x:c>
      <x:c r="P1725" s="28" t="n">
        <x:v>0</x:v>
      </x:c>
      <x:c r="Q1725" s="62" t="b">
        <x:v>1</x:v>
      </x:c>
      <x:c r="R1725" s="28" t="n">
        <x:v>0</x:v>
      </x:c>
      <x:c r="S1725" s="28" t="str">
        <x:v>f66b2e9bf1e38397</x:v>
      </x:c>
    </x:row>
    <x:row r="1726" ht="21" customHeight="1">
      <x:c r="A1726" s="60" t="n">
        <x:v>0.66</x:v>
      </x:c>
      <x:c r="B1726" s="28" t="str">
        <x:v>level_flat</x:v>
      </x:c>
      <x:c r="C1726" s="60" t="n">
        <x:v>0.85</x:v>
      </x:c>
      <x:c r="D1726" s="60" t="n">
        <x:v>0.85</x:v>
      </x:c>
      <x:c r="E1726" s="62" t="b">
        <x:v>1</x:v>
      </x:c>
      <x:c r="F1726" s="62" t="b">
        <x:v>0</x:v>
      </x:c>
      <x:c r="G1726" s="85" t="n">
        <x:v>2376760.6049077897</x:v>
      </x:c>
      <x:c r="H1726" s="85" t="n">
        <x:v>10680246.770666149</x:v>
      </x:c>
      <x:c r="I1726" s="85" t="n">
        <x:v>12587662.756547946</x:v>
      </x:c>
      <x:c r="J1726" s="85" t="n">
        <x:v>13378559.999999998</x:v>
      </x:c>
      <x:c r="K1726" s="85" t="n">
        <x:v>21105.508534247347</x:v>
      </x:c>
      <x:c r="L1726" s="28" t="n">
        <x:v>44</x:v>
      </x:c>
      <x:c r="M1726" s="28" t="n">
        <x:v>38</x:v>
      </x:c>
      <x:c r="N1726" s="28" t="n">
        <x:v>2.3283064365386963e-10</x:v>
      </x:c>
      <x:c r="O1726" s="28" t="n">
        <x:v>3.725290298461914e-9</x:v>
      </x:c>
      <x:c r="P1726" s="28" t="n">
        <x:v>0</x:v>
      </x:c>
      <x:c r="Q1726" s="62" t="b">
        <x:v>1</x:v>
      </x:c>
      <x:c r="R1726" s="28" t="n">
        <x:v>0</x:v>
      </x:c>
      <x:c r="S1726" s="28" t="str">
        <x:v>ff3b601af5d11c25</x:v>
      </x:c>
    </x:row>
    <x:row r="1727" ht="21" customHeight="1">
      <x:c r="A1727" s="60" t="n">
        <x:v>0.66</x:v>
      </x:c>
      <x:c r="B1727" s="28" t="str">
        <x:v>level_flat</x:v>
      </x:c>
      <x:c r="C1727" s="60" t="n">
        <x:v>0.9</x:v>
      </x:c>
      <x:c r="D1727" s="60" t="n">
        <x:v>0.8949513562027351</x:v>
      </x:c>
      <x:c r="E1727" s="62" t="b">
        <x:v>0</x:v>
      </x:c>
      <x:c r="F1727" s="62" t="b">
        <x:v>0</x:v>
      </x:c>
      <x:c r="G1727" s="85" t="n">
        <x:v>3110011.971079588</x:v>
      </x:c>
      <x:c r="H1727" s="85" t="n">
        <x:v>11774971.67590608</x:v>
      </x:c>
      <x:c r="I1727" s="85" t="n">
        <x:v>12835135.070136989</x:v>
      </x:c>
      <x:c r="J1727" s="85" t="n">
        <x:v>13378559.999999998</x:v>
      </x:c>
      <x:c r="K1727" s="85" t="n">
        <x:v>17691.60575342473</x:v>
      </x:c>
      <x:c r="L1727" s="28" t="n">
        <x:v>45</x:v>
      </x:c>
      <x:c r="M1727" s="28" t="n">
        <x:v>38</x:v>
      </x:c>
      <x:c r="N1727" s="28" t="n">
        <x:v>4.656612873077393e-10</x:v>
      </x:c>
      <x:c r="O1727" s="28" t="n">
        <x:v>3.725290298461914e-9</x:v>
      </x:c>
      <x:c r="P1727" s="28" t="n">
        <x:v>0</x:v>
      </x:c>
      <x:c r="Q1727" s="62" t="b">
        <x:v>1</x:v>
      </x:c>
      <x:c r="R1727" s="28" t="n">
        <x:v>281431.5998347327</x:v>
      </x:c>
      <x:c r="S1727" s="28" t="str">
        <x:v>bdbe7f1a6230250b</x:v>
      </x:c>
    </x:row>
    <x:row r="1728" ht="21" customHeight="1">
      <x:c r="A1728" s="60" t="n">
        <x:v>0.66</x:v>
      </x:c>
      <x:c r="B1728" s="28" t="str">
        <x:v>level_flat</x:v>
      </x:c>
      <x:c r="C1728" s="60" t="n">
        <x:v>0.95</x:v>
      </x:c>
      <x:c r="D1728" s="60" t="n">
        <x:v>0.9109811515371262</x:v>
      </x:c>
      <x:c r="E1728" s="62" t="b">
        <x:v>0</x:v>
      </x:c>
      <x:c r="F1728" s="62" t="b">
        <x:v>0</x:v>
      </x:c>
      <x:c r="G1728" s="85" t="n">
        <x:v>3346125.0571258916</x:v>
      </x:c>
      <x:c r="H1728" s="85" t="n">
        <x:v>12668931.225373955</x:v>
      </x:c>
      <x:c r="I1728" s="85" t="n">
        <x:v>12841038.37112329</x:v>
      </x:c>
      <x:c r="J1728" s="85" t="n">
        <x:v>13378559.999999998</x:v>
      </x:c>
      <x:c r="K1728" s="85" t="n">
        <x:v>15686.436575342705</x:v>
      </x:c>
      <x:c r="L1728" s="28" t="n">
        <x:v>45</x:v>
      </x:c>
      <x:c r="M1728" s="28" t="n">
        <x:v>39</x:v>
      </x:c>
      <x:c r="N1728" s="28" t="n">
        <x:v>2.3283064365386963e-10</x:v>
      </x:c>
      <x:c r="O1728" s="28" t="n">
        <x:v>3.725290298461914e-9</x:v>
      </x:c>
      <x:c r="P1728" s="28" t="n">
        <x:v>0</x:v>
      </x:c>
      <x:c r="Q1728" s="62" t="b">
        <x:v>1</x:v>
      </x:c>
      <x:c r="R1728" s="28" t="n">
        <x:v>2175066.688714437</x:v>
      </x:c>
      <x:c r="S1728" s="28" t="str">
        <x:v>a4d96c3d5c82898f</x:v>
      </x:c>
    </x:row>
    <x:row r="1729" ht="21" customHeight="1">
      <x:c r="A1729" s="60" t="n">
        <x:v>0.66</x:v>
      </x:c>
      <x:c r="B1729" s="28" t="str">
        <x:v>level_flat</x:v>
      </x:c>
      <x:c r="C1729" s="60" t="n">
        <x:v>1</x:v>
      </x:c>
      <x:c r="D1729" s="60" t="n">
        <x:v>0.9258453085724337</x:v>
      </x:c>
      <x:c r="E1729" s="62" t="b">
        <x:v>0</x:v>
      </x:c>
      <x:c r="F1729" s="62" t="b">
        <x:v>0</x:v>
      </x:c>
      <x:c r="G1729" s="85" t="n">
        <x:v>3673505.7219397137</x:v>
      </x:c>
      <x:c r="H1729" s="85" t="n">
        <x:v>13347963.091904543</x:v>
      </x:c>
      <x:c r="I1729" s="85" t="n">
        <x:v>12846941.672109593</x:v>
      </x:c>
      <x:c r="J1729" s="85" t="n">
        <x:v>13378559.999999998</x:v>
      </x:c>
      <x:c r="K1729" s="85" t="n">
        <x:v>13681.267397260563</x:v>
      </x:c>
      <x:c r="L1729" s="28" t="n">
        <x:v>45</x:v>
      </x:c>
      <x:c r="M1729" s="28" t="n">
        <x:v>40</x:v>
      </x:c>
      <x:c r="N1729" s="28" t="n">
        <x:v>4.656612873077393e-10</x:v>
      </x:c>
      <x:c r="O1729" s="28" t="n">
        <x:v>1.862645149230957e-9</x:v>
      </x:c>
      <x:c r="P1729" s="28" t="n">
        <x:v>0</x:v>
      </x:c>
      <x:c r="Q1729" s="62" t="b">
        <x:v>1</x:v>
      </x:c>
      <x:c r="R1729" s="28" t="n">
        <x:v>4133679.1189382523</x:v>
      </x:c>
      <x:c r="S1729" s="28" t="str">
        <x:v>293b07c0dc6fb4d0</x:v>
      </x:c>
    </x:row>
    <x:row r="1730" ht="21" customHeight="1">
      <x:c r="A1730" s="60" t="n">
        <x:v>0.66</x:v>
      </x:c>
      <x:c r="B1730" s="28" t="str">
        <x:v>level_low</x:v>
      </x:c>
      <x:c r="C1730" s="60" t="n">
        <x:v>0</x:v>
      </x:c>
      <x:c r="D1730" s="60" t="n">
        <x:v>0</x:v>
      </x:c>
      <x:c r="E1730" s="62" t="b">
        <x:v>1</x:v>
      </x:c>
      <x:c r="F1730" s="62" t="b">
        <x:v>1</x:v>
      </x:c>
      <x:c r="G1730" s="85" t="n">
        <x:v>0</x:v>
      </x:c>
      <x:c r="H1730" s="85" t="n">
        <x:v>0</x:v>
      </x:c>
      <x:c r="I1730" s="85" t="n">
        <x:v>0</x:v>
      </x:c>
      <x:c r="J1730" s="85" t="n">
        <x:v>0</x:v>
      </x:c>
      <x:c r="K1730" s="85" t="n">
        <x:v>5572561.858849319</x:v>
      </x:c>
      <x:c r="L1730" s="28" t="n">
        <x:v>0</x:v>
      </x:c>
      <x:c r="M1730" s="28" t="n">
        <x:v>0</x:v>
      </x:c>
      <x:c r="N1730" s="28" t="n">
        <x:v>9.313225746154785e-10</x:v>
      </x:c>
      <x:c r="O1730" s="28" t="n">
        <x:v>0</x:v>
      </x:c>
      <x:c r="P1730" s="28" t="n">
        <x:v>0</x:v>
      </x:c>
      <x:c r="Q1730" s="62" t="b">
        <x:v>1</x:v>
      </x:c>
      <x:c r="R1730" s="28" t="n">
        <x:v>0</x:v>
      </x:c>
      <x:c r="S1730" s="28" t="str">
        <x:v>7c1590e56dad7040</x:v>
      </x:c>
    </x:row>
    <x:row r="1731" ht="21" customHeight="1">
      <x:c r="A1731" s="60" t="n">
        <x:v>0.66</x:v>
      </x:c>
      <x:c r="B1731" s="28" t="str">
        <x:v>level_low</x:v>
      </x:c>
      <x:c r="C1731" s="60" t="n">
        <x:v>0.05</x:v>
      </x:c>
      <x:c r="D1731" s="60" t="n">
        <x:v>0.05</x:v>
      </x:c>
      <x:c r="E1731" s="62" t="b">
        <x:v>1</x:v>
      </x:c>
      <x:c r="F1731" s="62" t="b">
        <x:v>1</x:v>
      </x:c>
      <x:c r="G1731" s="85" t="n">
        <x:v>0</x:v>
      </x:c>
      <x:c r="H1731" s="85" t="n">
        <x:v>0</x:v>
      </x:c>
      <x:c r="I1731" s="85" t="n">
        <x:v>0</x:v>
      </x:c>
      <x:c r="J1731" s="85" t="n">
        <x:v>0</x:v>
      </x:c>
      <x:c r="K1731" s="85" t="n">
        <x:v>3571573.6492467006</x:v>
      </x:c>
      <x:c r="L1731" s="28" t="n">
        <x:v>0</x:v>
      </x:c>
      <x:c r="M1731" s="28" t="n">
        <x:v>0</x:v>
      </x:c>
      <x:c r="N1731" s="28" t="n">
        <x:v>2.3283064365386963e-10</x:v>
      </x:c>
      <x:c r="O1731" s="28" t="n">
        <x:v>7.450580596923828e-9</x:v>
      </x:c>
      <x:c r="P1731" s="28" t="n">
        <x:v>0</x:v>
      </x:c>
      <x:c r="Q1731" s="62" t="b">
        <x:v>1</x:v>
      </x:c>
      <x:c r="R1731" s="28" t="n">
        <x:v>0</x:v>
      </x:c>
      <x:c r="S1731" s="28" t="str">
        <x:v>e09079f3ee1207f1</x:v>
      </x:c>
    </x:row>
    <x:row r="1732" ht="21" customHeight="1">
      <x:c r="A1732" s="60" t="n">
        <x:v>0.66</x:v>
      </x:c>
      <x:c r="B1732" s="28" t="str">
        <x:v>level_low</x:v>
      </x:c>
      <x:c r="C1732" s="60" t="n">
        <x:v>0.1</x:v>
      </x:c>
      <x:c r="D1732" s="60" t="n">
        <x:v>0.1</x:v>
      </x:c>
      <x:c r="E1732" s="62" t="b">
        <x:v>1</x:v>
      </x:c>
      <x:c r="F1732" s="62" t="b">
        <x:v>1</x:v>
      </x:c>
      <x:c r="G1732" s="85" t="n">
        <x:v>0</x:v>
      </x:c>
      <x:c r="H1732" s="85" t="n">
        <x:v>0</x:v>
      </x:c>
      <x:c r="I1732" s="85" t="n">
        <x:v>0</x:v>
      </x:c>
      <x:c r="J1732" s="85" t="n">
        <x:v>0</x:v>
      </x:c>
      <x:c r="K1732" s="85" t="n">
        <x:v>1570504.6238211044</x:v>
      </x:c>
      <x:c r="L1732" s="28" t="n">
        <x:v>0</x:v>
      </x:c>
      <x:c r="M1732" s="28" t="n">
        <x:v>0</x:v>
      </x:c>
      <x:c r="N1732" s="28" t="n">
        <x:v>1.1641532182693481e-10</x:v>
      </x:c>
      <x:c r="O1732" s="28" t="n">
        <x:v>7.450580596923828e-9</x:v>
      </x:c>
      <x:c r="P1732" s="28" t="n">
        <x:v>0</x:v>
      </x:c>
      <x:c r="Q1732" s="62" t="b">
        <x:v>1</x:v>
      </x:c>
      <x:c r="R1732" s="28" t="n">
        <x:v>0</x:v>
      </x:c>
      <x:c r="S1732" s="28" t="str">
        <x:v>d0051f18b754349e</x:v>
      </x:c>
    </x:row>
    <x:row r="1733" ht="21" customHeight="1">
      <x:c r="A1733" s="60" t="n">
        <x:v>0.66</x:v>
      </x:c>
      <x:c r="B1733" s="28" t="str">
        <x:v>level_low</x:v>
      </x:c>
      <x:c r="C1733" s="60" t="n">
        <x:v>0.15</x:v>
      </x:c>
      <x:c r="D1733" s="60" t="n">
        <x:v>0.15</x:v>
      </x:c>
      <x:c r="E1733" s="62" t="b">
        <x:v>1</x:v>
      </x:c>
      <x:c r="F1733" s="62" t="b">
        <x:v>1</x:v>
      </x:c>
      <x:c r="G1733" s="85" t="n">
        <x:v>0</x:v>
      </x:c>
      <x:c r="H1733" s="85" t="n">
        <x:v>0</x:v>
      </x:c>
      <x:c r="I1733" s="85" t="n">
        <x:v>439710.7821273985</x:v>
      </x:c>
      <x:c r="J1733" s="85" t="n">
        <x:v>0</x:v>
      </x:c>
      <x:c r="K1733" s="85" t="n">
        <x:v>136858.07632075355</x:v>
      </x:c>
      <x:c r="L1733" s="28" t="n">
        <x:v>0</x:v>
      </x:c>
      <x:c r="M1733" s="28" t="n">
        <x:v>0</x:v>
      </x:c>
      <x:c r="N1733" s="28" t="n">
        <x:v>2.3283064365386963e-10</x:v>
      </x:c>
      <x:c r="O1733" s="28" t="n">
        <x:v>7.450580596923828e-9</x:v>
      </x:c>
      <x:c r="P1733" s="28" t="n">
        <x:v>0</x:v>
      </x:c>
      <x:c r="Q1733" s="62" t="b">
        <x:v>1</x:v>
      </x:c>
      <x:c r="R1733" s="28" t="n">
        <x:v>0</x:v>
      </x:c>
      <x:c r="S1733" s="28" t="str">
        <x:v>edc3d2a1cdcae8c9</x:v>
      </x:c>
    </x:row>
    <x:row r="1734" ht="21" customHeight="1">
      <x:c r="A1734" s="60" t="n">
        <x:v>0.66</x:v>
      </x:c>
      <x:c r="B1734" s="28" t="str">
        <x:v>level_low</x:v>
      </x:c>
      <x:c r="C1734" s="60" t="n">
        <x:v>0.2</x:v>
      </x:c>
      <x:c r="D1734" s="60" t="n">
        <x:v>0.2</x:v>
      </x:c>
      <x:c r="E1734" s="62" t="b">
        <x:v>1</x:v>
      </x:c>
      <x:c r="F1734" s="62" t="b">
        <x:v>1</x:v>
      </x:c>
      <x:c r="G1734" s="85" t="n">
        <x:v>0</x:v>
      </x:c>
      <x:c r="H1734" s="85" t="n">
        <x:v>0</x:v>
      </x:c>
      <x:c r="I1734" s="85" t="n">
        <x:v>1542842.4323339162</x:v>
      </x:c>
      <x:c r="J1734" s="85" t="n">
        <x:v>1248509.6821692977</x:v>
      </x:c>
      <x:c r="K1734" s="85" t="n">
        <x:v>100243.84711260215</x:v>
      </x:c>
      <x:c r="L1734" s="28" t="n">
        <x:v>0</x:v>
      </x:c>
      <x:c r="M1734" s="28" t="n">
        <x:v>0</x:v>
      </x:c>
      <x:c r="N1734" s="28" t="n">
        <x:v>4.656612873077393e-10</x:v>
      </x:c>
      <x:c r="O1734" s="28" t="n">
        <x:v>7.450580596923828e-9</x:v>
      </x:c>
      <x:c r="P1734" s="28" t="n">
        <x:v>0</x:v>
      </x:c>
      <x:c r="Q1734" s="62" t="b">
        <x:v>1</x:v>
      </x:c>
      <x:c r="R1734" s="28" t="n">
        <x:v>0</x:v>
      </x:c>
      <x:c r="S1734" s="28" t="str">
        <x:v>eea8501fb43454ee</x:v>
      </x:c>
    </x:row>
    <x:row r="1735" ht="21" customHeight="1">
      <x:c r="A1735" s="60" t="n">
        <x:v>0.66</x:v>
      </x:c>
      <x:c r="B1735" s="28" t="str">
        <x:v>level_low</x:v>
      </x:c>
      <x:c r="C1735" s="60" t="n">
        <x:v>0.25</x:v>
      </x:c>
      <x:c r="D1735" s="60" t="n">
        <x:v>0.25</x:v>
      </x:c>
      <x:c r="E1735" s="62" t="b">
        <x:v>1</x:v>
      </x:c>
      <x:c r="F1735" s="62" t="b">
        <x:v>1</x:v>
      </x:c>
      <x:c r="G1735" s="85" t="n">
        <x:v>0</x:v>
      </x:c>
      <x:c r="H1735" s="85" t="n">
        <x:v>0</x:v>
      </x:c>
      <x:c r="I1735" s="85" t="n">
        <x:v>2297966.4374063914</x:v>
      </x:c>
      <x:c r="J1735" s="85" t="n">
        <x:v>2954237.102711631</x:v>
      </x:c>
      <x:c r="K1735" s="85" t="n">
        <x:v>73714.77778801376</x:v>
      </x:c>
      <x:c r="L1735" s="28" t="n">
        <x:v>0</x:v>
      </x:c>
      <x:c r="M1735" s="28" t="n">
        <x:v>0</x:v>
      </x:c>
      <x:c r="N1735" s="28" t="n">
        <x:v>4.656612873077393e-10</x:v>
      </x:c>
      <x:c r="O1735" s="28" t="n">
        <x:v>7.450580596923828e-9</x:v>
      </x:c>
      <x:c r="P1735" s="28" t="n">
        <x:v>0</x:v>
      </x:c>
      <x:c r="Q1735" s="62" t="b">
        <x:v>1</x:v>
      </x:c>
      <x:c r="R1735" s="28" t="n">
        <x:v>0</x:v>
      </x:c>
      <x:c r="S1735" s="28" t="str">
        <x:v>1b51dbd7fa489e0c</x:v>
      </x:c>
    </x:row>
    <x:row r="1736" ht="21" customHeight="1">
      <x:c r="A1736" s="60" t="n">
        <x:v>0.66</x:v>
      </x:c>
      <x:c r="B1736" s="28" t="str">
        <x:v>level_low</x:v>
      </x:c>
      <x:c r="C1736" s="60" t="n">
        <x:v>0.3</x:v>
      </x:c>
      <x:c r="D1736" s="60" t="n">
        <x:v>0.3</x:v>
      </x:c>
      <x:c r="E1736" s="62" t="b">
        <x:v>1</x:v>
      </x:c>
      <x:c r="F1736" s="62" t="b">
        <x:v>1</x:v>
      </x:c>
      <x:c r="G1736" s="85" t="n">
        <x:v>0</x:v>
      </x:c>
      <x:c r="H1736" s="85" t="n">
        <x:v>0</x:v>
      </x:c>
      <x:c r="I1736" s="85" t="n">
        <x:v>3062913.1671116976</x:v>
      </x:c>
      <x:c r="J1736" s="85" t="n">
        <x:v>4659964.523253945</x:v>
      </x:c>
      <x:c r="K1736" s="85" t="n">
        <x:v>57618.031917808345</x:v>
      </x:c>
      <x:c r="L1736" s="28" t="n">
        <x:v>0</x:v>
      </x:c>
      <x:c r="M1736" s="28" t="n">
        <x:v>0</x:v>
      </x:c>
      <x:c r="N1736" s="28" t="n">
        <x:v>4.656612873077393e-10</x:v>
      </x:c>
      <x:c r="O1736" s="28" t="n">
        <x:v>7.450580596923828e-9</x:v>
      </x:c>
      <x:c r="P1736" s="28" t="n">
        <x:v>0</x:v>
      </x:c>
      <x:c r="Q1736" s="62" t="b">
        <x:v>1</x:v>
      </x:c>
      <x:c r="R1736" s="28" t="n">
        <x:v>0</x:v>
      </x:c>
      <x:c r="S1736" s="28" t="str">
        <x:v>1169756d26d2fa5f</x:v>
      </x:c>
    </x:row>
    <x:row r="1737" ht="21" customHeight="1">
      <x:c r="A1737" s="60" t="n">
        <x:v>0.66</x:v>
      </x:c>
      <x:c r="B1737" s="28" t="str">
        <x:v>level_low</x:v>
      </x:c>
      <x:c r="C1737" s="60" t="n">
        <x:v>0.35</x:v>
      </x:c>
      <x:c r="D1737" s="60" t="n">
        <x:v>0.35</x:v>
      </x:c>
      <x:c r="E1737" s="62" t="b">
        <x:v>1</x:v>
      </x:c>
      <x:c r="F1737" s="62" t="b">
        <x:v>1</x:v>
      </x:c>
      <x:c r="G1737" s="85" t="n">
        <x:v>0</x:v>
      </x:c>
      <x:c r="H1737" s="85" t="n">
        <x:v>0</x:v>
      </x:c>
      <x:c r="I1737" s="85" t="n">
        <x:v>3829474.3290216327</x:v>
      </x:c>
      <x:c r="J1737" s="85" t="n">
        <x:v>6365691.943796252</x:v>
      </x:c>
      <x:c r="K1737" s="85" t="n">
        <x:v>46690.76390410984</x:v>
      </x:c>
      <x:c r="L1737" s="28" t="n">
        <x:v>0</x:v>
      </x:c>
      <x:c r="M1737" s="28" t="n">
        <x:v>0</x:v>
      </x:c>
      <x:c r="N1737" s="28" t="n">
        <x:v>9.313225746154785e-10</x:v>
      </x:c>
      <x:c r="O1737" s="28" t="n">
        <x:v>7.450580596923828e-9</x:v>
      </x:c>
      <x:c r="P1737" s="28" t="n">
        <x:v>0</x:v>
      </x:c>
      <x:c r="Q1737" s="62" t="b">
        <x:v>1</x:v>
      </x:c>
      <x:c r="R1737" s="28" t="n">
        <x:v>0</x:v>
      </x:c>
      <x:c r="S1737" s="28" t="str">
        <x:v>aa63741825882af0</x:v>
      </x:c>
    </x:row>
    <x:row r="1738" ht="21" customHeight="1">
      <x:c r="A1738" s="60" t="n">
        <x:v>0.66</x:v>
      </x:c>
      <x:c r="B1738" s="28" t="str">
        <x:v>level_low</x:v>
      </x:c>
      <x:c r="C1738" s="60" t="n">
        <x:v>0.4</x:v>
      </x:c>
      <x:c r="D1738" s="60" t="n">
        <x:v>0.4</x:v>
      </x:c>
      <x:c r="E1738" s="62" t="b">
        <x:v>1</x:v>
      </x:c>
      <x:c r="F1738" s="62" t="b">
        <x:v>1</x:v>
      </x:c>
      <x:c r="G1738" s="85" t="n">
        <x:v>0</x:v>
      </x:c>
      <x:c r="H1738" s="85" t="n">
        <x:v>0</x:v>
      </x:c>
      <x:c r="I1738" s="85" t="n">
        <x:v>4777655.157410971</x:v>
      </x:c>
      <x:c r="J1738" s="85" t="n">
        <x:v>7798980.728996506</x:v>
      </x:c>
      <x:c r="K1738" s="85" t="n">
        <x:v>35763.49589041092</x:v>
      </x:c>
      <x:c r="L1738" s="28" t="n">
        <x:v>3</x:v>
      </x:c>
      <x:c r="M1738" s="28" t="n">
        <x:v>0</x:v>
      </x:c>
      <x:c r="N1738" s="28" t="n">
        <x:v>9.313225746154785e-10</x:v>
      </x:c>
      <x:c r="O1738" s="28" t="n">
        <x:v>7.450580596923828e-9</x:v>
      </x:c>
      <x:c r="P1738" s="28" t="n">
        <x:v>0</x:v>
      </x:c>
      <x:c r="Q1738" s="62" t="b">
        <x:v>1</x:v>
      </x:c>
      <x:c r="R1738" s="28" t="n">
        <x:v>0</x:v>
      </x:c>
      <x:c r="S1738" s="28" t="str">
        <x:v>fb58fbaf32b5c6d7</x:v>
      </x:c>
    </x:row>
    <x:row r="1739" ht="21" customHeight="1">
      <x:c r="A1739" s="60" t="n">
        <x:v>0.66</x:v>
      </x:c>
      <x:c r="B1739" s="28" t="str">
        <x:v>level_low</x:v>
      </x:c>
      <x:c r="C1739" s="60" t="n">
        <x:v>0.45</x:v>
      </x:c>
      <x:c r="D1739" s="60" t="n">
        <x:v>0.45</x:v>
      </x:c>
      <x:c r="E1739" s="62" t="b">
        <x:v>1</x:v>
      </x:c>
      <x:c r="F1739" s="62" t="b">
        <x:v>1</x:v>
      </x:c>
      <x:c r="G1739" s="85" t="n">
        <x:v>0</x:v>
      </x:c>
      <x:c r="H1739" s="85" t="n">
        <x:v>0</x:v>
      </x:c>
      <x:c r="I1739" s="85" t="n">
        <x:v>5968280.575718765</x:v>
      </x:c>
      <x:c r="J1739" s="85" t="n">
        <x:v>8831569.195104377</x:v>
      </x:c>
      <x:c r="K1739" s="85" t="n">
        <x:v>30570.416479451982</x:v>
      </x:c>
      <x:c r="L1739" s="28" t="n">
        <x:v>10</x:v>
      </x:c>
      <x:c r="M1739" s="28" t="n">
        <x:v>0</x:v>
      </x:c>
      <x:c r="N1739" s="28" t="n">
        <x:v>9.313225746154785e-10</x:v>
      </x:c>
      <x:c r="O1739" s="28" t="n">
        <x:v>3.725290298461914e-9</x:v>
      </x:c>
      <x:c r="P1739" s="28" t="n">
        <x:v>0</x:v>
      </x:c>
      <x:c r="Q1739" s="62" t="b">
        <x:v>1</x:v>
      </x:c>
      <x:c r="R1739" s="28" t="n">
        <x:v>0</x:v>
      </x:c>
      <x:c r="S1739" s="28" t="str">
        <x:v>90f27af96105f1c7</x:v>
      </x:c>
    </x:row>
    <x:row r="1740" ht="21" customHeight="1">
      <x:c r="A1740" s="60" t="n">
        <x:v>0.66</x:v>
      </x:c>
      <x:c r="B1740" s="28" t="str">
        <x:v>level_low</x:v>
      </x:c>
      <x:c r="C1740" s="60" t="n">
        <x:v>0.5</x:v>
      </x:c>
      <x:c r="D1740" s="60" t="n">
        <x:v>0.5</x:v>
      </x:c>
      <x:c r="E1740" s="62" t="b">
        <x:v>1</x:v>
      </x:c>
      <x:c r="F1740" s="62" t="b">
        <x:v>1</x:v>
      </x:c>
      <x:c r="G1740" s="85" t="n">
        <x:v>0</x:v>
      </x:c>
      <x:c r="H1740" s="85" t="n">
        <x:v>0</x:v>
      </x:c>
      <x:c r="I1740" s="85" t="n">
        <x:v>6871615.870197357</x:v>
      </x:c>
      <x:c r="J1740" s="85" t="n">
        <x:v>10315979.670273883</x:v>
      </x:c>
      <x:c r="K1740" s="85" t="n">
        <x:v>27179.95230136984</x:v>
      </x:c>
      <x:c r="L1740" s="28" t="n">
        <x:v>13</x:v>
      </x:c>
      <x:c r="M1740" s="28" t="n">
        <x:v>0</x:v>
      </x:c>
      <x:c r="N1740" s="28" t="n">
        <x:v>2.3283064365386963e-10</x:v>
      </x:c>
      <x:c r="O1740" s="28" t="n">
        <x:v>3.725290298461914e-9</x:v>
      </x:c>
      <x:c r="P1740" s="28" t="n">
        <x:v>0</x:v>
      </x:c>
      <x:c r="Q1740" s="62" t="b">
        <x:v>1</x:v>
      </x:c>
      <x:c r="R1740" s="28" t="n">
        <x:v>0</x:v>
      </x:c>
      <x:c r="S1740" s="28" t="str">
        <x:v>4cc68833e2188d10</x:v>
      </x:c>
    </x:row>
    <x:row r="1741" ht="21" customHeight="1">
      <x:c r="A1741" s="60" t="n">
        <x:v>0.66</x:v>
      </x:c>
      <x:c r="B1741" s="28" t="str">
        <x:v>level_low</x:v>
      </x:c>
      <x:c r="C1741" s="60" t="n">
        <x:v>0.55</x:v>
      </x:c>
      <x:c r="D1741" s="60" t="n">
        <x:v>0.55</x:v>
      </x:c>
      <x:c r="E1741" s="62" t="b">
        <x:v>1</x:v>
      </x:c>
      <x:c r="F1741" s="62" t="b">
        <x:v>1</x:v>
      </x:c>
      <x:c r="G1741" s="85" t="n">
        <x:v>0</x:v>
      </x:c>
      <x:c r="H1741" s="85" t="n">
        <x:v>0</x:v>
      </x:c>
      <x:c r="I1741" s="85" t="n">
        <x:v>7673293.375061881</x:v>
      </x:c>
      <x:c r="J1741" s="85" t="n">
        <x:v>11965899.7805994</x:v>
      </x:c>
      <x:c r="K1741" s="85" t="n">
        <x:v>23789.488123287763</x:v>
      </x:c>
      <x:c r="L1741" s="28" t="n">
        <x:v>17</x:v>
      </x:c>
      <x:c r="M1741" s="28" t="n">
        <x:v>0</x:v>
      </x:c>
      <x:c r="N1741" s="28" t="n">
        <x:v>4.656612873077393e-10</x:v>
      </x:c>
      <x:c r="O1741" s="28" t="n">
        <x:v>3.725290298461914e-9</x:v>
      </x:c>
      <x:c r="P1741" s="28" t="n">
        <x:v>0</x:v>
      </x:c>
      <x:c r="Q1741" s="62" t="b">
        <x:v>1</x:v>
      </x:c>
      <x:c r="R1741" s="28" t="n">
        <x:v>0</x:v>
      </x:c>
      <x:c r="S1741" s="28" t="str">
        <x:v>8ea6a20e9c628d5c</x:v>
      </x:c>
    </x:row>
    <x:row r="1742" ht="21" customHeight="1">
      <x:c r="A1742" s="60" t="n">
        <x:v>0.66</x:v>
      </x:c>
      <x:c r="B1742" s="28" t="str">
        <x:v>level_low</x:v>
      </x:c>
      <x:c r="C1742" s="60" t="n">
        <x:v>0.6</x:v>
      </x:c>
      <x:c r="D1742" s="60" t="n">
        <x:v>0.6</x:v>
      </x:c>
      <x:c r="E1742" s="62" t="b">
        <x:v>1</x:v>
      </x:c>
      <x:c r="F1742" s="62" t="b">
        <x:v>0</x:v>
      </x:c>
      <x:c r="G1742" s="85" t="n">
        <x:v>22300.003725538652</x:v>
      </x:c>
      <x:c r="H1742" s="85" t="n">
        <x:v>311636.4373359311</x:v>
      </x:c>
      <x:c r="I1742" s="85" t="n">
        <x:v>8310675.578801376</x:v>
      </x:c>
      <x:c r="J1742" s="85" t="n">
        <x:v>13378559.999999998</x:v>
      </x:c>
      <x:c r="K1742" s="85" t="n">
        <x:v>20399.023945205387</x:v>
      </x:c>
      <x:c r="L1742" s="28" t="n">
        <x:v>41</x:v>
      </x:c>
      <x:c r="M1742" s="28" t="n">
        <x:v>23</x:v>
      </x:c>
      <x:c r="N1742" s="28" t="n">
        <x:v>4.656612873077393e-10</x:v>
      </x:c>
      <x:c r="O1742" s="28" t="n">
        <x:v>7.450580596923828e-9</x:v>
      </x:c>
      <x:c r="P1742" s="28" t="n">
        <x:v>0</x:v>
      </x:c>
      <x:c r="Q1742" s="62" t="b">
        <x:v>1</x:v>
      </x:c>
      <x:c r="R1742" s="28" t="n">
        <x:v>0</x:v>
      </x:c>
      <x:c r="S1742" s="28" t="str">
        <x:v>dd287b095542dc7f</x:v>
      </x:c>
    </x:row>
    <x:row r="1743" ht="21" customHeight="1">
      <x:c r="A1743" s="60" t="n">
        <x:v>0.66</x:v>
      </x:c>
      <x:c r="B1743" s="28" t="str">
        <x:v>level_low</x:v>
      </x:c>
      <x:c r="C1743" s="60" t="n">
        <x:v>0.65</x:v>
      </x:c>
      <x:c r="D1743" s="60" t="n">
        <x:v>0.65</x:v>
      </x:c>
      <x:c r="E1743" s="62" t="b">
        <x:v>1</x:v>
      </x:c>
      <x:c r="F1743" s="62" t="b">
        <x:v>0</x:v>
      </x:c>
      <x:c r="G1743" s="85" t="n">
        <x:v>173288.60492462732</x:v>
      </x:c>
      <x:c r="H1743" s="85" t="n">
        <x:v>2158982.4297736404</x:v>
      </x:c>
      <x:c r="I1743" s="85" t="n">
        <x:v>8485428.946745692</x:v>
      </x:c>
      <x:c r="J1743" s="85" t="n">
        <x:v>13378559.999999998</x:v>
      </x:c>
      <x:c r="K1743" s="85" t="n">
        <x:v>17008.559767123075</x:v>
      </x:c>
      <x:c r="L1743" s="28" t="n">
        <x:v>42</x:v>
      </x:c>
      <x:c r="M1743" s="28" t="n">
        <x:v>30</x:v>
      </x:c>
      <x:c r="N1743" s="28" t="n">
        <x:v>4.656612873077393e-10</x:v>
      </x:c>
      <x:c r="O1743" s="28" t="n">
        <x:v>3.725290298461914e-9</x:v>
      </x:c>
      <x:c r="P1743" s="28" t="n">
        <x:v>0</x:v>
      </x:c>
      <x:c r="Q1743" s="62" t="b">
        <x:v>1</x:v>
      </x:c>
      <x:c r="R1743" s="28" t="n">
        <x:v>0</x:v>
      </x:c>
      <x:c r="S1743" s="28" t="str">
        <x:v>a0983d66aeef1280</x:v>
      </x:c>
    </x:row>
    <x:row r="1744" ht="21" customHeight="1">
      <x:c r="A1744" s="60" t="n">
        <x:v>0.66</x:v>
      </x:c>
      <x:c r="B1744" s="28" t="str">
        <x:v>level_low</x:v>
      </x:c>
      <x:c r="C1744" s="60" t="n">
        <x:v>0.7</x:v>
      </x:c>
      <x:c r="D1744" s="60" t="n">
        <x:v>0.7</x:v>
      </x:c>
      <x:c r="E1744" s="62" t="b">
        <x:v>1</x:v>
      </x:c>
      <x:c r="F1744" s="62" t="b">
        <x:v>0</x:v>
      </x:c>
      <x:c r="G1744" s="85" t="n">
        <x:v>321165.5921879249</x:v>
      </x:c>
      <x:c r="H1744" s="85" t="n">
        <x:v>3997726.4868462896</x:v>
      </x:c>
      <x:c r="I1744" s="85" t="n">
        <x:v>8671858.04915069</x:v>
      </x:c>
      <x:c r="J1744" s="85" t="n">
        <x:v>13378559.999999998</x:v>
      </x:c>
      <x:c r="K1744" s="85" t="n">
        <x:v>13618.095589041168</x:v>
      </x:c>
      <x:c r="L1744" s="28" t="n">
        <x:v>43</x:v>
      </x:c>
      <x:c r="M1744" s="28" t="n">
        <x:v>31</x:v>
      </x:c>
      <x:c r="N1744" s="28" t="n">
        <x:v>4.656612873077393e-10</x:v>
      </x:c>
      <x:c r="O1744" s="28" t="n">
        <x:v>3.725290298461914e-9</x:v>
      </x:c>
      <x:c r="P1744" s="28" t="n">
        <x:v>0</x:v>
      </x:c>
      <x:c r="Q1744" s="62" t="b">
        <x:v>1</x:v>
      </x:c>
      <x:c r="R1744" s="28" t="n">
        <x:v>0</x:v>
      </x:c>
      <x:c r="S1744" s="28" t="str">
        <x:v>8cfc95bfa0b97c5d</x:v>
      </x:c>
    </x:row>
    <x:row r="1745" ht="21" customHeight="1">
      <x:c r="A1745" s="60" t="n">
        <x:v>0.66</x:v>
      </x:c>
      <x:c r="B1745" s="28" t="str">
        <x:v>level_low</x:v>
      </x:c>
      <x:c r="C1745" s="60" t="n">
        <x:v>0.75</x:v>
      </x:c>
      <x:c r="D1745" s="60" t="n">
        <x:v>0.75</x:v>
      </x:c>
      <x:c r="E1745" s="62" t="b">
        <x:v>1</x:v>
      </x:c>
      <x:c r="F1745" s="62" t="b">
        <x:v>0</x:v>
      </x:c>
      <x:c r="G1745" s="85" t="n">
        <x:v>494759.54020486097</x:v>
      </x:c>
      <x:c r="H1745" s="85" t="n">
        <x:v>6028421.07152627</x:v>
      </x:c>
      <x:c r="I1745" s="85" t="n">
        <x:v>8685015.136575349</x:v>
      </x:c>
      <x:c r="J1745" s="85" t="n">
        <x:v>13378559.999999998</x:v>
      </x:c>
      <x:c r="K1745" s="85" t="n">
        <x:v>10227.631410958798</x:v>
      </x:c>
      <x:c r="L1745" s="28" t="n">
        <x:v>43</x:v>
      </x:c>
      <x:c r="M1745" s="28" t="n">
        <x:v>32</x:v>
      </x:c>
      <x:c r="N1745" s="28" t="n">
        <x:v>2.3283064365386963e-10</x:v>
      </x:c>
      <x:c r="O1745" s="28" t="n">
        <x:v>3.725290298461914e-9</x:v>
      </x:c>
      <x:c r="P1745" s="28" t="n">
        <x:v>0</x:v>
      </x:c>
      <x:c r="Q1745" s="62" t="b">
        <x:v>1</x:v>
      </x:c>
      <x:c r="R1745" s="28" t="n">
        <x:v>0</x:v>
      </x:c>
      <x:c r="S1745" s="28" t="str">
        <x:v>11f1b009e147df47</x:v>
      </x:c>
    </x:row>
    <x:row r="1746" ht="21" customHeight="1">
      <x:c r="A1746" s="60" t="n">
        <x:v>0.66</x:v>
      </x:c>
      <x:c r="B1746" s="28" t="str">
        <x:v>level_low</x:v>
      </x:c>
      <x:c r="C1746" s="60" t="n">
        <x:v>0.8</x:v>
      </x:c>
      <x:c r="D1746" s="60" t="n">
        <x:v>0.8</x:v>
      </x:c>
      <x:c r="E1746" s="62" t="b">
        <x:v>1</x:v>
      </x:c>
      <x:c r="F1746" s="62" t="b">
        <x:v>0</x:v>
      </x:c>
      <x:c r="G1746" s="85" t="n">
        <x:v>667127.1405292915</x:v>
      </x:c>
      <x:c r="H1746" s="85" t="n">
        <x:v>7815550.4494872</x:v>
      </x:c>
      <x:c r="I1746" s="85" t="n">
        <x:v>8857002.596821923</x:v>
      </x:c>
      <x:c r="J1746" s="85" t="n">
        <x:v>13378559.999999998</x:v>
      </x:c>
      <x:c r="K1746" s="85" t="n">
        <x:v>6837.1672328767745</x:v>
      </x:c>
      <x:c r="L1746" s="28" t="n">
        <x:v>44</x:v>
      </x:c>
      <x:c r="M1746" s="28" t="n">
        <x:v>33</x:v>
      </x:c>
      <x:c r="N1746" s="28" t="n">
        <x:v>2.3283064365386963e-10</x:v>
      </x:c>
      <x:c r="O1746" s="28" t="n">
        <x:v>3.725290298461914e-9</x:v>
      </x:c>
      <x:c r="P1746" s="28" t="n">
        <x:v>0</x:v>
      </x:c>
      <x:c r="Q1746" s="62" t="b">
        <x:v>1</x:v>
      </x:c>
      <x:c r="R1746" s="28" t="n">
        <x:v>0</x:v>
      </x:c>
      <x:c r="S1746" s="28" t="str">
        <x:v>7cdeca506c6027f4</x:v>
      </x:c>
    </x:row>
    <x:row r="1747" ht="21" customHeight="1">
      <x:c r="A1747" s="60" t="n">
        <x:v>0.66</x:v>
      </x:c>
      <x:c r="B1747" s="28" t="str">
        <x:v>level_low</x:v>
      </x:c>
      <x:c r="C1747" s="60" t="n">
        <x:v>0.85</x:v>
      </x:c>
      <x:c r="D1747" s="60" t="n">
        <x:v>0.85</x:v>
      </x:c>
      <x:c r="E1747" s="62" t="b">
        <x:v>1</x:v>
      </x:c>
      <x:c r="F1747" s="62" t="b">
        <x:v>0</x:v>
      </x:c>
      <x:c r="G1747" s="85" t="n">
        <x:v>894777.3393933077</x:v>
      </x:c>
      <x:c r="H1747" s="85" t="n">
        <x:v>9737993.302162651</x:v>
      </x:c>
      <x:c r="I1747" s="85" t="n">
        <x:v>8864802.848328771</x:v>
      </x:c>
      <x:c r="J1747" s="85" t="n">
        <x:v>13378559.999999998</x:v>
      </x:c>
      <x:c r="K1747" s="85" t="n">
        <x:v>3656.7098630140026</x:v>
      </x:c>
      <x:c r="L1747" s="28" t="n">
        <x:v>44</x:v>
      </x:c>
      <x:c r="M1747" s="28" t="n">
        <x:v>34</x:v>
      </x:c>
      <x:c r="N1747" s="28" t="n">
        <x:v>4.656612873077393e-10</x:v>
      </x:c>
      <x:c r="O1747" s="28" t="n">
        <x:v>3.725290298461914e-9</x:v>
      </x:c>
      <x:c r="P1747" s="28" t="n">
        <x:v>0</x:v>
      </x:c>
      <x:c r="Q1747" s="62" t="b">
        <x:v>1</x:v>
      </x:c>
      <x:c r="R1747" s="28" t="n">
        <x:v>0</x:v>
      </x:c>
      <x:c r="S1747" s="28" t="str">
        <x:v>b5c408c7a0fdd14b</x:v>
      </x:c>
    </x:row>
    <x:row r="1748" ht="21" customHeight="1">
      <x:c r="A1748" s="60" t="n">
        <x:v>0.66</x:v>
      </x:c>
      <x:c r="B1748" s="28" t="str">
        <x:v>level_low</x:v>
      </x:c>
      <x:c r="C1748" s="60" t="n">
        <x:v>0.9</x:v>
      </x:c>
      <x:c r="D1748" s="60" t="n">
        <x:v>0.8949513562027351</x:v>
      </x:c>
      <x:c r="E1748" s="62" t="b">
        <x:v>0</x:v>
      </x:c>
      <x:c r="F1748" s="62" t="b">
        <x:v>0</x:v>
      </x:c>
      <x:c r="G1748" s="85" t="n">
        <x:v>1255261.1064137928</x:v>
      </x:c>
      <x:c r="H1748" s="85" t="n">
        <x:v>11006036.749406287</x:v>
      </x:c>
      <x:c r="I1748" s="85" t="n">
        <x:v>9053250.640000004</x:v>
      </x:c>
      <x:c r="J1748" s="85" t="n">
        <x:v>13378559.999999998</x:v>
      </x:c>
      <x:c r="K1748" s="85" t="n">
        <x:v>2500.9002739725474</x:v>
      </x:c>
      <x:c r="L1748" s="28" t="n">
        <x:v>45</x:v>
      </x:c>
      <x:c r="M1748" s="28" t="n">
        <x:v>35</x:v>
      </x:c>
      <x:c r="N1748" s="28" t="n">
        <x:v>4.656612873077393e-10</x:v>
      </x:c>
      <x:c r="O1748" s="28" t="n">
        <x:v>3.725290298461914e-9</x:v>
      </x:c>
      <x:c r="P1748" s="28" t="n">
        <x:v>0</x:v>
      </x:c>
      <x:c r="Q1748" s="62" t="b">
        <x:v>1</x:v>
      </x:c>
      <x:c r="R1748" s="28" t="n">
        <x:v>281431.5998347327</x:v>
      </x:c>
      <x:c r="S1748" s="28" t="str">
        <x:v>e0003f71a17cffa1</x:v>
      </x:c>
    </x:row>
    <x:row r="1749" ht="21" customHeight="1">
      <x:c r="A1749" s="60" t="n">
        <x:v>0.66</x:v>
      </x:c>
      <x:c r="B1749" s="28" t="str">
        <x:v>level_low</x:v>
      </x:c>
      <x:c r="C1749" s="60" t="n">
        <x:v>0.95</x:v>
      </x:c>
      <x:c r="D1749" s="60" t="n">
        <x:v>0.9109811515371262</x:v>
      </x:c>
      <x:c r="E1749" s="62" t="b">
        <x:v>0</x:v>
      </x:c>
      <x:c r="F1749" s="62" t="b">
        <x:v>0</x:v>
      </x:c>
      <x:c r="G1749" s="85" t="n">
        <x:v>1340315.5098647901</x:v>
      </x:c>
      <x:c r="H1749" s="85" t="n">
        <x:v>11751787.48229956</x:v>
      </x:c>
      <x:c r="I1749" s="85" t="n">
        <x:v>9056549.23824658</x:v>
      </x:c>
      <x:c r="J1749" s="85" t="n">
        <x:v>13378559.999999998</x:v>
      </x:c>
      <x:c r="K1749" s="85" t="n">
        <x:v>1345.0906849314415</x:v>
      </x:c>
      <x:c r="L1749" s="28" t="n">
        <x:v>45</x:v>
      </x:c>
      <x:c r="M1749" s="28" t="n">
        <x:v>36</x:v>
      </x:c>
      <x:c r="N1749" s="28" t="n">
        <x:v>2.3283064365386963e-10</x:v>
      </x:c>
      <x:c r="O1749" s="28" t="n">
        <x:v>3.725290298461914e-9</x:v>
      </x:c>
      <x:c r="P1749" s="28" t="n">
        <x:v>0</x:v>
      </x:c>
      <x:c r="Q1749" s="62" t="b">
        <x:v>1</x:v>
      </x:c>
      <x:c r="R1749" s="28" t="n">
        <x:v>2175066.688714437</x:v>
      </x:c>
      <x:c r="S1749" s="28" t="str">
        <x:v>9f2b51e973329026</x:v>
      </x:c>
    </x:row>
    <x:row r="1750" ht="21" customHeight="1">
      <x:c r="A1750" s="60" t="n">
        <x:v>0.66</x:v>
      </x:c>
      <x:c r="B1750" s="28" t="str">
        <x:v>level_low</x:v>
      </x:c>
      <x:c r="C1750" s="60" t="n">
        <x:v>1</x:v>
      </x:c>
      <x:c r="D1750" s="60" t="n">
        <x:v>0.9258453085724337</x:v>
      </x:c>
      <x:c r="E1750" s="62" t="b">
        <x:v>0</x:v>
      </x:c>
      <x:c r="F1750" s="62" t="b">
        <x:v>0</x:v>
      </x:c>
      <x:c r="G1750" s="85" t="n">
        <x:v>1471130.6691989042</x:v>
      </x:c>
      <x:c r="H1750" s="85" t="n">
        <x:v>12378972.595098784</x:v>
      </x:c>
      <x:c r="I1750" s="85" t="n">
        <x:v>9059847.836493155</x:v>
      </x:c>
      <x:c r="J1750" s="85" t="n">
        <x:v>13378559.999999998</x:v>
      </x:c>
      <x:c r="K1750" s="85" t="n">
        <x:v>189.28109589027736</x:v>
      </x:c>
      <x:c r="L1750" s="28" t="n">
        <x:v>45</x:v>
      </x:c>
      <x:c r="M1750" s="28" t="n">
        <x:v>36</x:v>
      </x:c>
      <x:c r="N1750" s="28" t="n">
        <x:v>2.3283064365386963e-10</x:v>
      </x:c>
      <x:c r="O1750" s="28" t="n">
        <x:v>1.862645149230957e-9</x:v>
      </x:c>
      <x:c r="P1750" s="28" t="n">
        <x:v>0</x:v>
      </x:c>
      <x:c r="Q1750" s="62" t="b">
        <x:v>1</x:v>
      </x:c>
      <x:c r="R1750" s="28" t="n">
        <x:v>4133679.1189382523</x:v>
      </x:c>
      <x:c r="S1750" s="28" t="str">
        <x:v>cfe23e7806cc7a37</x:v>
      </x:c>
    </x:row>
    <x:row r="1751" ht="21" customHeight="1">
      <x:c r="A1751" s="60" t="n">
        <x:v>0.66</x:v>
      </x:c>
      <x:c r="B1751" s="28" t="str">
        <x:v>level_high</x:v>
      </x:c>
      <x:c r="C1751" s="60" t="n">
        <x:v>0</x:v>
      </x:c>
      <x:c r="D1751" s="60" t="n">
        <x:v>0</x:v>
      </x:c>
      <x:c r="E1751" s="62" t="b">
        <x:v>1</x:v>
      </x:c>
      <x:c r="F1751" s="62" t="b">
        <x:v>1</x:v>
      </x:c>
      <x:c r="G1751" s="85" t="n">
        <x:v>0</x:v>
      </x:c>
      <x:c r="H1751" s="85" t="n">
        <x:v>0</x:v>
      </x:c>
      <x:c r="I1751" s="85" t="n">
        <x:v>0</x:v>
      </x:c>
      <x:c r="J1751" s="85" t="n">
        <x:v>0</x:v>
      </x:c>
      <x:c r="K1751" s="85" t="n">
        <x:v>7261858.4999452075</x:v>
      </x:c>
      <x:c r="L1751" s="28" t="n">
        <x:v>0</x:v>
      </x:c>
      <x:c r="M1751" s="28" t="n">
        <x:v>0</x:v>
      </x:c>
      <x:c r="N1751" s="28" t="n">
        <x:v>9.313225746154785e-10</x:v>
      </x:c>
      <x:c r="O1751" s="28" t="n">
        <x:v>0</x:v>
      </x:c>
      <x:c r="P1751" s="28" t="n">
        <x:v>0</x:v>
      </x:c>
      <x:c r="Q1751" s="62" t="b">
        <x:v>1</x:v>
      </x:c>
      <x:c r="R1751" s="28" t="n">
        <x:v>0</x:v>
      </x:c>
      <x:c r="S1751" s="28" t="str">
        <x:v>34b774acbe925a1e</x:v>
      </x:c>
    </x:row>
    <x:row r="1752" ht="21" customHeight="1">
      <x:c r="A1752" s="60" t="n">
        <x:v>0.66</x:v>
      </x:c>
      <x:c r="B1752" s="28" t="str">
        <x:v>level_high</x:v>
      </x:c>
      <x:c r="C1752" s="60" t="n">
        <x:v>0.05</x:v>
      </x:c>
      <x:c r="D1752" s="60" t="n">
        <x:v>0.05</x:v>
      </x:c>
      <x:c r="E1752" s="62" t="b">
        <x:v>1</x:v>
      </x:c>
      <x:c r="F1752" s="62" t="b">
        <x:v>1</x:v>
      </x:c>
      <x:c r="G1752" s="85" t="n">
        <x:v>0</x:v>
      </x:c>
      <x:c r="H1752" s="85" t="n">
        <x:v>0</x:v>
      </x:c>
      <x:c r="I1752" s="85" t="n">
        <x:v>0</x:v>
      </x:c>
      <x:c r="J1752" s="85" t="n">
        <x:v>0</x:v>
      </x:c>
      <x:c r="K1752" s="85" t="n">
        <x:v>4770298.9369597025</x:v>
      </x:c>
      <x:c r="L1752" s="28" t="n">
        <x:v>0</x:v>
      </x:c>
      <x:c r="M1752" s="28" t="n">
        <x:v>0</x:v>
      </x:c>
      <x:c r="N1752" s="28" t="n">
        <x:v>4.656612873077393e-10</x:v>
      </x:c>
      <x:c r="O1752" s="28" t="n">
        <x:v>7.450580596923828e-9</x:v>
      </x:c>
      <x:c r="P1752" s="28" t="n">
        <x:v>0</x:v>
      </x:c>
      <x:c r="Q1752" s="62" t="b">
        <x:v>1</x:v>
      </x:c>
      <x:c r="R1752" s="28" t="n">
        <x:v>0</x:v>
      </x:c>
      <x:c r="S1752" s="28" t="str">
        <x:v>132e442699cc7955</x:v>
      </x:c>
    </x:row>
    <x:row r="1753" ht="21" customHeight="1">
      <x:c r="A1753" s="60" t="n">
        <x:v>0.66</x:v>
      </x:c>
      <x:c r="B1753" s="28" t="str">
        <x:v>level_high</x:v>
      </x:c>
      <x:c r="C1753" s="60" t="n">
        <x:v>0.1</x:v>
      </x:c>
      <x:c r="D1753" s="60" t="n">
        <x:v>0.1</x:v>
      </x:c>
      <x:c r="E1753" s="62" t="b">
        <x:v>1</x:v>
      </x:c>
      <x:c r="F1753" s="62" t="b">
        <x:v>1</x:v>
      </x:c>
      <x:c r="G1753" s="85" t="n">
        <x:v>0</x:v>
      </x:c>
      <x:c r="H1753" s="85" t="n">
        <x:v>0</x:v>
      </x:c>
      <x:c r="I1753" s="85" t="n">
        <x:v>0</x:v>
      </x:c>
      <x:c r="J1753" s="85" t="n">
        <x:v>0</x:v>
      </x:c>
      <x:c r="K1753" s="85" t="n">
        <x:v>2278584.4769801483</x:v>
      </x:c>
      <x:c r="L1753" s="28" t="n">
        <x:v>0</x:v>
      </x:c>
      <x:c r="M1753" s="28" t="n">
        <x:v>0</x:v>
      </x:c>
      <x:c r="N1753" s="28" t="n">
        <x:v>4.656612873077393e-10</x:v>
      </x:c>
      <x:c r="O1753" s="28" t="n">
        <x:v>7.450580596923828e-9</x:v>
      </x:c>
      <x:c r="P1753" s="28" t="n">
        <x:v>0</x:v>
      </x:c>
      <x:c r="Q1753" s="62" t="b">
        <x:v>1</x:v>
      </x:c>
      <x:c r="R1753" s="28" t="n">
        <x:v>0</x:v>
      </x:c>
      <x:c r="S1753" s="28" t="str">
        <x:v>85c3521fb97776a5</x:v>
      </x:c>
    </x:row>
    <x:row r="1754" ht="21" customHeight="1">
      <x:c r="A1754" s="60" t="n">
        <x:v>0.66</x:v>
      </x:c>
      <x:c r="B1754" s="28" t="str">
        <x:v>level_high</x:v>
      </x:c>
      <x:c r="C1754" s="60" t="n">
        <x:v>0.15</x:v>
      </x:c>
      <x:c r="D1754" s="60" t="n">
        <x:v>0.15</x:v>
      </x:c>
      <x:c r="E1754" s="62" t="b">
        <x:v>1</x:v>
      </x:c>
      <x:c r="F1754" s="62" t="b">
        <x:v>1</x:v>
      </x:c>
      <x:c r="G1754" s="85" t="n">
        <x:v>0</x:v>
      </x:c>
      <x:c r="H1754" s="85" t="n">
        <x:v>0</x:v>
      </x:c>
      <x:c r="I1754" s="85" t="n">
        <x:v>679391.56829511</x:v>
      </x:c>
      <x:c r="J1754" s="85" t="n">
        <x:v>0</x:v>
      </x:c>
      <x:c r="K1754" s="85" t="n">
        <x:v>523881.1573587027</x:v>
      </x:c>
      <x:c r="L1754" s="28" t="n">
        <x:v>0</x:v>
      </x:c>
      <x:c r="M1754" s="28" t="n">
        <x:v>0</x:v>
      </x:c>
      <x:c r="N1754" s="28" t="n">
        <x:v>9.313225746154785e-10</x:v>
      </x:c>
      <x:c r="O1754" s="28" t="n">
        <x:v>7.450580596923828e-9</x:v>
      </x:c>
      <x:c r="P1754" s="28" t="n">
        <x:v>0</x:v>
      </x:c>
      <x:c r="Q1754" s="62" t="b">
        <x:v>1</x:v>
      </x:c>
      <x:c r="R1754" s="28" t="n">
        <x:v>0</x:v>
      </x:c>
      <x:c r="S1754" s="28" t="str">
        <x:v>1219d9be8ebaf450</x:v>
      </x:c>
    </x:row>
    <x:row r="1755" ht="21" customHeight="1">
      <x:c r="A1755" s="60" t="n">
        <x:v>0.66</x:v>
      </x:c>
      <x:c r="B1755" s="28" t="str">
        <x:v>level_high</x:v>
      </x:c>
      <x:c r="C1755" s="60" t="n">
        <x:v>0.2</x:v>
      </x:c>
      <x:c r="D1755" s="60" t="n">
        <x:v>0.2</x:v>
      </x:c>
      <x:c r="E1755" s="62" t="b">
        <x:v>1</x:v>
      </x:c>
      <x:c r="F1755" s="62" t="b">
        <x:v>1</x:v>
      </x:c>
      <x:c r="G1755" s="85" t="n">
        <x:v>0</x:v>
      </x:c>
      <x:c r="H1755" s="85" t="n">
        <x:v>0</x:v>
      </x:c>
      <x:c r="I1755" s="85" t="n">
        <x:v>2544370.893648448</x:v>
      </x:c>
      <x:c r="J1755" s="85" t="n">
        <x:v>1248509.6821692977</x:v>
      </x:c>
      <x:c r="K1755" s="85" t="n">
        <x:v>388978.23643999966</x:v>
      </x:c>
      <x:c r="L1755" s="28" t="n">
        <x:v>0</x:v>
      </x:c>
      <x:c r="M1755" s="28" t="n">
        <x:v>0</x:v>
      </x:c>
      <x:c r="N1755" s="28" t="n">
        <x:v>9.313225746154785e-10</x:v>
      </x:c>
      <x:c r="O1755" s="28" t="n">
        <x:v>7.450580596923828e-9</x:v>
      </x:c>
      <x:c r="P1755" s="28" t="n">
        <x:v>0</x:v>
      </x:c>
      <x:c r="Q1755" s="62" t="b">
        <x:v>1</x:v>
      </x:c>
      <x:c r="R1755" s="28" t="n">
        <x:v>0</x:v>
      </x:c>
      <x:c r="S1755" s="28" t="str">
        <x:v>58690435d2c89442</x:v>
      </x:c>
    </x:row>
    <x:row r="1756" ht="21" customHeight="1">
      <x:c r="A1756" s="60" t="n">
        <x:v>0.66</x:v>
      </x:c>
      <x:c r="B1756" s="28" t="str">
        <x:v>level_high</x:v>
      </x:c>
      <x:c r="C1756" s="60" t="n">
        <x:v>0.25</x:v>
      </x:c>
      <x:c r="D1756" s="60" t="n">
        <x:v>0.25</x:v>
      </x:c>
      <x:c r="E1756" s="62" t="b">
        <x:v>1</x:v>
      </x:c>
      <x:c r="F1756" s="62" t="b">
        <x:v>1</x:v>
      </x:c>
      <x:c r="G1756" s="85" t="n">
        <x:v>0</x:v>
      </x:c>
      <x:c r="H1756" s="85" t="n">
        <x:v>0</x:v>
      </x:c>
      <x:c r="I1756" s="85" t="n">
        <x:v>4182287.70367842</x:v>
      </x:c>
      <x:c r="J1756" s="85" t="n">
        <x:v>2954237.102711631</x:v>
      </x:c>
      <x:c r="K1756" s="85" t="n">
        <x:v>288390.3429198628</x:v>
      </x:c>
      <x:c r="L1756" s="28" t="n">
        <x:v>0</x:v>
      </x:c>
      <x:c r="M1756" s="28" t="n">
        <x:v>0</x:v>
      </x:c>
      <x:c r="N1756" s="28" t="n">
        <x:v>4.656612873077393e-10</x:v>
      </x:c>
      <x:c r="O1756" s="28" t="n">
        <x:v>7.450580596923828e-9</x:v>
      </x:c>
      <x:c r="P1756" s="28" t="n">
        <x:v>0</x:v>
      </x:c>
      <x:c r="Q1756" s="62" t="b">
        <x:v>1</x:v>
      </x:c>
      <x:c r="R1756" s="28" t="n">
        <x:v>0</x:v>
      </x:c>
      <x:c r="S1756" s="28" t="str">
        <x:v>c5c056adcd08b84d</x:v>
      </x:c>
    </x:row>
    <x:row r="1757" ht="21" customHeight="1">
      <x:c r="A1757" s="60" t="n">
        <x:v>0.66</x:v>
      </x:c>
      <x:c r="B1757" s="28" t="str">
        <x:v>level_high</x:v>
      </x:c>
      <x:c r="C1757" s="60" t="n">
        <x:v>0.3</x:v>
      </x:c>
      <x:c r="D1757" s="60" t="n">
        <x:v>0.3</x:v>
      </x:c>
      <x:c r="E1757" s="62" t="b">
        <x:v>1</x:v>
      </x:c>
      <x:c r="F1757" s="62" t="b">
        <x:v>1</x:v>
      </x:c>
      <x:c r="G1757" s="85" t="n">
        <x:v>0</x:v>
      </x:c>
      <x:c r="H1757" s="85" t="n">
        <x:v>0</x:v>
      </x:c>
      <x:c r="I1757" s="85" t="n">
        <x:v>5838186.779766965</x:v>
      </x:c>
      <x:c r="J1757" s="85" t="n">
        <x:v>4659964.523253945</x:v>
      </x:c>
      <x:c r="K1757" s="85" t="n">
        <x:v>224709.93577232977</x:v>
      </x:c>
      <x:c r="L1757" s="28" t="n">
        <x:v>0</x:v>
      </x:c>
      <x:c r="M1757" s="28" t="n">
        <x:v>0</x:v>
      </x:c>
      <x:c r="N1757" s="28" t="n">
        <x:v>4.656612873077393e-10</x:v>
      </x:c>
      <x:c r="O1757" s="28" t="n">
        <x:v>7.450580596923828e-9</x:v>
      </x:c>
      <x:c r="P1757" s="28" t="n">
        <x:v>0</x:v>
      </x:c>
      <x:c r="Q1757" s="62" t="b">
        <x:v>1</x:v>
      </x:c>
      <x:c r="R1757" s="28" t="n">
        <x:v>0</x:v>
      </x:c>
      <x:c r="S1757" s="28" t="str">
        <x:v>a0a2ace77f861145</x:v>
      </x:c>
    </x:row>
    <x:row r="1758" ht="21" customHeight="1">
      <x:c r="A1758" s="60" t="n">
        <x:v>0.66</x:v>
      </x:c>
      <x:c r="B1758" s="28" t="str">
        <x:v>level_high</x:v>
      </x:c>
      <x:c r="C1758" s="60" t="n">
        <x:v>0.35</x:v>
      </x:c>
      <x:c r="D1758" s="60" t="n">
        <x:v>0.35</x:v>
      </x:c>
      <x:c r="E1758" s="62" t="b">
        <x:v>1</x:v>
      </x:c>
      <x:c r="F1758" s="62" t="b">
        <x:v>1</x:v>
      </x:c>
      <x:c r="G1758" s="85" t="n">
        <x:v>0</x:v>
      </x:c>
      <x:c r="H1758" s="85" t="n">
        <x:v>0</x:v>
      </x:c>
      <x:c r="I1758" s="85" t="n">
        <x:v>7531380.7579482</x:v>
      </x:c>
      <x:c r="J1758" s="85" t="n">
        <x:v>6365691.943796252</x:v>
      </x:c>
      <x:c r="K1758" s="85" t="n">
        <x:v>185506.02938356198</x:v>
      </x:c>
      <x:c r="L1758" s="28" t="n">
        <x:v>0</x:v>
      </x:c>
      <x:c r="M1758" s="28" t="n">
        <x:v>0</x:v>
      </x:c>
      <x:c r="N1758" s="28" t="n">
        <x:v>2.3283064365386963e-10</x:v>
      </x:c>
      <x:c r="O1758" s="28" t="n">
        <x:v>7.450580596923828e-9</x:v>
      </x:c>
      <x:c r="P1758" s="28" t="n">
        <x:v>0</x:v>
      </x:c>
      <x:c r="Q1758" s="62" t="b">
        <x:v>1</x:v>
      </x:c>
      <x:c r="R1758" s="28" t="n">
        <x:v>0</x:v>
      </x:c>
      <x:c r="S1758" s="28" t="str">
        <x:v>9528ee2e9e246a3c</x:v>
      </x:c>
    </x:row>
    <x:row r="1759" ht="21" customHeight="1">
      <x:c r="A1759" s="60" t="n">
        <x:v>0.66</x:v>
      </x:c>
      <x:c r="B1759" s="28" t="str">
        <x:v>level_high</x:v>
      </x:c>
      <x:c r="C1759" s="60" t="n">
        <x:v>0.4</x:v>
      </x:c>
      <x:c r="D1759" s="60" t="n">
        <x:v>0.4</x:v>
      </x:c>
      <x:c r="E1759" s="62" t="b">
        <x:v>1</x:v>
      </x:c>
      <x:c r="F1759" s="62" t="b">
        <x:v>1</x:v>
      </x:c>
      <x:c r="G1759" s="85" t="n">
        <x:v>0</x:v>
      </x:c>
      <x:c r="H1759" s="85" t="n">
        <x:v>0</x:v>
      </x:c>
      <x:c r="I1759" s="85" t="n">
        <x:v>9299023.103497589</x:v>
      </x:c>
      <x:c r="J1759" s="85" t="n">
        <x:v>7760859.081373459</x:v>
      </x:c>
      <x:c r="K1759" s="85" t="n">
        <x:v>155560.65643835647</x:v>
      </x:c>
      <x:c r="L1759" s="28" t="n">
        <x:v>2</x:v>
      </x:c>
      <x:c r="M1759" s="28" t="n">
        <x:v>0</x:v>
      </x:c>
      <x:c r="N1759" s="28" t="n">
        <x:v>2.3283064365386963e-10</x:v>
      </x:c>
      <x:c r="O1759" s="28" t="n">
        <x:v>7.450580596923828e-9</x:v>
      </x:c>
      <x:c r="P1759" s="28" t="n">
        <x:v>0</x:v>
      </x:c>
      <x:c r="Q1759" s="62" t="b">
        <x:v>1</x:v>
      </x:c>
      <x:c r="R1759" s="28" t="n">
        <x:v>0</x:v>
      </x:c>
      <x:c r="S1759" s="28" t="str">
        <x:v>400df65aa2f7b391</x:v>
      </x:c>
    </x:row>
    <x:row r="1760" ht="21" customHeight="1">
      <x:c r="A1760" s="60" t="n">
        <x:v>0.66</x:v>
      </x:c>
      <x:c r="B1760" s="28" t="str">
        <x:v>level_high</x:v>
      </x:c>
      <x:c r="C1760" s="60" t="n">
        <x:v>0.45</x:v>
      </x:c>
      <x:c r="D1760" s="60" t="n">
        <x:v>0.45</x:v>
      </x:c>
      <x:c r="E1760" s="62" t="b">
        <x:v>1</x:v>
      </x:c>
      <x:c r="F1760" s="62" t="b">
        <x:v>1</x:v>
      </x:c>
      <x:c r="G1760" s="85" t="n">
        <x:v>0</x:v>
      </x:c>
      <x:c r="H1760" s="85" t="n">
        <x:v>0</x:v>
      </x:c>
      <x:c r="I1760" s="85" t="n">
        <x:v>11196493.090082707</x:v>
      </x:c>
      <x:c r="J1760" s="85" t="n">
        <x:v>8372295.582742085</x:v>
      </x:c>
      <x:c r="K1760" s="85" t="n">
        <x:v>126653.73916438338</x:v>
      </x:c>
      <x:c r="L1760" s="28" t="n">
        <x:v>9</x:v>
      </x:c>
      <x:c r="M1760" s="28" t="n">
        <x:v>0</x:v>
      </x:c>
      <x:c r="N1760" s="28" t="n">
        <x:v>4.656612873077393e-10</x:v>
      </x:c>
      <x:c r="O1760" s="28" t="n">
        <x:v>3.725290298461914e-9</x:v>
      </x:c>
      <x:c r="P1760" s="28" t="n">
        <x:v>0</x:v>
      </x:c>
      <x:c r="Q1760" s="62" t="b">
        <x:v>1</x:v>
      </x:c>
      <x:c r="R1760" s="28" t="n">
        <x:v>0</x:v>
      </x:c>
      <x:c r="S1760" s="28" t="str">
        <x:v>e9a0386bddda64f2</x:v>
      </x:c>
    </x:row>
    <x:row r="1761" ht="21" customHeight="1">
      <x:c r="A1761" s="60" t="n">
        <x:v>0.66</x:v>
      </x:c>
      <x:c r="B1761" s="28" t="str">
        <x:v>level_high</x:v>
      </x:c>
      <x:c r="C1761" s="60" t="n">
        <x:v>0.5</x:v>
      </x:c>
      <x:c r="D1761" s="60" t="n">
        <x:v>0.5</x:v>
      </x:c>
      <x:c r="E1761" s="62" t="b">
        <x:v>1</x:v>
      </x:c>
      <x:c r="F1761" s="62" t="b">
        <x:v>1</x:v>
      </x:c>
      <x:c r="G1761" s="85" t="n">
        <x:v>0</x:v>
      </x:c>
      <x:c r="H1761" s="85" t="n">
        <x:v>0</x:v>
      </x:c>
      <x:c r="I1761" s="85" t="n">
        <x:v>12931685.992674114</x:v>
      </x:c>
      <x:c r="J1761" s="85" t="n">
        <x:v>9730782.404107505</x:v>
      </x:c>
      <x:c r="K1761" s="85" t="n">
        <x:v>108692.41224657497</x:v>
      </x:c>
      <x:c r="L1761" s="28" t="n">
        <x:v>13</x:v>
      </x:c>
      <x:c r="M1761" s="28" t="n">
        <x:v>1</x:v>
      </x:c>
      <x:c r="N1761" s="28" t="n">
        <x:v>4.656612873077393e-10</x:v>
      </x:c>
      <x:c r="O1761" s="28" t="n">
        <x:v>3.725290298461914e-9</x:v>
      </x:c>
      <x:c r="P1761" s="28" t="n">
        <x:v>0</x:v>
      </x:c>
      <x:c r="Q1761" s="62" t="b">
        <x:v>1</x:v>
      </x:c>
      <x:c r="R1761" s="28" t="n">
        <x:v>0</x:v>
      </x:c>
      <x:c r="S1761" s="28" t="str">
        <x:v>77f136ba0554f9de</x:v>
      </x:c>
    </x:row>
    <x:row r="1762" ht="21" customHeight="1">
      <x:c r="A1762" s="60" t="n">
        <x:v>0.66</x:v>
      </x:c>
      <x:c r="B1762" s="28" t="str">
        <x:v>level_high</x:v>
      </x:c>
      <x:c r="C1762" s="60" t="n">
        <x:v>0.55</x:v>
      </x:c>
      <x:c r="D1762" s="60" t="n">
        <x:v>0.55</x:v>
      </x:c>
      <x:c r="E1762" s="62" t="b">
        <x:v>1</x:v>
      </x:c>
      <x:c r="F1762" s="62" t="b">
        <x:v>1</x:v>
      </x:c>
      <x:c r="G1762" s="85" t="n">
        <x:v>0</x:v>
      </x:c>
      <x:c r="H1762" s="85" t="n">
        <x:v>0</x:v>
      </x:c>
      <x:c r="I1762" s="85" t="n">
        <x:v>14584112.869651048</x:v>
      </x:c>
      <x:c r="J1762" s="85" t="n">
        <x:v>11574396.830668587</x:v>
      </x:c>
      <x:c r="K1762" s="85" t="n">
        <x:v>96522.64538356141</x:v>
      </x:c>
      <x:c r="L1762" s="28" t="n">
        <x:v>16</x:v>
      </x:c>
      <x:c r="M1762" s="28" t="n">
        <x:v>7</x:v>
      </x:c>
      <x:c r="N1762" s="28" t="n">
        <x:v>2.3283064365386963e-10</x:v>
      </x:c>
      <x:c r="O1762" s="28" t="n">
        <x:v>3.725290298461914e-9</x:v>
      </x:c>
      <x:c r="P1762" s="28" t="n">
        <x:v>0</x:v>
      </x:c>
      <x:c r="Q1762" s="62" t="b">
        <x:v>1</x:v>
      </x:c>
      <x:c r="R1762" s="28" t="n">
        <x:v>0</x:v>
      </x:c>
      <x:c r="S1762" s="28" t="str">
        <x:v>2b0fd9449939d6d8</x:v>
      </x:c>
    </x:row>
    <x:row r="1763" ht="21" customHeight="1">
      <x:c r="A1763" s="60" t="n">
        <x:v>0.66</x:v>
      </x:c>
      <x:c r="B1763" s="28" t="str">
        <x:v>level_high</x:v>
      </x:c>
      <x:c r="C1763" s="60" t="n">
        <x:v>0.6</x:v>
      </x:c>
      <x:c r="D1763" s="60" t="n">
        <x:v>0.6</x:v>
      </x:c>
      <x:c r="E1763" s="62" t="b">
        <x:v>1</x:v>
      </x:c>
      <x:c r="F1763" s="62" t="b">
        <x:v>0</x:v>
      </x:c>
      <x:c r="G1763" s="85" t="n">
        <x:v>64972.80972115872</x:v>
      </x:c>
      <x:c r="H1763" s="85" t="n">
        <x:v>199845.32872425346</x:v>
      </x:c>
      <x:c r="I1763" s="85" t="n">
        <x:v>16055070.226232875</x:v>
      </x:c>
      <x:c r="J1763" s="85" t="n">
        <x:v>13378559.999999998</x:v>
      </x:c>
      <x:c r="K1763" s="85" t="n">
        <x:v>87484.8836712332</x:v>
      </x:c>
      <x:c r="L1763" s="28" t="n">
        <x:v>41</x:v>
      </x:c>
      <x:c r="M1763" s="28" t="n">
        <x:v>34</x:v>
      </x:c>
      <x:c r="N1763" s="28" t="n">
        <x:v>2.3283064365386963e-10</x:v>
      </x:c>
      <x:c r="O1763" s="28" t="n">
        <x:v>7.450580596923828e-9</x:v>
      </x:c>
      <x:c r="P1763" s="28" t="n">
        <x:v>0</x:v>
      </x:c>
      <x:c r="Q1763" s="62" t="b">
        <x:v>1</x:v>
      </x:c>
      <x:c r="R1763" s="28" t="n">
        <x:v>0</x:v>
      </x:c>
      <x:c r="S1763" s="28" t="str">
        <x:v>70f813ee98f3f385</x:v>
      </x:c>
    </x:row>
    <x:row r="1764" ht="21" customHeight="1">
      <x:c r="A1764" s="60" t="n">
        <x:v>0.66</x:v>
      </x:c>
      <x:c r="B1764" s="28" t="str">
        <x:v>level_high</x:v>
      </x:c>
      <x:c r="C1764" s="60" t="n">
        <x:v>0.65</x:v>
      </x:c>
      <x:c r="D1764" s="60" t="n">
        <x:v>0.65</x:v>
      </x:c>
      <x:c r="E1764" s="62" t="b">
        <x:v>1</x:v>
      </x:c>
      <x:c r="F1764" s="62" t="b">
        <x:v>0</x:v>
      </x:c>
      <x:c r="G1764" s="85" t="n">
        <x:v>820209.6866482192</x:v>
      </x:c>
      <x:c r="H1764" s="85" t="n">
        <x:v>2617447.054221124</x:v>
      </x:c>
      <x:c r="I1764" s="85" t="n">
        <x:v>16377452.16086315</x:v>
      </x:c>
      <x:c r="J1764" s="85" t="n">
        <x:v>13378559.999999998</x:v>
      </x:c>
      <x:c r="K1764" s="85" t="n">
        <x:v>78447.12195890408</x:v>
      </x:c>
      <x:c r="L1764" s="28" t="n">
        <x:v>42</x:v>
      </x:c>
      <x:c r="M1764" s="28" t="n">
        <x:v>35</x:v>
      </x:c>
      <x:c r="N1764" s="28" t="n">
        <x:v>4.656612873077393e-10</x:v>
      </x:c>
      <x:c r="O1764" s="28" t="n">
        <x:v>3.725290298461914e-9</x:v>
      </x:c>
      <x:c r="P1764" s="28" t="n">
        <x:v>0</x:v>
      </x:c>
      <x:c r="Q1764" s="62" t="b">
        <x:v>1</x:v>
      </x:c>
      <x:c r="R1764" s="28" t="n">
        <x:v>0</x:v>
      </x:c>
      <x:c r="S1764" s="28" t="str">
        <x:v>b45bcec2bf991b24</x:v>
      </x:c>
    </x:row>
    <x:row r="1765" ht="21" customHeight="1">
      <x:c r="A1765" s="60" t="n">
        <x:v>0.66</x:v>
      </x:c>
      <x:c r="B1765" s="28" t="str">
        <x:v>level_high</x:v>
      </x:c>
      <x:c r="C1765" s="60" t="n">
        <x:v>0.7</x:v>
      </x:c>
      <x:c r="D1765" s="60" t="n">
        <x:v>0.7</x:v>
      </x:c>
      <x:c r="E1765" s="62" t="b">
        <x:v>1</x:v>
      </x:c>
      <x:c r="F1765" s="62" t="b">
        <x:v>0</x:v>
      </x:c>
      <x:c r="G1765" s="85" t="n">
        <x:v>1601369.159625375</x:v>
      </x:c>
      <x:c r="H1765" s="85" t="n">
        <x:v>4833749.512815648</x:v>
      </x:c>
      <x:c r="I1765" s="85" t="n">
        <x:v>16703041.698876712</x:v>
      </x:c>
      <x:c r="J1765" s="85" t="n">
        <x:v>13378559.999999998</x:v>
      </x:c>
      <x:c r="K1765" s="85" t="n">
        <x:v>69409.36024657542</x:v>
      </x:c>
      <x:c r="L1765" s="28" t="n">
        <x:v>43</x:v>
      </x:c>
      <x:c r="M1765" s="28" t="n">
        <x:v>36</x:v>
      </x:c>
      <x:c r="N1765" s="28" t="n">
        <x:v>4.656612873077393e-10</x:v>
      </x:c>
      <x:c r="O1765" s="28" t="n">
        <x:v>3.725290298461914e-9</x:v>
      </x:c>
      <x:c r="P1765" s="28" t="n">
        <x:v>0</x:v>
      </x:c>
      <x:c r="Q1765" s="62" t="b">
        <x:v>1</x:v>
      </x:c>
      <x:c r="R1765" s="28" t="n">
        <x:v>0</x:v>
      </x:c>
      <x:c r="S1765" s="28" t="str">
        <x:v>0e6eaeb25d2f5d88</x:v>
      </x:c>
    </x:row>
    <x:row r="1766" ht="21" customHeight="1">
      <x:c r="A1766" s="60" t="n">
        <x:v>0.66</x:v>
      </x:c>
      <x:c r="B1766" s="28" t="str">
        <x:v>level_high</x:v>
      </x:c>
      <x:c r="C1766" s="60" t="n">
        <x:v>0.75</x:v>
      </x:c>
      <x:c r="D1766" s="60" t="n">
        <x:v>0.75</x:v>
      </x:c>
      <x:c r="E1766" s="62" t="b">
        <x:v>1</x:v>
      </x:c>
      <x:c r="F1766" s="62" t="b">
        <x:v>0</x:v>
      </x:c>
      <x:c r="G1766" s="85" t="n">
        <x:v>2599904.44670175</x:v>
      </x:c>
      <x:c r="H1766" s="85" t="n">
        <x:v>7402109.937870306</x:v>
      </x:c>
      <x:c r="I1766" s="85" t="n">
        <x:v>16739016.35979452</x:v>
      </x:c>
      <x:c r="J1766" s="85" t="n">
        <x:v>13378559.999999998</x:v>
      </x:c>
      <x:c r="K1766" s="85" t="n">
        <x:v>60371.598534246295</x:v>
      </x:c>
      <x:c r="L1766" s="28" t="n">
        <x:v>43</x:v>
      </x:c>
      <x:c r="M1766" s="28" t="n">
        <x:v>38</x:v>
      </x:c>
      <x:c r="N1766" s="28" t="n">
        <x:v>4.656612873077393e-10</x:v>
      </x:c>
      <x:c r="O1766" s="28" t="n">
        <x:v>3.725290298461914e-9</x:v>
      </x:c>
      <x:c r="P1766" s="28" t="n">
        <x:v>0</x:v>
      </x:c>
      <x:c r="Q1766" s="62" t="b">
        <x:v>1</x:v>
      </x:c>
      <x:c r="R1766" s="28" t="n">
        <x:v>0</x:v>
      </x:c>
      <x:c r="S1766" s="28" t="str">
        <x:v>7ac3803c9ab055a8</x:v>
      </x:c>
    </x:row>
    <x:row r="1767" ht="21" customHeight="1">
      <x:c r="A1767" s="60" t="n">
        <x:v>0.66</x:v>
      </x:c>
      <x:c r="B1767" s="28" t="str">
        <x:v>level_high</x:v>
      </x:c>
      <x:c r="C1767" s="60" t="n">
        <x:v>0.8</x:v>
      </x:c>
      <x:c r="D1767" s="60" t="n">
        <x:v>0.8</x:v>
      </x:c>
      <x:c r="E1767" s="62" t="b">
        <x:v>1</x:v>
      </x:c>
      <x:c r="F1767" s="62" t="b">
        <x:v>0</x:v>
      </x:c>
      <x:c r="G1767" s="85" t="n">
        <x:v>3464406.3836517497</x:v>
      </x:c>
      <x:c r="H1767" s="85" t="n">
        <x:v>9436321.587206863</x:v>
      </x:c>
      <x:c r="I1767" s="85" t="n">
        <x:v>17033923.58750685</x:v>
      </x:c>
      <x:c r="J1767" s="85" t="n">
        <x:v>13378559.999999998</x:v>
      </x:c>
      <x:c r="K1767" s="85" t="n">
        <x:v>51333.836821918565</x:v>
      </x:c>
      <x:c r="L1767" s="28" t="n">
        <x:v>44</x:v>
      </x:c>
      <x:c r="M1767" s="28" t="n">
        <x:v>38</x:v>
      </x:c>
      <x:c r="N1767" s="28" t="n">
        <x:v>4.656612873077393e-10</x:v>
      </x:c>
      <x:c r="O1767" s="28" t="n">
        <x:v>3.725290298461914e-9</x:v>
      </x:c>
      <x:c r="P1767" s="28" t="n">
        <x:v>0</x:v>
      </x:c>
      <x:c r="Q1767" s="62" t="b">
        <x:v>1</x:v>
      </x:c>
      <x:c r="R1767" s="28" t="n">
        <x:v>0</x:v>
      </x:c>
      <x:c r="S1767" s="28" t="str">
        <x:v>c36938beba7836f5</x:v>
      </x:c>
    </x:row>
    <x:row r="1768" ht="21" customHeight="1">
      <x:c r="A1768" s="60" t="n">
        <x:v>0.66</x:v>
      </x:c>
      <x:c r="B1768" s="28" t="str">
        <x:v>level_high</x:v>
      </x:c>
      <x:c r="C1768" s="60" t="n">
        <x:v>0.85</x:v>
      </x:c>
      <x:c r="D1768" s="60" t="n">
        <x:v>0.85</x:v>
      </x:c>
      <x:c r="E1768" s="62" t="b">
        <x:v>1</x:v>
      </x:c>
      <x:c r="F1768" s="62" t="b">
        <x:v>0</x:v>
      </x:c>
      <x:c r="G1768" s="85" t="n">
        <x:v>4665678.786149609</x:v>
      </x:c>
      <x:c r="H1768" s="85" t="n">
        <x:v>11820020.799284093</x:v>
      </x:c>
      <x:c r="I1768" s="85" t="n">
        <x:v>17055094.646410957</x:v>
      </x:c>
      <x:c r="J1768" s="85" t="n">
        <x:v>13378559.999999998</x:v>
      </x:c>
      <x:c r="K1768" s="85" t="n">
        <x:v>42296.075109589205</x:v>
      </x:c>
      <x:c r="L1768" s="28" t="n">
        <x:v>44</x:v>
      </x:c>
      <x:c r="M1768" s="28" t="n">
        <x:v>40</x:v>
      </x:c>
      <x:c r="N1768" s="28" t="n">
        <x:v>4.656612873077393e-10</x:v>
      </x:c>
      <x:c r="O1768" s="28" t="n">
        <x:v>3.725290298461914e-9</x:v>
      </x:c>
      <x:c r="P1768" s="28" t="n">
        <x:v>0</x:v>
      </x:c>
      <x:c r="Q1768" s="62" t="b">
        <x:v>1</x:v>
      </x:c>
      <x:c r="R1768" s="28" t="n">
        <x:v>0</x:v>
      </x:c>
      <x:c r="S1768" s="28" t="str">
        <x:v>6b0b09fc24026a5c</x:v>
      </x:c>
    </x:row>
    <x:row r="1769" ht="21" customHeight="1">
      <x:c r="A1769" s="60" t="n">
        <x:v>0.66</x:v>
      </x:c>
      <x:c r="B1769" s="28" t="str">
        <x:v>level_high</x:v>
      </x:c>
      <x:c r="C1769" s="60" t="n">
        <x:v>0.9</x:v>
      </x:c>
      <x:c r="D1769" s="60" t="n">
        <x:v>0.8949513562027351</x:v>
      </x:c>
      <x:c r="E1769" s="62" t="b">
        <x:v>0</x:v>
      </x:c>
      <x:c r="F1769" s="62" t="b">
        <x:v>0</x:v>
      </x:c>
      <x:c r="G1769" s="85" t="n">
        <x:v>5650790.379714005</x:v>
      </x:c>
      <x:c r="H1769" s="85" t="n">
        <x:v>12721196.594148122</x:v>
      </x:c>
      <x:c r="I1769" s="85" t="n">
        <x:v>17373396.386301372</x:v>
      </x:c>
      <x:c r="J1769" s="85" t="n">
        <x:v>13378559.999999998</x:v>
      </x:c>
      <x:c r="K1769" s="85" t="n">
        <x:v>35920.452328766965</x:v>
      </x:c>
      <x:c r="L1769" s="28" t="n">
        <x:v>45</x:v>
      </x:c>
      <x:c r="M1769" s="28" t="n">
        <x:v>40</x:v>
      </x:c>
      <x:c r="N1769" s="28" t="n">
        <x:v>4.656612873077393e-10</x:v>
      </x:c>
      <x:c r="O1769" s="28" t="n">
        <x:v>3.725290298461914e-9</x:v>
      </x:c>
      <x:c r="P1769" s="28" t="n">
        <x:v>0</x:v>
      </x:c>
      <x:c r="Q1769" s="62" t="b">
        <x:v>1</x:v>
      </x:c>
      <x:c r="R1769" s="28" t="n">
        <x:v>281431.5998347327</x:v>
      </x:c>
      <x:c r="S1769" s="28" t="str">
        <x:v>ae11bc9879c96c8b</x:v>
      </x:c>
    </x:row>
    <x:row r="1770" ht="21" customHeight="1">
      <x:c r="A1770" s="60" t="n">
        <x:v>0.66</x:v>
      </x:c>
      <x:c r="B1770" s="28" t="str">
        <x:v>level_high</x:v>
      </x:c>
      <x:c r="C1770" s="60" t="n">
        <x:v>0.95</x:v>
      </x:c>
      <x:c r="D1770" s="60" t="n">
        <x:v>0.9109811515371262</x:v>
      </x:c>
      <x:c r="E1770" s="62" t="b">
        <x:v>0</x:v>
      </x:c>
      <x:c r="F1770" s="62" t="b">
        <x:v>0</x:v>
      </x:c>
      <x:c r="G1770" s="85" t="n">
        <x:v>6175461.499020095</x:v>
      </x:c>
      <x:c r="H1770" s="85" t="n">
        <x:v>13755445.702473523</x:v>
      </x:c>
      <x:c r="I1770" s="85" t="n">
        <x:v>17382425.330575343</x:v>
      </x:c>
      <x:c r="J1770" s="85" t="n">
        <x:v>13378559.999999998</x:v>
      </x:c>
      <x:c r="K1770" s="85" t="n">
        <x:v>32896.051643835184</x:v>
      </x:c>
      <x:c r="L1770" s="28" t="n">
        <x:v>45</x:v>
      </x:c>
      <x:c r="M1770" s="28" t="n">
        <x:v>40</x:v>
      </x:c>
      <x:c r="N1770" s="28" t="n">
        <x:v>2.3283064365386963e-10</x:v>
      </x:c>
      <x:c r="O1770" s="28" t="n">
        <x:v>3.725290298461914e-9</x:v>
      </x:c>
      <x:c r="P1770" s="28" t="n">
        <x:v>0</x:v>
      </x:c>
      <x:c r="Q1770" s="62" t="b">
        <x:v>1</x:v>
      </x:c>
      <x:c r="R1770" s="28" t="n">
        <x:v>2175066.688714437</x:v>
      </x:c>
      <x:c r="S1770" s="28" t="str">
        <x:v>2c6bec38f18e0eb0</x:v>
      </x:c>
    </x:row>
    <x:row r="1771" ht="21" customHeight="1">
      <x:c r="A1771" s="60" t="n">
        <x:v>0.66</x:v>
      </x:c>
      <x:c r="B1771" s="28" t="str">
        <x:v>level_high</x:v>
      </x:c>
      <x:c r="C1771" s="60" t="n">
        <x:v>1</x:v>
      </x:c>
      <x:c r="D1771" s="60" t="n">
        <x:v>0.9258453085724337</x:v>
      </x:c>
      <x:c r="E1771" s="62" t="b">
        <x:v>0</x:v>
      </x:c>
      <x:c r="F1771" s="62" t="b">
        <x:v>0</x:v>
      </x:c>
      <x:c r="G1771" s="85" t="n">
        <x:v>6744533.276410871</x:v>
      </x:c>
      <x:c r="H1771" s="85" t="n">
        <x:v>14571596.440730944</x:v>
      </x:c>
      <x:c r="I1771" s="85" t="n">
        <x:v>17391454.274849314</x:v>
      </x:c>
      <x:c r="J1771" s="85" t="n">
        <x:v>13378559.999999998</x:v>
      </x:c>
      <x:c r="K1771" s="85" t="n">
        <x:v>29871.6509589041</x:v>
      </x:c>
      <x:c r="L1771" s="28" t="n">
        <x:v>45</x:v>
      </x:c>
      <x:c r="M1771" s="28" t="n">
        <x:v>41</x:v>
      </x:c>
      <x:c r="N1771" s="28" t="n">
        <x:v>2.3283064365386963e-10</x:v>
      </x:c>
      <x:c r="O1771" s="28" t="n">
        <x:v>1.862645149230957e-9</x:v>
      </x:c>
      <x:c r="P1771" s="28" t="n">
        <x:v>0</x:v>
      </x:c>
      <x:c r="Q1771" s="62" t="b">
        <x:v>1</x:v>
      </x:c>
      <x:c r="R1771" s="28" t="n">
        <x:v>4133679.1189382523</x:v>
      </x:c>
      <x:c r="S1771" s="28" t="str">
        <x:v>4ac61a261c4c4833</x:v>
      </x:c>
    </x:row>
    <x:row r="1772" ht="21" customHeight="1">
      <x:c r="A1772" s="60" t="n">
        <x:v>0.67</x:v>
      </x:c>
      <x:c r="B1772" s="28" t="str">
        <x:v>front_flat</x:v>
      </x:c>
      <x:c r="C1772" s="60" t="n">
        <x:v>0</x:v>
      </x:c>
      <x:c r="D1772" s="60" t="n">
        <x:v>0</x:v>
      </x:c>
      <x:c r="E1772" s="62" t="b">
        <x:v>1</x:v>
      </x:c>
      <x:c r="F1772" s="62" t="b">
        <x:v>1</x:v>
      </x:c>
      <x:c r="G1772" s="85" t="n">
        <x:v>0</x:v>
      </x:c>
      <x:c r="H1772" s="85" t="n">
        <x:v>0</x:v>
      </x:c>
      <x:c r="I1772" s="85" t="n">
        <x:v>0</x:v>
      </x:c>
      <x:c r="J1772" s="85" t="n">
        <x:v>0</x:v>
      </x:c>
      <x:c r="K1772" s="85" t="n">
        <x:v>6483314.930849321</x:v>
      </x:c>
      <x:c r="L1772" s="28" t="n">
        <x:v>0</x:v>
      </x:c>
      <x:c r="M1772" s="28" t="n">
        <x:v>0</x:v>
      </x:c>
      <x:c r="N1772" s="28" t="n">
        <x:v>9.313225746154785e-10</x:v>
      </x:c>
      <x:c r="O1772" s="28" t="n">
        <x:v>0</x:v>
      </x:c>
      <x:c r="P1772" s="28" t="n">
        <x:v>0</x:v>
      </x:c>
      <x:c r="Q1772" s="62" t="b">
        <x:v>1</x:v>
      </x:c>
      <x:c r="R1772" s="28" t="n">
        <x:v>0</x:v>
      </x:c>
      <x:c r="S1772" s="28" t="str">
        <x:v>902cb1a08fe8aae4</x:v>
      </x:c>
    </x:row>
    <x:row r="1773" ht="21" customHeight="1">
      <x:c r="A1773" s="60" t="n">
        <x:v>0.67</x:v>
      </x:c>
      <x:c r="B1773" s="28" t="str">
        <x:v>front_flat</x:v>
      </x:c>
      <x:c r="C1773" s="60" t="n">
        <x:v>0.05</x:v>
      </x:c>
      <x:c r="D1773" s="60" t="n">
        <x:v>0.05</x:v>
      </x:c>
      <x:c r="E1773" s="62" t="b">
        <x:v>1</x:v>
      </x:c>
      <x:c r="F1773" s="62" t="b">
        <x:v>1</x:v>
      </x:c>
      <x:c r="G1773" s="85" t="n">
        <x:v>0</x:v>
      </x:c>
      <x:c r="H1773" s="85" t="n">
        <x:v>0</x:v>
      </x:c>
      <x:c r="I1773" s="85" t="n">
        <x:v>0</x:v>
      </x:c>
      <x:c r="J1773" s="85" t="n">
        <x:v>0</x:v>
      </x:c>
      <x:c r="K1773" s="85" t="n">
        <x:v>4190950.655379352</x:v>
      </x:c>
      <x:c r="L1773" s="28" t="n">
        <x:v>0</x:v>
      </x:c>
      <x:c r="M1773" s="28" t="n">
        <x:v>0</x:v>
      </x:c>
      <x:c r="N1773" s="28" t="n">
        <x:v>9.313225746154785e-10</x:v>
      </x:c>
      <x:c r="O1773" s="28" t="n">
        <x:v>7.450580596923828e-9</x:v>
      </x:c>
      <x:c r="P1773" s="28" t="n">
        <x:v>0</x:v>
      </x:c>
      <x:c r="Q1773" s="62" t="b">
        <x:v>1</x:v>
      </x:c>
      <x:c r="R1773" s="28" t="n">
        <x:v>0</x:v>
      </x:c>
      <x:c r="S1773" s="28" t="str">
        <x:v>4430dffdc5101d71</x:v>
      </x:c>
    </x:row>
    <x:row r="1774" ht="21" customHeight="1">
      <x:c r="A1774" s="60" t="n">
        <x:v>0.67</x:v>
      </x:c>
      <x:c r="B1774" s="28" t="str">
        <x:v>front_flat</x:v>
      </x:c>
      <x:c r="C1774" s="60" t="n">
        <x:v>0.1</x:v>
      </x:c>
      <x:c r="D1774" s="60" t="n">
        <x:v>0.1</x:v>
      </x:c>
      <x:c r="E1774" s="62" t="b">
        <x:v>1</x:v>
      </x:c>
      <x:c r="F1774" s="62" t="b">
        <x:v>1</x:v>
      </x:c>
      <x:c r="G1774" s="85" t="n">
        <x:v>0</x:v>
      </x:c>
      <x:c r="H1774" s="85" t="n">
        <x:v>0</x:v>
      </x:c>
      <x:c r="I1774" s="85" t="n">
        <x:v>0</x:v>
      </x:c>
      <x:c r="J1774" s="85" t="n">
        <x:v>0</x:v>
      </x:c>
      <x:c r="K1774" s="85" t="n">
        <x:v>1898131.4718773118</x:v>
      </x:c>
      <x:c r="L1774" s="28" t="n">
        <x:v>0</x:v>
      </x:c>
      <x:c r="M1774" s="28" t="n">
        <x:v>0</x:v>
      </x:c>
      <x:c r="N1774" s="28" t="n">
        <x:v>9.313225746154785e-10</x:v>
      </x:c>
      <x:c r="O1774" s="28" t="n">
        <x:v>7.450580596923828e-9</x:v>
      </x:c>
      <x:c r="P1774" s="28" t="n">
        <x:v>0</x:v>
      </x:c>
      <x:c r="Q1774" s="62" t="b">
        <x:v>1</x:v>
      </x:c>
      <x:c r="R1774" s="28" t="n">
        <x:v>0</x:v>
      </x:c>
      <x:c r="S1774" s="28" t="str">
        <x:v>6aea1af384b436e4</x:v>
      </x:c>
    </x:row>
    <x:row r="1775" ht="21" customHeight="1">
      <x:c r="A1775" s="60" t="n">
        <x:v>0.67</x:v>
      </x:c>
      <x:c r="B1775" s="28" t="str">
        <x:v>front_flat</x:v>
      </x:c>
      <x:c r="C1775" s="60" t="n">
        <x:v>0.15</x:v>
      </x:c>
      <x:c r="D1775" s="60" t="n">
        <x:v>0.15</x:v>
      </x:c>
      <x:c r="E1775" s="62" t="b">
        <x:v>1</x:v>
      </x:c>
      <x:c r="F1775" s="62" t="b">
        <x:v>1</x:v>
      </x:c>
      <x:c r="G1775" s="85" t="n">
        <x:v>0</x:v>
      </x:c>
      <x:c r="H1775" s="85" t="n">
        <x:v>0</x:v>
      </x:c>
      <x:c r="I1775" s="85" t="n">
        <x:v>492369.08090232813</x:v>
      </x:c>
      <x:c r="J1775" s="85" t="n">
        <x:v>0</x:v>
      </x:c>
      <x:c r="K1775" s="85" t="n">
        <x:v>205693.14837401436</x:v>
      </x:c>
      <x:c r="L1775" s="28" t="n">
        <x:v>0</x:v>
      </x:c>
      <x:c r="M1775" s="28" t="n">
        <x:v>0</x:v>
      </x:c>
      <x:c r="N1775" s="28" t="n">
        <x:v>4.656612873077393e-10</x:v>
      </x:c>
      <x:c r="O1775" s="28" t="n">
        <x:v>7.450580596923828e-9</x:v>
      </x:c>
      <x:c r="P1775" s="28" t="n">
        <x:v>0</x:v>
      </x:c>
      <x:c r="Q1775" s="62" t="b">
        <x:v>1</x:v>
      </x:c>
      <x:c r="R1775" s="28" t="n">
        <x:v>0</x:v>
      </x:c>
      <x:c r="S1775" s="28" t="str">
        <x:v>33496b50b5046b5d</x:v>
      </x:c>
    </x:row>
    <x:row r="1776" ht="21" customHeight="1">
      <x:c r="A1776" s="60" t="n">
        <x:v>0.67</x:v>
      </x:c>
      <x:c r="B1776" s="28" t="str">
        <x:v>front_flat</x:v>
      </x:c>
      <x:c r="C1776" s="60" t="n">
        <x:v>0.2</x:v>
      </x:c>
      <x:c r="D1776" s="60" t="n">
        <x:v>0.2</x:v>
      </x:c>
      <x:c r="E1776" s="62" t="b">
        <x:v>1</x:v>
      </x:c>
      <x:c r="F1776" s="62" t="b">
        <x:v>1</x:v>
      </x:c>
      <x:c r="G1776" s="85" t="n">
        <x:v>0</x:v>
      </x:c>
      <x:c r="H1776" s="85" t="n">
        <x:v>0</x:v>
      </x:c>
      <x:c r="I1776" s="85" t="n">
        <x:v>1972417.764775448</x:v>
      </x:c>
      <x:c r="J1776" s="85" t="n">
        <x:v>1254093.4388721085</x:v>
      </x:c>
      <x:c r="K1776" s="85" t="n">
        <x:v>116986.16291780837</x:v>
      </x:c>
      <x:c r="L1776" s="28" t="n">
        <x:v>0</x:v>
      </x:c>
      <x:c r="M1776" s="28" t="n">
        <x:v>0</x:v>
      </x:c>
      <x:c r="N1776" s="28" t="n">
        <x:v>4.656612873077393e-10</x:v>
      </x:c>
      <x:c r="O1776" s="28" t="n">
        <x:v>7.450580596923828e-9</x:v>
      </x:c>
      <x:c r="P1776" s="28" t="n">
        <x:v>0</x:v>
      </x:c>
      <x:c r="Q1776" s="62" t="b">
        <x:v>1</x:v>
      </x:c>
      <x:c r="R1776" s="28" t="n">
        <x:v>0</x:v>
      </x:c>
      <x:c r="S1776" s="28" t="str">
        <x:v>8955ba058fc1e4e5</x:v>
      </x:c>
    </x:row>
    <x:row r="1777" ht="21" customHeight="1">
      <x:c r="A1777" s="60" t="n">
        <x:v>0.67</x:v>
      </x:c>
      <x:c r="B1777" s="28" t="str">
        <x:v>front_flat</x:v>
      </x:c>
      <x:c r="C1777" s="60" t="n">
        <x:v>0.25</x:v>
      </x:c>
      <x:c r="D1777" s="60" t="n">
        <x:v>0.25</x:v>
      </x:c>
      <x:c r="E1777" s="62" t="b">
        <x:v>1</x:v>
      </x:c>
      <x:c r="F1777" s="62" t="b">
        <x:v>1</x:v>
      </x:c>
      <x:c r="G1777" s="85" t="n">
        <x:v>0</x:v>
      </x:c>
      <x:c r="H1777" s="85" t="n">
        <x:v>0</x:v>
      </x:c>
      <x:c r="I1777" s="85" t="n">
        <x:v>3190407.198336541</x:v>
      </x:c>
      <x:c r="J1777" s="85" t="n">
        <x:v>2961216.7985901376</x:v>
      </x:c>
      <x:c r="K1777" s="85" t="n">
        <x:v>79841.23046917823</x:v>
      </x:c>
      <x:c r="L1777" s="28" t="n">
        <x:v>0</x:v>
      </x:c>
      <x:c r="M1777" s="28" t="n">
        <x:v>0</x:v>
      </x:c>
      <x:c r="N1777" s="28" t="n">
        <x:v>4.656612873077393e-10</x:v>
      </x:c>
      <x:c r="O1777" s="28" t="n">
        <x:v>3.725290298461914e-9</x:v>
      </x:c>
      <x:c r="P1777" s="28" t="n">
        <x:v>0</x:v>
      </x:c>
      <x:c r="Q1777" s="62" t="b">
        <x:v>1</x:v>
      </x:c>
      <x:c r="R1777" s="28" t="n">
        <x:v>0</x:v>
      </x:c>
      <x:c r="S1777" s="28" t="str">
        <x:v>16684977cfb02aa5</x:v>
      </x:c>
    </x:row>
    <x:row r="1778" ht="21" customHeight="1">
      <x:c r="A1778" s="60" t="n">
        <x:v>0.67</x:v>
      </x:c>
      <x:c r="B1778" s="28" t="str">
        <x:v>front_flat</x:v>
      </x:c>
      <x:c r="C1778" s="60" t="n">
        <x:v>0.3</x:v>
      </x:c>
      <x:c r="D1778" s="60" t="n">
        <x:v>0.3</x:v>
      </x:c>
      <x:c r="E1778" s="62" t="b">
        <x:v>1</x:v>
      </x:c>
      <x:c r="F1778" s="62" t="b">
        <x:v>1</x:v>
      </x:c>
      <x:c r="G1778" s="85" t="n">
        <x:v>0</x:v>
      </x:c>
      <x:c r="H1778" s="85" t="n">
        <x:v>0</x:v>
      </x:c>
      <x:c r="I1778" s="85" t="n">
        <x:v>4458061.339066863</x:v>
      </x:c>
      <x:c r="J1778" s="85" t="n">
        <x:v>4668340.158308166</x:v>
      </x:c>
      <x:c r="K1778" s="85" t="n">
        <x:v>64013.41700685007</x:v>
      </x:c>
      <x:c r="L1778" s="28" t="n">
        <x:v>0</x:v>
      </x:c>
      <x:c r="M1778" s="28" t="n">
        <x:v>0</x:v>
      </x:c>
      <x:c r="N1778" s="28" t="n">
        <x:v>4.656612873077393e-10</x:v>
      </x:c>
      <x:c r="O1778" s="28" t="n">
        <x:v>7.450580596923828e-9</x:v>
      </x:c>
      <x:c r="P1778" s="28" t="n">
        <x:v>0</x:v>
      </x:c>
      <x:c r="Q1778" s="62" t="b">
        <x:v>1</x:v>
      </x:c>
      <x:c r="R1778" s="28" t="n">
        <x:v>0</x:v>
      </x:c>
      <x:c r="S1778" s="28" t="str">
        <x:v>90ab2ac771f00261</x:v>
      </x:c>
    </x:row>
    <x:row r="1779" ht="21" customHeight="1">
      <x:c r="A1779" s="60" t="n">
        <x:v>0.67</x:v>
      </x:c>
      <x:c r="B1779" s="28" t="str">
        <x:v>front_flat</x:v>
      </x:c>
      <x:c r="C1779" s="60" t="n">
        <x:v>0.35</x:v>
      </x:c>
      <x:c r="D1779" s="60" t="n">
        <x:v>0.35</x:v>
      </x:c>
      <x:c r="E1779" s="62" t="b">
        <x:v>1</x:v>
      </x:c>
      <x:c r="F1779" s="62" t="b">
        <x:v>1</x:v>
      </x:c>
      <x:c r="G1779" s="85" t="n">
        <x:v>0</x:v>
      </x:c>
      <x:c r="H1779" s="85" t="n">
        <x:v>0</x:v>
      </x:c>
      <x:c r="I1779" s="85" t="n">
        <x:v>5735461.096657145</x:v>
      </x:c>
      <x:c r="J1779" s="85" t="n">
        <x:v>6375463.518026184</x:v>
      </x:c>
      <x:c r="K1779" s="85" t="n">
        <x:v>52396.4526815068</x:v>
      </x:c>
      <x:c r="L1779" s="28" t="n">
        <x:v>0</x:v>
      </x:c>
      <x:c r="M1779" s="28" t="n">
        <x:v>0</x:v>
      </x:c>
      <x:c r="N1779" s="28" t="n">
        <x:v>9.313225746154785e-10</x:v>
      </x:c>
      <x:c r="O1779" s="28" t="n">
        <x:v>7.450580596923828e-9</x:v>
      </x:c>
      <x:c r="P1779" s="28" t="n">
        <x:v>0</x:v>
      </x:c>
      <x:c r="Q1779" s="62" t="b">
        <x:v>1</x:v>
      </x:c>
      <x:c r="R1779" s="28" t="n">
        <x:v>0</x:v>
      </x:c>
      <x:c r="S1779" s="28" t="str">
        <x:v>ab7f5cfc165144e1</x:v>
      </x:c>
    </x:row>
    <x:row r="1780" ht="21" customHeight="1">
      <x:c r="A1780" s="60" t="n">
        <x:v>0.67</x:v>
      </x:c>
      <x:c r="B1780" s="28" t="str">
        <x:v>front_flat</x:v>
      </x:c>
      <x:c r="C1780" s="60" t="n">
        <x:v>0.4</x:v>
      </x:c>
      <x:c r="D1780" s="60" t="n">
        <x:v>0.4</x:v>
      </x:c>
      <x:c r="E1780" s="62" t="b">
        <x:v>1</x:v>
      </x:c>
      <x:c r="F1780" s="62" t="b">
        <x:v>1</x:v>
      </x:c>
      <x:c r="G1780" s="85" t="n">
        <x:v>0</x:v>
      </x:c>
      <x:c r="H1780" s="85" t="n">
        <x:v>0</x:v>
      </x:c>
      <x:c r="I1780" s="85" t="n">
        <x:v>7489809.385446398</x:v>
      </x:c>
      <x:c r="J1780" s="85" t="n">
        <x:v>6782007.221954809</x:v>
      </x:c>
      <x:c r="K1780" s="85" t="n">
        <x:v>40779.488356164584</x:v>
      </x:c>
      <x:c r="L1780" s="28" t="n">
        <x:v>7</x:v>
      </x:c>
      <x:c r="M1780" s="28" t="n">
        <x:v>0</x:v>
      </x:c>
      <x:c r="N1780" s="28" t="n">
        <x:v>2.3283064365386963e-10</x:v>
      </x:c>
      <x:c r="O1780" s="28" t="n">
        <x:v>7.450580596923828e-9</x:v>
      </x:c>
      <x:c r="P1780" s="28" t="n">
        <x:v>0</x:v>
      </x:c>
      <x:c r="Q1780" s="62" t="b">
        <x:v>1</x:v>
      </x:c>
      <x:c r="R1780" s="28" t="n">
        <x:v>0</x:v>
      </x:c>
      <x:c r="S1780" s="28" t="str">
        <x:v>aa38668ab921bd19</x:v>
      </x:c>
    </x:row>
    <x:row r="1781" ht="21" customHeight="1">
      <x:c r="A1781" s="60" t="n">
        <x:v>0.67</x:v>
      </x:c>
      <x:c r="B1781" s="28" t="str">
        <x:v>front_flat</x:v>
      </x:c>
      <x:c r="C1781" s="60" t="n">
        <x:v>0.45</x:v>
      </x:c>
      <x:c r="D1781" s="60" t="n">
        <x:v>0.45</x:v>
      </x:c>
      <x:c r="E1781" s="62" t="b">
        <x:v>1</x:v>
      </x:c>
      <x:c r="F1781" s="62" t="b">
        <x:v>1</x:v>
      </x:c>
      <x:c r="G1781" s="85" t="n">
        <x:v>0</x:v>
      </x:c>
      <x:c r="H1781" s="85" t="n">
        <x:v>0</x:v>
      </x:c>
      <x:c r="I1781" s="85" t="n">
        <x:v>9112182.022203138</x:v>
      </x:c>
      <x:c r="J1781" s="85" t="n">
        <x:v>7530763.161514809</x:v>
      </x:c>
      <x:c r="K1781" s="85" t="n">
        <x:v>29162.524030821784</x:v>
      </x:c>
      <x:c r="L1781" s="28" t="n">
        <x:v>13</x:v>
      </x:c>
      <x:c r="M1781" s="28" t="n">
        <x:v>0</x:v>
      </x:c>
      <x:c r="N1781" s="28" t="n">
        <x:v>4.656612873077393e-10</x:v>
      </x:c>
      <x:c r="O1781" s="28" t="n">
        <x:v>3.725290298461914e-9</x:v>
      </x:c>
      <x:c r="P1781" s="28" t="n">
        <x:v>0</x:v>
      </x:c>
      <x:c r="Q1781" s="62" t="b">
        <x:v>1</x:v>
      </x:c>
      <x:c r="R1781" s="28" t="n">
        <x:v>0</x:v>
      </x:c>
      <x:c r="S1781" s="28" t="str">
        <x:v>f05e09ea0ef55c7e</x:v>
      </x:c>
    </x:row>
    <x:row r="1782" ht="21" customHeight="1">
      <x:c r="A1782" s="60" t="n">
        <x:v>0.67</x:v>
      </x:c>
      <x:c r="B1782" s="28" t="str">
        <x:v>front_flat</x:v>
      </x:c>
      <x:c r="C1782" s="60" t="n">
        <x:v>0.5</x:v>
      </x:c>
      <x:c r="D1782" s="60" t="n">
        <x:v>0.5</x:v>
      </x:c>
      <x:c r="E1782" s="62" t="b">
        <x:v>1</x:v>
      </x:c>
      <x:c r="F1782" s="62" t="b">
        <x:v>1</x:v>
      </x:c>
      <x:c r="G1782" s="85" t="n">
        <x:v>0</x:v>
      </x:c>
      <x:c r="H1782" s="85" t="n">
        <x:v>0</x:v>
      </x:c>
      <x:c r="I1782" s="85" t="n">
        <x:v>10437452.075562786</x:v>
      </x:c>
      <x:c r="J1782" s="85" t="n">
        <x:v>9184651.630595539</x:v>
      </x:c>
      <x:c r="K1782" s="85" t="n">
        <x:v>20319.341301369866</x:v>
      </x:c>
      <x:c r="L1782" s="28" t="n">
        <x:v>18</x:v>
      </x:c>
      <x:c r="M1782" s="28" t="n">
        <x:v>0</x:v>
      </x:c>
      <x:c r="N1782" s="28" t="n">
        <x:v>4.656612873077393e-10</x:v>
      </x:c>
      <x:c r="O1782" s="28" t="n">
        <x:v>7.450580596923828e-9</x:v>
      </x:c>
      <x:c r="P1782" s="28" t="n">
        <x:v>0</x:v>
      </x:c>
      <x:c r="Q1782" s="62" t="b">
        <x:v>1</x:v>
      </x:c>
      <x:c r="R1782" s="28" t="n">
        <x:v>0</x:v>
      </x:c>
      <x:c r="S1782" s="28" t="str">
        <x:v>7c3d0ba4d5e837a2</x:v>
      </x:c>
    </x:row>
    <x:row r="1783" ht="21" customHeight="1">
      <x:c r="A1783" s="60" t="n">
        <x:v>0.67</x:v>
      </x:c>
      <x:c r="B1783" s="28" t="str">
        <x:v>front_flat</x:v>
      </x:c>
      <x:c r="C1783" s="60" t="n">
        <x:v>0.55</x:v>
      </x:c>
      <x:c r="D1783" s="60" t="n">
        <x:v>0.55</x:v>
      </x:c>
      <x:c r="E1783" s="62" t="b">
        <x:v>1</x:v>
      </x:c>
      <x:c r="F1783" s="62" t="b">
        <x:v>1</x:v>
      </x:c>
      <x:c r="G1783" s="85" t="n">
        <x:v>0</x:v>
      </x:c>
      <x:c r="H1783" s="85" t="n">
        <x:v>0</x:v>
      </x:c>
      <x:c r="I1783" s="85" t="n">
        <x:v>11581624.686793407</x:v>
      </x:c>
      <x:c r="J1783" s="85" t="n">
        <x:v>11222735.892449014</x:v>
      </x:c>
      <x:c r="K1783" s="85" t="n">
        <x:v>16409.261404109457</x:v>
      </x:c>
      <x:c r="L1783" s="28" t="n">
        <x:v>21</x:v>
      </x:c>
      <x:c r="M1783" s="28" t="n">
        <x:v>1</x:v>
      </x:c>
      <x:c r="N1783" s="28" t="n">
        <x:v>4.656612873077393e-10</x:v>
      </x:c>
      <x:c r="O1783" s="28" t="n">
        <x:v>3.725290298461914e-9</x:v>
      </x:c>
      <x:c r="P1783" s="28" t="n">
        <x:v>0</x:v>
      </x:c>
      <x:c r="Q1783" s="62" t="b">
        <x:v>1</x:v>
      </x:c>
      <x:c r="R1783" s="28" t="n">
        <x:v>0</x:v>
      </x:c>
      <x:c r="S1783" s="28" t="str">
        <x:v>181ab28ac14f2395</x:v>
      </x:c>
    </x:row>
    <x:row r="1784" ht="21" customHeight="1">
      <x:c r="A1784" s="60" t="n">
        <x:v>0.67</x:v>
      </x:c>
      <x:c r="B1784" s="28" t="str">
        <x:v>front_flat</x:v>
      </x:c>
      <x:c r="C1784" s="60" t="n">
        <x:v>0.6</x:v>
      </x:c>
      <x:c r="D1784" s="60" t="n">
        <x:v>0.6</x:v>
      </x:c>
      <x:c r="E1784" s="62" t="b">
        <x:v>1</x:v>
      </x:c>
      <x:c r="F1784" s="62" t="b">
        <x:v>0</x:v>
      </x:c>
      <x:c r="G1784" s="85" t="n">
        <x:v>70177.40392897294</x:v>
      </x:c>
      <x:c r="H1784" s="85" t="n">
        <x:v>369162.06482963345</x:v>
      </x:c>
      <x:c r="I1784" s="85" t="n">
        <x:v>12546080.63123288</x:v>
      </x:c>
      <x:c r="J1784" s="85" t="n">
        <x:v>12821119.999999998</x:v>
      </x:c>
      <x:c r="K1784" s="85" t="n">
        <x:v>12499.181506849745</x:v>
      </x:c>
      <x:c r="L1784" s="28" t="n">
        <x:v>46</x:v>
      </x:c>
      <x:c r="M1784" s="28" t="n">
        <x:v>32</x:v>
      </x:c>
      <x:c r="N1784" s="28" t="n">
        <x:v>4.656612873077393e-10</x:v>
      </x:c>
      <x:c r="O1784" s="28" t="n">
        <x:v>3.725290298461914e-9</x:v>
      </x:c>
      <x:c r="P1784" s="28" t="n">
        <x:v>0</x:v>
      </x:c>
      <x:c r="Q1784" s="62" t="b">
        <x:v>1</x:v>
      </x:c>
      <x:c r="R1784" s="28" t="n">
        <x:v>0</x:v>
      </x:c>
      <x:c r="S1784" s="28" t="str">
        <x:v>a4e8734e181fdf71</x:v>
      </x:c>
    </x:row>
    <x:row r="1785" ht="21" customHeight="1">
      <x:c r="A1785" s="60" t="n">
        <x:v>0.67</x:v>
      </x:c>
      <x:c r="B1785" s="28" t="str">
        <x:v>front_flat</x:v>
      </x:c>
      <x:c r="C1785" s="60" t="n">
        <x:v>0.65</x:v>
      </x:c>
      <x:c r="D1785" s="60" t="n">
        <x:v>0.65</x:v>
      </x:c>
      <x:c r="E1785" s="62" t="b">
        <x:v>1</x:v>
      </x:c>
      <x:c r="F1785" s="62" t="b">
        <x:v>0</x:v>
      </x:c>
      <x:c r="G1785" s="85" t="n">
        <x:v>536529.6250110477</x:v>
      </x:c>
      <x:c r="H1785" s="85" t="n">
        <x:v>2888279.8648472396</x:v>
      </x:c>
      <x:c r="I1785" s="85" t="n">
        <x:v>12552449.49878151</x:v>
      </x:c>
      <x:c r="J1785" s="85" t="n">
        <x:v>12821119.999999998</x:v>
      </x:c>
      <x:c r="K1785" s="85" t="n">
        <x:v>8589.101609589103</x:v>
      </x:c>
      <x:c r="L1785" s="28" t="n">
        <x:v>46</x:v>
      </x:c>
      <x:c r="M1785" s="28" t="n">
        <x:v>36</x:v>
      </x:c>
      <x:c r="N1785" s="28" t="n">
        <x:v>4.656612873077393e-10</x:v>
      </x:c>
      <x:c r="O1785" s="28" t="n">
        <x:v>3.725290298461914e-9</x:v>
      </x:c>
      <x:c r="P1785" s="28" t="n">
        <x:v>0</x:v>
      </x:c>
      <x:c r="Q1785" s="62" t="b">
        <x:v>1</x:v>
      </x:c>
      <x:c r="R1785" s="28" t="n">
        <x:v>0</x:v>
      </x:c>
      <x:c r="S1785" s="28" t="str">
        <x:v>3885395f40414517</x:v>
      </x:c>
    </x:row>
    <x:row r="1786" ht="21" customHeight="1">
      <x:c r="A1786" s="60" t="n">
        <x:v>0.67</x:v>
      </x:c>
      <x:c r="B1786" s="28" t="str">
        <x:v>front_flat</x:v>
      </x:c>
      <x:c r="C1786" s="60" t="n">
        <x:v>0.7</x:v>
      </x:c>
      <x:c r="D1786" s="60" t="n">
        <x:v>0.7</x:v>
      </x:c>
      <x:c r="E1786" s="62" t="b">
        <x:v>1</x:v>
      </x:c>
      <x:c r="F1786" s="62" t="b">
        <x:v>0</x:v>
      </x:c>
      <x:c r="G1786" s="85" t="n">
        <x:v>1052200.5102011038</x:v>
      </x:c>
      <x:c r="H1786" s="85" t="n">
        <x:v>5342597.898498883</x:v>
      </x:c>
      <x:c r="I1786" s="85" t="n">
        <x:v>12560258.01101233</x:v>
      </x:c>
      <x:c r="J1786" s="85" t="n">
        <x:v>12821119.999999998</x:v>
      </x:c>
      <x:c r="K1786" s="85" t="n">
        <x:v>4679.021712328926</x:v>
      </x:c>
      <x:c r="L1786" s="28" t="n">
        <x:v>46</x:v>
      </x:c>
      <x:c r="M1786" s="28" t="n">
        <x:v>38</x:v>
      </x:c>
      <x:c r="N1786" s="28" t="n">
        <x:v>4.656612873077393e-10</x:v>
      </x:c>
      <x:c r="O1786" s="28" t="n">
        <x:v>1.862645149230957e-9</x:v>
      </x:c>
      <x:c r="P1786" s="28" t="n">
        <x:v>0</x:v>
      </x:c>
      <x:c r="Q1786" s="62" t="b">
        <x:v>1</x:v>
      </x:c>
      <x:c r="R1786" s="28" t="n">
        <x:v>0</x:v>
      </x:c>
      <x:c r="S1786" s="28" t="str">
        <x:v>03203d450379e848</x:v>
      </x:c>
    </x:row>
    <x:row r="1787" ht="21" customHeight="1">
      <x:c r="A1787" s="60" t="n">
        <x:v>0.67</x:v>
      </x:c>
      <x:c r="B1787" s="28" t="str">
        <x:v>front_flat</x:v>
      </x:c>
      <x:c r="C1787" s="60" t="n">
        <x:v>0.75</x:v>
      </x:c>
      <x:c r="D1787" s="60" t="n">
        <x:v>0.75</x:v>
      </x:c>
      <x:c r="E1787" s="62" t="b">
        <x:v>1</x:v>
      </x:c>
      <x:c r="F1787" s="62" t="b">
        <x:v>0</x:v>
      </x:c>
      <x:c r="G1787" s="85" t="n">
        <x:v>1524184.6188041288</x:v>
      </x:c>
      <x:c r="H1787" s="85" t="n">
        <x:v>7721384.743205835</x:v>
      </x:c>
      <x:c r="I1787" s="85" t="n">
        <x:v>12568066.523243153</x:v>
      </x:c>
      <x:c r="J1787" s="85" t="n">
        <x:v>12821119.999999998</x:v>
      </x:c>
      <x:c r="K1787" s="85" t="n">
        <x:v>768.9418150687488</x:v>
      </x:c>
      <x:c r="L1787" s="28" t="n">
        <x:v>46</x:v>
      </x:c>
      <x:c r="M1787" s="28" t="n">
        <x:v>42</x:v>
      </x:c>
      <x:c r="N1787" s="28" t="n">
        <x:v>2.3283064365386963e-10</x:v>
      </x:c>
      <x:c r="O1787" s="28" t="n">
        <x:v>3.725290298461914e-9</x:v>
      </x:c>
      <x:c r="P1787" s="28" t="n">
        <x:v>0</x:v>
      </x:c>
      <x:c r="Q1787" s="62" t="b">
        <x:v>1</x:v>
      </x:c>
      <x:c r="R1787" s="28" t="n">
        <x:v>0</x:v>
      </x:c>
      <x:c r="S1787" s="28" t="str">
        <x:v>e0de07e0eff2a805</x:v>
      </x:c>
    </x:row>
    <x:row r="1788" ht="21" customHeight="1">
      <x:c r="A1788" s="60" t="n">
        <x:v>0.67</x:v>
      </x:c>
      <x:c r="B1788" s="28" t="str">
        <x:v>front_flat</x:v>
      </x:c>
      <x:c r="C1788" s="60" t="n">
        <x:v>0.8</x:v>
      </x:c>
      <x:c r="D1788" s="60" t="n">
        <x:v>0.8</x:v>
      </x:c>
      <x:c r="E1788" s="62" t="b">
        <x:v>1</x:v>
      </x:c>
      <x:c r="F1788" s="62" t="b">
        <x:v>0</x:v>
      </x:c>
      <x:c r="G1788" s="85" t="n">
        <x:v>2056320.6158670895</x:v>
      </x:c>
      <x:c r="H1788" s="85" t="n">
        <x:v>10046383.860038772</x:v>
      </x:c>
      <x:c r="I1788" s="85" t="n">
        <x:v>12575875.035473974</x:v>
      </x:c>
      <x:c r="J1788" s="85" t="n">
        <x:v>12821119.999999998</x:v>
      </x:c>
      <x:c r="K1788" s="85" t="n">
        <x:v>0</x:v>
      </x:c>
      <x:c r="L1788" s="28" t="n">
        <x:v>46</x:v>
      </x:c>
      <x:c r="M1788" s="28" t="n">
        <x:v>43</x:v>
      </x:c>
      <x:c r="N1788" s="28" t="n">
        <x:v>4.656612873077393e-10</x:v>
      </x:c>
      <x:c r="O1788" s="28" t="n">
        <x:v>3.725290298461914e-9</x:v>
      </x:c>
      <x:c r="P1788" s="28" t="n">
        <x:v>0</x:v>
      </x:c>
      <x:c r="Q1788" s="62" t="b">
        <x:v>1</x:v>
      </x:c>
      <x:c r="R1788" s="28" t="n">
        <x:v>0</x:v>
      </x:c>
      <x:c r="S1788" s="28" t="str">
        <x:v>4c709a63833c1743</x:v>
      </x:c>
    </x:row>
    <x:row r="1789" ht="21" customHeight="1">
      <x:c r="A1789" s="60" t="n">
        <x:v>0.67</x:v>
      </x:c>
      <x:c r="B1789" s="28" t="str">
        <x:v>front_flat</x:v>
      </x:c>
      <x:c r="C1789" s="60" t="n">
        <x:v>0.85</x:v>
      </x:c>
      <x:c r="D1789" s="60" t="n">
        <x:v>0.85</x:v>
      </x:c>
      <x:c r="E1789" s="62" t="b">
        <x:v>1</x:v>
      </x:c>
      <x:c r="F1789" s="62" t="b">
        <x:v>0</x:v>
      </x:c>
      <x:c r="G1789" s="85" t="n">
        <x:v>2579326.3643635795</x:v>
      </x:c>
      <x:c r="H1789" s="85" t="n">
        <x:v>11940027.604983266</x:v>
      </x:c>
      <x:c r="I1789" s="85" t="n">
        <x:v>12817782.996164387</x:v>
      </x:c>
      <x:c r="J1789" s="85" t="n">
        <x:v>12821119.999999998</x:v>
      </x:c>
      <x:c r="K1789" s="85" t="n">
        <x:v>0</x:v>
      </x:c>
      <x:c r="L1789" s="28" t="n">
        <x:v>47</x:v>
      </x:c>
      <x:c r="M1789" s="28" t="n">
        <x:v>44</x:v>
      </x:c>
      <x:c r="N1789" s="28" t="n">
        <x:v>2.3283064365386963e-10</x:v>
      </x:c>
      <x:c r="O1789" s="28" t="n">
        <x:v>1.862645149230957e-9</x:v>
      </x:c>
      <x:c r="P1789" s="28" t="n">
        <x:v>0</x:v>
      </x:c>
      <x:c r="Q1789" s="62" t="b">
        <x:v>1</x:v>
      </x:c>
      <x:c r="R1789" s="28" t="n">
        <x:v>0</x:v>
      </x:c>
      <x:c r="S1789" s="28" t="str">
        <x:v>5e783a7bde1ed17e</x:v>
      </x:c>
    </x:row>
    <x:row r="1790" ht="21" customHeight="1">
      <x:c r="A1790" s="60" t="n">
        <x:v>0.67</x:v>
      </x:c>
      <x:c r="B1790" s="28" t="str">
        <x:v>front_flat</x:v>
      </x:c>
      <x:c r="C1790" s="60" t="n">
        <x:v>0.9</x:v>
      </x:c>
      <x:c r="D1790" s="60" t="n">
        <x:v>0.9</x:v>
      </x:c>
      <x:c r="E1790" s="62" t="b">
        <x:v>1</x:v>
      </x:c>
      <x:c r="F1790" s="62" t="b">
        <x:v>0</x:v>
      </x:c>
      <x:c r="G1790" s="85" t="n">
        <x:v>3194589.319387792</x:v>
      </x:c>
      <x:c r="H1790" s="85" t="n">
        <x:v>14154422.566415355</x:v>
      </x:c>
      <x:c r="I1790" s="85" t="n">
        <x:v>12817782.996164387</x:v>
      </x:c>
      <x:c r="J1790" s="85" t="n">
        <x:v>12821119.999999998</x:v>
      </x:c>
      <x:c r="K1790" s="85" t="n">
        <x:v>0</x:v>
      </x:c>
      <x:c r="L1790" s="28" t="n">
        <x:v>47</x:v>
      </x:c>
      <x:c r="M1790" s="28" t="n">
        <x:v>44</x:v>
      </x:c>
      <x:c r="N1790" s="28" t="n">
        <x:v>2.3283064365386963e-10</x:v>
      </x:c>
      <x:c r="O1790" s="28" t="n">
        <x:v>3.725290298461914e-9</x:v>
      </x:c>
      <x:c r="P1790" s="28" t="n">
        <x:v>0</x:v>
      </x:c>
      <x:c r="Q1790" s="62" t="b">
        <x:v>1</x:v>
      </x:c>
      <x:c r="R1790" s="28" t="n">
        <x:v>0</x:v>
      </x:c>
      <x:c r="S1790" s="28" t="str">
        <x:v>58a9e1de1a663ed5</x:v>
      </x:c>
    </x:row>
    <x:row r="1791" ht="21" customHeight="1">
      <x:c r="A1791" s="60" t="n">
        <x:v>0.67</x:v>
      </x:c>
      <x:c r="B1791" s="28" t="str">
        <x:v>front_flat</x:v>
      </x:c>
      <x:c r="C1791" s="60" t="n">
        <x:v>0.95</x:v>
      </x:c>
      <x:c r="D1791" s="60" t="n">
        <x:v>0.9427119459478259</x:v>
      </x:c>
      <x:c r="E1791" s="62" t="b">
        <x:v>0</x:v>
      </x:c>
      <x:c r="F1791" s="62" t="b">
        <x:v>0</x:v>
      </x:c>
      <x:c r="G1791" s="85" t="n">
        <x:v>4075017.471952138</x:v>
      </x:c>
      <x:c r="H1791" s="85" t="n">
        <x:v>15428627.206988608</x:v>
      </x:c>
      <x:c r="I1791" s="85" t="n">
        <x:v>12817782.996164387</x:v>
      </x:c>
      <x:c r="J1791" s="85" t="n">
        <x:v>12821119.999999998</x:v>
      </x:c>
      <x:c r="K1791" s="85" t="n">
        <x:v>0</x:v>
      </x:c>
      <x:c r="L1791" s="28" t="n">
        <x:v>47</x:v>
      </x:c>
      <x:c r="M1791" s="28" t="n">
        <x:v>45</x:v>
      </x:c>
      <x:c r="N1791" s="28" t="n">
        <x:v>2.3283064365386963e-10</x:v>
      </x:c>
      <x:c r="O1791" s="28" t="n">
        <x:v>1.862645149230957e-9</x:v>
      </x:c>
      <x:c r="P1791" s="28" t="n">
        <x:v>0</x:v>
      </x:c>
      <x:c r="Q1791" s="62" t="b">
        <x:v>1</x:v>
      </x:c>
      <x:c r="R1791" s="28" t="n">
        <x:v>406265.28508438915</x:v>
      </x:c>
      <x:c r="S1791" s="28" t="str">
        <x:v>3e0d80cc9f69a0ff</x:v>
      </x:c>
    </x:row>
    <x:row r="1792" ht="21" customHeight="1">
      <x:c r="A1792" s="60" t="n">
        <x:v>0.67</x:v>
      </x:c>
      <x:c r="B1792" s="28" t="str">
        <x:v>front_flat</x:v>
      </x:c>
      <x:c r="C1792" s="60" t="n">
        <x:v>1</x:v>
      </x:c>
      <x:c r="D1792" s="60" t="n">
        <x:v>0.9596721012870685</x:v>
      </x:c>
      <x:c r="E1792" s="62" t="b">
        <x:v>0</x:v>
      </x:c>
      <x:c r="F1792" s="62" t="b">
        <x:v>0</x:v>
      </x:c>
      <x:c r="G1792" s="85" t="n">
        <x:v>4473927.325123586</x:v>
      </x:c>
      <x:c r="H1792" s="85" t="n">
        <x:v>16256356.007546974</x:v>
      </x:c>
      <x:c r="I1792" s="85" t="n">
        <x:v>12817782.996164387</x:v>
      </x:c>
      <x:c r="J1792" s="85" t="n">
        <x:v>12821119.999999998</x:v>
      </x:c>
      <x:c r="K1792" s="85" t="n">
        <x:v>0</x:v>
      </x:c>
      <x:c r="L1792" s="28" t="n">
        <x:v>47</x:v>
      </x:c>
      <x:c r="M1792" s="28" t="n">
        <x:v>45</x:v>
      </x:c>
      <x:c r="N1792" s="28" t="n">
        <x:v>2.3283064365386963e-10</x:v>
      </x:c>
      <x:c r="O1792" s="28" t="n">
        <x:v>1.862645149230957e-9</x:v>
      </x:c>
      <x:c r="P1792" s="28" t="n">
        <x:v>0</x:v>
      </x:c>
      <x:c r="Q1792" s="62" t="b">
        <x:v>1</x:v>
      </x:c>
      <x:c r="R1792" s="28" t="n">
        <x:v>2248038.3858536556</x:v>
      </x:c>
      <x:c r="S1792" s="28" t="str">
        <x:v>1e0055ec9c536075</x:v>
      </x:c>
    </x:row>
    <x:row r="1793" ht="21" customHeight="1">
      <x:c r="A1793" s="60" t="n">
        <x:v>0.67</x:v>
      </x:c>
      <x:c r="B1793" s="28" t="str">
        <x:v>front_low</x:v>
      </x:c>
      <x:c r="C1793" s="60" t="n">
        <x:v>0</x:v>
      </x:c>
      <x:c r="D1793" s="60" t="n">
        <x:v>0</x:v>
      </x:c>
      <x:c r="E1793" s="62" t="b">
        <x:v>1</x:v>
      </x:c>
      <x:c r="F1793" s="62" t="b">
        <x:v>1</x:v>
      </x:c>
      <x:c r="G1793" s="85" t="n">
        <x:v>0</x:v>
      </x:c>
      <x:c r="H1793" s="85" t="n">
        <x:v>0</x:v>
      </x:c>
      <x:c r="I1793" s="85" t="n">
        <x:v>0</x:v>
      </x:c>
      <x:c r="J1793" s="85" t="n">
        <x:v>0</x:v>
      </x:c>
      <x:c r="K1793" s="85" t="n">
        <x:v>5715452.821260278</x:v>
      </x:c>
      <x:c r="L1793" s="28" t="n">
        <x:v>0</x:v>
      </x:c>
      <x:c r="M1793" s="28" t="n">
        <x:v>0</x:v>
      </x:c>
      <x:c r="N1793" s="28" t="n">
        <x:v>9.313225746154785e-10</x:v>
      </x:c>
      <x:c r="O1793" s="28" t="n">
        <x:v>0</x:v>
      </x:c>
      <x:c r="P1793" s="28" t="n">
        <x:v>0</x:v>
      </x:c>
      <x:c r="Q1793" s="62" t="b">
        <x:v>1</x:v>
      </x:c>
      <x:c r="R1793" s="28" t="n">
        <x:v>0</x:v>
      </x:c>
      <x:c r="S1793" s="28" t="str">
        <x:v>fb4d343ed97245f6</x:v>
      </x:c>
    </x:row>
    <x:row r="1794" ht="21" customHeight="1">
      <x:c r="A1794" s="60" t="n">
        <x:v>0.67</x:v>
      </x:c>
      <x:c r="B1794" s="28" t="str">
        <x:v>front_low</x:v>
      </x:c>
      <x:c r="C1794" s="60" t="n">
        <x:v>0.05</x:v>
      </x:c>
      <x:c r="D1794" s="60" t="n">
        <x:v>0.05</x:v>
      </x:c>
      <x:c r="E1794" s="62" t="b">
        <x:v>1</x:v>
      </x:c>
      <x:c r="F1794" s="62" t="b">
        <x:v>1</x:v>
      </x:c>
      <x:c r="G1794" s="85" t="n">
        <x:v>0</x:v>
      </x:c>
      <x:c r="H1794" s="85" t="n">
        <x:v>0</x:v>
      </x:c>
      <x:c r="I1794" s="85" t="n">
        <x:v>0</x:v>
      </x:c>
      <x:c r="J1794" s="85" t="n">
        <x:v>0</x:v>
      </x:c>
      <x:c r="K1794" s="85" t="n">
        <x:v>3674202.4901439557</x:v>
      </x:c>
      <x:c r="L1794" s="28" t="n">
        <x:v>0</x:v>
      </x:c>
      <x:c r="M1794" s="28" t="n">
        <x:v>0</x:v>
      </x:c>
      <x:c r="N1794" s="28" t="n">
        <x:v>9.313225746154785e-10</x:v>
      </x:c>
      <x:c r="O1794" s="28" t="n">
        <x:v>7.450580596923828e-9</x:v>
      </x:c>
      <x:c r="P1794" s="28" t="n">
        <x:v>0</x:v>
      </x:c>
      <x:c r="Q1794" s="62" t="b">
        <x:v>1</x:v>
      </x:c>
      <x:c r="R1794" s="28" t="n">
        <x:v>0</x:v>
      </x:c>
      <x:c r="S1794" s="28" t="str">
        <x:v>fd49299ed509fa0e</x:v>
      </x:c>
    </x:row>
    <x:row r="1795" ht="21" customHeight="1">
      <x:c r="A1795" s="60" t="n">
        <x:v>0.67</x:v>
      </x:c>
      <x:c r="B1795" s="28" t="str">
        <x:v>front_low</x:v>
      </x:c>
      <x:c r="C1795" s="60" t="n">
        <x:v>0.1</x:v>
      </x:c>
      <x:c r="D1795" s="60" t="n">
        <x:v>0.1</x:v>
      </x:c>
      <x:c r="E1795" s="62" t="b">
        <x:v>1</x:v>
      </x:c>
      <x:c r="F1795" s="62" t="b">
        <x:v>1</x:v>
      </x:c>
      <x:c r="G1795" s="85" t="n">
        <x:v>0</x:v>
      </x:c>
      <x:c r="H1795" s="85" t="n">
        <x:v>0</x:v>
      </x:c>
      <x:c r="I1795" s="85" t="n">
        <x:v>0</x:v>
      </x:c>
      <x:c r="J1795" s="85" t="n">
        <x:v>0</x:v>
      </x:c>
      <x:c r="K1795" s="85" t="n">
        <x:v>1632631.0474755801</x:v>
      </x:c>
      <x:c r="L1795" s="28" t="n">
        <x:v>0</x:v>
      </x:c>
      <x:c r="M1795" s="28" t="n">
        <x:v>0</x:v>
      </x:c>
      <x:c r="N1795" s="28" t="n">
        <x:v>9.313225746154785e-10</x:v>
      </x:c>
      <x:c r="O1795" s="28" t="n">
        <x:v>7.450580596923828e-9</x:v>
      </x:c>
      <x:c r="P1795" s="28" t="n">
        <x:v>0</x:v>
      </x:c>
      <x:c r="Q1795" s="62" t="b">
        <x:v>1</x:v>
      </x:c>
      <x:c r="R1795" s="28" t="n">
        <x:v>0</x:v>
      </x:c>
      <x:c r="S1795" s="28" t="str">
        <x:v>166aef8deee1d6b9</x:v>
      </x:c>
    </x:row>
    <x:row r="1796" ht="21" customHeight="1">
      <x:c r="A1796" s="60" t="n">
        <x:v>0.67</x:v>
      </x:c>
      <x:c r="B1796" s="28" t="str">
        <x:v>front_low</x:v>
      </x:c>
      <x:c r="C1796" s="60" t="n">
        <x:v>0.15</x:v>
      </x:c>
      <x:c r="D1796" s="60" t="n">
        <x:v>0.15</x:v>
      </x:c>
      <x:c r="E1796" s="62" t="b">
        <x:v>1</x:v>
      </x:c>
      <x:c r="F1796" s="62" t="b">
        <x:v>1</x:v>
      </x:c>
      <x:c r="G1796" s="85" t="n">
        <x:v>0</x:v>
      </x:c>
      <x:c r="H1796" s="85" t="n">
        <x:v>0</x:v>
      </x:c>
      <x:c r="I1796" s="85" t="n">
        <x:v>381024.18657599867</x:v>
      </x:c>
      <x:c r="J1796" s="85" t="n">
        <x:v>0</x:v>
      </x:c>
      <x:c r="K1796" s="85" t="n">
        <x:v>106178.5023104012</x:v>
      </x:c>
      <x:c r="L1796" s="28" t="n">
        <x:v>0</x:v>
      </x:c>
      <x:c r="M1796" s="28" t="n">
        <x:v>0</x:v>
      </x:c>
      <x:c r="N1796" s="28" t="n">
        <x:v>4.656612873077393e-10</x:v>
      </x:c>
      <x:c r="O1796" s="28" t="n">
        <x:v>7.450580596923828e-9</x:v>
      </x:c>
      <x:c r="P1796" s="28" t="n">
        <x:v>0</x:v>
      </x:c>
      <x:c r="Q1796" s="62" t="b">
        <x:v>1</x:v>
      </x:c>
      <x:c r="R1796" s="28" t="n">
        <x:v>0</x:v>
      </x:c>
      <x:c r="S1796" s="28" t="str">
        <x:v>d45b1d628f986123</x:v>
      </x:c>
    </x:row>
    <x:row r="1797" ht="21" customHeight="1">
      <x:c r="A1797" s="60" t="n">
        <x:v>0.67</x:v>
      </x:c>
      <x:c r="B1797" s="28" t="str">
        <x:v>front_low</x:v>
      </x:c>
      <x:c r="C1797" s="60" t="n">
        <x:v>0.2</x:v>
      </x:c>
      <x:c r="D1797" s="60" t="n">
        <x:v>0.2</x:v>
      </x:c>
      <x:c r="E1797" s="62" t="b">
        <x:v>1</x:v>
      </x:c>
      <x:c r="F1797" s="62" t="b">
        <x:v>1</x:v>
      </x:c>
      <x:c r="G1797" s="85" t="n">
        <x:v>0</x:v>
      </x:c>
      <x:c r="H1797" s="85" t="n">
        <x:v>0</x:v>
      </x:c>
      <x:c r="I1797" s="85" t="n">
        <x:v>1492950.8674427632</x:v>
      </x:c>
      <x:c r="J1797" s="85" t="n">
        <x:v>1254093.4388721085</x:v>
      </x:c>
      <x:c r="K1797" s="85" t="n">
        <x:v>60803.98949315114</x:v>
      </x:c>
      <x:c r="L1797" s="28" t="n">
        <x:v>0</x:v>
      </x:c>
      <x:c r="M1797" s="28" t="n">
        <x:v>0</x:v>
      </x:c>
      <x:c r="N1797" s="28" t="n">
        <x:v>4.656612873077393e-10</x:v>
      </x:c>
      <x:c r="O1797" s="28" t="n">
        <x:v>7.450580596923828e-9</x:v>
      </x:c>
      <x:c r="P1797" s="28" t="n">
        <x:v>0</x:v>
      </x:c>
      <x:c r="Q1797" s="62" t="b">
        <x:v>1</x:v>
      </x:c>
      <x:c r="R1797" s="28" t="n">
        <x:v>0</x:v>
      </x:c>
      <x:c r="S1797" s="28" t="str">
        <x:v>6cf6b98a7252f5b6</x:v>
      </x:c>
    </x:row>
    <x:row r="1798" ht="21" customHeight="1">
      <x:c r="A1798" s="60" t="n">
        <x:v>0.67</x:v>
      </x:c>
      <x:c r="B1798" s="28" t="str">
        <x:v>front_low</x:v>
      </x:c>
      <x:c r="C1798" s="60" t="n">
        <x:v>0.25</x:v>
      </x:c>
      <x:c r="D1798" s="60" t="n">
        <x:v>0.25</x:v>
      </x:c>
      <x:c r="E1798" s="62" t="b">
        <x:v>1</x:v>
      </x:c>
      <x:c r="F1798" s="62" t="b">
        <x:v>1</x:v>
      </x:c>
      <x:c r="G1798" s="85" t="n">
        <x:v>0</x:v>
      </x:c>
      <x:c r="H1798" s="85" t="n">
        <x:v>0</x:v>
      </x:c>
      <x:c r="I1798" s="85" t="n">
        <x:v>2270176.8724514456</x:v>
      </x:c>
      <x:c r="J1798" s="85" t="n">
        <x:v>2961216.7985901376</x:v>
      </x:c>
      <x:c r="K1798" s="85" t="n">
        <x:v>39495.81686643883</x:v>
      </x:c>
      <x:c r="L1798" s="28" t="n">
        <x:v>0</x:v>
      </x:c>
      <x:c r="M1798" s="28" t="n">
        <x:v>0</x:v>
      </x:c>
      <x:c r="N1798" s="28" t="n">
        <x:v>4.656612873077393e-10</x:v>
      </x:c>
      <x:c r="O1798" s="28" t="n">
        <x:v>3.725290298461914e-9</x:v>
      </x:c>
      <x:c r="P1798" s="28" t="n">
        <x:v>0</x:v>
      </x:c>
      <x:c r="Q1798" s="62" t="b">
        <x:v>1</x:v>
      </x:c>
      <x:c r="R1798" s="28" t="n">
        <x:v>0</x:v>
      </x:c>
      <x:c r="S1798" s="28" t="str">
        <x:v>f1f3ee3af9802381</x:v>
      </x:c>
    </x:row>
    <x:row r="1799" ht="21" customHeight="1">
      <x:c r="A1799" s="60" t="n">
        <x:v>0.67</x:v>
      </x:c>
      <x:c r="B1799" s="28" t="str">
        <x:v>front_low</x:v>
      </x:c>
      <x:c r="C1799" s="60" t="n">
        <x:v>0.3</x:v>
      </x:c>
      <x:c r="D1799" s="60" t="n">
        <x:v>0.3</x:v>
      </x:c>
      <x:c r="E1799" s="62" t="b">
        <x:v>1</x:v>
      </x:c>
      <x:c r="F1799" s="62" t="b">
        <x:v>1</x:v>
      </x:c>
      <x:c r="G1799" s="85" t="n">
        <x:v>0</x:v>
      </x:c>
      <x:c r="H1799" s="85" t="n">
        <x:v>0</x:v>
      </x:c>
      <x:c r="I1799" s="85" t="n">
        <x:v>3076496.5030209343</x:v>
      </x:c>
      <x:c r="J1799" s="85" t="n">
        <x:v>4668340.158308166</x:v>
      </x:c>
      <x:c r="K1799" s="85" t="n">
        <x:v>32749.758376712183</x:v>
      </x:c>
      <x:c r="L1799" s="28" t="n">
        <x:v>0</x:v>
      </x:c>
      <x:c r="M1799" s="28" t="n">
        <x:v>0</x:v>
      </x:c>
      <x:c r="N1799" s="28" t="n">
        <x:v>4.656612873077393e-10</x:v>
      </x:c>
      <x:c r="O1799" s="28" t="n">
        <x:v>7.450580596923828e-9</x:v>
      </x:c>
      <x:c r="P1799" s="28" t="n">
        <x:v>0</x:v>
      </x:c>
      <x:c r="Q1799" s="62" t="b">
        <x:v>1</x:v>
      </x:c>
      <x:c r="R1799" s="28" t="n">
        <x:v>0</x:v>
      </x:c>
      <x:c r="S1799" s="28" t="str">
        <x:v>9983a5a47c1a9b54</x:v>
      </x:c>
    </x:row>
    <x:row r="1800" ht="21" customHeight="1">
      <x:c r="A1800" s="60" t="n">
        <x:v>0.67</x:v>
      </x:c>
      <x:c r="B1800" s="28" t="str">
        <x:v>front_low</x:v>
      </x:c>
      <x:c r="C1800" s="60" t="n">
        <x:v>0.35</x:v>
      </x:c>
      <x:c r="D1800" s="60" t="n">
        <x:v>0.35</x:v>
      </x:c>
      <x:c r="E1800" s="62" t="b">
        <x:v>1</x:v>
      </x:c>
      <x:c r="F1800" s="62" t="b">
        <x:v>1</x:v>
      </x:c>
      <x:c r="G1800" s="85" t="n">
        <x:v>0</x:v>
      </x:c>
      <x:c r="H1800" s="85" t="n">
        <x:v>0</x:v>
      </x:c>
      <x:c r="I1800" s="85" t="n">
        <x:v>3896395.9275825582</x:v>
      </x:c>
      <x:c r="J1800" s="85" t="n">
        <x:v>6375463.518026184</x:v>
      </x:c>
      <x:c r="K1800" s="85" t="n">
        <x:v>26138.353229452063</x:v>
      </x:c>
      <x:c r="L1800" s="28" t="n">
        <x:v>0</x:v>
      </x:c>
      <x:c r="M1800" s="28" t="n">
        <x:v>0</x:v>
      </x:c>
      <x:c r="N1800" s="28" t="n">
        <x:v>2.3283064365386963e-10</x:v>
      </x:c>
      <x:c r="O1800" s="28" t="n">
        <x:v>7.450580596923828e-9</x:v>
      </x:c>
      <x:c r="P1800" s="28" t="n">
        <x:v>0</x:v>
      </x:c>
      <x:c r="Q1800" s="62" t="b">
        <x:v>1</x:v>
      </x:c>
      <x:c r="R1800" s="28" t="n">
        <x:v>0</x:v>
      </x:c>
      <x:c r="S1800" s="28" t="str">
        <x:v>0620e66782b78176</x:v>
      </x:c>
    </x:row>
    <x:row r="1801" ht="21" customHeight="1">
      <x:c r="A1801" s="60" t="n">
        <x:v>0.67</x:v>
      </x:c>
      <x:c r="B1801" s="28" t="str">
        <x:v>front_low</x:v>
      </x:c>
      <x:c r="C1801" s="60" t="n">
        <x:v>0.4</x:v>
      </x:c>
      <x:c r="D1801" s="60" t="n">
        <x:v>0.4</x:v>
      </x:c>
      <x:c r="E1801" s="62" t="b">
        <x:v>1</x:v>
      </x:c>
      <x:c r="F1801" s="62" t="b">
        <x:v>1</x:v>
      </x:c>
      <x:c r="G1801" s="85" t="n">
        <x:v>0</x:v>
      </x:c>
      <x:c r="H1801" s="85" t="n">
        <x:v>0</x:v>
      </x:c>
      <x:c r="I1801" s="85" t="n">
        <x:v>5423422.159744289</x:v>
      </x:c>
      <x:c r="J1801" s="85" t="n">
        <x:v>6900535.168494702</x:v>
      </x:c>
      <x:c r="K1801" s="85" t="n">
        <x:v>19526.948082191884</x:v>
      </x:c>
      <x:c r="L1801" s="28" t="n">
        <x:v>8</x:v>
      </x:c>
      <x:c r="M1801" s="28" t="n">
        <x:v>0</x:v>
      </x:c>
      <x:c r="N1801" s="28" t="n">
        <x:v>4.656612873077393e-10</x:v>
      </x:c>
      <x:c r="O1801" s="28" t="n">
        <x:v>7.450580596923828e-9</x:v>
      </x:c>
      <x:c r="P1801" s="28" t="n">
        <x:v>0</x:v>
      </x:c>
      <x:c r="Q1801" s="62" t="b">
        <x:v>1</x:v>
      </x:c>
      <x:c r="R1801" s="28" t="n">
        <x:v>0</x:v>
      </x:c>
      <x:c r="S1801" s="28" t="str">
        <x:v>0210e82a61ae342c</x:v>
      </x:c>
    </x:row>
    <x:row r="1802" ht="21" customHeight="1">
      <x:c r="A1802" s="60" t="n">
        <x:v>0.67</x:v>
      </x:c>
      <x:c r="B1802" s="28" t="str">
        <x:v>front_low</x:v>
      </x:c>
      <x:c r="C1802" s="60" t="n">
        <x:v>0.45</x:v>
      </x:c>
      <x:c r="D1802" s="60" t="n">
        <x:v>0.45</x:v>
      </x:c>
      <x:c r="E1802" s="62" t="b">
        <x:v>1</x:v>
      </x:c>
      <x:c r="F1802" s="62" t="b">
        <x:v>1</x:v>
      </x:c>
      <x:c r="G1802" s="85" t="n">
        <x:v>0</x:v>
      </x:c>
      <x:c r="H1802" s="85" t="n">
        <x:v>0</x:v>
      </x:c>
      <x:c r="I1802" s="85" t="n">
        <x:v>6707461.767321521</x:v>
      </x:c>
      <x:c r="J1802" s="85" t="n">
        <x:v>7856672.257401288</x:v>
      </x:c>
      <x:c r="K1802" s="85" t="n">
        <x:v>12915.542934931356</x:v>
      </x:c>
      <x:c r="L1802" s="28" t="n">
        <x:v>15</x:v>
      </x:c>
      <x:c r="M1802" s="28" t="n">
        <x:v>0</x:v>
      </x:c>
      <x:c r="N1802" s="28" t="n">
        <x:v>4.656612873077393e-10</x:v>
      </x:c>
      <x:c r="O1802" s="28" t="n">
        <x:v>3.725290298461914e-9</x:v>
      </x:c>
      <x:c r="P1802" s="28" t="n">
        <x:v>0</x:v>
      </x:c>
      <x:c r="Q1802" s="62" t="b">
        <x:v>1</x:v>
      </x:c>
      <x:c r="R1802" s="28" t="n">
        <x:v>0</x:v>
      </x:c>
      <x:c r="S1802" s="28" t="str">
        <x:v>2a28dea3ea8c36b5</x:v>
      </x:c>
    </x:row>
    <x:row r="1803" ht="21" customHeight="1">
      <x:c r="A1803" s="60" t="n">
        <x:v>0.67</x:v>
      </x:c>
      <x:c r="B1803" s="28" t="str">
        <x:v>front_low</x:v>
      </x:c>
      <x:c r="C1803" s="60" t="n">
        <x:v>0.5</x:v>
      </x:c>
      <x:c r="D1803" s="60" t="n">
        <x:v>0.5</x:v>
      </x:c>
      <x:c r="E1803" s="62" t="b">
        <x:v>1</x:v>
      </x:c>
      <x:c r="F1803" s="62" t="b">
        <x:v>1</x:v>
      </x:c>
      <x:c r="G1803" s="85" t="n">
        <x:v>0</x:v>
      </x:c>
      <x:c r="H1803" s="85" t="n">
        <x:v>0</x:v>
      </x:c>
      <x:c r="I1803" s="85" t="n">
        <x:v>7532059.710134982</x:v>
      </x:c>
      <x:c r="J1803" s="85" t="n">
        <x:v>9559607.341135621</x:v>
      </x:c>
      <x:c r="K1803" s="85" t="n">
        <x:v>6402.675205479471</x:v>
      </x:c>
      <x:c r="L1803" s="28" t="n">
        <x:v>19</x:v>
      </x:c>
      <x:c r="M1803" s="28" t="n">
        <x:v>0</x:v>
      </x:c>
      <x:c r="N1803" s="28" t="n">
        <x:v>4.656612873077393e-10</x:v>
      </x:c>
      <x:c r="O1803" s="28" t="n">
        <x:v>7.450580596923828e-9</x:v>
      </x:c>
      <x:c r="P1803" s="28" t="n">
        <x:v>0</x:v>
      </x:c>
      <x:c r="Q1803" s="62" t="b">
        <x:v>1</x:v>
      </x:c>
      <x:c r="R1803" s="28" t="n">
        <x:v>0</x:v>
      </x:c>
      <x:c r="S1803" s="28" t="str">
        <x:v>2fa57ee0bc7ff1a7</x:v>
      </x:c>
    </x:row>
    <x:row r="1804" ht="21" customHeight="1">
      <x:c r="A1804" s="60" t="n">
        <x:v>0.67</x:v>
      </x:c>
      <x:c r="B1804" s="28" t="str">
        <x:v>front_low</x:v>
      </x:c>
      <x:c r="C1804" s="60" t="n">
        <x:v>0.55</x:v>
      </x:c>
      <x:c r="D1804" s="60" t="n">
        <x:v>0.55</x:v>
      </x:c>
      <x:c r="E1804" s="62" t="b">
        <x:v>1</x:v>
      </x:c>
      <x:c r="F1804" s="62" t="b">
        <x:v>1</x:v>
      </x:c>
      <x:c r="G1804" s="85" t="n">
        <x:v>0</x:v>
      </x:c>
      <x:c r="H1804" s="85" t="n">
        <x:v>0</x:v>
      </x:c>
      <x:c r="I1804" s="85" t="n">
        <x:v>8244033.2582581565</x:v>
      </x:c>
      <x:c r="J1804" s="85" t="n">
        <x:v>11434071.582007233</x:v>
      </x:c>
      <x:c r="K1804" s="85" t="n">
        <x:v>4148.846506849259</x:v>
      </x:c>
      <x:c r="L1804" s="28" t="n">
        <x:v>22</x:v>
      </x:c>
      <x:c r="M1804" s="28" t="n">
        <x:v>0</x:v>
      </x:c>
      <x:c r="N1804" s="28" t="n">
        <x:v>4.656612873077393e-10</x:v>
      </x:c>
      <x:c r="O1804" s="28" t="n">
        <x:v>3.725290298461914e-9</x:v>
      </x:c>
      <x:c r="P1804" s="28" t="n">
        <x:v>0</x:v>
      </x:c>
      <x:c r="Q1804" s="62" t="b">
        <x:v>1</x:v>
      </x:c>
      <x:c r="R1804" s="28" t="n">
        <x:v>0</x:v>
      </x:c>
      <x:c r="S1804" s="28" t="str">
        <x:v>da8931d786228365</x:v>
      </x:c>
    </x:row>
    <x:row r="1805" ht="21" customHeight="1">
      <x:c r="A1805" s="60" t="n">
        <x:v>0.67</x:v>
      </x:c>
      <x:c r="B1805" s="28" t="str">
        <x:v>front_low</x:v>
      </x:c>
      <x:c r="C1805" s="60" t="n">
        <x:v>0.6</x:v>
      </x:c>
      <x:c r="D1805" s="60" t="n">
        <x:v>0.6</x:v>
      </x:c>
      <x:c r="E1805" s="62" t="b">
        <x:v>1</x:v>
      </x:c>
      <x:c r="F1805" s="62" t="b">
        <x:v>0</x:v>
      </x:c>
      <x:c r="G1805" s="85" t="n">
        <x:v>30274.020053752974</x:v>
      </x:c>
      <x:c r="H1805" s="85" t="n">
        <x:v>403716.73942358023</x:v>
      </x:c>
      <x:c r="I1805" s="85" t="n">
        <x:v>8856056.916164383</x:v>
      </x:c>
      <x:c r="J1805" s="85" t="n">
        <x:v>12821119.999999998</x:v>
      </x:c>
      <x:c r="K1805" s="85" t="n">
        <x:v>1895.017808219105</x:v>
      </x:c>
      <x:c r="L1805" s="28" t="n">
        <x:v>46</x:v>
      </x:c>
      <x:c r="M1805" s="28" t="n">
        <x:v>21</x:v>
      </x:c>
      <x:c r="N1805" s="28" t="n">
        <x:v>2.3283064365386963e-10</x:v>
      </x:c>
      <x:c r="O1805" s="28" t="n">
        <x:v>3.725290298461914e-9</x:v>
      </x:c>
      <x:c r="P1805" s="28" t="n">
        <x:v>0</x:v>
      </x:c>
      <x:c r="Q1805" s="62" t="b">
        <x:v>1</x:v>
      </x:c>
      <x:c r="R1805" s="28" t="n">
        <x:v>0</x:v>
      </x:c>
      <x:c r="S1805" s="28" t="str">
        <x:v>aa3b4c884e716926</x:v>
      </x:c>
    </x:row>
    <x:row r="1806" ht="21" customHeight="1">
      <x:c r="A1806" s="60" t="n">
        <x:v>0.67</x:v>
      </x:c>
      <x:c r="B1806" s="28" t="str">
        <x:v>front_low</x:v>
      </x:c>
      <x:c r="C1806" s="60" t="n">
        <x:v>0.65</x:v>
      </x:c>
      <x:c r="D1806" s="60" t="n">
        <x:v>0.65</x:v>
      </x:c>
      <x:c r="E1806" s="62" t="b">
        <x:v>1</x:v>
      </x:c>
      <x:c r="F1806" s="62" t="b">
        <x:v>0</x:v>
      </x:c>
      <x:c r="G1806" s="85" t="n">
        <x:v>200952.19827893</x:v>
      </x:c>
      <x:c r="H1806" s="85" t="n">
        <x:v>2503544.0902377064</x:v>
      </x:c>
      <x:c r="I1806" s="85" t="n">
        <x:v>8856056.916164383</x:v>
      </x:c>
      <x:c r="J1806" s="85" t="n">
        <x:v>12821119.999999998</x:v>
      </x:c>
      <x:c r="K1806" s="85" t="n">
        <x:v>0</x:v>
      </x:c>
      <x:c r="L1806" s="28" t="n">
        <x:v>46</x:v>
      </x:c>
      <x:c r="M1806" s="28" t="n">
        <x:v>30</x:v>
      </x:c>
      <x:c r="N1806" s="28" t="n">
        <x:v>4.656612873077393e-10</x:v>
      </x:c>
      <x:c r="O1806" s="28" t="n">
        <x:v>3.725290298461914e-9</x:v>
      </x:c>
      <x:c r="P1806" s="28" t="n">
        <x:v>0</x:v>
      </x:c>
      <x:c r="Q1806" s="62" t="b">
        <x:v>1</x:v>
      </x:c>
      <x:c r="R1806" s="28" t="n">
        <x:v>0</x:v>
      </x:c>
      <x:c r="S1806" s="28" t="str">
        <x:v>3920c299204335dc</x:v>
      </x:c>
    </x:row>
    <x:row r="1807" ht="21" customHeight="1">
      <x:c r="A1807" s="60" t="n">
        <x:v>0.67</x:v>
      </x:c>
      <x:c r="B1807" s="28" t="str">
        <x:v>front_low</x:v>
      </x:c>
      <x:c r="C1807" s="60" t="n">
        <x:v>0.7</x:v>
      </x:c>
      <x:c r="D1807" s="60" t="n">
        <x:v>0.7</x:v>
      </x:c>
      <x:c r="E1807" s="62" t="b">
        <x:v>1</x:v>
      </x:c>
      <x:c r="F1807" s="62" t="b">
        <x:v>0</x:v>
      </x:c>
      <x:c r="G1807" s="85" t="n">
        <x:v>369815.36434196064</x:v>
      </x:c>
      <x:c r="H1807" s="85" t="n">
        <x:v>4603371.441051832</x:v>
      </x:c>
      <x:c r="I1807" s="85" t="n">
        <x:v>8856056.916164383</x:v>
      </x:c>
      <x:c r="J1807" s="85" t="n">
        <x:v>12821119.999999998</x:v>
      </x:c>
      <x:c r="K1807" s="85" t="n">
        <x:v>0</x:v>
      </x:c>
      <x:c r="L1807" s="28" t="n">
        <x:v>46</x:v>
      </x:c>
      <x:c r="M1807" s="28" t="n">
        <x:v>32</x:v>
      </x:c>
      <x:c r="N1807" s="28" t="n">
        <x:v>4.656612873077393e-10</x:v>
      </x:c>
      <x:c r="O1807" s="28" t="n">
        <x:v>1.862645149230957e-9</x:v>
      </x:c>
      <x:c r="P1807" s="28" t="n">
        <x:v>0</x:v>
      </x:c>
      <x:c r="Q1807" s="62" t="b">
        <x:v>1</x:v>
      </x:c>
      <x:c r="R1807" s="28" t="n">
        <x:v>0</x:v>
      </x:c>
      <x:c r="S1807" s="28" t="str">
        <x:v>9d8129c6d39f34f4</x:v>
      </x:c>
    </x:row>
    <x:row r="1808" ht="21" customHeight="1">
      <x:c r="A1808" s="60" t="n">
        <x:v>0.67</x:v>
      </x:c>
      <x:c r="B1808" s="28" t="str">
        <x:v>front_low</x:v>
      </x:c>
      <x:c r="C1808" s="60" t="n">
        <x:v>0.75</x:v>
      </x:c>
      <x:c r="D1808" s="60" t="n">
        <x:v>0.75</x:v>
      </x:c>
      <x:c r="E1808" s="62" t="b">
        <x:v>1</x:v>
      </x:c>
      <x:c r="F1808" s="62" t="b">
        <x:v>0</x:v>
      </x:c>
      <x:c r="G1808" s="85" t="n">
        <x:v>538678.5304049937</x:v>
      </x:c>
      <x:c r="H1808" s="85" t="n">
        <x:v>6703198.791865987</x:v>
      </x:c>
      <x:c r="I1808" s="85" t="n">
        <x:v>8858621.024099315</x:v>
      </x:c>
      <x:c r="J1808" s="85" t="n">
        <x:v>12821119.999999998</x:v>
      </x:c>
      <x:c r="K1808" s="85" t="n">
        <x:v>0</x:v>
      </x:c>
      <x:c r="L1808" s="28" t="n">
        <x:v>46</x:v>
      </x:c>
      <x:c r="M1808" s="28" t="n">
        <x:v>34</x:v>
      </x:c>
      <x:c r="N1808" s="28" t="n">
        <x:v>4.656612873077393e-10</x:v>
      </x:c>
      <x:c r="O1808" s="28" t="n">
        <x:v>3.725290298461914e-9</x:v>
      </x:c>
      <x:c r="P1808" s="28" t="n">
        <x:v>0</x:v>
      </x:c>
      <x:c r="Q1808" s="62" t="b">
        <x:v>1</x:v>
      </x:c>
      <x:c r="R1808" s="28" t="n">
        <x:v>0</x:v>
      </x:c>
      <x:c r="S1808" s="28" t="str">
        <x:v>94c1e6e0a890e419</x:v>
      </x:c>
    </x:row>
    <x:row r="1809" ht="21" customHeight="1">
      <x:c r="A1809" s="60" t="n">
        <x:v>0.67</x:v>
      </x:c>
      <x:c r="B1809" s="28" t="str">
        <x:v>front_low</x:v>
      </x:c>
      <x:c r="C1809" s="60" t="n">
        <x:v>0.8</x:v>
      </x:c>
      <x:c r="D1809" s="60" t="n">
        <x:v>0.8</x:v>
      </x:c>
      <x:c r="E1809" s="62" t="b">
        <x:v>1</x:v>
      </x:c>
      <x:c r="F1809" s="62" t="b">
        <x:v>0</x:v>
      </x:c>
      <x:c r="G1809" s="85" t="n">
        <x:v>745081.2364361982</x:v>
      </x:c>
      <x:c r="H1809" s="85" t="n">
        <x:v>8733710.4515197</x:v>
      </x:c>
      <x:c r="I1809" s="85" t="n">
        <x:v>8863080.228350684</x:v>
      </x:c>
      <x:c r="J1809" s="85" t="n">
        <x:v>12821119.999999998</x:v>
      </x:c>
      <x:c r="K1809" s="85" t="n">
        <x:v>0</x:v>
      </x:c>
      <x:c r="L1809" s="28" t="n">
        <x:v>46</x:v>
      </x:c>
      <x:c r="M1809" s="28" t="n">
        <x:v>36</x:v>
      </x:c>
      <x:c r="N1809" s="28" t="n">
        <x:v>2.3283064365386963e-10</x:v>
      </x:c>
      <x:c r="O1809" s="28" t="n">
        <x:v>3.725290298461914e-9</x:v>
      </x:c>
      <x:c r="P1809" s="28" t="n">
        <x:v>0</x:v>
      </x:c>
      <x:c r="Q1809" s="62" t="b">
        <x:v>1</x:v>
      </x:c>
      <x:c r="R1809" s="28" t="n">
        <x:v>0</x:v>
      </x:c>
      <x:c r="S1809" s="28" t="str">
        <x:v>30c7cd33507b8099</x:v>
      </x:c>
    </x:row>
    <x:row r="1810" ht="21" customHeight="1">
      <x:c r="A1810" s="60" t="n">
        <x:v>0.67</x:v>
      </x:c>
      <x:c r="B1810" s="28" t="str">
        <x:v>front_low</x:v>
      </x:c>
      <x:c r="C1810" s="60" t="n">
        <x:v>0.85</x:v>
      </x:c>
      <x:c r="D1810" s="60" t="n">
        <x:v>0.85</x:v>
      </x:c>
      <x:c r="E1810" s="62" t="b">
        <x:v>1</x:v>
      </x:c>
      <x:c r="F1810" s="62" t="b">
        <x:v>0</x:v>
      </x:c>
      <x:c r="G1810" s="85" t="n">
        <x:v>901418.1468745066</x:v>
      </x:c>
      <x:c r="H1810" s="85" t="n">
        <x:v>10553312.573656218</x:v>
      </x:c>
      <x:c r="I1810" s="85" t="n">
        <x:v>9047846.820821917</x:v>
      </x:c>
      <x:c r="J1810" s="85" t="n">
        <x:v>12821119.999999998</x:v>
      </x:c>
      <x:c r="K1810" s="85" t="n">
        <x:v>0</x:v>
      </x:c>
      <x:c r="L1810" s="28" t="n">
        <x:v>47</x:v>
      </x:c>
      <x:c r="M1810" s="28" t="n">
        <x:v>38</x:v>
      </x:c>
      <x:c r="N1810" s="28" t="n">
        <x:v>2.3283064365386963e-10</x:v>
      </x:c>
      <x:c r="O1810" s="28" t="n">
        <x:v>1.862645149230957e-9</x:v>
      </x:c>
      <x:c r="P1810" s="28" t="n">
        <x:v>0</x:v>
      </x:c>
      <x:c r="Q1810" s="62" t="b">
        <x:v>1</x:v>
      </x:c>
      <x:c r="R1810" s="28" t="n">
        <x:v>0</x:v>
      </x:c>
      <x:c r="S1810" s="28" t="str">
        <x:v>585f56b21159f5c6</x:v>
      </x:c>
    </x:row>
    <x:row r="1811" ht="21" customHeight="1">
      <x:c r="A1811" s="60" t="n">
        <x:v>0.67</x:v>
      </x:c>
      <x:c r="B1811" s="28" t="str">
        <x:v>front_low</x:v>
      </x:c>
      <x:c r="C1811" s="60" t="n">
        <x:v>0.9</x:v>
      </x:c>
      <x:c r="D1811" s="60" t="n">
        <x:v>0.9</x:v>
      </x:c>
      <x:c r="E1811" s="62" t="b">
        <x:v>1</x:v>
      </x:c>
      <x:c r="F1811" s="62" t="b">
        <x:v>0</x:v>
      </x:c>
      <x:c r="G1811" s="85" t="n">
        <x:v>1168820.435806373</x:v>
      </x:c>
      <x:c r="H1811" s="85" t="n">
        <x:v>12483382.358196873</x:v>
      </x:c>
      <x:c r="I1811" s="85" t="n">
        <x:v>9047846.820821917</x:v>
      </x:c>
      <x:c r="J1811" s="85" t="n">
        <x:v>12821119.999999998</x:v>
      </x:c>
      <x:c r="K1811" s="85" t="n">
        <x:v>0</x:v>
      </x:c>
      <x:c r="L1811" s="28" t="n">
        <x:v>47</x:v>
      </x:c>
      <x:c r="M1811" s="28" t="n">
        <x:v>38</x:v>
      </x:c>
      <x:c r="N1811" s="28" t="n">
        <x:v>2.3283064365386963e-10</x:v>
      </x:c>
      <x:c r="O1811" s="28" t="n">
        <x:v>3.725290298461914e-9</x:v>
      </x:c>
      <x:c r="P1811" s="28" t="n">
        <x:v>0</x:v>
      </x:c>
      <x:c r="Q1811" s="62" t="b">
        <x:v>1</x:v>
      </x:c>
      <x:c r="R1811" s="28" t="n">
        <x:v>0</x:v>
      </x:c>
      <x:c r="S1811" s="28" t="str">
        <x:v>3074b062d1196ce8</x:v>
      </x:c>
    </x:row>
    <x:row r="1812" ht="21" customHeight="1">
      <x:c r="A1812" s="60" t="n">
        <x:v>0.67</x:v>
      </x:c>
      <x:c r="B1812" s="28" t="str">
        <x:v>front_low</x:v>
      </x:c>
      <x:c r="C1812" s="60" t="n">
        <x:v>0.95</x:v>
      </x:c>
      <x:c r="D1812" s="60" t="n">
        <x:v>0.9427119459478259</x:v>
      </x:c>
      <x:c r="E1812" s="62" t="b">
        <x:v>0</x:v>
      </x:c>
      <x:c r="F1812" s="62" t="b">
        <x:v>0</x:v>
      </x:c>
      <x:c r="G1812" s="85" t="n">
        <x:v>1584179.2172551742</x:v>
      </x:c>
      <x:c r="H1812" s="85" t="n">
        <x:v>13889966.472846778</x:v>
      </x:c>
      <x:c r="I1812" s="85" t="n">
        <x:v>9047846.820821917</x:v>
      </x:c>
      <x:c r="J1812" s="85" t="n">
        <x:v>12821119.999999998</x:v>
      </x:c>
      <x:c r="K1812" s="85" t="n">
        <x:v>0</x:v>
      </x:c>
      <x:c r="L1812" s="28" t="n">
        <x:v>47</x:v>
      </x:c>
      <x:c r="M1812" s="28" t="n">
        <x:v>40</x:v>
      </x:c>
      <x:c r="N1812" s="28" t="n">
        <x:v>2.3283064365386963e-10</x:v>
      </x:c>
      <x:c r="O1812" s="28" t="n">
        <x:v>1.862645149230957e-9</x:v>
      </x:c>
      <x:c r="P1812" s="28" t="n">
        <x:v>0</x:v>
      </x:c>
      <x:c r="Q1812" s="62" t="b">
        <x:v>1</x:v>
      </x:c>
      <x:c r="R1812" s="28" t="n">
        <x:v>406265.28508438915</x:v>
      </x:c>
      <x:c r="S1812" s="28" t="str">
        <x:v>49a47b8d47b2d772</x:v>
      </x:c>
    </x:row>
    <x:row r="1813" ht="21" customHeight="1">
      <x:c r="A1813" s="60" t="n">
        <x:v>0.67</x:v>
      </x:c>
      <x:c r="B1813" s="28" t="str">
        <x:v>front_low</x:v>
      </x:c>
      <x:c r="C1813" s="60" t="n">
        <x:v>1</x:v>
      </x:c>
      <x:c r="D1813" s="60" t="n">
        <x:v>0.9596721012870685</x:v>
      </x:c>
      <x:c r="E1813" s="62" t="b">
        <x:v>0</x:v>
      </x:c>
      <x:c r="F1813" s="62" t="b">
        <x:v>0</x:v>
      </x:c>
      <x:c r="G1813" s="85" t="n">
        <x:v>1739513.4651148794</x:v>
      </x:c>
      <x:c r="H1813" s="85" t="n">
        <x:v>14637305.824905623</x:v>
      </x:c>
      <x:c r="I1813" s="85" t="n">
        <x:v>9047846.820821917</x:v>
      </x:c>
      <x:c r="J1813" s="85" t="n">
        <x:v>12821119.999999998</x:v>
      </x:c>
      <x:c r="K1813" s="85" t="n">
        <x:v>0</x:v>
      </x:c>
      <x:c r="L1813" s="28" t="n">
        <x:v>47</x:v>
      </x:c>
      <x:c r="M1813" s="28" t="n">
        <x:v>42</x:v>
      </x:c>
      <x:c r="N1813" s="28" t="n">
        <x:v>2.3283064365386963e-10</x:v>
      </x:c>
      <x:c r="O1813" s="28" t="n">
        <x:v>1.862645149230957e-9</x:v>
      </x:c>
      <x:c r="P1813" s="28" t="n">
        <x:v>0</x:v>
      </x:c>
      <x:c r="Q1813" s="62" t="b">
        <x:v>1</x:v>
      </x:c>
      <x:c r="R1813" s="28" t="n">
        <x:v>2248038.3858536556</x:v>
      </x:c>
      <x:c r="S1813" s="28" t="str">
        <x:v>d1ea0416d79189a3</x:v>
      </x:c>
    </x:row>
    <x:row r="1814" ht="21" customHeight="1">
      <x:c r="A1814" s="60" t="n">
        <x:v>0.67</x:v>
      </x:c>
      <x:c r="B1814" s="28" t="str">
        <x:v>front_high</x:v>
      </x:c>
      <x:c r="C1814" s="60" t="n">
        <x:v>0</x:v>
      </x:c>
      <x:c r="D1814" s="60" t="n">
        <x:v>0</x:v>
      </x:c>
      <x:c r="E1814" s="62" t="b">
        <x:v>1</x:v>
      </x:c>
      <x:c r="F1814" s="62" t="b">
        <x:v>1</x:v>
      </x:c>
      <x:c r="G1814" s="85" t="n">
        <x:v>0</x:v>
      </x:c>
      <x:c r="H1814" s="85" t="n">
        <x:v>0</x:v>
      </x:c>
      <x:c r="I1814" s="85" t="n">
        <x:v>0</x:v>
      </x:c>
      <x:c r="J1814" s="85" t="n">
        <x:v>0</x:v>
      </x:c>
      <x:c r="K1814" s="85" t="n">
        <x:v>7404749.462356168</x:v>
      </x:c>
      <x:c r="L1814" s="28" t="n">
        <x:v>0</x:v>
      </x:c>
      <x:c r="M1814" s="28" t="n">
        <x:v>0</x:v>
      </x:c>
      <x:c r="N1814" s="28" t="n">
        <x:v>9.313225746154785e-10</x:v>
      </x:c>
      <x:c r="O1814" s="28" t="n">
        <x:v>0</x:v>
      </x:c>
      <x:c r="P1814" s="28" t="n">
        <x:v>0</x:v>
      </x:c>
      <x:c r="Q1814" s="62" t="b">
        <x:v>1</x:v>
      </x:c>
      <x:c r="R1814" s="28" t="n">
        <x:v>0</x:v>
      </x:c>
      <x:c r="S1814" s="28" t="str">
        <x:v>8e4fc0ff1beeea52</x:v>
      </x:c>
    </x:row>
    <x:row r="1815" ht="21" customHeight="1">
      <x:c r="A1815" s="60" t="n">
        <x:v>0.67</x:v>
      </x:c>
      <x:c r="B1815" s="28" t="str">
        <x:v>front_high</x:v>
      </x:c>
      <x:c r="C1815" s="60" t="n">
        <x:v>0.05</x:v>
      </x:c>
      <x:c r="D1815" s="60" t="n">
        <x:v>0.05</x:v>
      </x:c>
      <x:c r="E1815" s="62" t="b">
        <x:v>1</x:v>
      </x:c>
      <x:c r="F1815" s="62" t="b">
        <x:v>1</x:v>
      </x:c>
      <x:c r="G1815" s="85" t="n">
        <x:v>0</x:v>
      </x:c>
      <x:c r="H1815" s="85" t="n">
        <x:v>0</x:v>
      </x:c>
      <x:c r="I1815" s="85" t="n">
        <x:v>0</x:v>
      </x:c>
      <x:c r="J1815" s="85" t="n">
        <x:v>0</x:v>
      </x:c>
      <x:c r="K1815" s="85" t="n">
        <x:v>4811048.453661831</x:v>
      </x:c>
      <x:c r="L1815" s="28" t="n">
        <x:v>0</x:v>
      </x:c>
      <x:c r="M1815" s="28" t="n">
        <x:v>0</x:v>
      </x:c>
      <x:c r="N1815" s="28" t="n">
        <x:v>9.313225746154785e-10</x:v>
      </x:c>
      <x:c r="O1815" s="28" t="n">
        <x:v>7.450580596923828e-9</x:v>
      </x:c>
      <x:c r="P1815" s="28" t="n">
        <x:v>0</x:v>
      </x:c>
      <x:c r="Q1815" s="62" t="b">
        <x:v>1</x:v>
      </x:c>
      <x:c r="R1815" s="28" t="n">
        <x:v>0</x:v>
      </x:c>
      <x:c r="S1815" s="28" t="str">
        <x:v>9b0195410cc57c96</x:v>
      </x:c>
    </x:row>
    <x:row r="1816" ht="21" customHeight="1">
      <x:c r="A1816" s="60" t="n">
        <x:v>0.67</x:v>
      </x:c>
      <x:c r="B1816" s="28" t="str">
        <x:v>front_high</x:v>
      </x:c>
      <x:c r="C1816" s="60" t="n">
        <x:v>0.1</x:v>
      </x:c>
      <x:c r="D1816" s="60" t="n">
        <x:v>0.1</x:v>
      </x:c>
      <x:c r="E1816" s="62" t="b">
        <x:v>1</x:v>
      </x:c>
      <x:c r="F1816" s="62" t="b">
        <x:v>1</x:v>
      </x:c>
      <x:c r="G1816" s="85" t="n">
        <x:v>0</x:v>
      </x:c>
      <x:c r="H1816" s="85" t="n">
        <x:v>0</x:v>
      </x:c>
      <x:c r="I1816" s="85" t="n">
        <x:v>0</x:v>
      </x:c>
      <x:c r="J1816" s="85" t="n">
        <x:v>0</x:v>
      </x:c>
      <x:c r="K1816" s="85" t="n">
        <x:v>2216731.981159389</x:v>
      </x:c>
      <x:c r="L1816" s="28" t="n">
        <x:v>0</x:v>
      </x:c>
      <x:c r="M1816" s="28" t="n">
        <x:v>0</x:v>
      </x:c>
      <x:c r="N1816" s="28" t="n">
        <x:v>4.656612873077393e-10</x:v>
      </x:c>
      <x:c r="O1816" s="28" t="n">
        <x:v>7.450580596923828e-9</x:v>
      </x:c>
      <x:c r="P1816" s="28" t="n">
        <x:v>0</x:v>
      </x:c>
      <x:c r="Q1816" s="62" t="b">
        <x:v>1</x:v>
      </x:c>
      <x:c r="R1816" s="28" t="n">
        <x:v>0</x:v>
      </x:c>
      <x:c r="S1816" s="28" t="str">
        <x:v>35a535f3a08614fc</x:v>
      </x:c>
    </x:row>
    <x:row r="1817" ht="21" customHeight="1">
      <x:c r="A1817" s="60" t="n">
        <x:v>0.67</x:v>
      </x:c>
      <x:c r="B1817" s="28" t="str">
        <x:v>front_high</x:v>
      </x:c>
      <x:c r="C1817" s="60" t="n">
        <x:v>0.15</x:v>
      </x:c>
      <x:c r="D1817" s="60" t="n">
        <x:v>0.15</x:v>
      </x:c>
      <x:c r="E1817" s="62" t="b">
        <x:v>1</x:v>
      </x:c>
      <x:c r="F1817" s="62" t="b">
        <x:v>1</x:v>
      </x:c>
      <x:c r="G1817" s="85" t="n">
        <x:v>0</x:v>
      </x:c>
      <x:c r="H1817" s="85" t="n">
        <x:v>0</x:v>
      </x:c>
      <x:c r="I1817" s="85" t="n">
        <x:v>625982.9540939223</x:v>
      </x:c>
      <x:c r="J1817" s="85" t="n">
        <x:v>0</x:v>
      </x:c>
      <x:c r="K1817" s="85" t="n">
        <x:v>326601.0307861238</x:v>
      </x:c>
      <x:c r="L1817" s="28" t="n">
        <x:v>0</x:v>
      </x:c>
      <x:c r="M1817" s="28" t="n">
        <x:v>0</x:v>
      </x:c>
      <x:c r="N1817" s="28" t="n">
        <x:v>9.313225746154785e-10</x:v>
      </x:c>
      <x:c r="O1817" s="28" t="n">
        <x:v>7.450580596923828e-9</x:v>
      </x:c>
      <x:c r="P1817" s="28" t="n">
        <x:v>0</x:v>
      </x:c>
      <x:c r="Q1817" s="62" t="b">
        <x:v>1</x:v>
      </x:c>
      <x:c r="R1817" s="28" t="n">
        <x:v>0</x:v>
      </x:c>
      <x:c r="S1817" s="28" t="str">
        <x:v>6e32f58d842efe5f</x:v>
      </x:c>
    </x:row>
    <x:row r="1818" ht="21" customHeight="1">
      <x:c r="A1818" s="60" t="n">
        <x:v>0.67</x:v>
      </x:c>
      <x:c r="B1818" s="28" t="str">
        <x:v>front_high</x:v>
      </x:c>
      <x:c r="C1818" s="60" t="n">
        <x:v>0.2</x:v>
      </x:c>
      <x:c r="D1818" s="60" t="n">
        <x:v>0.2</x:v>
      </x:c>
      <x:c r="E1818" s="62" t="b">
        <x:v>1</x:v>
      </x:c>
      <x:c r="F1818" s="62" t="b">
        <x:v>1</x:v>
      </x:c>
      <x:c r="G1818" s="85" t="n">
        <x:v>0</x:v>
      </x:c>
      <x:c r="H1818" s="85" t="n">
        <x:v>0</x:v>
      </x:c>
      <x:c r="I1818" s="85" t="n">
        <x:v>2555283.6208482194</x:v>
      </x:c>
      <x:c r="J1818" s="85" t="n">
        <x:v>1254093.4388721085</x:v>
      </x:c>
      <x:c r="K1818" s="85" t="n">
        <x:v>184404.7710273984</x:v>
      </x:c>
      <x:c r="L1818" s="28" t="n">
        <x:v>0</x:v>
      </x:c>
      <x:c r="M1818" s="28" t="n">
        <x:v>0</x:v>
      </x:c>
      <x:c r="N1818" s="28" t="n">
        <x:v>4.656612873077393e-10</x:v>
      </x:c>
      <x:c r="O1818" s="28" t="n">
        <x:v>7.450580596923828e-9</x:v>
      </x:c>
      <x:c r="P1818" s="28" t="n">
        <x:v>0</x:v>
      </x:c>
      <x:c r="Q1818" s="62" t="b">
        <x:v>1</x:v>
      </x:c>
      <x:c r="R1818" s="28" t="n">
        <x:v>0</x:v>
      </x:c>
      <x:c r="S1818" s="28" t="str">
        <x:v>6d75bb9d672b77ed</x:v>
      </x:c>
    </x:row>
    <x:row r="1819" ht="21" customHeight="1">
      <x:c r="A1819" s="60" t="n">
        <x:v>0.67</x:v>
      </x:c>
      <x:c r="B1819" s="28" t="str">
        <x:v>front_high</x:v>
      </x:c>
      <x:c r="C1819" s="60" t="n">
        <x:v>0.25</x:v>
      </x:c>
      <x:c r="D1819" s="60" t="n">
        <x:v>0.25</x:v>
      </x:c>
      <x:c r="E1819" s="62" t="b">
        <x:v>1</x:v>
      </x:c>
      <x:c r="F1819" s="62" t="b">
        <x:v>1</x:v>
      </x:c>
      <x:c r="G1819" s="85" t="n">
        <x:v>0</x:v>
      </x:c>
      <x:c r="H1819" s="85" t="n">
        <x:v>0</x:v>
      </x:c>
      <x:c r="I1819" s="85" t="n">
        <x:v>4314388.346711232</x:v>
      </x:c>
      <x:c r="J1819" s="85" t="n">
        <x:v>2961216.7985901376</x:v>
      </x:c>
      <x:c r="K1819" s="85" t="n">
        <x:v>130277.06156506902</x:v>
      </x:c>
      <x:c r="L1819" s="28" t="n">
        <x:v>0</x:v>
      </x:c>
      <x:c r="M1819" s="28" t="n">
        <x:v>0</x:v>
      </x:c>
      <x:c r="N1819" s="28" t="n">
        <x:v>9.313225746154785e-10</x:v>
      </x:c>
      <x:c r="O1819" s="28" t="n">
        <x:v>3.725290298461914e-9</x:v>
      </x:c>
      <x:c r="P1819" s="28" t="n">
        <x:v>0</x:v>
      </x:c>
      <x:c r="Q1819" s="62" t="b">
        <x:v>1</x:v>
      </x:c>
      <x:c r="R1819" s="28" t="n">
        <x:v>0</x:v>
      </x:c>
      <x:c r="S1819" s="28" t="str">
        <x:v>cabb3d3f3130ccd7</x:v>
      </x:c>
    </x:row>
    <x:row r="1820" ht="21" customHeight="1">
      <x:c r="A1820" s="60" t="n">
        <x:v>0.67</x:v>
      </x:c>
      <x:c r="B1820" s="28" t="str">
        <x:v>front_high</x:v>
      </x:c>
      <x:c r="C1820" s="60" t="n">
        <x:v>0.3</x:v>
      </x:c>
      <x:c r="D1820" s="60" t="n">
        <x:v>0.3</x:v>
      </x:c>
      <x:c r="E1820" s="62" t="b">
        <x:v>1</x:v>
      </x:c>
      <x:c r="F1820" s="62" t="b">
        <x:v>1</x:v>
      </x:c>
      <x:c r="G1820" s="85" t="n">
        <x:v>0</x:v>
      </x:c>
      <x:c r="H1820" s="85" t="n">
        <x:v>0</x:v>
      </x:c>
      <x:c r="I1820" s="85" t="n">
        <x:v>6124347.3888096465</x:v>
      </x:c>
      <x:c r="J1820" s="85" t="n">
        <x:v>4668340.158308166</x:v>
      </x:c>
      <x:c r="K1820" s="85" t="n">
        <x:v>101529.80736301432</x:v>
      </x:c>
      <x:c r="L1820" s="28" t="n">
        <x:v>0</x:v>
      </x:c>
      <x:c r="M1820" s="28" t="n">
        <x:v>0</x:v>
      </x:c>
      <x:c r="N1820" s="28" t="n">
        <x:v>4.656612873077393e-10</x:v>
      </x:c>
      <x:c r="O1820" s="28" t="n">
        <x:v>7.450580596923828e-9</x:v>
      </x:c>
      <x:c r="P1820" s="28" t="n">
        <x:v>0</x:v>
      </x:c>
      <x:c r="Q1820" s="62" t="b">
        <x:v>1</x:v>
      </x:c>
      <x:c r="R1820" s="28" t="n">
        <x:v>0</x:v>
      </x:c>
      <x:c r="S1820" s="28" t="str">
        <x:v>2821f8e907fcbd15</x:v>
      </x:c>
    </x:row>
    <x:row r="1821" ht="21" customHeight="1">
      <x:c r="A1821" s="60" t="n">
        <x:v>0.67</x:v>
      </x:c>
      <x:c r="B1821" s="28" t="str">
        <x:v>front_high</x:v>
      </x:c>
      <x:c r="C1821" s="60" t="n">
        <x:v>0.35</x:v>
      </x:c>
      <x:c r="D1821" s="60" t="n">
        <x:v>0.35</x:v>
      </x:c>
      <x:c r="E1821" s="62" t="b">
        <x:v>1</x:v>
      </x:c>
      <x:c r="F1821" s="62" t="b">
        <x:v>1</x:v>
      </x:c>
      <x:c r="G1821" s="85" t="n">
        <x:v>0</x:v>
      </x:c>
      <x:c r="H1821" s="85" t="n">
        <x:v>0</x:v>
      </x:c>
      <x:c r="I1821" s="85" t="n">
        <x:v>7950775.366872124</x:v>
      </x:c>
      <x:c r="J1821" s="85" t="n">
        <x:v>6375463.518026184</x:v>
      </x:c>
      <x:c r="K1821" s="85" t="n">
        <x:v>83906.1720239732</x:v>
      </x:c>
      <x:c r="L1821" s="28" t="n">
        <x:v>0</x:v>
      </x:c>
      <x:c r="M1821" s="28" t="n">
        <x:v>0</x:v>
      </x:c>
      <x:c r="N1821" s="28" t="n">
        <x:v>2.3283064365386963e-10</x:v>
      </x:c>
      <x:c r="O1821" s="28" t="n">
        <x:v>7.450580596923828e-9</x:v>
      </x:c>
      <x:c r="P1821" s="28" t="n">
        <x:v>0</x:v>
      </x:c>
      <x:c r="Q1821" s="62" t="b">
        <x:v>1</x:v>
      </x:c>
      <x:c r="R1821" s="28" t="n">
        <x:v>0</x:v>
      </x:c>
      <x:c r="S1821" s="28" t="str">
        <x:v>1fb82c6c4dad4c91</x:v>
      </x:c>
    </x:row>
    <x:row r="1822" ht="21" customHeight="1">
      <x:c r="A1822" s="60" t="n">
        <x:v>0.67</x:v>
      </x:c>
      <x:c r="B1822" s="28" t="str">
        <x:v>front_high</x:v>
      </x:c>
      <x:c r="C1822" s="60" t="n">
        <x:v>0.4</x:v>
      </x:c>
      <x:c r="D1822" s="60" t="n">
        <x:v>0.4</x:v>
      </x:c>
      <x:c r="E1822" s="62" t="b">
        <x:v>1</x:v>
      </x:c>
      <x:c r="F1822" s="62" t="b">
        <x:v>1</x:v>
      </x:c>
      <x:c r="G1822" s="85" t="n">
        <x:v>0</x:v>
      </x:c>
      <x:c r="H1822" s="85" t="n">
        <x:v>0</x:v>
      </x:c>
      <x:c r="I1822" s="85" t="n">
        <x:v>9854318.7693642</x:v>
      </x:c>
      <x:c r="J1822" s="85" t="n">
        <x:v>6902556.53094883</x:v>
      </x:c>
      <x:c r="K1822" s="85" t="n">
        <x:v>66282.53668493159</x:v>
      </x:c>
      <x:c r="L1822" s="28" t="n">
        <x:v>5</x:v>
      </x:c>
      <x:c r="M1822" s="28" t="n">
        <x:v>0</x:v>
      </x:c>
      <x:c r="N1822" s="28" t="n">
        <x:v>4.656612873077393e-10</x:v>
      </x:c>
      <x:c r="O1822" s="28" t="n">
        <x:v>7.450580596923828e-9</x:v>
      </x:c>
      <x:c r="P1822" s="28" t="n">
        <x:v>0</x:v>
      </x:c>
      <x:c r="Q1822" s="62" t="b">
        <x:v>1</x:v>
      </x:c>
      <x:c r="R1822" s="28" t="n">
        <x:v>0</x:v>
      </x:c>
      <x:c r="S1822" s="28" t="str">
        <x:v>cc031263b561a795</x:v>
      </x:c>
    </x:row>
    <x:row r="1823" ht="21" customHeight="1">
      <x:c r="A1823" s="60" t="n">
        <x:v>0.67</x:v>
      </x:c>
      <x:c r="B1823" s="28" t="str">
        <x:v>front_high</x:v>
      </x:c>
      <x:c r="C1823" s="60" t="n">
        <x:v>0.45</x:v>
      </x:c>
      <x:c r="D1823" s="60" t="n">
        <x:v>0.45</x:v>
      </x:c>
      <x:c r="E1823" s="62" t="b">
        <x:v>1</x:v>
      </x:c>
      <x:c r="F1823" s="62" t="b">
        <x:v>1</x:v>
      </x:c>
      <x:c r="G1823" s="85" t="n">
        <x:v>0</x:v>
      </x:c>
      <x:c r="H1823" s="85" t="n">
        <x:v>0</x:v>
      </x:c>
      <x:c r="I1823" s="85" t="n">
        <x:v>11760133.791908465</x:v>
      </x:c>
      <x:c r="J1823" s="85" t="n">
        <x:v>7283532.929349891</x:v>
      </x:c>
      <x:c r="K1823" s="85" t="n">
        <x:v>48658.901345890925</x:v>
      </x:c>
      <x:c r="L1823" s="28" t="n">
        <x:v>11</x:v>
      </x:c>
      <x:c r="M1823" s="28" t="n">
        <x:v>0</x:v>
      </x:c>
      <x:c r="N1823" s="28" t="n">
        <x:v>2.3283064365386963e-10</x:v>
      </x:c>
      <x:c r="O1823" s="28" t="n">
        <x:v>3.725290298461914e-9</x:v>
      </x:c>
      <x:c r="P1823" s="28" t="n">
        <x:v>0</x:v>
      </x:c>
      <x:c r="Q1823" s="62" t="b">
        <x:v>1</x:v>
      </x:c>
      <x:c r="R1823" s="28" t="n">
        <x:v>0</x:v>
      </x:c>
      <x:c r="S1823" s="28" t="str">
        <x:v>0e497c5a56cb61ba</x:v>
      </x:c>
    </x:row>
    <x:row r="1824" ht="21" customHeight="1">
      <x:c r="A1824" s="60" t="n">
        <x:v>0.67</x:v>
      </x:c>
      <x:c r="B1824" s="28" t="str">
        <x:v>front_high</x:v>
      </x:c>
      <x:c r="C1824" s="60" t="n">
        <x:v>0.5</x:v>
      </x:c>
      <x:c r="D1824" s="60" t="n">
        <x:v>0.5</x:v>
      </x:c>
      <x:c r="E1824" s="62" t="b">
        <x:v>1</x:v>
      </x:c>
      <x:c r="F1824" s="62" t="b">
        <x:v>1</x:v>
      </x:c>
      <x:c r="G1824" s="85" t="n">
        <x:v>0</x:v>
      </x:c>
      <x:c r="H1824" s="85" t="n">
        <x:v>0</x:v>
      </x:c>
      <x:c r="I1824" s="85" t="n">
        <x:v>13689600.478729146</x:v>
      </x:c>
      <x:c r="J1824" s="85" t="n">
        <x:v>8683536.553747773</x:v>
      </x:c>
      <x:c r="K1824" s="85" t="n">
        <x:v>37019.34061643811</x:v>
      </x:c>
      <x:c r="L1824" s="28" t="n">
        <x:v>17</x:v>
      </x:c>
      <x:c r="M1824" s="28" t="n">
        <x:v>0</x:v>
      </x:c>
      <x:c r="N1824" s="28" t="n">
        <x:v>4.656612873077393e-10</x:v>
      </x:c>
      <x:c r="O1824" s="28" t="n">
        <x:v>7.450580596923828e-9</x:v>
      </x:c>
      <x:c r="P1824" s="28" t="n">
        <x:v>0</x:v>
      </x:c>
      <x:c r="Q1824" s="62" t="b">
        <x:v>1</x:v>
      </x:c>
      <x:c r="R1824" s="28" t="n">
        <x:v>0</x:v>
      </x:c>
      <x:c r="S1824" s="28" t="str">
        <x:v>f51d83937b42be29</x:v>
      </x:c>
    </x:row>
    <x:row r="1825" ht="21" customHeight="1">
      <x:c r="A1825" s="60" t="n">
        <x:v>0.67</x:v>
      </x:c>
      <x:c r="B1825" s="28" t="str">
        <x:v>front_high</x:v>
      </x:c>
      <x:c r="C1825" s="60" t="n">
        <x:v>0.55</x:v>
      </x:c>
      <x:c r="D1825" s="60" t="n">
        <x:v>0.55</x:v>
      </x:c>
      <x:c r="E1825" s="62" t="b">
        <x:v>1</x:v>
      </x:c>
      <x:c r="F1825" s="62" t="b">
        <x:v>1</x:v>
      </x:c>
      <x:c r="G1825" s="85" t="n">
        <x:v>0</x:v>
      </x:c>
      <x:c r="H1825" s="85" t="n">
        <x:v>0</x:v>
      </x:c>
      <x:c r="I1825" s="85" t="n">
        <x:v>15464664.027553342</x:v>
      </x:c>
      <x:c r="J1825" s="85" t="n">
        <x:v>10876966.35373152</x:v>
      </x:c>
      <x:c r="K1825" s="85" t="n">
        <x:v>31121.75928082181</x:v>
      </x:c>
      <x:c r="L1825" s="28" t="n">
        <x:v>21</x:v>
      </x:c>
      <x:c r="M1825" s="28" t="n">
        <x:v>8</x:v>
      </x:c>
      <x:c r="N1825" s="28" t="n">
        <x:v>4.656612873077393e-10</x:v>
      </x:c>
      <x:c r="O1825" s="28" t="n">
        <x:v>3.725290298461914e-9</x:v>
      </x:c>
      <x:c r="P1825" s="28" t="n">
        <x:v>0</x:v>
      </x:c>
      <x:c r="Q1825" s="62" t="b">
        <x:v>1</x:v>
      </x:c>
      <x:c r="R1825" s="28" t="n">
        <x:v>0</x:v>
      </x:c>
      <x:c r="S1825" s="28" t="str">
        <x:v>6361ebd788d7f45b</x:v>
      </x:c>
    </x:row>
    <x:row r="1826" ht="21" customHeight="1">
      <x:c r="A1826" s="60" t="n">
        <x:v>0.67</x:v>
      </x:c>
      <x:c r="B1826" s="28" t="str">
        <x:v>front_high</x:v>
      </x:c>
      <x:c r="C1826" s="60" t="n">
        <x:v>0.6</x:v>
      </x:c>
      <x:c r="D1826" s="60" t="n">
        <x:v>0.6</x:v>
      </x:c>
      <x:c r="E1826" s="62" t="b">
        <x:v>1</x:v>
      </x:c>
      <x:c r="F1826" s="62" t="b">
        <x:v>0</x:v>
      </x:c>
      <x:c r="G1826" s="85" t="n">
        <x:v>79004.07607228901</x:v>
      </x:c>
      <x:c r="H1826" s="85" t="n">
        <x:v>242918.21036710462</x:v>
      </x:c>
      <x:c r="I1826" s="85" t="n">
        <x:v>16983918.07679726</x:v>
      </x:c>
      <x:c r="J1826" s="85" t="n">
        <x:v>12821119.999999998</x:v>
      </x:c>
      <x:c r="K1826" s="85" t="n">
        <x:v>25224.177945205745</x:v>
      </x:c>
      <x:c r="L1826" s="28" t="n">
        <x:v>46</x:v>
      </x:c>
      <x:c r="M1826" s="28" t="n">
        <x:v>38</x:v>
      </x:c>
      <x:c r="N1826" s="28" t="n">
        <x:v>4.656612873077393e-10</x:v>
      </x:c>
      <x:c r="O1826" s="28" t="n">
        <x:v>3.725290298461914e-9</x:v>
      </x:c>
      <x:c r="P1826" s="28" t="n">
        <x:v>0</x:v>
      </x:c>
      <x:c r="Q1826" s="62" t="b">
        <x:v>1</x:v>
      </x:c>
      <x:c r="R1826" s="28" t="n">
        <x:v>0</x:v>
      </x:c>
      <x:c r="S1826" s="28" t="str">
        <x:v>2befb872ba47fc92</x:v>
      </x:c>
    </x:row>
    <x:row r="1827" ht="21" customHeight="1">
      <x:c r="A1827" s="60" t="n">
        <x:v>0.67</x:v>
      </x:c>
      <x:c r="B1827" s="28" t="str">
        <x:v>front_high</x:v>
      </x:c>
      <x:c r="C1827" s="60" t="n">
        <x:v>0.65</x:v>
      </x:c>
      <x:c r="D1827" s="60" t="n">
        <x:v>0.65</x:v>
      </x:c>
      <x:c r="E1827" s="62" t="b">
        <x:v>1</x:v>
      </x:c>
      <x:c r="F1827" s="62" t="b">
        <x:v>0</x:v>
      </x:c>
      <x:c r="G1827" s="85" t="n">
        <x:v>1075031.1242883212</x:v>
      </x:c>
      <x:c r="H1827" s="85" t="n">
        <x:v>3340541.1869380684</x:v>
      </x:c>
      <x:c r="I1827" s="85" t="n">
        <x:v>16995745.758603428</x:v>
      </x:c>
      <x:c r="J1827" s="85" t="n">
        <x:v>12821119.999999998</x:v>
      </x:c>
      <x:c r="K1827" s="85" t="n">
        <x:v>19326.596609589214</x:v>
      </x:c>
      <x:c r="L1827" s="28" t="n">
        <x:v>46</x:v>
      </x:c>
      <x:c r="M1827" s="28" t="n">
        <x:v>42</x:v>
      </x:c>
      <x:c r="N1827" s="28" t="n">
        <x:v>2.3283064365386963e-10</x:v>
      </x:c>
      <x:c r="O1827" s="28" t="n">
        <x:v>3.725290298461914e-9</x:v>
      </x:c>
      <x:c r="P1827" s="28" t="n">
        <x:v>0</x:v>
      </x:c>
      <x:c r="Q1827" s="62" t="b">
        <x:v>1</x:v>
      </x:c>
      <x:c r="R1827" s="28" t="n">
        <x:v>0</x:v>
      </x:c>
      <x:c r="S1827" s="28" t="str">
        <x:v>bbe38cca5d28d28c</x:v>
      </x:c>
    </x:row>
    <x:row r="1828" ht="21" customHeight="1">
      <x:c r="A1828" s="60" t="n">
        <x:v>0.67</x:v>
      </x:c>
      <x:c r="B1828" s="28" t="str">
        <x:v>front_high</x:v>
      </x:c>
      <x:c r="C1828" s="60" t="n">
        <x:v>0.7</x:v>
      </x:c>
      <x:c r="D1828" s="60" t="n">
        <x:v>0.7</x:v>
      </x:c>
      <x:c r="E1828" s="62" t="b">
        <x:v>1</x:v>
      </x:c>
      <x:c r="F1828" s="62" t="b">
        <x:v>0</x:v>
      </x:c>
      <x:c r="G1828" s="85" t="n">
        <x:v>2062528.5810693135</x:v>
      </x:c>
      <x:c r="H1828" s="85" t="n">
        <x:v>6223612.69647123</x:v>
      </x:c>
      <x:c r="I1828" s="85" t="n">
        <x:v>17007573.44040959</x:v>
      </x:c>
      <x:c r="J1828" s="85" t="n">
        <x:v>12821119.999999998</x:v>
      </x:c>
      <x:c r="K1828" s="85" t="n">
        <x:v>13429.01527397245</x:v>
      </x:c>
      <x:c r="L1828" s="28" t="n">
        <x:v>46</x:v>
      </x:c>
      <x:c r="M1828" s="28" t="n">
        <x:v>44</x:v>
      </x:c>
      <x:c r="N1828" s="28" t="n">
        <x:v>4.656612873077393e-10</x:v>
      </x:c>
      <x:c r="O1828" s="28" t="n">
        <x:v>1.862645149230957e-9</x:v>
      </x:c>
      <x:c r="P1828" s="28" t="n">
        <x:v>0</x:v>
      </x:c>
      <x:c r="Q1828" s="62" t="b">
        <x:v>1</x:v>
      </x:c>
      <x:c r="R1828" s="28" t="n">
        <x:v>0</x:v>
      </x:c>
      <x:c r="S1828" s="28" t="str">
        <x:v>2129c47f60767c71</x:v>
      </x:c>
    </x:row>
    <x:row r="1829" ht="21" customHeight="1">
      <x:c r="A1829" s="60" t="n">
        <x:v>0.67</x:v>
      </x:c>
      <x:c r="B1829" s="28" t="str">
        <x:v>front_high</x:v>
      </x:c>
      <x:c r="C1829" s="60" t="n">
        <x:v>0.75</x:v>
      </x:c>
      <x:c r="D1829" s="60" t="n">
        <x:v>0.75</x:v>
      </x:c>
      <x:c r="E1829" s="62" t="b">
        <x:v>1</x:v>
      </x:c>
      <x:c r="F1829" s="62" t="b">
        <x:v>0</x:v>
      </x:c>
      <x:c r="G1829" s="85" t="n">
        <x:v>3140096.6946396613</x:v>
      </x:c>
      <x:c r="H1829" s="85" t="n">
        <x:v>8991561.082053157</x:v>
      </x:c>
      <x:c r="I1829" s="85" t="n">
        <x:v>17019401.122215755</x:v>
      </x:c>
      <x:c r="J1829" s="85" t="n">
        <x:v>12821119.999999998</x:v>
      </x:c>
      <x:c r="K1829" s="85" t="n">
        <x:v>7531.433938355687</x:v>
      </x:c>
      <x:c r="L1829" s="28" t="n">
        <x:v>46</x:v>
      </x:c>
      <x:c r="M1829" s="28" t="n">
        <x:v>44</x:v>
      </x:c>
      <x:c r="N1829" s="28" t="n">
        <x:v>4.656612873077393e-10</x:v>
      </x:c>
      <x:c r="O1829" s="28" t="n">
        <x:v>3.725290298461914e-9</x:v>
      </x:c>
      <x:c r="P1829" s="28" t="n">
        <x:v>0</x:v>
      </x:c>
      <x:c r="Q1829" s="62" t="b">
        <x:v>1</x:v>
      </x:c>
      <x:c r="R1829" s="28" t="n">
        <x:v>0</x:v>
      </x:c>
      <x:c r="S1829" s="28" t="str">
        <x:v>115181239b63541a</x:v>
      </x:c>
    </x:row>
    <x:row r="1830" ht="21" customHeight="1">
      <x:c r="A1830" s="60" t="n">
        <x:v>0.67</x:v>
      </x:c>
      <x:c r="B1830" s="28" t="str">
        <x:v>front_high</x:v>
      </x:c>
      <x:c r="C1830" s="60" t="n">
        <x:v>0.8</x:v>
      </x:c>
      <x:c r="D1830" s="60" t="n">
        <x:v>0.8</x:v>
      </x:c>
      <x:c r="E1830" s="62" t="b">
        <x:v>1</x:v>
      </x:c>
      <x:c r="F1830" s="62" t="b">
        <x:v>0</x:v>
      </x:c>
      <x:c r="G1830" s="85" t="n">
        <x:v>4229125.520268917</x:v>
      </x:c>
      <x:c r="H1830" s="85" t="n">
        <x:v>11623705.653081194</x:v>
      </x:c>
      <x:c r="I1830" s="85" t="n">
        <x:v>17031228.80402192</x:v>
      </x:c>
      <x:c r="J1830" s="85" t="n">
        <x:v>12821119.999999998</x:v>
      </x:c>
      <x:c r="K1830" s="85" t="n">
        <x:v>1633.8526027400876</x:v>
      </x:c>
      <x:c r="L1830" s="28" t="n">
        <x:v>46</x:v>
      </x:c>
      <x:c r="M1830" s="28" t="n">
        <x:v>45</x:v>
      </x:c>
      <x:c r="N1830" s="28" t="n">
        <x:v>2.3283064365386963e-10</x:v>
      </x:c>
      <x:c r="O1830" s="28" t="n">
        <x:v>3.725290298461914e-9</x:v>
      </x:c>
      <x:c r="P1830" s="28" t="n">
        <x:v>0</x:v>
      </x:c>
      <x:c r="Q1830" s="62" t="b">
        <x:v>1</x:v>
      </x:c>
      <x:c r="R1830" s="28" t="n">
        <x:v>0</x:v>
      </x:c>
      <x:c r="S1830" s="28" t="str">
        <x:v>366452e7a68644c9</x:v>
      </x:c>
    </x:row>
    <x:row r="1831" ht="21" customHeight="1">
      <x:c r="A1831" s="60" t="n">
        <x:v>0.67</x:v>
      </x:c>
      <x:c r="B1831" s="28" t="str">
        <x:v>front_high</x:v>
      </x:c>
      <x:c r="C1831" s="60" t="n">
        <x:v>0.85</x:v>
      </x:c>
      <x:c r="D1831" s="60" t="n">
        <x:v>0.85</x:v>
      </x:c>
      <x:c r="E1831" s="62" t="b">
        <x:v>1</x:v>
      </x:c>
      <x:c r="F1831" s="62" t="b">
        <x:v>0</x:v>
      </x:c>
      <x:c r="G1831" s="85" t="n">
        <x:v>5165465.736872955</x:v>
      </x:c>
      <x:c r="H1831" s="85" t="n">
        <x:v>13773023.470822014</x:v>
      </x:c>
      <x:c r="I1831" s="85" t="n">
        <x:v>17341706.406575345</x:v>
      </x:c>
      <x:c r="J1831" s="85" t="n">
        <x:v>12821119.999999998</x:v>
      </x:c>
      <x:c r="K1831" s="85" t="n">
        <x:v>0</x:v>
      </x:c>
      <x:c r="L1831" s="28" t="n">
        <x:v>47</x:v>
      </x:c>
      <x:c r="M1831" s="28" t="n">
        <x:v>45</x:v>
      </x:c>
      <x:c r="N1831" s="28" t="n">
        <x:v>4.656612873077393e-10</x:v>
      </x:c>
      <x:c r="O1831" s="28" t="n">
        <x:v>1.862645149230957e-9</x:v>
      </x:c>
      <x:c r="P1831" s="28" t="n">
        <x:v>0</x:v>
      </x:c>
      <x:c r="Q1831" s="62" t="b">
        <x:v>1</x:v>
      </x:c>
      <x:c r="R1831" s="28" t="n">
        <x:v>0</x:v>
      </x:c>
      <x:c r="S1831" s="28" t="str">
        <x:v>21b69a56ff0f8735</x:v>
      </x:c>
    </x:row>
    <x:row r="1832" ht="21" customHeight="1">
      <x:c r="A1832" s="60" t="n">
        <x:v>0.67</x:v>
      </x:c>
      <x:c r="B1832" s="28" t="str">
        <x:v>front_high</x:v>
      </x:c>
      <x:c r="C1832" s="60" t="n">
        <x:v>0.9</x:v>
      </x:c>
      <x:c r="D1832" s="60" t="n">
        <x:v>0.9</x:v>
      </x:c>
      <x:c r="E1832" s="62" t="b">
        <x:v>1</x:v>
      </x:c>
      <x:c r="F1832" s="62" t="b">
        <x:v>0</x:v>
      </x:c>
      <x:c r="G1832" s="85" t="n">
        <x:v>6802876.743406203</x:v>
      </x:c>
      <x:c r="H1832" s="85" t="n">
        <x:v>15954262.086257247</x:v>
      </x:c>
      <x:c r="I1832" s="85" t="n">
        <x:v>17341706.406575345</x:v>
      </x:c>
      <x:c r="J1832" s="85" t="n">
        <x:v>12821119.999999998</x:v>
      </x:c>
      <x:c r="K1832" s="85" t="n">
        <x:v>0</x:v>
      </x:c>
      <x:c r="L1832" s="28" t="n">
        <x:v>47</x:v>
      </x:c>
      <x:c r="M1832" s="28" t="n">
        <x:v>45</x:v>
      </x:c>
      <x:c r="N1832" s="28" t="n">
        <x:v>4.656612873077393e-10</x:v>
      </x:c>
      <x:c r="O1832" s="28" t="n">
        <x:v>3.725290298461914e-9</x:v>
      </x:c>
      <x:c r="P1832" s="28" t="n">
        <x:v>0</x:v>
      </x:c>
      <x:c r="Q1832" s="62" t="b">
        <x:v>1</x:v>
      </x:c>
      <x:c r="R1832" s="28" t="n">
        <x:v>0</x:v>
      </x:c>
      <x:c r="S1832" s="28" t="str">
        <x:v>3c275831f9c48efe</x:v>
      </x:c>
    </x:row>
    <x:row r="1833" ht="21" customHeight="1">
      <x:c r="A1833" s="60" t="n">
        <x:v>0.67</x:v>
      </x:c>
      <x:c r="B1833" s="28" t="str">
        <x:v>front_high</x:v>
      </x:c>
      <x:c r="C1833" s="60" t="n">
        <x:v>0.95</x:v>
      </x:c>
      <x:c r="D1833" s="60" t="n">
        <x:v>0.9427119459478259</x:v>
      </x:c>
      <x:c r="E1833" s="62" t="b">
        <x:v>0</x:v>
      </x:c>
      <x:c r="F1833" s="62" t="b">
        <x:v>0</x:v>
      </x:c>
      <x:c r="G1833" s="85" t="n">
        <x:v>7761601.767433902</x:v>
      </x:c>
      <x:c r="H1833" s="85" t="n">
        <x:v>17473106.47435686</x:v>
      </x:c>
      <x:c r="I1833" s="85" t="n">
        <x:v>17341706.406575345</x:v>
      </x:c>
      <x:c r="J1833" s="85" t="n">
        <x:v>12821119.999999998</x:v>
      </x:c>
      <x:c r="K1833" s="85" t="n">
        <x:v>0</x:v>
      </x:c>
      <x:c r="L1833" s="28" t="n">
        <x:v>47</x:v>
      </x:c>
      <x:c r="M1833" s="28" t="n">
        <x:v>45</x:v>
      </x:c>
      <x:c r="N1833" s="28" t="n">
        <x:v>2.3283064365386963e-10</x:v>
      </x:c>
      <x:c r="O1833" s="28" t="n">
        <x:v>1.862645149230957e-9</x:v>
      </x:c>
      <x:c r="P1833" s="28" t="n">
        <x:v>0</x:v>
      </x:c>
      <x:c r="Q1833" s="62" t="b">
        <x:v>1</x:v>
      </x:c>
      <x:c r="R1833" s="28" t="n">
        <x:v>406265.28508438915</x:v>
      </x:c>
      <x:c r="S1833" s="28" t="str">
        <x:v>0307597437c7c56d</x:v>
      </x:c>
    </x:row>
    <x:row r="1834" ht="21" customHeight="1">
      <x:c r="A1834" s="60" t="n">
        <x:v>0.67</x:v>
      </x:c>
      <x:c r="B1834" s="28" t="str">
        <x:v>front_high</x:v>
      </x:c>
      <x:c r="C1834" s="60" t="n">
        <x:v>1</x:v>
      </x:c>
      <x:c r="D1834" s="60" t="n">
        <x:v>0.9596721012870685</x:v>
      </x:c>
      <x:c r="E1834" s="62" t="b">
        <x:v>0</x:v>
      </x:c>
      <x:c r="F1834" s="62" t="b">
        <x:v>0</x:v>
      </x:c>
      <x:c r="G1834" s="85" t="n">
        <x:v>8588210.625322614</x:v>
      </x:c>
      <x:c r="H1834" s="85" t="n">
        <x:v>18279593.17902181</x:v>
      </x:c>
      <x:c r="I1834" s="85" t="n">
        <x:v>17343045.23547945</x:v>
      </x:c>
      <x:c r="J1834" s="85" t="n">
        <x:v>12821119.999999998</x:v>
      </x:c>
      <x:c r="K1834" s="85" t="n">
        <x:v>0</x:v>
      </x:c>
      <x:c r="L1834" s="28" t="n">
        <x:v>47</x:v>
      </x:c>
      <x:c r="M1834" s="28" t="n">
        <x:v>45</x:v>
      </x:c>
      <x:c r="N1834" s="28" t="n">
        <x:v>2.3283064365386963e-10</x:v>
      </x:c>
      <x:c r="O1834" s="28" t="n">
        <x:v>1.862645149230957e-9</x:v>
      </x:c>
      <x:c r="P1834" s="28" t="n">
        <x:v>0</x:v>
      </x:c>
      <x:c r="Q1834" s="62" t="b">
        <x:v>1</x:v>
      </x:c>
      <x:c r="R1834" s="28" t="n">
        <x:v>2248038.3858536556</x:v>
      </x:c>
      <x:c r="S1834" s="28" t="str">
        <x:v>1fb3b001554b8c48</x:v>
      </x:c>
    </x:row>
    <x:row r="1835" ht="21" customHeight="1">
      <x:c r="A1835" s="60" t="n">
        <x:v>0.67</x:v>
      </x:c>
      <x:c r="B1835" s="28" t="str">
        <x:v>middle_flat</x:v>
      </x:c>
      <x:c r="C1835" s="60" t="n">
        <x:v>0</x:v>
      </x:c>
      <x:c r="D1835" s="60" t="n">
        <x:v>0</x:v>
      </x:c>
      <x:c r="E1835" s="62" t="b">
        <x:v>1</x:v>
      </x:c>
      <x:c r="F1835" s="62" t="b">
        <x:v>1</x:v>
      </x:c>
      <x:c r="G1835" s="85" t="n">
        <x:v>0</x:v>
      </x:c>
      <x:c r="H1835" s="85" t="n">
        <x:v>0</x:v>
      </x:c>
      <x:c r="I1835" s="85" t="n">
        <x:v>0</x:v>
      </x:c>
      <x:c r="J1835" s="85" t="n">
        <x:v>0</x:v>
      </x:c>
      <x:c r="K1835" s="85" t="n">
        <x:v>6483314.930849321</x:v>
      </x:c>
      <x:c r="L1835" s="28" t="n">
        <x:v>0</x:v>
      </x:c>
      <x:c r="M1835" s="28" t="n">
        <x:v>0</x:v>
      </x:c>
      <x:c r="N1835" s="28" t="n">
        <x:v>9.313225746154785e-10</x:v>
      </x:c>
      <x:c r="O1835" s="28" t="n">
        <x:v>0</x:v>
      </x:c>
      <x:c r="P1835" s="28" t="n">
        <x:v>0</x:v>
      </x:c>
      <x:c r="Q1835" s="62" t="b">
        <x:v>1</x:v>
      </x:c>
      <x:c r="R1835" s="28" t="n">
        <x:v>0</x:v>
      </x:c>
      <x:c r="S1835" s="28" t="str">
        <x:v>225399cc3cab1106</x:v>
      </x:c>
    </x:row>
    <x:row r="1836" ht="21" customHeight="1">
      <x:c r="A1836" s="60" t="n">
        <x:v>0.67</x:v>
      </x:c>
      <x:c r="B1836" s="28" t="str">
        <x:v>middle_flat</x:v>
      </x:c>
      <x:c r="C1836" s="60" t="n">
        <x:v>0.05</x:v>
      </x:c>
      <x:c r="D1836" s="60" t="n">
        <x:v>0.05</x:v>
      </x:c>
      <x:c r="E1836" s="62" t="b">
        <x:v>1</x:v>
      </x:c>
      <x:c r="F1836" s="62" t="b">
        <x:v>1</x:v>
      </x:c>
      <x:c r="G1836" s="85" t="n">
        <x:v>0</x:v>
      </x:c>
      <x:c r="H1836" s="85" t="n">
        <x:v>0</x:v>
      </x:c>
      <x:c r="I1836" s="85" t="n">
        <x:v>0</x:v>
      </x:c>
      <x:c r="J1836" s="85" t="n">
        <x:v>0</x:v>
      </x:c>
      <x:c r="K1836" s="85" t="n">
        <x:v>4251637.2060263995</x:v>
      </x:c>
      <x:c r="L1836" s="28" t="n">
        <x:v>0</x:v>
      </x:c>
      <x:c r="M1836" s="28" t="n">
        <x:v>0</x:v>
      </x:c>
      <x:c r="N1836" s="28" t="n">
        <x:v>9.313225746154785e-10</x:v>
      </x:c>
      <x:c r="O1836" s="28" t="n">
        <x:v>7.450580596923828e-9</x:v>
      </x:c>
      <x:c r="P1836" s="28" t="n">
        <x:v>0</x:v>
      </x:c>
      <x:c r="Q1836" s="62" t="b">
        <x:v>1</x:v>
      </x:c>
      <x:c r="R1836" s="28" t="n">
        <x:v>0</x:v>
      </x:c>
      <x:c r="S1836" s="28" t="str">
        <x:v>cb29c08ded5f578f</x:v>
      </x:c>
    </x:row>
    <x:row r="1837" ht="21" customHeight="1">
      <x:c r="A1837" s="60" t="n">
        <x:v>0.67</x:v>
      </x:c>
      <x:c r="B1837" s="28" t="str">
        <x:v>middle_flat</x:v>
      </x:c>
      <x:c r="C1837" s="60" t="n">
        <x:v>0.1</x:v>
      </x:c>
      <x:c r="D1837" s="60" t="n">
        <x:v>0.1</x:v>
      </x:c>
      <x:c r="E1837" s="62" t="b">
        <x:v>1</x:v>
      </x:c>
      <x:c r="F1837" s="62" t="b">
        <x:v>1</x:v>
      </x:c>
      <x:c r="G1837" s="85" t="n">
        <x:v>0</x:v>
      </x:c>
      <x:c r="H1837" s="85" t="n">
        <x:v>0</x:v>
      </x:c>
      <x:c r="I1837" s="85" t="n">
        <x:v>0</x:v>
      </x:c>
      <x:c r="J1837" s="85" t="n">
        <x:v>0</x:v>
      </x:c>
      <x:c r="K1837" s="85" t="n">
        <x:v>2019653.4046250791</x:v>
      </x:c>
      <x:c r="L1837" s="28" t="n">
        <x:v>0</x:v>
      </x:c>
      <x:c r="M1837" s="28" t="n">
        <x:v>0</x:v>
      </x:c>
      <x:c r="N1837" s="28" t="n">
        <x:v>2.3283064365386963e-10</x:v>
      </x:c>
      <x:c r="O1837" s="28" t="n">
        <x:v>7.450580596923828e-9</x:v>
      </x:c>
      <x:c r="P1837" s="28" t="n">
        <x:v>0</x:v>
      </x:c>
      <x:c r="Q1837" s="62" t="b">
        <x:v>1</x:v>
      </x:c>
      <x:c r="R1837" s="28" t="n">
        <x:v>0</x:v>
      </x:c>
      <x:c r="S1837" s="28" t="str">
        <x:v>06fa84569c10703c</x:v>
      </x:c>
    </x:row>
    <x:row r="1838" ht="21" customHeight="1">
      <x:c r="A1838" s="60" t="n">
        <x:v>0.67</x:v>
      </x:c>
      <x:c r="B1838" s="28" t="str">
        <x:v>middle_flat</x:v>
      </x:c>
      <x:c r="C1838" s="60" t="n">
        <x:v>0.15</x:v>
      </x:c>
      <x:c r="D1838" s="60" t="n">
        <x:v>0.15</x:v>
      </x:c>
      <x:c r="E1838" s="62" t="b">
        <x:v>1</x:v>
      </x:c>
      <x:c r="F1838" s="62" t="b">
        <x:v>1</x:v>
      </x:c>
      <x:c r="G1838" s="85" t="n">
        <x:v>0</x:v>
      </x:c>
      <x:c r="H1838" s="85" t="n">
        <x:v>0</x:v>
      </x:c>
      <x:c r="I1838" s="85" t="n">
        <x:v>501326.33336971025</x:v>
      </x:c>
      <x:c r="J1838" s="85" t="n">
        <x:v>0</x:v>
      </x:c>
      <x:c r="K1838" s="85" t="n">
        <x:v>382231.2070421902</x:v>
      </x:c>
      <x:c r="L1838" s="28" t="n">
        <x:v>0</x:v>
      </x:c>
      <x:c r="M1838" s="28" t="n">
        <x:v>0</x:v>
      </x:c>
      <x:c r="N1838" s="28" t="n">
        <x:v>4.656612873077393e-10</x:v>
      </x:c>
      <x:c r="O1838" s="28" t="n">
        <x:v>7.450580596923828e-9</x:v>
      </x:c>
      <x:c r="P1838" s="28" t="n">
        <x:v>0</x:v>
      </x:c>
      <x:c r="Q1838" s="62" t="b">
        <x:v>1</x:v>
      </x:c>
      <x:c r="R1838" s="28" t="n">
        <x:v>0</x:v>
      </x:c>
      <x:c r="S1838" s="28" t="str">
        <x:v>9778831da94f8763</x:v>
      </x:c>
    </x:row>
    <x:row r="1839" ht="21" customHeight="1">
      <x:c r="A1839" s="60" t="n">
        <x:v>0.67</x:v>
      </x:c>
      <x:c r="B1839" s="28" t="str">
        <x:v>middle_flat</x:v>
      </x:c>
      <x:c r="C1839" s="60" t="n">
        <x:v>0.2</x:v>
      </x:c>
      <x:c r="D1839" s="60" t="n">
        <x:v>0.2</x:v>
      </x:c>
      <x:c r="E1839" s="62" t="b">
        <x:v>1</x:v>
      </x:c>
      <x:c r="F1839" s="62" t="b">
        <x:v>1</x:v>
      </x:c>
      <x:c r="G1839" s="85" t="n">
        <x:v>0</x:v>
      </x:c>
      <x:c r="H1839" s="85" t="n">
        <x:v>0</x:v>
      </x:c>
      <x:c r="I1839" s="85" t="n">
        <x:v>1959550.5877986548</x:v>
      </x:c>
      <x:c r="J1839" s="85" t="n">
        <x:v>1253157.2790409003</x:v>
      </x:c>
      <x:c r="K1839" s="85" t="n">
        <x:v>302381.63503528835</x:v>
      </x:c>
      <x:c r="L1839" s="28" t="n">
        <x:v>0</x:v>
      </x:c>
      <x:c r="M1839" s="28" t="n">
        <x:v>0</x:v>
      </x:c>
      <x:c r="N1839" s="28" t="n">
        <x:v>2.3283064365386963e-10</x:v>
      </x:c>
      <x:c r="O1839" s="28" t="n">
        <x:v>7.450580596923828e-9</x:v>
      </x:c>
      <x:c r="P1839" s="28" t="n">
        <x:v>0</x:v>
      </x:c>
      <x:c r="Q1839" s="62" t="b">
        <x:v>1</x:v>
      </x:c>
      <x:c r="R1839" s="28" t="n">
        <x:v>0</x:v>
      </x:c>
      <x:c r="S1839" s="28" t="str">
        <x:v>eeedd37c2b336220</x:v>
      </x:c>
    </x:row>
    <x:row r="1840" ht="21" customHeight="1">
      <x:c r="A1840" s="60" t="n">
        <x:v>0.67</x:v>
      </x:c>
      <x:c r="B1840" s="28" t="str">
        <x:v>middle_flat</x:v>
      </x:c>
      <x:c r="C1840" s="60" t="n">
        <x:v>0.25</x:v>
      </x:c>
      <x:c r="D1840" s="60" t="n">
        <x:v>0.25</x:v>
      </x:c>
      <x:c r="E1840" s="62" t="b">
        <x:v>1</x:v>
      </x:c>
      <x:c r="F1840" s="62" t="b">
        <x:v>1</x:v>
      </x:c>
      <x:c r="G1840" s="85" t="n">
        <x:v>0</x:v>
      </x:c>
      <x:c r="H1840" s="85" t="n">
        <x:v>0</x:v>
      </x:c>
      <x:c r="I1840" s="85" t="n">
        <x:v>3120667.4145811857</x:v>
      </x:c>
      <x:c r="J1840" s="85" t="n">
        <x:v>2960046.598801145</x:v>
      </x:c>
      <x:c r="K1840" s="85" t="n">
        <x:v>242969.01428726088</x:v>
      </x:c>
      <x:c r="L1840" s="28" t="n">
        <x:v>0</x:v>
      </x:c>
      <x:c r="M1840" s="28" t="n">
        <x:v>0</x:v>
      </x:c>
      <x:c r="N1840" s="28" t="n">
        <x:v>4.656612873077393e-10</x:v>
      </x:c>
      <x:c r="O1840" s="28" t="n">
        <x:v>7.450580596923828e-9</x:v>
      </x:c>
      <x:c r="P1840" s="28" t="n">
        <x:v>0</x:v>
      </x:c>
      <x:c r="Q1840" s="62" t="b">
        <x:v>1</x:v>
      </x:c>
      <x:c r="R1840" s="28" t="n">
        <x:v>0</x:v>
      </x:c>
      <x:c r="S1840" s="28" t="str">
        <x:v>c46497d6fd3474fe</x:v>
      </x:c>
    </x:row>
    <x:row r="1841" ht="21" customHeight="1">
      <x:c r="A1841" s="60" t="n">
        <x:v>0.67</x:v>
      </x:c>
      <x:c r="B1841" s="28" t="str">
        <x:v>middle_flat</x:v>
      </x:c>
      <x:c r="C1841" s="60" t="n">
        <x:v>0.3</x:v>
      </x:c>
      <x:c r="D1841" s="60" t="n">
        <x:v>0.3</x:v>
      </x:c>
      <x:c r="E1841" s="62" t="b">
        <x:v>1</x:v>
      </x:c>
      <x:c r="F1841" s="62" t="b">
        <x:v>1</x:v>
      </x:c>
      <x:c r="G1841" s="85" t="n">
        <x:v>0</x:v>
      </x:c>
      <x:c r="H1841" s="85" t="n">
        <x:v>0</x:v>
      </x:c>
      <x:c r="I1841" s="85" t="n">
        <x:v>4303527.493968649</x:v>
      </x:c>
      <x:c r="J1841" s="85" t="n">
        <x:v>4666935.918561366</x:v>
      </x:c>
      <x:c r="K1841" s="85" t="n">
        <x:v>199864.5128893711</x:v>
      </x:c>
      <x:c r="L1841" s="28" t="n">
        <x:v>0</x:v>
      </x:c>
      <x:c r="M1841" s="28" t="n">
        <x:v>0</x:v>
      </x:c>
      <x:c r="N1841" s="28" t="n">
        <x:v>4.656612873077393e-10</x:v>
      </x:c>
      <x:c r="O1841" s="28" t="n">
        <x:v>7.450580596923828e-9</x:v>
      </x:c>
      <x:c r="P1841" s="28" t="n">
        <x:v>0</x:v>
      </x:c>
      <x:c r="Q1841" s="62" t="b">
        <x:v>1</x:v>
      </x:c>
      <x:c r="R1841" s="28" t="n">
        <x:v>0</x:v>
      </x:c>
      <x:c r="S1841" s="28" t="str">
        <x:v>8ba10ad457398024</x:v>
      </x:c>
    </x:row>
    <x:row r="1842" ht="21" customHeight="1">
      <x:c r="A1842" s="60" t="n">
        <x:v>0.67</x:v>
      </x:c>
      <x:c r="B1842" s="28" t="str">
        <x:v>middle_flat</x:v>
      </x:c>
      <x:c r="C1842" s="60" t="n">
        <x:v>0.35</x:v>
      </x:c>
      <x:c r="D1842" s="60" t="n">
        <x:v>0.35</x:v>
      </x:c>
      <x:c r="E1842" s="62" t="b">
        <x:v>1</x:v>
      </x:c>
      <x:c r="F1842" s="62" t="b">
        <x:v>1</x:v>
      </x:c>
      <x:c r="G1842" s="85" t="n">
        <x:v>0</x:v>
      </x:c>
      <x:c r="H1842" s="85" t="n">
        <x:v>0</x:v>
      </x:c>
      <x:c r="I1842" s="85" t="n">
        <x:v>5620220.423560954</x:v>
      </x:c>
      <x:c r="J1842" s="85" t="n">
        <x:v>6062038.582365041</x:v>
      </x:c>
      <x:c r="K1842" s="85" t="n">
        <x:v>165825.15820654764</x:v>
      </x:c>
      <x:c r="L1842" s="28" t="n">
        <x:v>2</x:v>
      </x:c>
      <x:c r="M1842" s="28" t="n">
        <x:v>0</x:v>
      </x:c>
      <x:c r="N1842" s="28" t="n">
        <x:v>9.313225746154785e-10</x:v>
      </x:c>
      <x:c r="O1842" s="28" t="n">
        <x:v>7.450580596923828e-9</x:v>
      </x:c>
      <x:c r="P1842" s="28" t="n">
        <x:v>0</x:v>
      </x:c>
      <x:c r="Q1842" s="62" t="b">
        <x:v>1</x:v>
      </x:c>
      <x:c r="R1842" s="28" t="n">
        <x:v>0</x:v>
      </x:c>
      <x:c r="S1842" s="28" t="str">
        <x:v>f8f0f9eb045d5fab</x:v>
      </x:c>
    </x:row>
    <x:row r="1843" ht="21" customHeight="1">
      <x:c r="A1843" s="60" t="n">
        <x:v>0.67</x:v>
      </x:c>
      <x:c r="B1843" s="28" t="str">
        <x:v>middle_flat</x:v>
      </x:c>
      <x:c r="C1843" s="60" t="n">
        <x:v>0.4</x:v>
      </x:c>
      <x:c r="D1843" s="60" t="n">
        <x:v>0.4</x:v>
      </x:c>
      <x:c r="E1843" s="62" t="b">
        <x:v>1</x:v>
      </x:c>
      <x:c r="F1843" s="62" t="b">
        <x:v>1</x:v>
      </x:c>
      <x:c r="G1843" s="85" t="n">
        <x:v>0</x:v>
      </x:c>
      <x:c r="H1843" s="85" t="n">
        <x:v>0</x:v>
      </x:c>
      <x:c r="I1843" s="85" t="n">
        <x:v>7131453.270192893</x:v>
      </x:c>
      <x:c r="J1843" s="85" t="n">
        <x:v>6985657.427843391</x:v>
      </x:c>
      <x:c r="K1843" s="85" t="n">
        <x:v>144386.76854794598</x:v>
      </x:c>
      <x:c r="L1843" s="28" t="n">
        <x:v>7</x:v>
      </x:c>
      <x:c r="M1843" s="28" t="n">
        <x:v>0</x:v>
      </x:c>
      <x:c r="N1843" s="28" t="n">
        <x:v>4.656612873077393e-10</x:v>
      </x:c>
      <x:c r="O1843" s="28" t="n">
        <x:v>3.725290298461914e-9</x:v>
      </x:c>
      <x:c r="P1843" s="28" t="n">
        <x:v>0</x:v>
      </x:c>
      <x:c r="Q1843" s="62" t="b">
        <x:v>1</x:v>
      </x:c>
      <x:c r="R1843" s="28" t="n">
        <x:v>0</x:v>
      </x:c>
      <x:c r="S1843" s="28" t="str">
        <x:v>a7f936ec3ca99fb1</x:v>
      </x:c>
    </x:row>
    <x:row r="1844" ht="21" customHeight="1">
      <x:c r="A1844" s="60" t="n">
        <x:v>0.67</x:v>
      </x:c>
      <x:c r="B1844" s="28" t="str">
        <x:v>middle_flat</x:v>
      </x:c>
      <x:c r="C1844" s="60" t="n">
        <x:v>0.45</x:v>
      </x:c>
      <x:c r="D1844" s="60" t="n">
        <x:v>0.45</x:v>
      </x:c>
      <x:c r="E1844" s="62" t="b">
        <x:v>1</x:v>
      </x:c>
      <x:c r="F1844" s="62" t="b">
        <x:v>1</x:v>
      </x:c>
      <x:c r="G1844" s="85" t="n">
        <x:v>0</x:v>
      </x:c>
      <x:c r="H1844" s="85" t="n">
        <x:v>0</x:v>
      </x:c>
      <x:c r="I1844" s="85" t="n">
        <x:v>8437555.825147938</x:v>
      </x:c>
      <x:c r="J1844" s="85" t="n">
        <x:v>8421680.44921962</x:v>
      </x:c>
      <x:c r="K1844" s="85" t="n">
        <x:v>128729.27961643871</x:v>
      </x:c>
      <x:c r="L1844" s="28" t="n">
        <x:v>11</x:v>
      </x:c>
      <x:c r="M1844" s="28" t="n">
        <x:v>0</x:v>
      </x:c>
      <x:c r="N1844" s="28" t="n">
        <x:v>9.313225746154785e-10</x:v>
      </x:c>
      <x:c r="O1844" s="28" t="n">
        <x:v>1.862645149230957e-9</x:v>
      </x:c>
      <x:c r="P1844" s="28" t="n">
        <x:v>0</x:v>
      </x:c>
      <x:c r="Q1844" s="62" t="b">
        <x:v>1</x:v>
      </x:c>
      <x:c r="R1844" s="28" t="n">
        <x:v>0</x:v>
      </x:c>
      <x:c r="S1844" s="28" t="str">
        <x:v>fa4d173699f3a2d9</x:v>
      </x:c>
    </x:row>
    <x:row r="1845" ht="21" customHeight="1">
      <x:c r="A1845" s="60" t="n">
        <x:v>0.67</x:v>
      </x:c>
      <x:c r="B1845" s="28" t="str">
        <x:v>middle_flat</x:v>
      </x:c>
      <x:c r="C1845" s="60" t="n">
        <x:v>0.5</x:v>
      </x:c>
      <x:c r="D1845" s="60" t="n">
        <x:v>0.5</x:v>
      </x:c>
      <x:c r="E1845" s="62" t="b">
        <x:v>1</x:v>
      </x:c>
      <x:c r="F1845" s="62" t="b">
        <x:v>1</x:v>
      </x:c>
      <x:c r="G1845" s="85" t="n">
        <x:v>0</x:v>
      </x:c>
      <x:c r="H1845" s="85" t="n">
        <x:v>0</x:v>
      </x:c>
      <x:c r="I1845" s="85" t="n">
        <x:v>9668451.374151953</x:v>
      </x:c>
      <x:c r="J1845" s="85" t="n">
        <x:v>10044228.785990167</x:v>
      </x:c>
      <x:c r="K1845" s="85" t="n">
        <x:v>113071.79068493216</x:v>
      </x:c>
      <x:c r="L1845" s="28" t="n">
        <x:v>15</x:v>
      </x:c>
      <x:c r="M1845" s="28" t="n">
        <x:v>0</x:v>
      </x:c>
      <x:c r="N1845" s="28" t="n">
        <x:v>4.656612873077393e-10</x:v>
      </x:c>
      <x:c r="O1845" s="28" t="n">
        <x:v>7.450580596923828e-9</x:v>
      </x:c>
      <x:c r="P1845" s="28" t="n">
        <x:v>0</x:v>
      </x:c>
      <x:c r="Q1845" s="62" t="b">
        <x:v>1</x:v>
      </x:c>
      <x:c r="R1845" s="28" t="n">
        <x:v>0</x:v>
      </x:c>
      <x:c r="S1845" s="28" t="str">
        <x:v>bf2fbdba2b664323</x:v>
      </x:c>
    </x:row>
    <x:row r="1846" ht="21" customHeight="1">
      <x:c r="A1846" s="60" t="n">
        <x:v>0.67</x:v>
      </x:c>
      <x:c r="B1846" s="28" t="str">
        <x:v>middle_flat</x:v>
      </x:c>
      <x:c r="C1846" s="60" t="n">
        <x:v>0.55</x:v>
      </x:c>
      <x:c r="D1846" s="60" t="n">
        <x:v>0.55</x:v>
      </x:c>
      <x:c r="E1846" s="62" t="b">
        <x:v>1</x:v>
      </x:c>
      <x:c r="F1846" s="62" t="b">
        <x:v>1</x:v>
      </x:c>
      <x:c r="G1846" s="85" t="n">
        <x:v>0</x:v>
      </x:c>
      <x:c r="H1846" s="85" t="n">
        <x:v>0</x:v>
      </x:c>
      <x:c r="I1846" s="85" t="n">
        <x:v>10835984.119442163</x:v>
      </x:c>
      <x:c r="J1846" s="85" t="n">
        <x:v>11798749.562485045</x:v>
      </x:c>
      <x:c r="K1846" s="85" t="n">
        <x:v>97414.30175342513</x:v>
      </x:c>
      <x:c r="L1846" s="28" t="n">
        <x:v>19</x:v>
      </x:c>
      <x:c r="M1846" s="28" t="n">
        <x:v>8</x:v>
      </x:c>
      <x:c r="N1846" s="28" t="n">
        <x:v>4.656612873077393e-10</x:v>
      </x:c>
      <x:c r="O1846" s="28" t="n">
        <x:v>7.450580596923828e-9</x:v>
      </x:c>
      <x:c r="P1846" s="28" t="n">
        <x:v>0</x:v>
      </x:c>
      <x:c r="Q1846" s="62" t="b">
        <x:v>1</x:v>
      </x:c>
      <x:c r="R1846" s="28" t="n">
        <x:v>0</x:v>
      </x:c>
      <x:c r="S1846" s="28" t="str">
        <x:v>c70141bbdfd31b2f</x:v>
      </x:c>
    </x:row>
    <x:row r="1847" ht="21" customHeight="1">
      <x:c r="A1847" s="60" t="n">
        <x:v>0.67</x:v>
      </x:c>
      <x:c r="B1847" s="28" t="str">
        <x:v>middle_flat</x:v>
      </x:c>
      <x:c r="C1847" s="60" t="n">
        <x:v>0.6</x:v>
      </x:c>
      <x:c r="D1847" s="60" t="n">
        <x:v>0.6</x:v>
      </x:c>
      <x:c r="E1847" s="62" t="b">
        <x:v>1</x:v>
      </x:c>
      <x:c r="F1847" s="62" t="b">
        <x:v>0</x:v>
      </x:c>
      <x:c r="G1847" s="85" t="n">
        <x:v>181514.5528261602</x:v>
      </x:c>
      <x:c r="H1847" s="85" t="n">
        <x:v>968026.7075206614</x:v>
      </x:c>
      <x:c r="I1847" s="85" t="n">
        <x:v>11502456.44551989</x:v>
      </x:c>
      <x:c r="J1847" s="85" t="n">
        <x:v>12821119.999999998</x:v>
      </x:c>
      <x:c r="K1847" s="85" t="n">
        <x:v>81756.81282191843</x:v>
      </x:c>
      <x:c r="L1847" s="28" t="n">
        <x:v>42</x:v>
      </x:c>
      <x:c r="M1847" s="28" t="n">
        <x:v>34</x:v>
      </x:c>
      <x:c r="N1847" s="28" t="n">
        <x:v>4.656612873077393e-10</x:v>
      </x:c>
      <x:c r="O1847" s="28" t="n">
        <x:v>3.725290298461914e-9</x:v>
      </x:c>
      <x:c r="P1847" s="28" t="n">
        <x:v>0</x:v>
      </x:c>
      <x:c r="Q1847" s="62" t="b">
        <x:v>1</x:v>
      </x:c>
      <x:c r="R1847" s="28" t="n">
        <x:v>0</x:v>
      </x:c>
      <x:c r="S1847" s="28" t="str">
        <x:v>0a54305c4b60608f</x:v>
      </x:c>
    </x:row>
    <x:row r="1848" ht="21" customHeight="1">
      <x:c r="A1848" s="60" t="n">
        <x:v>0.67</x:v>
      </x:c>
      <x:c r="B1848" s="28" t="str">
        <x:v>middle_flat</x:v>
      </x:c>
      <x:c r="C1848" s="60" t="n">
        <x:v>0.65</x:v>
      </x:c>
      <x:c r="D1848" s="60" t="n">
        <x:v>0.65</x:v>
      </x:c>
      <x:c r="E1848" s="62" t="b">
        <x:v>1</x:v>
      </x:c>
      <x:c r="F1848" s="62" t="b">
        <x:v>0</x:v>
      </x:c>
      <x:c r="G1848" s="85" t="n">
        <x:v>625309.951850951</x:v>
      </x:c>
      <x:c r="H1848" s="85" t="n">
        <x:v>3368805.5734781874</x:v>
      </x:c>
      <x:c r="I1848" s="85" t="n">
        <x:v>11521231.793276686</x:v>
      </x:c>
      <x:c r="J1848" s="85" t="n">
        <x:v>12821119.999999998</x:v>
      </x:c>
      <x:c r="K1848" s="85" t="n">
        <x:v>72200.25978082266</x:v>
      </x:c>
      <x:c r="L1848" s="28" t="n">
        <x:v>42</x:v>
      </x:c>
      <x:c r="M1848" s="28" t="n">
        <x:v>36</x:v>
      </x:c>
      <x:c r="N1848" s="28" t="n">
        <x:v>4.656612873077393e-10</x:v>
      </x:c>
      <x:c r="O1848" s="28" t="n">
        <x:v>1.862645149230957e-9</x:v>
      </x:c>
      <x:c r="P1848" s="28" t="n">
        <x:v>0</x:v>
      </x:c>
      <x:c r="Q1848" s="62" t="b">
        <x:v>1</x:v>
      </x:c>
      <x:c r="R1848" s="28" t="n">
        <x:v>0</x:v>
      </x:c>
      <x:c r="S1848" s="28" t="str">
        <x:v>40d64ff77f1693e1</x:v>
      </x:c>
    </x:row>
    <x:row r="1849" ht="21" customHeight="1">
      <x:c r="A1849" s="60" t="n">
        <x:v>0.67</x:v>
      </x:c>
      <x:c r="B1849" s="28" t="str">
        <x:v>middle_flat</x:v>
      </x:c>
      <x:c r="C1849" s="60" t="n">
        <x:v>0.7</x:v>
      </x:c>
      <x:c r="D1849" s="60" t="n">
        <x:v>0.7</x:v>
      </x:c>
      <x:c r="E1849" s="62" t="b">
        <x:v>1</x:v>
      </x:c>
      <x:c r="F1849" s="62" t="b">
        <x:v>0</x:v>
      </x:c>
      <x:c r="G1849" s="85" t="n">
        <x:v>1061061.4975693969</x:v>
      </x:c>
      <x:c r="H1849" s="85" t="n">
        <x:v>5385347.889896396</x:v>
      </x:c>
      <x:c r="I1849" s="85" t="n">
        <x:v>11762098.652039727</x:v>
      </x:c>
      <x:c r="J1849" s="85" t="n">
        <x:v>12821119.999999998</x:v>
      </x:c>
      <x:c r="K1849" s="85" t="n">
        <x:v>66992.12580821909</x:v>
      </x:c>
      <x:c r="L1849" s="28" t="n">
        <x:v>43</x:v>
      </x:c>
      <x:c r="M1849" s="28" t="n">
        <x:v>36</x:v>
      </x:c>
      <x:c r="N1849" s="28" t="n">
        <x:v>4.656612873077393e-10</x:v>
      </x:c>
      <x:c r="O1849" s="28" t="n">
        <x:v>3.725290298461914e-9</x:v>
      </x:c>
      <x:c r="P1849" s="28" t="n">
        <x:v>0</x:v>
      </x:c>
      <x:c r="Q1849" s="62" t="b">
        <x:v>1</x:v>
      </x:c>
      <x:c r="R1849" s="28" t="n">
        <x:v>0</x:v>
      </x:c>
      <x:c r="S1849" s="28" t="str">
        <x:v>27a2c8857366e991</x:v>
      </x:c>
    </x:row>
    <x:row r="1850" ht="21" customHeight="1">
      <x:c r="A1850" s="60" t="n">
        <x:v>0.67</x:v>
      </x:c>
      <x:c r="B1850" s="28" t="str">
        <x:v>middle_flat</x:v>
      </x:c>
      <x:c r="C1850" s="60" t="n">
        <x:v>0.75</x:v>
      </x:c>
      <x:c r="D1850" s="60" t="n">
        <x:v>0.75</x:v>
      </x:c>
      <x:c r="E1850" s="62" t="b">
        <x:v>1</x:v>
      </x:c>
      <x:c r="F1850" s="62" t="b">
        <x:v>0</x:v>
      </x:c>
      <x:c r="G1850" s="85" t="n">
        <x:v>1513156.5520617862</x:v>
      </x:c>
      <x:c r="H1850" s="85" t="n">
        <x:v>7663512.635017839</x:v>
      </x:c>
      <x:c r="I1850" s="85" t="n">
        <x:v>11770528.915537672</x:v>
      </x:c>
      <x:c r="J1850" s="85" t="n">
        <x:v>12821119.999999998</x:v>
      </x:c>
      <x:c r="K1850" s="85" t="n">
        <x:v>62226.191726027355</x:v>
      </x:c>
      <x:c r="L1850" s="28" t="n">
        <x:v>43</x:v>
      </x:c>
      <x:c r="M1850" s="28" t="n">
        <x:v>38</x:v>
      </x:c>
      <x:c r="N1850" s="28" t="n">
        <x:v>4.656612873077393e-10</x:v>
      </x:c>
      <x:c r="O1850" s="28" t="n">
        <x:v>3.725290298461914e-9</x:v>
      </x:c>
      <x:c r="P1850" s="28" t="n">
        <x:v>0</x:v>
      </x:c>
      <x:c r="Q1850" s="62" t="b">
        <x:v>1</x:v>
      </x:c>
      <x:c r="R1850" s="28" t="n">
        <x:v>0</x:v>
      </x:c>
      <x:c r="S1850" s="28" t="str">
        <x:v>690f882f577a1122</x:v>
      </x:c>
    </x:row>
    <x:row r="1851" ht="21" customHeight="1">
      <x:c r="A1851" s="60" t="n">
        <x:v>0.67</x:v>
      </x:c>
      <x:c r="B1851" s="28" t="str">
        <x:v>middle_flat</x:v>
      </x:c>
      <x:c r="C1851" s="60" t="n">
        <x:v>0.8</x:v>
      </x:c>
      <x:c r="D1851" s="60" t="n">
        <x:v>0.8</x:v>
      </x:c>
      <x:c r="E1851" s="62" t="b">
        <x:v>1</x:v>
      </x:c>
      <x:c r="F1851" s="62" t="b">
        <x:v>0</x:v>
      </x:c>
      <x:c r="G1851" s="85" t="n">
        <x:v>2064628.9967422811</x:v>
      </x:c>
      <x:c r="H1851" s="85" t="n">
        <x:v>9853231.023225635</x:v>
      </x:c>
      <x:c r="I1851" s="85" t="n">
        <x:v>11784767.231287673</x:v>
      </x:c>
      <x:c r="J1851" s="85" t="n">
        <x:v>12821119.999999998</x:v>
      </x:c>
      <x:c r="K1851" s="85" t="n">
        <x:v>57460.25764383598</x:v>
      </x:c>
      <x:c r="L1851" s="28" t="n">
        <x:v>43</x:v>
      </x:c>
      <x:c r="M1851" s="28" t="n">
        <x:v>38</x:v>
      </x:c>
      <x:c r="N1851" s="28" t="n">
        <x:v>2.3283064365386963e-10</x:v>
      </x:c>
      <x:c r="O1851" s="28" t="n">
        <x:v>1.862645149230957e-9</x:v>
      </x:c>
      <x:c r="P1851" s="28" t="n">
        <x:v>0</x:v>
      </x:c>
      <x:c r="Q1851" s="62" t="b">
        <x:v>1</x:v>
      </x:c>
      <x:c r="R1851" s="28" t="n">
        <x:v>0</x:v>
      </x:c>
      <x:c r="S1851" s="28" t="str">
        <x:v>fad670d1c4aa4b80</x:v>
      </x:c>
    </x:row>
    <x:row r="1852" ht="21" customHeight="1">
      <x:c r="A1852" s="60" t="n">
        <x:v>0.67</x:v>
      </x:c>
      <x:c r="B1852" s="28" t="str">
        <x:v>middle_flat</x:v>
      </x:c>
      <x:c r="C1852" s="60" t="n">
        <x:v>0.85</x:v>
      </x:c>
      <x:c r="D1852" s="60" t="n">
        <x:v>0.85</x:v>
      </x:c>
      <x:c r="E1852" s="62" t="b">
        <x:v>1</x:v>
      </x:c>
      <x:c r="F1852" s="62" t="b">
        <x:v>0</x:v>
      </x:c>
      <x:c r="G1852" s="85" t="n">
        <x:v>2564872.481009991</x:v>
      </x:c>
      <x:c r="H1852" s="85" t="n">
        <x:v>11688690.611866668</x:v>
      </x:c>
      <x:c r="I1852" s="85" t="n">
        <x:v>12008892.145271234</x:v>
      </x:c>
      <x:c r="J1852" s="85" t="n">
        <x:v>12821119.999999998</x:v>
      </x:c>
      <x:c r="K1852" s="85" t="n">
        <x:v>52694.32356164402</x:v>
      </x:c>
      <x:c r="L1852" s="28" t="n">
        <x:v>44</x:v>
      </x:c>
      <x:c r="M1852" s="28" t="n">
        <x:v>38</x:v>
      </x:c>
      <x:c r="N1852" s="28" t="n">
        <x:v>4.656612873077393e-10</x:v>
      </x:c>
      <x:c r="O1852" s="28" t="n">
        <x:v>3.725290298461914e-9</x:v>
      </x:c>
      <x:c r="P1852" s="28" t="n">
        <x:v>0</x:v>
      </x:c>
      <x:c r="Q1852" s="62" t="b">
        <x:v>1</x:v>
      </x:c>
      <x:c r="R1852" s="28" t="n">
        <x:v>0</x:v>
      </x:c>
      <x:c r="S1852" s="28" t="str">
        <x:v>2fc85a5dc3f26d24</x:v>
      </x:c>
    </x:row>
    <x:row r="1853" ht="21" customHeight="1">
      <x:c r="A1853" s="60" t="n">
        <x:v>0.67</x:v>
      </x:c>
      <x:c r="B1853" s="28" t="str">
        <x:v>middle_flat</x:v>
      </x:c>
      <x:c r="C1853" s="60" t="n">
        <x:v>0.9</x:v>
      </x:c>
      <x:c r="D1853" s="60" t="n">
        <x:v>0.9</x:v>
      </x:c>
      <x:c r="E1853" s="62" t="b">
        <x:v>1</x:v>
      </x:c>
      <x:c r="F1853" s="62" t="b">
        <x:v>0</x:v>
      </x:c>
      <x:c r="G1853" s="85" t="n">
        <x:v>3481163.17049295</x:v>
      </x:c>
      <x:c r="H1853" s="85" t="n">
        <x:v>13494504.288216732</x:v>
      </x:c>
      <x:c r="I1853" s="85" t="n">
        <x:v>12018462.95013699</x:v>
      </x:c>
      <x:c r="J1853" s="85" t="n">
        <x:v>12821119.999999998</x:v>
      </x:c>
      <x:c r="K1853" s="85" t="n">
        <x:v>47928.389479452526</x:v>
      </x:c>
      <x:c r="L1853" s="28" t="n">
        <x:v>44</x:v>
      </x:c>
      <x:c r="M1853" s="28" t="n">
        <x:v>40</x:v>
      </x:c>
      <x:c r="N1853" s="28" t="n">
        <x:v>2.3283064365386963e-10</x:v>
      </x:c>
      <x:c r="O1853" s="28" t="n">
        <x:v>3.725290298461914e-9</x:v>
      </x:c>
      <x:c r="P1853" s="28" t="n">
        <x:v>0</x:v>
      </x:c>
      <x:c r="Q1853" s="62" t="b">
        <x:v>1</x:v>
      </x:c>
      <x:c r="R1853" s="28" t="n">
        <x:v>0</x:v>
      </x:c>
      <x:c r="S1853" s="28" t="str">
        <x:v>e3d35523768bc65e</x:v>
      </x:c>
    </x:row>
    <x:row r="1854" ht="21" customHeight="1">
      <x:c r="A1854" s="60" t="n">
        <x:v>0.67</x:v>
      </x:c>
      <x:c r="B1854" s="28" t="str">
        <x:v>middle_flat</x:v>
      </x:c>
      <x:c r="C1854" s="60" t="n">
        <x:v>0.95</x:v>
      </x:c>
      <x:c r="D1854" s="60" t="n">
        <x:v>0.9270639118581285</x:v>
      </x:c>
      <x:c r="E1854" s="62" t="b">
        <x:v>0</x:v>
      </x:c>
      <x:c r="F1854" s="62" t="b">
        <x:v>0</x:v>
      </x:c>
      <x:c r="G1854" s="85" t="n">
        <x:v>3824357.3525840063</x:v>
      </x:c>
      <x:c r="H1854" s="85" t="n">
        <x:v>14479590.40800343</x:v>
      </x:c>
      <x:c r="I1854" s="85" t="n">
        <x:v>12029565.26312329</x:v>
      </x:c>
      <x:c r="J1854" s="85" t="n">
        <x:v>12821119.999999998</x:v>
      </x:c>
      <x:c r="K1854" s="85" t="n">
        <x:v>43162.45539726033</x:v>
      </x:c>
      <x:c r="L1854" s="28" t="n">
        <x:v>44</x:v>
      </x:c>
      <x:c r="M1854" s="28" t="n">
        <x:v>40</x:v>
      </x:c>
      <x:c r="N1854" s="28" t="n">
        <x:v>2.3283064365386963e-10</x:v>
      </x:c>
      <x:c r="O1854" s="28" t="n">
        <x:v>3.725290298461914e-9</x:v>
      </x:c>
      <x:c r="P1854" s="28" t="n">
        <x:v>0</x:v>
      </x:c>
      <x:c r="Q1854" s="62" t="b">
        <x:v>1</x:v>
      </x:c>
      <x:c r="R1854" s="28" t="n">
        <x:v>1278549.2973804846</x:v>
      </x:c>
      <x:c r="S1854" s="28" t="str">
        <x:v>9c211ace8355a5ca</x:v>
      </x:c>
    </x:row>
    <x:row r="1855" ht="21" customHeight="1">
      <x:c r="A1855" s="60" t="n">
        <x:v>0.67</x:v>
      </x:c>
      <x:c r="B1855" s="28" t="str">
        <x:v>middle_flat</x:v>
      </x:c>
      <x:c r="C1855" s="60" t="n">
        <x:v>1</x:v>
      </x:c>
      <x:c r="D1855" s="60" t="n">
        <x:v>0.9427455891708479</x:v>
      </x:c>
      <x:c r="E1855" s="62" t="b">
        <x:v>0</x:v>
      </x:c>
      <x:c r="F1855" s="62" t="b">
        <x:v>0</x:v>
      </x:c>
      <x:c r="G1855" s="85" t="n">
        <x:v>4175173.1104644705</x:v>
      </x:c>
      <x:c r="H1855" s="85" t="n">
        <x:v>15170809.79293127</x:v>
      </x:c>
      <x:c r="I1855" s="85" t="n">
        <x:v>12040667.576109592</x:v>
      </x:c>
      <x:c r="J1855" s="85" t="n">
        <x:v>12821119.999999998</x:v>
      </x:c>
      <x:c r="K1855" s="85" t="n">
        <x:v>38396.521315068836</x:v>
      </x:c>
      <x:c r="L1855" s="28" t="n">
        <x:v>44</x:v>
      </x:c>
      <x:c r="M1855" s="28" t="n">
        <x:v>40</x:v>
      </x:c>
      <x:c r="N1855" s="28" t="n">
        <x:v>2.3283064365386963e-10</x:v>
      </x:c>
      <x:c r="O1855" s="28" t="n">
        <x:v>9.313225746154785e-10</x:v>
      </x:c>
      <x:c r="P1855" s="28" t="n">
        <x:v>0</x:v>
      </x:c>
      <x:c r="Q1855" s="62" t="b">
        <x:v>1</x:v>
      </x:c>
      <x:c r="R1855" s="28" t="n">
        <x:v>3191589.877260253</x:v>
      </x:c>
      <x:c r="S1855" s="28" t="str">
        <x:v>3d8262767db49b70</x:v>
      </x:c>
    </x:row>
    <x:row r="1856" ht="21" customHeight="1">
      <x:c r="A1856" s="60" t="n">
        <x:v>0.67</x:v>
      </x:c>
      <x:c r="B1856" s="28" t="str">
        <x:v>middle_low</x:v>
      </x:c>
      <x:c r="C1856" s="60" t="n">
        <x:v>0</x:v>
      </x:c>
      <x:c r="D1856" s="60" t="n">
        <x:v>0</x:v>
      </x:c>
      <x:c r="E1856" s="62" t="b">
        <x:v>1</x:v>
      </x:c>
      <x:c r="F1856" s="62" t="b">
        <x:v>1</x:v>
      </x:c>
      <x:c r="G1856" s="85" t="n">
        <x:v>0</x:v>
      </x:c>
      <x:c r="H1856" s="85" t="n">
        <x:v>0</x:v>
      </x:c>
      <x:c r="I1856" s="85" t="n">
        <x:v>0</x:v>
      </x:c>
      <x:c r="J1856" s="85" t="n">
        <x:v>0</x:v>
      </x:c>
      <x:c r="K1856" s="85" t="n">
        <x:v>5715452.821260278</x:v>
      </x:c>
      <x:c r="L1856" s="28" t="n">
        <x:v>0</x:v>
      </x:c>
      <x:c r="M1856" s="28" t="n">
        <x:v>0</x:v>
      </x:c>
      <x:c r="N1856" s="28" t="n">
        <x:v>9.313225746154785e-10</x:v>
      </x:c>
      <x:c r="O1856" s="28" t="n">
        <x:v>0</x:v>
      </x:c>
      <x:c r="P1856" s="28" t="n">
        <x:v>0</x:v>
      </x:c>
      <x:c r="Q1856" s="62" t="b">
        <x:v>1</x:v>
      </x:c>
      <x:c r="R1856" s="28" t="n">
        <x:v>0</x:v>
      </x:c>
      <x:c r="S1856" s="28" t="str">
        <x:v>c18f21f1eb3b3ce6</x:v>
      </x:c>
    </x:row>
    <x:row r="1857" ht="21" customHeight="1">
      <x:c r="A1857" s="60" t="n">
        <x:v>0.67</x:v>
      </x:c>
      <x:c r="B1857" s="28" t="str">
        <x:v>middle_low</x:v>
      </x:c>
      <x:c r="C1857" s="60" t="n">
        <x:v>0.05</x:v>
      </x:c>
      <x:c r="D1857" s="60" t="n">
        <x:v>0.05</x:v>
      </x:c>
      <x:c r="E1857" s="62" t="b">
        <x:v>1</x:v>
      </x:c>
      <x:c r="F1857" s="62" t="b">
        <x:v>1</x:v>
      </x:c>
      <x:c r="G1857" s="85" t="n">
        <x:v>0</x:v>
      </x:c>
      <x:c r="H1857" s="85" t="n">
        <x:v>0</x:v>
      </x:c>
      <x:c r="I1857" s="85" t="n">
        <x:v>0</x:v>
      </x:c>
      <x:c r="J1857" s="85" t="n">
        <x:v>0</x:v>
      </x:c>
      <x:c r="K1857" s="85" t="n">
        <x:v>3709729.648220234</x:v>
      </x:c>
      <x:c r="L1857" s="28" t="n">
        <x:v>0</x:v>
      </x:c>
      <x:c r="M1857" s="28" t="n">
        <x:v>0</x:v>
      </x:c>
      <x:c r="N1857" s="28" t="n">
        <x:v>2.3283064365386963e-10</x:v>
      </x:c>
      <x:c r="O1857" s="28" t="n">
        <x:v>7.450580596923828e-9</x:v>
      </x:c>
      <x:c r="P1857" s="28" t="n">
        <x:v>0</x:v>
      </x:c>
      <x:c r="Q1857" s="62" t="b">
        <x:v>1</x:v>
      </x:c>
      <x:c r="R1857" s="28" t="n">
        <x:v>0</x:v>
      </x:c>
      <x:c r="S1857" s="28" t="str">
        <x:v>5087687d72b4c049</x:v>
      </x:c>
    </x:row>
    <x:row r="1858" ht="21" customHeight="1">
      <x:c r="A1858" s="60" t="n">
        <x:v>0.67</x:v>
      </x:c>
      <x:c r="B1858" s="28" t="str">
        <x:v>middle_low</x:v>
      </x:c>
      <x:c r="C1858" s="60" t="n">
        <x:v>0.1</x:v>
      </x:c>
      <x:c r="D1858" s="60" t="n">
        <x:v>0.1</x:v>
      </x:c>
      <x:c r="E1858" s="62" t="b">
        <x:v>1</x:v>
      </x:c>
      <x:c r="F1858" s="62" t="b">
        <x:v>1</x:v>
      </x:c>
      <x:c r="G1858" s="85" t="n">
        <x:v>0</x:v>
      </x:c>
      <x:c r="H1858" s="85" t="n">
        <x:v>0</x:v>
      </x:c>
      <x:c r="I1858" s="85" t="n">
        <x:v>0</x:v>
      </x:c>
      <x:c r="J1858" s="85" t="n">
        <x:v>0</x:v>
      </x:c>
      <x:c r="K1858" s="85" t="n">
        <x:v>1703790.421124837</x:v>
      </x:c>
      <x:c r="L1858" s="28" t="n">
        <x:v>0</x:v>
      </x:c>
      <x:c r="M1858" s="28" t="n">
        <x:v>0</x:v>
      </x:c>
      <x:c r="N1858" s="28" t="n">
        <x:v>9.313225746154785e-10</x:v>
      </x:c>
      <x:c r="O1858" s="28" t="n">
        <x:v>7.450580596923828e-9</x:v>
      </x:c>
      <x:c r="P1858" s="28" t="n">
        <x:v>0</x:v>
      </x:c>
      <x:c r="Q1858" s="62" t="b">
        <x:v>1</x:v>
      </x:c>
      <x:c r="R1858" s="28" t="n">
        <x:v>0</x:v>
      </x:c>
      <x:c r="S1858" s="28" t="str">
        <x:v>7652311abe13339e</x:v>
      </x:c>
    </x:row>
    <x:row r="1859" ht="21" customHeight="1">
      <x:c r="A1859" s="60" t="n">
        <x:v>0.67</x:v>
      </x:c>
      <x:c r="B1859" s="28" t="str">
        <x:v>middle_low</x:v>
      </x:c>
      <x:c r="C1859" s="60" t="n">
        <x:v>0.15</x:v>
      </x:c>
      <x:c r="D1859" s="60" t="n">
        <x:v>0.15</x:v>
      </x:c>
      <x:c r="E1859" s="62" t="b">
        <x:v>1</x:v>
      </x:c>
      <x:c r="F1859" s="62" t="b">
        <x:v>1</x:v>
      </x:c>
      <x:c r="G1859" s="85" t="n">
        <x:v>0</x:v>
      </x:c>
      <x:c r="H1859" s="85" t="n">
        <x:v>0</x:v>
      </x:c>
      <x:c r="I1859" s="85" t="n">
        <x:v>382708.84868218726</x:v>
      </x:c>
      <x:c r="J1859" s="85" t="n">
        <x:v>0</x:v>
      </x:c>
      <x:c r="K1859" s="85" t="n">
        <x:v>200385.37528079515</x:v>
      </x:c>
      <x:c r="L1859" s="28" t="n">
        <x:v>0</x:v>
      </x:c>
      <x:c r="M1859" s="28" t="n">
        <x:v>0</x:v>
      </x:c>
      <x:c r="N1859" s="28" t="n">
        <x:v>4.656612873077393e-10</x:v>
      </x:c>
      <x:c r="O1859" s="28" t="n">
        <x:v>7.450580596923828e-9</x:v>
      </x:c>
      <x:c r="P1859" s="28" t="n">
        <x:v>0</x:v>
      </x:c>
      <x:c r="Q1859" s="62" t="b">
        <x:v>1</x:v>
      </x:c>
      <x:c r="R1859" s="28" t="n">
        <x:v>0</x:v>
      </x:c>
      <x:c r="S1859" s="28" t="str">
        <x:v>4f181e2496a329cd</x:v>
      </x:c>
    </x:row>
    <x:row r="1860" ht="21" customHeight="1">
      <x:c r="A1860" s="60" t="n">
        <x:v>0.67</x:v>
      </x:c>
      <x:c r="B1860" s="28" t="str">
        <x:v>middle_low</x:v>
      </x:c>
      <x:c r="C1860" s="60" t="n">
        <x:v>0.2</x:v>
      </x:c>
      <x:c r="D1860" s="60" t="n">
        <x:v>0.2</x:v>
      </x:c>
      <x:c r="E1860" s="62" t="b">
        <x:v>1</x:v>
      </x:c>
      <x:c r="F1860" s="62" t="b">
        <x:v>1</x:v>
      </x:c>
      <x:c r="G1860" s="85" t="n">
        <x:v>0</x:v>
      </x:c>
      <x:c r="H1860" s="85" t="n">
        <x:v>0</x:v>
      </x:c>
      <x:c r="I1860" s="85" t="n">
        <x:v>1487854.284526271</x:v>
      </x:c>
      <x:c r="J1860" s="85" t="n">
        <x:v>1253157.2790409003</x:v>
      </x:c>
      <x:c r="K1860" s="85" t="n">
        <x:v>159991.22280789082</x:v>
      </x:c>
      <x:c r="L1860" s="28" t="n">
        <x:v>0</x:v>
      </x:c>
      <x:c r="M1860" s="28" t="n">
        <x:v>0</x:v>
      </x:c>
      <x:c r="N1860" s="28" t="n">
        <x:v>4.656612873077393e-10</x:v>
      </x:c>
      <x:c r="O1860" s="28" t="n">
        <x:v>7.450580596923828e-9</x:v>
      </x:c>
      <x:c r="P1860" s="28" t="n">
        <x:v>0</x:v>
      </x:c>
      <x:c r="Q1860" s="62" t="b">
        <x:v>1</x:v>
      </x:c>
      <x:c r="R1860" s="28" t="n">
        <x:v>0</x:v>
      </x:c>
      <x:c r="S1860" s="28" t="str">
        <x:v>d901988a80771668</x:v>
      </x:c>
    </x:row>
    <x:row r="1861" ht="21" customHeight="1">
      <x:c r="A1861" s="60" t="n">
        <x:v>0.67</x:v>
      </x:c>
      <x:c r="B1861" s="28" t="str">
        <x:v>middle_low</x:v>
      </x:c>
      <x:c r="C1861" s="60" t="n">
        <x:v>0.25</x:v>
      </x:c>
      <x:c r="D1861" s="60" t="n">
        <x:v>0.25</x:v>
      </x:c>
      <x:c r="E1861" s="62" t="b">
        <x:v>1</x:v>
      </x:c>
      <x:c r="F1861" s="62" t="b">
        <x:v>1</x:v>
      </x:c>
      <x:c r="G1861" s="85" t="n">
        <x:v>0</x:v>
      </x:c>
      <x:c r="H1861" s="85" t="n">
        <x:v>0</x:v>
      </x:c>
      <x:c r="I1861" s="85" t="n">
        <x:v>2241628.198134672</x:v>
      </x:c>
      <x:c r="J1861" s="85" t="n">
        <x:v>2960046.598801145</x:v>
      </x:c>
      <x:c r="K1861" s="85" t="n">
        <x:v>126870.66338657556</x:v>
      </x:c>
      <x:c r="L1861" s="28" t="n">
        <x:v>0</x:v>
      </x:c>
      <x:c r="M1861" s="28" t="n">
        <x:v>0</x:v>
      </x:c>
      <x:c r="N1861" s="28" t="n">
        <x:v>4.656612873077393e-10</x:v>
      </x:c>
      <x:c r="O1861" s="28" t="n">
        <x:v>7.450580596923828e-9</x:v>
      </x:c>
      <x:c r="P1861" s="28" t="n">
        <x:v>0</x:v>
      </x:c>
      <x:c r="Q1861" s="62" t="b">
        <x:v>1</x:v>
      </x:c>
      <x:c r="R1861" s="28" t="n">
        <x:v>0</x:v>
      </x:c>
      <x:c r="S1861" s="28" t="str">
        <x:v>bd546104db9dc03c</x:v>
      </x:c>
    </x:row>
    <x:row r="1862" ht="21" customHeight="1">
      <x:c r="A1862" s="60" t="n">
        <x:v>0.67</x:v>
      </x:c>
      <x:c r="B1862" s="28" t="str">
        <x:v>middle_low</x:v>
      </x:c>
      <x:c r="C1862" s="60" t="n">
        <x:v>0.3</x:v>
      </x:c>
      <x:c r="D1862" s="60" t="n">
        <x:v>0.3</x:v>
      </x:c>
      <x:c r="E1862" s="62" t="b">
        <x:v>1</x:v>
      </x:c>
      <x:c r="F1862" s="62" t="b">
        <x:v>1</x:v>
      </x:c>
      <x:c r="G1862" s="85" t="n">
        <x:v>0</x:v>
      </x:c>
      <x:c r="H1862" s="85" t="n">
        <x:v>0</x:v>
      </x:c>
      <x:c r="I1862" s="85" t="n">
        <x:v>3006192.6907830844</x:v>
      </x:c>
      <x:c r="J1862" s="85" t="n">
        <x:v>4666935.918561366</x:v>
      </x:c>
      <x:c r="K1862" s="85" t="n">
        <x:v>105253.81884964395</x:v>
      </x:c>
      <x:c r="L1862" s="28" t="n">
        <x:v>0</x:v>
      </x:c>
      <x:c r="M1862" s="28" t="n">
        <x:v>0</x:v>
      </x:c>
      <x:c r="N1862" s="28" t="n">
        <x:v>2.3283064365386963e-10</x:v>
      </x:c>
      <x:c r="O1862" s="28" t="n">
        <x:v>7.450580596923828e-9</x:v>
      </x:c>
      <x:c r="P1862" s="28" t="n">
        <x:v>0</x:v>
      </x:c>
      <x:c r="Q1862" s="62" t="b">
        <x:v>1</x:v>
      </x:c>
      <x:c r="R1862" s="28" t="n">
        <x:v>0</x:v>
      </x:c>
      <x:c r="S1862" s="28" t="str">
        <x:v>d023fed565778a7f</x:v>
      </x:c>
    </x:row>
    <x:row r="1863" ht="21" customHeight="1">
      <x:c r="A1863" s="60" t="n">
        <x:v>0.67</x:v>
      </x:c>
      <x:c r="B1863" s="28" t="str">
        <x:v>middle_low</x:v>
      </x:c>
      <x:c r="C1863" s="60" t="n">
        <x:v>0.35</x:v>
      </x:c>
      <x:c r="D1863" s="60" t="n">
        <x:v>0.35</x:v>
      </x:c>
      <x:c r="E1863" s="62" t="b">
        <x:v>1</x:v>
      </x:c>
      <x:c r="F1863" s="62" t="b">
        <x:v>1</x:v>
      </x:c>
      <x:c r="G1863" s="85" t="n">
        <x:v>0</x:v>
      </x:c>
      <x:c r="H1863" s="85" t="n">
        <x:v>0</x:v>
      </x:c>
      <x:c r="I1863" s="85" t="n">
        <x:v>3931001.6434900695</x:v>
      </x:c>
      <x:c r="J1863" s="85" t="n">
        <x:v>6128287.865357359</x:v>
      </x:c>
      <x:c r="K1863" s="85" t="n">
        <x:v>86320.29369901387</x:v>
      </x:c>
      <x:c r="L1863" s="28" t="n">
        <x:v>2</x:v>
      </x:c>
      <x:c r="M1863" s="28" t="n">
        <x:v>0</x:v>
      </x:c>
      <x:c r="N1863" s="28" t="n">
        <x:v>4.656612873077393e-10</x:v>
      </x:c>
      <x:c r="O1863" s="28" t="n">
        <x:v>7.450580596923828e-9</x:v>
      </x:c>
      <x:c r="P1863" s="28" t="n">
        <x:v>0</x:v>
      </x:c>
      <x:c r="Q1863" s="62" t="b">
        <x:v>1</x:v>
      </x:c>
      <x:c r="R1863" s="28" t="n">
        <x:v>0</x:v>
      </x:c>
      <x:c r="S1863" s="28" t="str">
        <x:v>f954fb076a913bf6</x:v>
      </x:c>
    </x:row>
    <x:row r="1864" ht="21" customHeight="1">
      <x:c r="A1864" s="60" t="n">
        <x:v>0.67</x:v>
      </x:c>
      <x:c r="B1864" s="28" t="str">
        <x:v>middle_low</x:v>
      </x:c>
      <x:c r="C1864" s="60" t="n">
        <x:v>0.4</x:v>
      </x:c>
      <x:c r="D1864" s="60" t="n">
        <x:v>0.4</x:v>
      </x:c>
      <x:c r="E1864" s="62" t="b">
        <x:v>1</x:v>
      </x:c>
      <x:c r="F1864" s="62" t="b">
        <x:v>1</x:v>
      </x:c>
      <x:c r="G1864" s="85" t="n">
        <x:v>0</x:v>
      </x:c>
      <x:c r="H1864" s="85" t="n">
        <x:v>0</x:v>
      </x:c>
      <x:c r="I1864" s="85" t="n">
        <x:v>5132996.933919306</x:v>
      </x:c>
      <x:c r="J1864" s="85" t="n">
        <x:v>7130874.7074594</x:v>
      </x:c>
      <x:c r="K1864" s="85" t="n">
        <x:v>76102.16471232854</x:v>
      </x:c>
      <x:c r="L1864" s="28" t="n">
        <x:v>8</x:v>
      </x:c>
      <x:c r="M1864" s="28" t="n">
        <x:v>0</x:v>
      </x:c>
      <x:c r="N1864" s="28" t="n">
        <x:v>2.3283064365386963e-10</x:v>
      </x:c>
      <x:c r="O1864" s="28" t="n">
        <x:v>3.725290298461914e-9</x:v>
      </x:c>
      <x:c r="P1864" s="28" t="n">
        <x:v>0</x:v>
      </x:c>
      <x:c r="Q1864" s="62" t="b">
        <x:v>1</x:v>
      </x:c>
      <x:c r="R1864" s="28" t="n">
        <x:v>0</x:v>
      </x:c>
      <x:c r="S1864" s="28" t="str">
        <x:v>e671bd5aa619da52</x:v>
      </x:c>
    </x:row>
    <x:row r="1865" ht="21" customHeight="1">
      <x:c r="A1865" s="60" t="n">
        <x:v>0.67</x:v>
      </x:c>
      <x:c r="B1865" s="28" t="str">
        <x:v>middle_low</x:v>
      </x:c>
      <x:c r="C1865" s="60" t="n">
        <x:v>0.45</x:v>
      </x:c>
      <x:c r="D1865" s="60" t="n">
        <x:v>0.45</x:v>
      </x:c>
      <x:c r="E1865" s="62" t="b">
        <x:v>1</x:v>
      </x:c>
      <x:c r="F1865" s="62" t="b">
        <x:v>1</x:v>
      </x:c>
      <x:c r="G1865" s="85" t="n">
        <x:v>0</x:v>
      </x:c>
      <x:c r="H1865" s="85" t="n">
        <x:v>0</x:v>
      </x:c>
      <x:c r="I1865" s="85" t="n">
        <x:v>6009452.015550052</x:v>
      </x:c>
      <x:c r="J1865" s="85" t="n">
        <x:v>8664185.263606178</x:v>
      </x:c>
      <x:c r="K1865" s="85" t="n">
        <x:v>67360.35030137</x:v>
      </x:c>
      <x:c r="L1865" s="28" t="n">
        <x:v>11</x:v>
      </x:c>
      <x:c r="M1865" s="28" t="n">
        <x:v>0</x:v>
      </x:c>
      <x:c r="N1865" s="28" t="n">
        <x:v>2.3283064365386963e-10</x:v>
      </x:c>
      <x:c r="O1865" s="28" t="n">
        <x:v>1.862645149230957e-9</x:v>
      </x:c>
      <x:c r="P1865" s="28" t="n">
        <x:v>0</x:v>
      </x:c>
      <x:c r="Q1865" s="62" t="b">
        <x:v>1</x:v>
      </x:c>
      <x:c r="R1865" s="28" t="n">
        <x:v>0</x:v>
      </x:c>
      <x:c r="S1865" s="28" t="str">
        <x:v>3b8cc079451e1d5f</x:v>
      </x:c>
    </x:row>
    <x:row r="1866" ht="21" customHeight="1">
      <x:c r="A1866" s="60" t="n">
        <x:v>0.67</x:v>
      </x:c>
      <x:c r="B1866" s="28" t="str">
        <x:v>middle_low</x:v>
      </x:c>
      <x:c r="C1866" s="60" t="n">
        <x:v>0.5</x:v>
      </x:c>
      <x:c r="D1866" s="60" t="n">
        <x:v>0.5</x:v>
      </x:c>
      <x:c r="E1866" s="62" t="b">
        <x:v>1</x:v>
      </x:c>
      <x:c r="F1866" s="62" t="b">
        <x:v>1</x:v>
      </x:c>
      <x:c r="G1866" s="85" t="n">
        <x:v>0</x:v>
      </x:c>
      <x:c r="H1866" s="85" t="n">
        <x:v>0</x:v>
      </x:c>
      <x:c r="I1866" s="85" t="n">
        <x:v>6854161.696497858</x:v>
      </x:c>
      <x:c r="J1866" s="85" t="n">
        <x:v>10243492.311746065</x:v>
      </x:c>
      <x:c r="K1866" s="85" t="n">
        <x:v>58618.53589041099</x:v>
      </x:c>
      <x:c r="L1866" s="28" t="n">
        <x:v>15</x:v>
      </x:c>
      <x:c r="M1866" s="28" t="n">
        <x:v>0</x:v>
      </x:c>
      <x:c r="N1866" s="28" t="n">
        <x:v>4.656612873077393e-10</x:v>
      </x:c>
      <x:c r="O1866" s="28" t="n">
        <x:v>7.450580596923828e-9</x:v>
      </x:c>
      <x:c r="P1866" s="28" t="n">
        <x:v>0</x:v>
      </x:c>
      <x:c r="Q1866" s="62" t="b">
        <x:v>1</x:v>
      </x:c>
      <x:c r="R1866" s="28" t="n">
        <x:v>0</x:v>
      </x:c>
      <x:c r="S1866" s="28" t="str">
        <x:v>8854d678a76bef44</x:v>
      </x:c>
    </x:row>
    <x:row r="1867" ht="21" customHeight="1">
      <x:c r="A1867" s="60" t="n">
        <x:v>0.67</x:v>
      </x:c>
      <x:c r="B1867" s="28" t="str">
        <x:v>middle_low</x:v>
      </x:c>
      <x:c r="C1867" s="60" t="n">
        <x:v>0.55</x:v>
      </x:c>
      <x:c r="D1867" s="60" t="n">
        <x:v>0.55</x:v>
      </x:c>
      <x:c r="E1867" s="62" t="b">
        <x:v>1</x:v>
      </x:c>
      <x:c r="F1867" s="62" t="b">
        <x:v>1</x:v>
      </x:c>
      <x:c r="G1867" s="85" t="n">
        <x:v>0</x:v>
      </x:c>
      <x:c r="H1867" s="85" t="n">
        <x:v>0</x:v>
      </x:c>
      <x:c r="I1867" s="85" t="n">
        <x:v>7645822.448405606</x:v>
      </x:c>
      <x:c r="J1867" s="85" t="n">
        <x:v>11902294.257416843</x:v>
      </x:c>
      <x:c r="K1867" s="85" t="n">
        <x:v>49876.72147945245</x:v>
      </x:c>
      <x:c r="L1867" s="28" t="n">
        <x:v>19</x:v>
      </x:c>
      <x:c r="M1867" s="28" t="n">
        <x:v>0</x:v>
      </x:c>
      <x:c r="N1867" s="28" t="n">
        <x:v>4.656612873077393e-10</x:v>
      </x:c>
      <x:c r="O1867" s="28" t="n">
        <x:v>7.450580596923828e-9</x:v>
      </x:c>
      <x:c r="P1867" s="28" t="n">
        <x:v>0</x:v>
      </x:c>
      <x:c r="Q1867" s="62" t="b">
        <x:v>1</x:v>
      </x:c>
      <x:c r="R1867" s="28" t="n">
        <x:v>0</x:v>
      </x:c>
      <x:c r="S1867" s="28" t="str">
        <x:v>926f27765be63952</x:v>
      </x:c>
    </x:row>
    <x:row r="1868" ht="21" customHeight="1">
      <x:c r="A1868" s="60" t="n">
        <x:v>0.67</x:v>
      </x:c>
      <x:c r="B1868" s="28" t="str">
        <x:v>middle_low</x:v>
      </x:c>
      <x:c r="C1868" s="60" t="n">
        <x:v>0.6</x:v>
      </x:c>
      <x:c r="D1868" s="60" t="n">
        <x:v>0.6</x:v>
      </x:c>
      <x:c r="E1868" s="62" t="b">
        <x:v>1</x:v>
      </x:c>
      <x:c r="F1868" s="62" t="b">
        <x:v>0</x:v>
      </x:c>
      <x:c r="G1868" s="85" t="n">
        <x:v>69429.92461727824</x:v>
      </x:c>
      <x:c r="H1868" s="85" t="n">
        <x:v>867996.7081071133</x:v>
      </x:c>
      <x:c r="I1868" s="85" t="n">
        <x:v>8097192.700448657</x:v>
      </x:c>
      <x:c r="J1868" s="85" t="n">
        <x:v>12821119.999999998</x:v>
      </x:c>
      <x:c r="K1868" s="85" t="n">
        <x:v>41134.9070684935</x:v>
      </x:c>
      <x:c r="L1868" s="28" t="n">
        <x:v>42</x:v>
      </x:c>
      <x:c r="M1868" s="28" t="n">
        <x:v>22</x:v>
      </x:c>
      <x:c r="N1868" s="28" t="n">
        <x:v>4.656612873077393e-10</x:v>
      </x:c>
      <x:c r="O1868" s="28" t="n">
        <x:v>3.725290298461914e-9</x:v>
      </x:c>
      <x:c r="P1868" s="28" t="n">
        <x:v>0</x:v>
      </x:c>
      <x:c r="Q1868" s="62" t="b">
        <x:v>1</x:v>
      </x:c>
      <x:c r="R1868" s="28" t="n">
        <x:v>0</x:v>
      </x:c>
      <x:c r="S1868" s="28" t="str">
        <x:v>69040c420654e97f</x:v>
      </x:c>
    </x:row>
    <x:row r="1869" ht="21" customHeight="1">
      <x:c r="A1869" s="60" t="n">
        <x:v>0.67</x:v>
      </x:c>
      <x:c r="B1869" s="28" t="str">
        <x:v>middle_low</x:v>
      </x:c>
      <x:c r="C1869" s="60" t="n">
        <x:v>0.65</x:v>
      </x:c>
      <x:c r="D1869" s="60" t="n">
        <x:v>0.65</x:v>
      </x:c>
      <x:c r="E1869" s="62" t="b">
        <x:v>1</x:v>
      </x:c>
      <x:c r="F1869" s="62" t="b">
        <x:v>0</x:v>
      </x:c>
      <x:c r="G1869" s="85" t="n">
        <x:v>233651.72234022693</x:v>
      </x:c>
      <x:c r="H1869" s="85" t="n">
        <x:v>2910072.6044463846</x:v>
      </x:c>
      <x:c r="I1869" s="85" t="n">
        <x:v>8107777.893193808</x:v>
      </x:c>
      <x:c r="J1869" s="85" t="n">
        <x:v>12821119.999999998</x:v>
      </x:c>
      <x:c r="K1869" s="85" t="n">
        <x:v>37157.36180821926</x:v>
      </x:c>
      <x:c r="L1869" s="28" t="n">
        <x:v>42</x:v>
      </x:c>
      <x:c r="M1869" s="28" t="n">
        <x:v>31</x:v>
      </x:c>
      <x:c r="N1869" s="28" t="n">
        <x:v>2.3283064365386963e-10</x:v>
      </x:c>
      <x:c r="O1869" s="28" t="n">
        <x:v>1.862645149230957e-9</x:v>
      </x:c>
      <x:c r="P1869" s="28" t="n">
        <x:v>0</x:v>
      </x:c>
      <x:c r="Q1869" s="62" t="b">
        <x:v>1</x:v>
      </x:c>
      <x:c r="R1869" s="28" t="n">
        <x:v>0</x:v>
      </x:c>
      <x:c r="S1869" s="28" t="str">
        <x:v>33e4aeb09c6f888f</x:v>
      </x:c>
    </x:row>
    <x:row r="1870" ht="21" customHeight="1">
      <x:c r="A1870" s="60" t="n">
        <x:v>0.67</x:v>
      </x:c>
      <x:c r="B1870" s="28" t="str">
        <x:v>middle_low</x:v>
      </x:c>
      <x:c r="C1870" s="60" t="n">
        <x:v>0.7</x:v>
      </x:c>
      <x:c r="D1870" s="60" t="n">
        <x:v>0.7</x:v>
      </x:c>
      <x:c r="E1870" s="62" t="b">
        <x:v>1</x:v>
      </x:c>
      <x:c r="F1870" s="62" t="b">
        <x:v>0</x:v>
      </x:c>
      <x:c r="G1870" s="85" t="n">
        <x:v>381851.2965238996</x:v>
      </x:c>
      <x:c r="H1870" s="85" t="n">
        <x:v>4752846.978545917</x:v>
      </x:c>
      <x:c r="I1870" s="85" t="n">
        <x:v>8292085.738923288</x:v>
      </x:c>
      <x:c r="J1870" s="85" t="n">
        <x:v>12821119.999999998</x:v>
      </x:c>
      <x:c r="K1870" s="85" t="n">
        <x:v>34444.99046575329</x:v>
      </x:c>
      <x:c r="L1870" s="28" t="n">
        <x:v>43</x:v>
      </x:c>
      <x:c r="M1870" s="28" t="n">
        <x:v>33</x:v>
      </x:c>
      <x:c r="N1870" s="28" t="n">
        <x:v>4.656612873077393e-10</x:v>
      </x:c>
      <x:c r="O1870" s="28" t="n">
        <x:v>3.725290298461914e-9</x:v>
      </x:c>
      <x:c r="P1870" s="28" t="n">
        <x:v>0</x:v>
      </x:c>
      <x:c r="Q1870" s="62" t="b">
        <x:v>1</x:v>
      </x:c>
      <x:c r="R1870" s="28" t="n">
        <x:v>0</x:v>
      </x:c>
      <x:c r="S1870" s="28" t="str">
        <x:v>9d65ca6179793221</x:v>
      </x:c>
    </x:row>
    <x:row r="1871" ht="21" customHeight="1">
      <x:c r="A1871" s="60" t="n">
        <x:v>0.67</x:v>
      </x:c>
      <x:c r="B1871" s="28" t="str">
        <x:v>middle_low</x:v>
      </x:c>
      <x:c r="C1871" s="60" t="n">
        <x:v>0.75</x:v>
      </x:c>
      <x:c r="D1871" s="60" t="n">
        <x:v>0.75</x:v>
      </x:c>
      <x:c r="E1871" s="62" t="b">
        <x:v>1</x:v>
      </x:c>
      <x:c r="F1871" s="62" t="b">
        <x:v>0</x:v>
      </x:c>
      <x:c r="G1871" s="85" t="n">
        <x:v>556835.6189605795</x:v>
      </x:c>
      <x:c r="H1871" s="85" t="n">
        <x:v>6790788.055384987</x:v>
      </x:c>
      <x:c r="I1871" s="85" t="n">
        <x:v>8296780.2358287675</x:v>
      </x:c>
      <x:c r="J1871" s="85" t="n">
        <x:v>12821119.999999998</x:v>
      </x:c>
      <x:c r="K1871" s="85" t="n">
        <x:v>31732.619123287594</x:v>
      </x:c>
      <x:c r="L1871" s="28" t="n">
        <x:v>43</x:v>
      </x:c>
      <x:c r="M1871" s="28" t="n">
        <x:v>34</x:v>
      </x:c>
      <x:c r="N1871" s="28" t="n">
        <x:v>2.3283064365386963e-10</x:v>
      </x:c>
      <x:c r="O1871" s="28" t="n">
        <x:v>3.725290298461914e-9</x:v>
      </x:c>
      <x:c r="P1871" s="28" t="n">
        <x:v>0</x:v>
      </x:c>
      <x:c r="Q1871" s="62" t="b">
        <x:v>1</x:v>
      </x:c>
      <x:c r="R1871" s="28" t="n">
        <x:v>0</x:v>
      </x:c>
      <x:c r="S1871" s="28" t="str">
        <x:v>9f8474e82b611c80</x:v>
      </x:c>
    </x:row>
    <x:row r="1872" ht="21" customHeight="1">
      <x:c r="A1872" s="60" t="n">
        <x:v>0.67</x:v>
      </x:c>
      <x:c r="B1872" s="28" t="str">
        <x:v>middle_low</x:v>
      </x:c>
      <x:c r="C1872" s="60" t="n">
        <x:v>0.8</x:v>
      </x:c>
      <x:c r="D1872" s="60" t="n">
        <x:v>0.8</x:v>
      </x:c>
      <x:c r="E1872" s="62" t="b">
        <x:v>1</x:v>
      </x:c>
      <x:c r="F1872" s="62" t="b">
        <x:v>0</x:v>
      </x:c>
      <x:c r="G1872" s="85" t="n">
        <x:v>748160.3834547915</x:v>
      </x:c>
      <x:c r="H1872" s="85" t="n">
        <x:v>8766370.180971755</x:v>
      </x:c>
      <x:c r="I1872" s="85" t="n">
        <x:v>8301474.732734247</x:v>
      </x:c>
      <x:c r="J1872" s="85" t="n">
        <x:v>12821119.999999998</x:v>
      </x:c>
      <x:c r="K1872" s="85" t="n">
        <x:v>29020.247780821966</x:v>
      </x:c>
      <x:c r="L1872" s="28" t="n">
        <x:v>43</x:v>
      </x:c>
      <x:c r="M1872" s="28" t="n">
        <x:v>35</x:v>
      </x:c>
      <x:c r="N1872" s="28" t="n">
        <x:v>4.656612873077393e-10</x:v>
      </x:c>
      <x:c r="O1872" s="28" t="n">
        <x:v>1.862645149230957e-9</x:v>
      </x:c>
      <x:c r="P1872" s="28" t="n">
        <x:v>0</x:v>
      </x:c>
      <x:c r="Q1872" s="62" t="b">
        <x:v>1</x:v>
      </x:c>
      <x:c r="R1872" s="28" t="n">
        <x:v>0</x:v>
      </x:c>
      <x:c r="S1872" s="28" t="str">
        <x:v>1023b087593dd9eb</x:v>
      </x:c>
    </x:row>
    <x:row r="1873" ht="21" customHeight="1">
      <x:c r="A1873" s="60" t="n">
        <x:v>0.67</x:v>
      </x:c>
      <x:c r="B1873" s="28" t="str">
        <x:v>middle_low</x:v>
      </x:c>
      <x:c r="C1873" s="60" t="n">
        <x:v>0.85</x:v>
      </x:c>
      <x:c r="D1873" s="60" t="n">
        <x:v>0.85</x:v>
      </x:c>
      <x:c r="E1873" s="62" t="b">
        <x:v>1</x:v>
      </x:c>
      <x:c r="F1873" s="62" t="b">
        <x:v>0</x:v>
      </x:c>
      <x:c r="G1873" s="85" t="n">
        <x:v>923092.6755873521</x:v>
      </x:c>
      <x:c r="H1873" s="85" t="n">
        <x:v>10540727.954670895</x:v>
      </x:c>
      <x:c r="I1873" s="85" t="n">
        <x:v>8468261.944109589</x:v>
      </x:c>
      <x:c r="J1873" s="85" t="n">
        <x:v>12821119.999999998</x:v>
      </x:c>
      <x:c r="K1873" s="85" t="n">
        <x:v>26307.876438356336</x:v>
      </x:c>
      <x:c r="L1873" s="28" t="n">
        <x:v>44</x:v>
      </x:c>
      <x:c r="M1873" s="28" t="n">
        <x:v>36</x:v>
      </x:c>
      <x:c r="N1873" s="28" t="n">
        <x:v>4.656612873077393e-10</x:v>
      </x:c>
      <x:c r="O1873" s="28" t="n">
        <x:v>3.725290298461914e-9</x:v>
      </x:c>
      <x:c r="P1873" s="28" t="n">
        <x:v>0</x:v>
      </x:c>
      <x:c r="Q1873" s="62" t="b">
        <x:v>1</x:v>
      </x:c>
      <x:c r="R1873" s="28" t="n">
        <x:v>0</x:v>
      </x:c>
      <x:c r="S1873" s="28" t="str">
        <x:v>ae7c06883d8c6a6b</x:v>
      </x:c>
    </x:row>
    <x:row r="1874" ht="21" customHeight="1">
      <x:c r="A1874" s="60" t="n">
        <x:v>0.67</x:v>
      </x:c>
      <x:c r="B1874" s="28" t="str">
        <x:v>middle_low</x:v>
      </x:c>
      <x:c r="C1874" s="60" t="n">
        <x:v>0.9</x:v>
      </x:c>
      <x:c r="D1874" s="60" t="n">
        <x:v>0.9</x:v>
      </x:c>
      <x:c r="E1874" s="62" t="b">
        <x:v>1</x:v>
      </x:c>
      <x:c r="F1874" s="62" t="b">
        <x:v>0</x:v>
      </x:c>
      <x:c r="G1874" s="85" t="n">
        <x:v>1205494.5507953768</x:v>
      </x:c>
      <x:c r="H1874" s="85" t="n">
        <x:v>12393764.083390208</x:v>
      </x:c>
      <x:c r="I1874" s="85" t="n">
        <x:v>8468261.944109589</x:v>
      </x:c>
      <x:c r="J1874" s="85" t="n">
        <x:v>12821119.999999998</x:v>
      </x:c>
      <x:c r="K1874" s="85" t="n">
        <x:v>23595.505095890476</x:v>
      </x:c>
      <x:c r="L1874" s="28" t="n">
        <x:v>44</x:v>
      </x:c>
      <x:c r="M1874" s="28" t="n">
        <x:v>36</x:v>
      </x:c>
      <x:c r="N1874" s="28" t="n">
        <x:v>4.656612873077393e-10</x:v>
      </x:c>
      <x:c r="O1874" s="28" t="n">
        <x:v>3.725290298461914e-9</x:v>
      </x:c>
      <x:c r="P1874" s="28" t="n">
        <x:v>0</x:v>
      </x:c>
      <x:c r="Q1874" s="62" t="b">
        <x:v>1</x:v>
      </x:c>
      <x:c r="R1874" s="28" t="n">
        <x:v>0</x:v>
      </x:c>
      <x:c r="S1874" s="28" t="str">
        <x:v>16ee26bb2c6df4d1</x:v>
      </x:c>
    </x:row>
    <x:row r="1875" ht="21" customHeight="1">
      <x:c r="A1875" s="60" t="n">
        <x:v>0.67</x:v>
      </x:c>
      <x:c r="B1875" s="28" t="str">
        <x:v>middle_low</x:v>
      </x:c>
      <x:c r="C1875" s="60" t="n">
        <x:v>0.95</x:v>
      </x:c>
      <x:c r="D1875" s="60" t="n">
        <x:v>0.9270639118581285</x:v>
      </x:c>
      <x:c r="E1875" s="62" t="b">
        <x:v>0</x:v>
      </x:c>
      <x:c r="F1875" s="62" t="b">
        <x:v>0</x:v>
      </x:c>
      <x:c r="G1875" s="85" t="n">
        <x:v>1512216.6698684792</x:v>
      </x:c>
      <x:c r="H1875" s="85" t="n">
        <x:v>13259004.167815587</x:v>
      </x:c>
      <x:c r="I1875" s="85" t="n">
        <x:v>8471576.86391233</x:v>
      </x:c>
      <x:c r="J1875" s="85" t="n">
        <x:v>12821119.999999998</x:v>
      </x:c>
      <x:c r="K1875" s="85" t="n">
        <x:v>20883.13375342484</x:v>
      </x:c>
      <x:c r="L1875" s="28" t="n">
        <x:v>44</x:v>
      </x:c>
      <x:c r="M1875" s="28" t="n">
        <x:v>37</x:v>
      </x:c>
      <x:c r="N1875" s="28" t="n">
        <x:v>2.3283064365386963e-10</x:v>
      </x:c>
      <x:c r="O1875" s="28" t="n">
        <x:v>3.725290298461914e-9</x:v>
      </x:c>
      <x:c r="P1875" s="28" t="n">
        <x:v>0</x:v>
      </x:c>
      <x:c r="Q1875" s="62" t="b">
        <x:v>1</x:v>
      </x:c>
      <x:c r="R1875" s="28" t="n">
        <x:v>1278549.2973804846</x:v>
      </x:c>
      <x:c r="S1875" s="28" t="str">
        <x:v>4f761762159cb077</x:v>
      </x:c>
    </x:row>
    <x:row r="1876" ht="21" customHeight="1">
      <x:c r="A1876" s="60" t="n">
        <x:v>0.67</x:v>
      </x:c>
      <x:c r="B1876" s="28" t="str">
        <x:v>middle_low</x:v>
      </x:c>
      <x:c r="C1876" s="60" t="n">
        <x:v>1</x:v>
      </x:c>
      <x:c r="D1876" s="60" t="n">
        <x:v>0.9427455891708479</x:v>
      </x:c>
      <x:c r="E1876" s="62" t="b">
        <x:v>0</x:v>
      </x:c>
      <x:c r="F1876" s="62" t="b">
        <x:v>0</x:v>
      </x:c>
      <x:c r="G1876" s="85" t="n">
        <x:v>1652998.0725926321</x:v>
      </x:c>
      <x:c r="H1876" s="85" t="n">
        <x:v>13909313.610814735</x:v>
      </x:c>
      <x:c r="I1876" s="85" t="n">
        <x:v>8477295.850082193</x:v>
      </x:c>
      <x:c r="J1876" s="85" t="n">
        <x:v>12821119.999999998</x:v>
      </x:c>
      <x:c r="K1876" s="85" t="n">
        <x:v>18170.76241095898</x:v>
      </x:c>
      <x:c r="L1876" s="28" t="n">
        <x:v>44</x:v>
      </x:c>
      <x:c r="M1876" s="28" t="n">
        <x:v>38</x:v>
      </x:c>
      <x:c r="N1876" s="28" t="n">
        <x:v>2.3283064365386963e-10</x:v>
      </x:c>
      <x:c r="O1876" s="28" t="n">
        <x:v>9.313225746154785e-10</x:v>
      </x:c>
      <x:c r="P1876" s="28" t="n">
        <x:v>0</x:v>
      </x:c>
      <x:c r="Q1876" s="62" t="b">
        <x:v>1</x:v>
      </x:c>
      <x:c r="R1876" s="28" t="n">
        <x:v>3191589.877260253</x:v>
      </x:c>
      <x:c r="S1876" s="28" t="str">
        <x:v>b7d40f148d365030</x:v>
      </x:c>
    </x:row>
    <x:row r="1877" ht="21" customHeight="1">
      <x:c r="A1877" s="60" t="n">
        <x:v>0.67</x:v>
      </x:c>
      <x:c r="B1877" s="28" t="str">
        <x:v>middle_high</x:v>
      </x:c>
      <x:c r="C1877" s="60" t="n">
        <x:v>0</x:v>
      </x:c>
      <x:c r="D1877" s="60" t="n">
        <x:v>0</x:v>
      </x:c>
      <x:c r="E1877" s="62" t="b">
        <x:v>1</x:v>
      </x:c>
      <x:c r="F1877" s="62" t="b">
        <x:v>1</x:v>
      </x:c>
      <x:c r="G1877" s="85" t="n">
        <x:v>0</x:v>
      </x:c>
      <x:c r="H1877" s="85" t="n">
        <x:v>0</x:v>
      </x:c>
      <x:c r="I1877" s="85" t="n">
        <x:v>0</x:v>
      </x:c>
      <x:c r="J1877" s="85" t="n">
        <x:v>0</x:v>
      </x:c>
      <x:c r="K1877" s="85" t="n">
        <x:v>7404749.462356168</x:v>
      </x:c>
      <x:c r="L1877" s="28" t="n">
        <x:v>0</x:v>
      </x:c>
      <x:c r="M1877" s="28" t="n">
        <x:v>0</x:v>
      </x:c>
      <x:c r="N1877" s="28" t="n">
        <x:v>9.313225746154785e-10</x:v>
      </x:c>
      <x:c r="O1877" s="28" t="n">
        <x:v>0</x:v>
      </x:c>
      <x:c r="P1877" s="28" t="n">
        <x:v>0</x:v>
      </x:c>
      <x:c r="Q1877" s="62" t="b">
        <x:v>1</x:v>
      </x:c>
      <x:c r="R1877" s="28" t="n">
        <x:v>0</x:v>
      </x:c>
      <x:c r="S1877" s="28" t="str">
        <x:v>b8095e103ccdc4ca</x:v>
      </x:c>
    </x:row>
    <x:row r="1878" ht="21" customHeight="1">
      <x:c r="A1878" s="60" t="n">
        <x:v>0.67</x:v>
      </x:c>
      <x:c r="B1878" s="28" t="str">
        <x:v>middle_high</x:v>
      </x:c>
      <x:c r="C1878" s="60" t="n">
        <x:v>0.05</x:v>
      </x:c>
      <x:c r="D1878" s="60" t="n">
        <x:v>0.05</x:v>
      </x:c>
      <x:c r="E1878" s="62" t="b">
        <x:v>1</x:v>
      </x:c>
      <x:c r="F1878" s="62" t="b">
        <x:v>1</x:v>
      </x:c>
      <x:c r="G1878" s="85" t="n">
        <x:v>0</x:v>
      </x:c>
      <x:c r="H1878" s="85" t="n">
        <x:v>0</x:v>
      </x:c>
      <x:c r="I1878" s="85" t="n">
        <x:v>0</x:v>
      </x:c>
      <x:c r="J1878" s="85" t="n">
        <x:v>0</x:v>
      </x:c>
      <x:c r="K1878" s="85" t="n">
        <x:v>4901926.275393799</x:v>
      </x:c>
      <x:c r="L1878" s="28" t="n">
        <x:v>0</x:v>
      </x:c>
      <x:c r="M1878" s="28" t="n">
        <x:v>0</x:v>
      </x:c>
      <x:c r="N1878" s="28" t="n">
        <x:v>4.656612873077393e-10</x:v>
      </x:c>
      <x:c r="O1878" s="28" t="n">
        <x:v>7.450580596923828e-9</x:v>
      </x:c>
      <x:c r="P1878" s="28" t="n">
        <x:v>0</x:v>
      </x:c>
      <x:c r="Q1878" s="62" t="b">
        <x:v>1</x:v>
      </x:c>
      <x:c r="R1878" s="28" t="n">
        <x:v>0</x:v>
      </x:c>
      <x:c r="S1878" s="28" t="str">
        <x:v>69337dfd3e0bdcc4</x:v>
      </x:c>
    </x:row>
    <x:row r="1879" ht="21" customHeight="1">
      <x:c r="A1879" s="60" t="n">
        <x:v>0.67</x:v>
      </x:c>
      <x:c r="B1879" s="28" t="str">
        <x:v>middle_high</x:v>
      </x:c>
      <x:c r="C1879" s="60" t="n">
        <x:v>0.1</x:v>
      </x:c>
      <x:c r="D1879" s="60" t="n">
        <x:v>0.1</x:v>
      </x:c>
      <x:c r="E1879" s="62" t="b">
        <x:v>1</x:v>
      </x:c>
      <x:c r="F1879" s="62" t="b">
        <x:v>1</x:v>
      </x:c>
      <x:c r="G1879" s="85" t="n">
        <x:v>0</x:v>
      </x:c>
      <x:c r="H1879" s="85" t="n">
        <x:v>0</x:v>
      </x:c>
      <x:c r="I1879" s="85" t="n">
        <x:v>0</x:v>
      </x:c>
      <x:c r="J1879" s="85" t="n">
        <x:v>0</x:v>
      </x:c>
      <x:c r="K1879" s="85" t="n">
        <x:v>2398688.984825371</x:v>
      </x:c>
      <x:c r="L1879" s="28" t="n">
        <x:v>0</x:v>
      </x:c>
      <x:c r="M1879" s="28" t="n">
        <x:v>0</x:v>
      </x:c>
      <x:c r="N1879" s="28" t="n">
        <x:v>4.656612873077393e-10</x:v>
      </x:c>
      <x:c r="O1879" s="28" t="n">
        <x:v>7.450580596923828e-9</x:v>
      </x:c>
      <x:c r="P1879" s="28" t="n">
        <x:v>0</x:v>
      </x:c>
      <x:c r="Q1879" s="62" t="b">
        <x:v>1</x:v>
      </x:c>
      <x:c r="R1879" s="28" t="n">
        <x:v>0</x:v>
      </x:c>
      <x:c r="S1879" s="28" t="str">
        <x:v>f0bc84f02371e76b</x:v>
      </x:c>
    </x:row>
    <x:row r="1880" ht="21" customHeight="1">
      <x:c r="A1880" s="60" t="n">
        <x:v>0.67</x:v>
      </x:c>
      <x:c r="B1880" s="28" t="str">
        <x:v>middle_high</x:v>
      </x:c>
      <x:c r="C1880" s="60" t="n">
        <x:v>0.15</x:v>
      </x:c>
      <x:c r="D1880" s="60" t="n">
        <x:v>0.15</x:v>
      </x:c>
      <x:c r="E1880" s="62" t="b">
        <x:v>1</x:v>
      </x:c>
      <x:c r="F1880" s="62" t="b">
        <x:v>1</x:v>
      </x:c>
      <x:c r="G1880" s="85" t="n">
        <x:v>0</x:v>
      </x:c>
      <x:c r="H1880" s="85" t="n">
        <x:v>0</x:v>
      </x:c>
      <x:c r="I1880" s="85" t="n">
        <x:v>643667.3149947377</x:v>
      </x:c>
      <x:c r="J1880" s="85" t="n">
        <x:v>0</x:v>
      </x:c>
      <x:c r="K1880" s="85" t="n">
        <x:v>600446.2051558634</x:v>
      </x:c>
      <x:c r="L1880" s="28" t="n">
        <x:v>0</x:v>
      </x:c>
      <x:c r="M1880" s="28" t="n">
        <x:v>0</x:v>
      </x:c>
      <x:c r="N1880" s="28" t="n">
        <x:v>9.313225746154785e-10</x:v>
      </x:c>
      <x:c r="O1880" s="28" t="n">
        <x:v>7.450580596923828e-9</x:v>
      </x:c>
      <x:c r="P1880" s="28" t="n">
        <x:v>0</x:v>
      </x:c>
      <x:c r="Q1880" s="62" t="b">
        <x:v>1</x:v>
      </x:c>
      <x:c r="R1880" s="28" t="n">
        <x:v>0</x:v>
      </x:c>
      <x:c r="S1880" s="28" t="str">
        <x:v>d4ed464d5b2d8ed4</x:v>
      </x:c>
    </x:row>
    <x:row r="1881" ht="21" customHeight="1">
      <x:c r="A1881" s="60" t="n">
        <x:v>0.67</x:v>
      </x:c>
      <x:c r="B1881" s="28" t="str">
        <x:v>middle_high</x:v>
      </x:c>
      <x:c r="C1881" s="60" t="n">
        <x:v>0.2</x:v>
      </x:c>
      <x:c r="D1881" s="60" t="n">
        <x:v>0.2</x:v>
      </x:c>
      <x:c r="E1881" s="62" t="b">
        <x:v>1</x:v>
      </x:c>
      <x:c r="F1881" s="62" t="b">
        <x:v>1</x:v>
      </x:c>
      <x:c r="G1881" s="85" t="n">
        <x:v>0</x:v>
      </x:c>
      <x:c r="H1881" s="85" t="n">
        <x:v>0</x:v>
      </x:c>
      <x:c r="I1881" s="85" t="n">
        <x:v>2530834.2363554724</x:v>
      </x:c>
      <x:c r="J1881" s="85" t="n">
        <x:v>1253157.2790409003</x:v>
      </x:c>
      <x:c r="K1881" s="85" t="n">
        <x:v>473250.12970816554</x:v>
      </x:c>
      <x:c r="L1881" s="28" t="n">
        <x:v>0</x:v>
      </x:c>
      <x:c r="M1881" s="28" t="n">
        <x:v>0</x:v>
      </x:c>
      <x:c r="N1881" s="28" t="n">
        <x:v>4.656612873077393e-10</x:v>
      </x:c>
      <x:c r="O1881" s="28" t="n">
        <x:v>7.450580596923828e-9</x:v>
      </x:c>
      <x:c r="P1881" s="28" t="n">
        <x:v>0</x:v>
      </x:c>
      <x:c r="Q1881" s="62" t="b">
        <x:v>1</x:v>
      </x:c>
      <x:c r="R1881" s="28" t="n">
        <x:v>0</x:v>
      </x:c>
      <x:c r="S1881" s="28" t="str">
        <x:v>859ff286299ce64f</x:v>
      </x:c>
    </x:row>
    <x:row r="1882" ht="21" customHeight="1">
      <x:c r="A1882" s="60" t="n">
        <x:v>0.67</x:v>
      </x:c>
      <x:c r="B1882" s="28" t="str">
        <x:v>middle_high</x:v>
      </x:c>
      <x:c r="C1882" s="60" t="n">
        <x:v>0.25</x:v>
      </x:c>
      <x:c r="D1882" s="60" t="n">
        <x:v>0.25</x:v>
      </x:c>
      <x:c r="E1882" s="62" t="b">
        <x:v>1</x:v>
      </x:c>
      <x:c r="F1882" s="62" t="b">
        <x:v>1</x:v>
      </x:c>
      <x:c r="G1882" s="85" t="n">
        <x:v>0</x:v>
      </x:c>
      <x:c r="H1882" s="85" t="n">
        <x:v>0</x:v>
      </x:c>
      <x:c r="I1882" s="85" t="n">
        <x:v>4185208.2616023677</x:v>
      </x:c>
      <x:c r="J1882" s="85" t="n">
        <x:v>2960046.598801145</x:v>
      </x:c>
      <x:c r="K1882" s="85" t="n">
        <x:v>382287.0353680827</x:v>
      </x:c>
      <x:c r="L1882" s="28" t="n">
        <x:v>0</x:v>
      </x:c>
      <x:c r="M1882" s="28" t="n">
        <x:v>0</x:v>
      </x:c>
      <x:c r="N1882" s="28" t="n">
        <x:v>4.656612873077393e-10</x:v>
      </x:c>
      <x:c r="O1882" s="28" t="n">
        <x:v>7.450580596923828e-9</x:v>
      </x:c>
      <x:c r="P1882" s="28" t="n">
        <x:v>0</x:v>
      </x:c>
      <x:c r="Q1882" s="62" t="b">
        <x:v>1</x:v>
      </x:c>
      <x:c r="R1882" s="28" t="n">
        <x:v>0</x:v>
      </x:c>
      <x:c r="S1882" s="28" t="str">
        <x:v>b52dbf03e360f9e6</x:v>
      </x:c>
    </x:row>
    <x:row r="1883" ht="21" customHeight="1">
      <x:c r="A1883" s="60" t="n">
        <x:v>0.67</x:v>
      </x:c>
      <x:c r="B1883" s="28" t="str">
        <x:v>middle_high</x:v>
      </x:c>
      <x:c r="C1883" s="60" t="n">
        <x:v>0.3</x:v>
      </x:c>
      <x:c r="D1883" s="60" t="n">
        <x:v>0.3</x:v>
      </x:c>
      <x:c r="E1883" s="62" t="b">
        <x:v>1</x:v>
      </x:c>
      <x:c r="F1883" s="62" t="b">
        <x:v>1</x:v>
      </x:c>
      <x:c r="G1883" s="85" t="n">
        <x:v>0</x:v>
      </x:c>
      <x:c r="H1883" s="85" t="n">
        <x:v>0</x:v>
      </x:c>
      <x:c r="I1883" s="85" t="n">
        <x:v>5860329.257791327</x:v>
      </x:c>
      <x:c r="J1883" s="85" t="n">
        <x:v>4666935.918561366</x:v>
      </x:c>
      <x:c r="K1883" s="85" t="n">
        <x:v>313397.345737042</x:v>
      </x:c>
      <x:c r="L1883" s="28" t="n">
        <x:v>0</x:v>
      </x:c>
      <x:c r="M1883" s="28" t="n">
        <x:v>0</x:v>
      </x:c>
      <x:c r="N1883" s="28" t="n">
        <x:v>9.313225746154785e-10</x:v>
      </x:c>
      <x:c r="O1883" s="28" t="n">
        <x:v>7.450580596923828e-9</x:v>
      </x:c>
      <x:c r="P1883" s="28" t="n">
        <x:v>0</x:v>
      </x:c>
      <x:c r="Q1883" s="62" t="b">
        <x:v>1</x:v>
      </x:c>
      <x:c r="R1883" s="28" t="n">
        <x:v>0</x:v>
      </x:c>
      <x:c r="S1883" s="28" t="str">
        <x:v>9237a35073279c7a</x:v>
      </x:c>
    </x:row>
    <x:row r="1884" ht="21" customHeight="1">
      <x:c r="A1884" s="60" t="n">
        <x:v>0.67</x:v>
      </x:c>
      <x:c r="B1884" s="28" t="str">
        <x:v>middle_high</x:v>
      </x:c>
      <x:c r="C1884" s="60" t="n">
        <x:v>0.35</x:v>
      </x:c>
      <x:c r="D1884" s="60" t="n">
        <x:v>0.35</x:v>
      </x:c>
      <x:c r="E1884" s="62" t="b">
        <x:v>1</x:v>
      </x:c>
      <x:c r="F1884" s="62" t="b">
        <x:v>1</x:v>
      </x:c>
      <x:c r="G1884" s="85" t="n">
        <x:v>0</x:v>
      </x:c>
      <x:c r="H1884" s="85" t="n">
        <x:v>0</x:v>
      </x:c>
      <x:c r="I1884" s="85" t="n">
        <x:v>7626179.022472202</x:v>
      </x:c>
      <x:c r="J1884" s="85" t="n">
        <x:v>5981957.769463805</x:v>
      </x:c>
      <x:c r="K1884" s="85" t="n">
        <x:v>261230.99561559028</x:v>
      </x:c>
      <x:c r="L1884" s="28" t="n">
        <x:v>2</x:v>
      </x:c>
      <x:c r="M1884" s="28" t="n">
        <x:v>0</x:v>
      </x:c>
      <x:c r="N1884" s="28" t="n">
        <x:v>9.313225746154785e-10</x:v>
      </x:c>
      <x:c r="O1884" s="28" t="n">
        <x:v>7.450580596923828e-9</x:v>
      </x:c>
      <x:c r="P1884" s="28" t="n">
        <x:v>0</x:v>
      </x:c>
      <x:c r="Q1884" s="62" t="b">
        <x:v>1</x:v>
      </x:c>
      <x:c r="R1884" s="28" t="n">
        <x:v>0</x:v>
      </x:c>
      <x:c r="S1884" s="28" t="str">
        <x:v>367a22929db3715a</x:v>
      </x:c>
    </x:row>
    <x:row r="1885" ht="21" customHeight="1">
      <x:c r="A1885" s="60" t="n">
        <x:v>0.67</x:v>
      </x:c>
      <x:c r="B1885" s="28" t="str">
        <x:v>middle_high</x:v>
      </x:c>
      <x:c r="C1885" s="60" t="n">
        <x:v>0.4</x:v>
      </x:c>
      <x:c r="D1885" s="60" t="n">
        <x:v>0.4</x:v>
      </x:c>
      <x:c r="E1885" s="62" t="b">
        <x:v>1</x:v>
      </x:c>
      <x:c r="F1885" s="62" t="b">
        <x:v>1</x:v>
      </x:c>
      <x:c r="G1885" s="85" t="n">
        <x:v>0</x:v>
      </x:c>
      <x:c r="H1885" s="85" t="n">
        <x:v>0</x:v>
      </x:c>
      <x:c r="I1885" s="85" t="n">
        <x:v>9433937.124651548</x:v>
      </x:c>
      <x:c r="J1885" s="85" t="n">
        <x:v>6853188.418805323</x:v>
      </x:c>
      <x:c r="K1885" s="85" t="n">
        <x:v>226328.29315068436</x:v>
      </x:c>
      <x:c r="L1885" s="28" t="n">
        <x:v>6</x:v>
      </x:c>
      <x:c r="M1885" s="28" t="n">
        <x:v>0</x:v>
      </x:c>
      <x:c r="N1885" s="28" t="n">
        <x:v>4.656612873077393e-10</x:v>
      </x:c>
      <x:c r="O1885" s="28" t="n">
        <x:v>3.725290298461914e-9</x:v>
      </x:c>
      <x:c r="P1885" s="28" t="n">
        <x:v>0</x:v>
      </x:c>
      <x:c r="Q1885" s="62" t="b">
        <x:v>1</x:v>
      </x:c>
      <x:c r="R1885" s="28" t="n">
        <x:v>0</x:v>
      </x:c>
      <x:c r="S1885" s="28" t="str">
        <x:v>c1f10b557c388a09</x:v>
      </x:c>
    </x:row>
    <x:row r="1886" ht="21" customHeight="1">
      <x:c r="A1886" s="60" t="n">
        <x:v>0.67</x:v>
      </x:c>
      <x:c r="B1886" s="28" t="str">
        <x:v>middle_high</x:v>
      </x:c>
      <x:c r="C1886" s="60" t="n">
        <x:v>0.45</x:v>
      </x:c>
      <x:c r="D1886" s="60" t="n">
        <x:v>0.45</x:v>
      </x:c>
      <x:c r="E1886" s="62" t="b">
        <x:v>1</x:v>
      </x:c>
      <x:c r="F1886" s="62" t="b">
        <x:v>1</x:v>
      </x:c>
      <x:c r="G1886" s="85" t="n">
        <x:v>0</x:v>
      </x:c>
      <x:c r="H1886" s="85" t="n">
        <x:v>0</x:v>
      </x:c>
      <x:c r="I1886" s="85" t="n">
        <x:v>11228203.532607343</x:v>
      </x:c>
      <x:c r="J1886" s="85" t="n">
        <x:v>8103082.587791605</x:v>
      </x:c>
      <x:c r="K1886" s="85" t="n">
        <x:v>202371.9947945217</x:v>
      </x:c>
      <x:c r="L1886" s="28" t="n">
        <x:v>11</x:v>
      </x:c>
      <x:c r="M1886" s="28" t="n">
        <x:v>0</x:v>
      </x:c>
      <x:c r="N1886" s="28" t="n">
        <x:v>9.313225746154785e-10</x:v>
      </x:c>
      <x:c r="O1886" s="28" t="n">
        <x:v>1.862645149230957e-9</x:v>
      </x:c>
      <x:c r="P1886" s="28" t="n">
        <x:v>0</x:v>
      </x:c>
      <x:c r="Q1886" s="62" t="b">
        <x:v>1</x:v>
      </x:c>
      <x:c r="R1886" s="28" t="n">
        <x:v>0</x:v>
      </x:c>
      <x:c r="S1886" s="28" t="str">
        <x:v>74952ed4ea24f525</x:v>
      </x:c>
    </x:row>
    <x:row r="1887" ht="21" customHeight="1">
      <x:c r="A1887" s="60" t="n">
        <x:v>0.67</x:v>
      </x:c>
      <x:c r="B1887" s="28" t="str">
        <x:v>middle_high</x:v>
      </x:c>
      <x:c r="C1887" s="60" t="n">
        <x:v>0.5</x:v>
      </x:c>
      <x:c r="D1887" s="60" t="n">
        <x:v>0.5</x:v>
      </x:c>
      <x:c r="E1887" s="62" t="b">
        <x:v>1</x:v>
      </x:c>
      <x:c r="F1887" s="62" t="b">
        <x:v>1</x:v>
      </x:c>
      <x:c r="G1887" s="85" t="n">
        <x:v>0</x:v>
      </x:c>
      <x:c r="H1887" s="85" t="n">
        <x:v>0</x:v>
      </x:c>
      <x:c r="I1887" s="85" t="n">
        <x:v>12925232.28541274</x:v>
      </x:c>
      <x:c r="J1887" s="85" t="n">
        <x:v>9836720.477106474</x:v>
      </x:c>
      <x:c r="K1887" s="85" t="n">
        <x:v>178415.69643835674</x:v>
      </x:c>
      <x:c r="L1887" s="28" t="n">
        <x:v>14</x:v>
      </x:c>
      <x:c r="M1887" s="28" t="n">
        <x:v>3</x:v>
      </x:c>
      <x:c r="N1887" s="28" t="n">
        <x:v>9.313225746154785e-10</x:v>
      </x:c>
      <x:c r="O1887" s="28" t="n">
        <x:v>7.450580596923828e-9</x:v>
      </x:c>
      <x:c r="P1887" s="28" t="n">
        <x:v>0</x:v>
      </x:c>
      <x:c r="Q1887" s="62" t="b">
        <x:v>1</x:v>
      </x:c>
      <x:c r="R1887" s="28" t="n">
        <x:v>0</x:v>
      </x:c>
      <x:c r="S1887" s="28" t="str">
        <x:v>672d92466ef0e359</x:v>
      </x:c>
    </x:row>
    <x:row r="1888" ht="21" customHeight="1">
      <x:c r="A1888" s="60" t="n">
        <x:v>0.67</x:v>
      </x:c>
      <x:c r="B1888" s="28" t="str">
        <x:v>middle_high</x:v>
      </x:c>
      <x:c r="C1888" s="60" t="n">
        <x:v>0.55</x:v>
      </x:c>
      <x:c r="D1888" s="60" t="n">
        <x:v>0.55</x:v>
      </x:c>
      <x:c r="E1888" s="62" t="b">
        <x:v>1</x:v>
      </x:c>
      <x:c r="F1888" s="62" t="b">
        <x:v>1</x:v>
      </x:c>
      <x:c r="G1888" s="85" t="n">
        <x:v>0</x:v>
      </x:c>
      <x:c r="H1888" s="85" t="n">
        <x:v>0</x:v>
      </x:c>
      <x:c r="I1888" s="85" t="n">
        <x:v>14585455.308047356</x:v>
      </x:c>
      <x:c r="J1888" s="85" t="n">
        <x:v>11667733.645300088</x:v>
      </x:c>
      <x:c r="K1888" s="85" t="n">
        <x:v>154459.39808219194</x:v>
      </x:c>
      <x:c r="L1888" s="28" t="n">
        <x:v>18</x:v>
      </x:c>
      <x:c r="M1888" s="28" t="n">
        <x:v>12</x:v>
      </x:c>
      <x:c r="N1888" s="28" t="n">
        <x:v>4.656612873077393e-10</x:v>
      </x:c>
      <x:c r="O1888" s="28" t="n">
        <x:v>7.450580596923828e-9</x:v>
      </x:c>
      <x:c r="P1888" s="28" t="n">
        <x:v>0</x:v>
      </x:c>
      <x:c r="Q1888" s="62" t="b">
        <x:v>1</x:v>
      </x:c>
      <x:c r="R1888" s="28" t="n">
        <x:v>0</x:v>
      </x:c>
      <x:c r="S1888" s="28" t="str">
        <x:v>0226d9f482eb15be</x:v>
      </x:c>
    </x:row>
    <x:row r="1889" ht="21" customHeight="1">
      <x:c r="A1889" s="60" t="n">
        <x:v>0.67</x:v>
      </x:c>
      <x:c r="B1889" s="28" t="str">
        <x:v>middle_high</x:v>
      </x:c>
      <x:c r="C1889" s="60" t="n">
        <x:v>0.6</x:v>
      </x:c>
      <x:c r="D1889" s="60" t="n">
        <x:v>0.6</x:v>
      </x:c>
      <x:c r="E1889" s="62" t="b">
        <x:v>1</x:v>
      </x:c>
      <x:c r="F1889" s="62" t="b">
        <x:v>0</x:v>
      </x:c>
      <x:c r="G1889" s="85" t="n">
        <x:v>331848.4996744247</x:v>
      </x:c>
      <x:c r="H1889" s="85" t="n">
        <x:v>1055679.6285886108</x:v>
      </x:c>
      <x:c r="I1889" s="85" t="n">
        <x:v>15588772.93960537</x:v>
      </x:c>
      <x:c r="J1889" s="85" t="n">
        <x:v>12821119.999999998</x:v>
      </x:c>
      <x:c r="K1889" s="85" t="n">
        <x:v>132971.26060274025</x:v>
      </x:c>
      <x:c r="L1889" s="28" t="n">
        <x:v>42</x:v>
      </x:c>
      <x:c r="M1889" s="28" t="n">
        <x:v>36</x:v>
      </x:c>
      <x:c r="N1889" s="28" t="n">
        <x:v>4.656612873077393e-10</x:v>
      </x:c>
      <x:c r="O1889" s="28" t="n">
        <x:v>3.725290298461914e-9</x:v>
      </x:c>
      <x:c r="P1889" s="28" t="n">
        <x:v>0</x:v>
      </x:c>
      <x:c r="Q1889" s="62" t="b">
        <x:v>1</x:v>
      </x:c>
      <x:c r="R1889" s="28" t="n">
        <x:v>0</x:v>
      </x:c>
      <x:c r="S1889" s="28" t="str">
        <x:v>bb7de712a827939f</x:v>
      </x:c>
    </x:row>
    <x:row r="1890" ht="21" customHeight="1">
      <x:c r="A1890" s="60" t="n">
        <x:v>0.67</x:v>
      </x:c>
      <x:c r="B1890" s="28" t="str">
        <x:v>middle_high</x:v>
      </x:c>
      <x:c r="C1890" s="60" t="n">
        <x:v>0.65</x:v>
      </x:c>
      <x:c r="D1890" s="60" t="n">
        <x:v>0.65</x:v>
      </x:c>
      <x:c r="E1890" s="62" t="b">
        <x:v>1</x:v>
      </x:c>
      <x:c r="F1890" s="62" t="b">
        <x:v>0</x:v>
      </x:c>
      <x:c r="G1890" s="85" t="n">
        <x:v>1282062.7736357292</x:v>
      </x:c>
      <x:c r="H1890" s="85" t="n">
        <x:v>3880613.422220745</x:v>
      </x:c>
      <x:c r="I1890" s="85" t="n">
        <x:v>15617376.473376138</x:v>
      </x:c>
      <x:c r="J1890" s="85" t="n">
        <x:v>12821119.999999998</x:v>
      </x:c>
      <x:c r="K1890" s="85" t="n">
        <x:v>118602.19906849349</x:v>
      </x:c>
      <x:c r="L1890" s="28" t="n">
        <x:v>42</x:v>
      </x:c>
      <x:c r="M1890" s="28" t="n">
        <x:v>38</x:v>
      </x:c>
      <x:c r="N1890" s="28" t="n">
        <x:v>4.656612873077393e-10</x:v>
      </x:c>
      <x:c r="O1890" s="28" t="n">
        <x:v>1.862645149230957e-9</x:v>
      </x:c>
      <x:c r="P1890" s="28" t="n">
        <x:v>0</x:v>
      </x:c>
      <x:c r="Q1890" s="62" t="b">
        <x:v>1</x:v>
      </x:c>
      <x:c r="R1890" s="28" t="n">
        <x:v>0</x:v>
      </x:c>
      <x:c r="S1890" s="28" t="str">
        <x:v>13bbf67fe16c149d</x:v>
      </x:c>
    </x:row>
    <x:row r="1891" ht="21" customHeight="1">
      <x:c r="A1891" s="60" t="n">
        <x:v>0.67</x:v>
      </x:c>
      <x:c r="B1891" s="28" t="str">
        <x:v>middle_high</x:v>
      </x:c>
      <x:c r="C1891" s="60" t="n">
        <x:v>0.7</x:v>
      </x:c>
      <x:c r="D1891" s="60" t="n">
        <x:v>0.7</x:v>
      </x:c>
      <x:c r="E1891" s="62" t="b">
        <x:v>1</x:v>
      </x:c>
      <x:c r="F1891" s="62" t="b">
        <x:v>0</x:v>
      </x:c>
      <x:c r="G1891" s="85" t="n">
        <x:v>2026792.5549523593</x:v>
      </x:c>
      <x:c r="H1891" s="85" t="n">
        <x:v>6114447.395930593</x:v>
      </x:c>
      <x:c r="I1891" s="85" t="n">
        <x:v>15928451.336952057</x:v>
      </x:c>
      <x:c r="J1891" s="85" t="n">
        <x:v>12821119.999999998</x:v>
      </x:c>
      <x:c r="K1891" s="85" t="n">
        <x:v>106048.68821917783</x:v>
      </x:c>
      <x:c r="L1891" s="28" t="n">
        <x:v>43</x:v>
      </x:c>
      <x:c r="M1891" s="28" t="n">
        <x:v>38</x:v>
      </x:c>
      <x:c r="N1891" s="28" t="n">
        <x:v>4.656612873077393e-10</x:v>
      </x:c>
      <x:c r="O1891" s="28" t="n">
        <x:v>3.725290298461914e-9</x:v>
      </x:c>
      <x:c r="P1891" s="28" t="n">
        <x:v>0</x:v>
      </x:c>
      <x:c r="Q1891" s="62" t="b">
        <x:v>1</x:v>
      </x:c>
      <x:c r="R1891" s="28" t="n">
        <x:v>0</x:v>
      </x:c>
      <x:c r="S1891" s="28" t="str">
        <x:v>431663d2091b7698</x:v>
      </x:c>
    </x:row>
    <x:row r="1892" ht="21" customHeight="1">
      <x:c r="A1892" s="60" t="n">
        <x:v>0.67</x:v>
      </x:c>
      <x:c r="B1892" s="28" t="str">
        <x:v>middle_high</x:v>
      </x:c>
      <x:c r="C1892" s="60" t="n">
        <x:v>0.75</x:v>
      </x:c>
      <x:c r="D1892" s="60" t="n">
        <x:v>0.75</x:v>
      </x:c>
      <x:c r="E1892" s="62" t="b">
        <x:v>1</x:v>
      </x:c>
      <x:c r="F1892" s="62" t="b">
        <x:v>0</x:v>
      </x:c>
      <x:c r="G1892" s="85" t="n">
        <x:v>3065499.7579770098</x:v>
      </x:c>
      <x:c r="H1892" s="85" t="n">
        <x:v>8679091.007014921</x:v>
      </x:c>
      <x:c r="I1892" s="85" t="n">
        <x:v>15951078.212065069</x:v>
      </x:c>
      <x:c r="J1892" s="85" t="n">
        <x:v>12821119.999999998</x:v>
      </x:c>
      <x:c r="K1892" s="85" t="n">
        <x:v>98818.47884931555</x:v>
      </x:c>
      <x:c r="L1892" s="28" t="n">
        <x:v>43</x:v>
      </x:c>
      <x:c r="M1892" s="28" t="n">
        <x:v>39</x:v>
      </x:c>
      <x:c r="N1892" s="28" t="n">
        <x:v>2.3283064365386963e-10</x:v>
      </x:c>
      <x:c r="O1892" s="28" t="n">
        <x:v>3.725290298461914e-9</x:v>
      </x:c>
      <x:c r="P1892" s="28" t="n">
        <x:v>0</x:v>
      </x:c>
      <x:c r="Q1892" s="62" t="b">
        <x:v>1</x:v>
      </x:c>
      <x:c r="R1892" s="28" t="n">
        <x:v>0</x:v>
      </x:c>
      <x:c r="S1892" s="28" t="str">
        <x:v>6b7044efb51c262c</x:v>
      </x:c>
    </x:row>
    <x:row r="1893" ht="21" customHeight="1">
      <x:c r="A1893" s="60" t="n">
        <x:v>0.67</x:v>
      </x:c>
      <x:c r="B1893" s="28" t="str">
        <x:v>middle_high</x:v>
      </x:c>
      <x:c r="C1893" s="60" t="n">
        <x:v>0.8</x:v>
      </x:c>
      <x:c r="D1893" s="60" t="n">
        <x:v>0.8</x:v>
      </x:c>
      <x:c r="E1893" s="62" t="b">
        <x:v>1</x:v>
      </x:c>
      <x:c r="F1893" s="62" t="b">
        <x:v>0</x:v>
      </x:c>
      <x:c r="G1893" s="85" t="n">
        <x:v>4081656.4940388403</x:v>
      </x:c>
      <x:c r="H1893" s="85" t="n">
        <x:v>11136603.82023722</x:v>
      </x:c>
      <x:c r="I1893" s="85" t="n">
        <x:v>15973705.087178083</x:v>
      </x:c>
      <x:c r="J1893" s="85" t="n">
        <x:v>12821119.999999998</x:v>
      </x:c>
      <x:c r="K1893" s="85" t="n">
        <x:v>91588.26947945211</x:v>
      </x:c>
      <x:c r="L1893" s="28" t="n">
        <x:v>43</x:v>
      </x:c>
      <x:c r="M1893" s="28" t="n">
        <x:v>40</x:v>
      </x:c>
      <x:c r="N1893" s="28" t="n">
        <x:v>4.656612873077393e-10</x:v>
      </x:c>
      <x:c r="O1893" s="28" t="n">
        <x:v>1.862645149230957e-9</x:v>
      </x:c>
      <x:c r="P1893" s="28" t="n">
        <x:v>0</x:v>
      </x:c>
      <x:c r="Q1893" s="62" t="b">
        <x:v>1</x:v>
      </x:c>
      <x:c r="R1893" s="28" t="n">
        <x:v>0</x:v>
      </x:c>
      <x:c r="S1893" s="28" t="str">
        <x:v>1a49379152f8d2d1</x:v>
      </x:c>
    </x:row>
    <x:row r="1894" ht="21" customHeight="1">
      <x:c r="A1894" s="60" t="n">
        <x:v>0.67</x:v>
      </x:c>
      <x:c r="B1894" s="28" t="str">
        <x:v>middle_high</x:v>
      </x:c>
      <x:c r="C1894" s="60" t="n">
        <x:v>0.85</x:v>
      </x:c>
      <x:c r="D1894" s="60" t="n">
        <x:v>0.85</x:v>
      </x:c>
      <x:c r="E1894" s="62" t="b">
        <x:v>1</x:v>
      </x:c>
      <x:c r="F1894" s="62" t="b">
        <x:v>0</x:v>
      </x:c>
      <x:c r="G1894" s="85" t="n">
        <x:v>4982323.481739097</x:v>
      </x:c>
      <x:c r="H1894" s="85" t="n">
        <x:v>13187323.461358028</x:v>
      </x:c>
      <x:c r="I1894" s="85" t="n">
        <x:v>16265903.105972605</x:v>
      </x:c>
      <x:c r="J1894" s="85" t="n">
        <x:v>12821119.999999998</x:v>
      </x:c>
      <x:c r="K1894" s="85" t="n">
        <x:v>84358.06010958915</x:v>
      </x:c>
      <x:c r="L1894" s="28" t="n">
        <x:v>44</x:v>
      </x:c>
      <x:c r="M1894" s="28" t="n">
        <x:v>40</x:v>
      </x:c>
      <x:c r="N1894" s="28" t="n">
        <x:v>4.656612873077393e-10</x:v>
      </x:c>
      <x:c r="O1894" s="28" t="n">
        <x:v>3.725290298461914e-9</x:v>
      </x:c>
      <x:c r="P1894" s="28" t="n">
        <x:v>0</x:v>
      </x:c>
      <x:c r="Q1894" s="62" t="b">
        <x:v>1</x:v>
      </x:c>
      <x:c r="R1894" s="28" t="n">
        <x:v>0</x:v>
      </x:c>
      <x:c r="S1894" s="28" t="str">
        <x:v>6e44e49ab2d95592</x:v>
      </x:c>
    </x:row>
    <x:row r="1895" ht="21" customHeight="1">
      <x:c r="A1895" s="60" t="n">
        <x:v>0.67</x:v>
      </x:c>
      <x:c r="B1895" s="28" t="str">
        <x:v>middle_high</x:v>
      </x:c>
      <x:c r="C1895" s="60" t="n">
        <x:v>0.9</x:v>
      </x:c>
      <x:c r="D1895" s="60" t="n">
        <x:v>0.9</x:v>
      </x:c>
      <x:c r="E1895" s="62" t="b">
        <x:v>1</x:v>
      </x:c>
      <x:c r="F1895" s="62" t="b">
        <x:v>0</x:v>
      </x:c>
      <x:c r="G1895" s="85" t="n">
        <x:v>6507368.088752033</x:v>
      </x:c>
      <x:c r="H1895" s="85" t="n">
        <x:v>14840815.962049486</x:v>
      </x:c>
      <x:c r="I1895" s="85" t="n">
        <x:v>16282839.953095892</x:v>
      </x:c>
      <x:c r="J1895" s="85" t="n">
        <x:v>12821119.999999998</x:v>
      </x:c>
      <x:c r="K1895" s="85" t="n">
        <x:v>77127.8507397264</x:v>
      </x:c>
      <x:c r="L1895" s="28" t="n">
        <x:v>44</x:v>
      </x:c>
      <x:c r="M1895" s="28" t="n">
        <x:v>40</x:v>
      </x:c>
      <x:c r="N1895" s="28" t="n">
        <x:v>4.656612873077393e-10</x:v>
      </x:c>
      <x:c r="O1895" s="28" t="n">
        <x:v>3.725290298461914e-9</x:v>
      </x:c>
      <x:c r="P1895" s="28" t="n">
        <x:v>0</x:v>
      </x:c>
      <x:c r="Q1895" s="62" t="b">
        <x:v>1</x:v>
      </x:c>
      <x:c r="R1895" s="28" t="n">
        <x:v>0</x:v>
      </x:c>
      <x:c r="S1895" s="28" t="str">
        <x:v>ec6f1b24962ee11a</x:v>
      </x:c>
    </x:row>
    <x:row r="1896" ht="21" customHeight="1">
      <x:c r="A1896" s="60" t="n">
        <x:v>0.67</x:v>
      </x:c>
      <x:c r="B1896" s="28" t="str">
        <x:v>middle_high</x:v>
      </x:c>
      <x:c r="C1896" s="60" t="n">
        <x:v>0.95</x:v>
      </x:c>
      <x:c r="D1896" s="60" t="n">
        <x:v>0.9270639118581285</x:v>
      </x:c>
      <x:c r="E1896" s="62" t="b">
        <x:v>0</x:v>
      </x:c>
      <x:c r="F1896" s="62" t="b">
        <x:v>0</x:v>
      </x:c>
      <x:c r="G1896" s="85" t="n">
        <x:v>7197330.060006719</x:v>
      </x:c>
      <x:c r="H1896" s="85" t="n">
        <x:v>15936771.402178625</x:v>
      </x:c>
      <x:c r="I1896" s="85" t="n">
        <x:v>16299776.80021918</x:v>
      </x:c>
      <x:c r="J1896" s="85" t="n">
        <x:v>12821119.999999998</x:v>
      </x:c>
      <x:c r="K1896" s="85" t="n">
        <x:v>69897.6413698632</x:v>
      </x:c>
      <x:c r="L1896" s="28" t="n">
        <x:v>44</x:v>
      </x:c>
      <x:c r="M1896" s="28" t="n">
        <x:v>41</x:v>
      </x:c>
      <x:c r="N1896" s="28" t="n">
        <x:v>4.656612873077393e-10</x:v>
      </x:c>
      <x:c r="O1896" s="28" t="n">
        <x:v>3.725290298461914e-9</x:v>
      </x:c>
      <x:c r="P1896" s="28" t="n">
        <x:v>0</x:v>
      </x:c>
      <x:c r="Q1896" s="62" t="b">
        <x:v>1</x:v>
      </x:c>
      <x:c r="R1896" s="28" t="n">
        <x:v>1278549.2973804846</x:v>
      </x:c>
      <x:c r="S1896" s="28" t="str">
        <x:v>2f2ac6ece91307e0</x:v>
      </x:c>
    </x:row>
    <x:row r="1897" ht="21" customHeight="1">
      <x:c r="A1897" s="60" t="n">
        <x:v>0.67</x:v>
      </x:c>
      <x:c r="B1897" s="28" t="str">
        <x:v>middle_high</x:v>
      </x:c>
      <x:c r="C1897" s="60" t="n">
        <x:v>1</x:v>
      </x:c>
      <x:c r="D1897" s="60" t="n">
        <x:v>0.9427455891708479</x:v>
      </x:c>
      <x:c r="E1897" s="62" t="b">
        <x:v>0</x:v>
      </x:c>
      <x:c r="F1897" s="62" t="b">
        <x:v>0</x:v>
      </x:c>
      <x:c r="G1897" s="85" t="n">
        <x:v>7850296.284836535</x:v>
      </x:c>
      <x:c r="H1897" s="85" t="n">
        <x:v>16658749.185066782</x:v>
      </x:c>
      <x:c r="I1897" s="85" t="n">
        <x:v>16316713.647342468</x:v>
      </x:c>
      <x:c r="J1897" s="85" t="n">
        <x:v>12821119.999999998</x:v>
      </x:c>
      <x:c r="K1897" s="85" t="n">
        <x:v>62667.43200000092</x:v>
      </x:c>
      <x:c r="L1897" s="28" t="n">
        <x:v>44</x:v>
      </x:c>
      <x:c r="M1897" s="28" t="n">
        <x:v>41</x:v>
      </x:c>
      <x:c r="N1897" s="28" t="n">
        <x:v>2.3283064365386963e-10</x:v>
      </x:c>
      <x:c r="O1897" s="28" t="n">
        <x:v>9.313225746154785e-10</x:v>
      </x:c>
      <x:c r="P1897" s="28" t="n">
        <x:v>0</x:v>
      </x:c>
      <x:c r="Q1897" s="62" t="b">
        <x:v>1</x:v>
      </x:c>
      <x:c r="R1897" s="28" t="n">
        <x:v>3191589.877260253</x:v>
      </x:c>
      <x:c r="S1897" s="28" t="str">
        <x:v>cc3e658949a1017a</x:v>
      </x:c>
    </x:row>
    <x:row r="1898" ht="21" customHeight="1">
      <x:c r="A1898" s="60" t="n">
        <x:v>0.67</x:v>
      </x:c>
      <x:c r="B1898" s="28" t="str">
        <x:v>back_flat</x:v>
      </x:c>
      <x:c r="C1898" s="60" t="n">
        <x:v>0</x:v>
      </x:c>
      <x:c r="D1898" s="60" t="n">
        <x:v>0</x:v>
      </x:c>
      <x:c r="E1898" s="62" t="b">
        <x:v>1</x:v>
      </x:c>
      <x:c r="F1898" s="62" t="b">
        <x:v>1</x:v>
      </x:c>
      <x:c r="G1898" s="85" t="n">
        <x:v>0</x:v>
      </x:c>
      <x:c r="H1898" s="85" t="n">
        <x:v>0</x:v>
      </x:c>
      <x:c r="I1898" s="85" t="n">
        <x:v>0</x:v>
      </x:c>
      <x:c r="J1898" s="85" t="n">
        <x:v>0</x:v>
      </x:c>
      <x:c r="K1898" s="85" t="n">
        <x:v>6483314.930849321</x:v>
      </x:c>
      <x:c r="L1898" s="28" t="n">
        <x:v>0</x:v>
      </x:c>
      <x:c r="M1898" s="28" t="n">
        <x:v>0</x:v>
      </x:c>
      <x:c r="N1898" s="28" t="n">
        <x:v>9.313225746154785e-10</x:v>
      </x:c>
      <x:c r="O1898" s="28" t="n">
        <x:v>0</x:v>
      </x:c>
      <x:c r="P1898" s="28" t="n">
        <x:v>0</x:v>
      </x:c>
      <x:c r="Q1898" s="62" t="b">
        <x:v>1</x:v>
      </x:c>
      <x:c r="R1898" s="28" t="n">
        <x:v>0</x:v>
      </x:c>
      <x:c r="S1898" s="28" t="str">
        <x:v>678f1944664a5c3d</x:v>
      </x:c>
    </x:row>
    <x:row r="1899" ht="21" customHeight="1">
      <x:c r="A1899" s="60" t="n">
        <x:v>0.67</x:v>
      </x:c>
      <x:c r="B1899" s="28" t="str">
        <x:v>back_flat</x:v>
      </x:c>
      <x:c r="C1899" s="60" t="n">
        <x:v>0.05</x:v>
      </x:c>
      <x:c r="D1899" s="60" t="n">
        <x:v>0.05</x:v>
      </x:c>
      <x:c r="E1899" s="62" t="b">
        <x:v>1</x:v>
      </x:c>
      <x:c r="F1899" s="62" t="b">
        <x:v>1</x:v>
      </x:c>
      <x:c r="G1899" s="85" t="n">
        <x:v>0</x:v>
      </x:c>
      <x:c r="H1899" s="85" t="n">
        <x:v>0</x:v>
      </x:c>
      <x:c r="I1899" s="85" t="n">
        <x:v>0</x:v>
      </x:c>
      <x:c r="J1899" s="85" t="n">
        <x:v>0</x:v>
      </x:c>
      <x:c r="K1899" s="85" t="n">
        <x:v>4290997.682115022</x:v>
      </x:c>
      <x:c r="L1899" s="28" t="n">
        <x:v>0</x:v>
      </x:c>
      <x:c r="M1899" s="28" t="n">
        <x:v>0</x:v>
      </x:c>
      <x:c r="N1899" s="28" t="n">
        <x:v>9.313225746154785e-10</x:v>
      </x:c>
      <x:c r="O1899" s="28" t="n">
        <x:v>7.450580596923828e-9</x:v>
      </x:c>
      <x:c r="P1899" s="28" t="n">
        <x:v>0</x:v>
      </x:c>
      <x:c r="Q1899" s="62" t="b">
        <x:v>1</x:v>
      </x:c>
      <x:c r="R1899" s="28" t="n">
        <x:v>0</x:v>
      </x:c>
      <x:c r="S1899" s="28" t="str">
        <x:v>038738e3cc13a39b</x:v>
      </x:c>
    </x:row>
    <x:row r="1900" ht="21" customHeight="1">
      <x:c r="A1900" s="60" t="n">
        <x:v>0.67</x:v>
      </x:c>
      <x:c r="B1900" s="28" t="str">
        <x:v>back_flat</x:v>
      </x:c>
      <x:c r="C1900" s="60" t="n">
        <x:v>0.1</x:v>
      </x:c>
      <x:c r="D1900" s="60" t="n">
        <x:v>0.1</x:v>
      </x:c>
      <x:c r="E1900" s="62" t="b">
        <x:v>1</x:v>
      </x:c>
      <x:c r="F1900" s="62" t="b">
        <x:v>1</x:v>
      </x:c>
      <x:c r="G1900" s="85" t="n">
        <x:v>0</x:v>
      </x:c>
      <x:c r="H1900" s="85" t="n">
        <x:v>0</x:v>
      </x:c>
      <x:c r="I1900" s="85" t="n">
        <x:v>0</x:v>
      </x:c>
      <x:c r="J1900" s="85" t="n">
        <x:v>0</x:v>
      </x:c>
      <x:c r="K1900" s="85" t="n">
        <x:v>2098680.4333807444</x:v>
      </x:c>
      <x:c r="L1900" s="28" t="n">
        <x:v>0</x:v>
      </x:c>
      <x:c r="M1900" s="28" t="n">
        <x:v>0</x:v>
      </x:c>
      <x:c r="N1900" s="28" t="n">
        <x:v>4.656612873077393e-10</x:v>
      </x:c>
      <x:c r="O1900" s="28" t="n">
        <x:v>7.450580596923828e-9</x:v>
      </x:c>
      <x:c r="P1900" s="28" t="n">
        <x:v>0</x:v>
      </x:c>
      <x:c r="Q1900" s="62" t="b">
        <x:v>1</x:v>
      </x:c>
      <x:c r="R1900" s="28" t="n">
        <x:v>0</x:v>
      </x:c>
      <x:c r="S1900" s="28" t="str">
        <x:v>16314331ef694c6c</x:v>
      </x:c>
    </x:row>
    <x:row r="1901" ht="21" customHeight="1">
      <x:c r="A1901" s="60" t="n">
        <x:v>0.67</x:v>
      </x:c>
      <x:c r="B1901" s="28" t="str">
        <x:v>back_flat</x:v>
      </x:c>
      <x:c r="C1901" s="60" t="n">
        <x:v>0.15</x:v>
      </x:c>
      <x:c r="D1901" s="60" t="n">
        <x:v>0.15</x:v>
      </x:c>
      <x:c r="E1901" s="62" t="b">
        <x:v>1</x:v>
      </x:c>
      <x:c r="F1901" s="62" t="b">
        <x:v>1</x:v>
      </x:c>
      <x:c r="G1901" s="85" t="n">
        <x:v>0</x:v>
      </x:c>
      <x:c r="H1901" s="85" t="n">
        <x:v>0</x:v>
      </x:c>
      <x:c r="I1901" s="85" t="n">
        <x:v>478557.46632185153</x:v>
      </x:c>
      <x:c r="J1901" s="85" t="n">
        <x:v>0</x:v>
      </x:c>
      <x:c r="K1901" s="85" t="n">
        <x:v>459855.36508303083</x:v>
      </x:c>
      <x:c r="L1901" s="28" t="n">
        <x:v>0</x:v>
      </x:c>
      <x:c r="M1901" s="28" t="n">
        <x:v>0</x:v>
      </x:c>
      <x:c r="N1901" s="28" t="n">
        <x:v>9.313225746154785e-10</x:v>
      </x:c>
      <x:c r="O1901" s="28" t="n">
        <x:v>7.450580596923828e-9</x:v>
      </x:c>
      <x:c r="P1901" s="28" t="n">
        <x:v>0</x:v>
      </x:c>
      <x:c r="Q1901" s="62" t="b">
        <x:v>1</x:v>
      </x:c>
      <x:c r="R1901" s="28" t="n">
        <x:v>0</x:v>
      </x:c>
      <x:c r="S1901" s="28" t="str">
        <x:v>b5e73203c06fbe87</x:v>
      </x:c>
    </x:row>
    <x:row r="1902" ht="21" customHeight="1">
      <x:c r="A1902" s="60" t="n">
        <x:v>0.67</x:v>
      </x:c>
      <x:c r="B1902" s="28" t="str">
        <x:v>back_flat</x:v>
      </x:c>
      <x:c r="C1902" s="60" t="n">
        <x:v>0.2</x:v>
      </x:c>
      <x:c r="D1902" s="60" t="n">
        <x:v>0.2</x:v>
      </x:c>
      <x:c r="E1902" s="62" t="b">
        <x:v>1</x:v>
      </x:c>
      <x:c r="F1902" s="62" t="b">
        <x:v>1</x:v>
      </x:c>
      <x:c r="G1902" s="85" t="n">
        <x:v>0</x:v>
      </x:c>
      <x:c r="H1902" s="85" t="n">
        <x:v>0</x:v>
      </x:c>
      <x:c r="I1902" s="85" t="n">
        <x:v>1905697.9513068723</x:v>
      </x:c>
      <x:c r="J1902" s="85" t="n">
        <x:v>1245718.9057329341</x:v>
      </x:c>
      <x:c r="K1902" s="85" t="n">
        <x:v>374216.41017491545</x:v>
      </x:c>
      <x:c r="L1902" s="28" t="n">
        <x:v>0</x:v>
      </x:c>
      <x:c r="M1902" s="28" t="n">
        <x:v>0</x:v>
      </x:c>
      <x:c r="N1902" s="28" t="n">
        <x:v>2.3283064365386963e-10</x:v>
      </x:c>
      <x:c r="O1902" s="28" t="n">
        <x:v>7.450580596923828e-9</x:v>
      </x:c>
      <x:c r="P1902" s="28" t="n">
        <x:v>0</x:v>
      </x:c>
      <x:c r="Q1902" s="62" t="b">
        <x:v>1</x:v>
      </x:c>
      <x:c r="R1902" s="28" t="n">
        <x:v>0</x:v>
      </x:c>
      <x:c r="S1902" s="28" t="str">
        <x:v>7486f803f01bd14b</x:v>
      </x:c>
    </x:row>
    <x:row r="1903" ht="21" customHeight="1">
      <x:c r="A1903" s="60" t="n">
        <x:v>0.67</x:v>
      </x:c>
      <x:c r="B1903" s="28" t="str">
        <x:v>back_flat</x:v>
      </x:c>
      <x:c r="C1903" s="60" t="n">
        <x:v>0.25</x:v>
      </x:c>
      <x:c r="D1903" s="60" t="n">
        <x:v>0.25</x:v>
      </x:c>
      <x:c r="E1903" s="62" t="b">
        <x:v>1</x:v>
      </x:c>
      <x:c r="F1903" s="62" t="b">
        <x:v>1</x:v>
      </x:c>
      <x:c r="G1903" s="85" t="n">
        <x:v>0</x:v>
      </x:c>
      <x:c r="H1903" s="85" t="n">
        <x:v>0</x:v>
      </x:c>
      <x:c r="I1903" s="85" t="n">
        <x:v>3022654.192303771</x:v>
      </x:c>
      <x:c r="J1903" s="85" t="n">
        <x:v>2950748.6321661994</x:v>
      </x:c>
      <x:c r="K1903" s="85" t="n">
        <x:v>313560.8151923288</x:v>
      </x:c>
      <x:c r="L1903" s="28" t="n">
        <x:v>0</x:v>
      </x:c>
      <x:c r="M1903" s="28" t="n">
        <x:v>0</x:v>
      </x:c>
      <x:c r="N1903" s="28" t="n">
        <x:v>9.313225746154785e-10</x:v>
      </x:c>
      <x:c r="O1903" s="28" t="n">
        <x:v>7.450580596923828e-9</x:v>
      </x:c>
      <x:c r="P1903" s="28" t="n">
        <x:v>0</x:v>
      </x:c>
      <x:c r="Q1903" s="62" t="b">
        <x:v>1</x:v>
      </x:c>
      <x:c r="R1903" s="28" t="n">
        <x:v>0</x:v>
      </x:c>
      <x:c r="S1903" s="28" t="str">
        <x:v>b4558552bfa5f681</x:v>
      </x:c>
    </x:row>
    <x:row r="1904" ht="21" customHeight="1">
      <x:c r="A1904" s="60" t="n">
        <x:v>0.67</x:v>
      </x:c>
      <x:c r="B1904" s="28" t="str">
        <x:v>back_flat</x:v>
      </x:c>
      <x:c r="C1904" s="60" t="n">
        <x:v>0.3</x:v>
      </x:c>
      <x:c r="D1904" s="60" t="n">
        <x:v>0.3</x:v>
      </x:c>
      <x:c r="E1904" s="62" t="b">
        <x:v>1</x:v>
      </x:c>
      <x:c r="F1904" s="62" t="b">
        <x:v>1</x:v>
      </x:c>
      <x:c r="G1904" s="85" t="n">
        <x:v>0</x:v>
      </x:c>
      <x:c r="H1904" s="85" t="n">
        <x:v>0</x:v>
      </x:c>
      <x:c r="I1904" s="85" t="n">
        <x:v>4154457.6578768454</x:v>
      </x:c>
      <x:c r="J1904" s="85" t="n">
        <x:v>4655778.358599424</x:v>
      </x:c>
      <x:c r="K1904" s="85" t="n">
        <x:v>268266.5546253161</x:v>
      </x:c>
      <x:c r="L1904" s="28" t="n">
        <x:v>0</x:v>
      </x:c>
      <x:c r="M1904" s="28" t="n">
        <x:v>0</x:v>
      </x:c>
      <x:c r="N1904" s="28" t="n">
        <x:v>4.656612873077393e-10</x:v>
      </x:c>
      <x:c r="O1904" s="28" t="n">
        <x:v>7.450580596923828e-9</x:v>
      </x:c>
      <x:c r="P1904" s="28" t="n">
        <x:v>0</x:v>
      </x:c>
      <x:c r="Q1904" s="62" t="b">
        <x:v>1</x:v>
      </x:c>
      <x:c r="R1904" s="28" t="n">
        <x:v>0</x:v>
      </x:c>
      <x:c r="S1904" s="28" t="str">
        <x:v>f6ce4928520a5129</x:v>
      </x:c>
    </x:row>
    <x:row r="1905" ht="21" customHeight="1">
      <x:c r="A1905" s="60" t="n">
        <x:v>0.67</x:v>
      </x:c>
      <x:c r="B1905" s="28" t="str">
        <x:v>back_flat</x:v>
      </x:c>
      <x:c r="C1905" s="60" t="n">
        <x:v>0.35</x:v>
      </x:c>
      <x:c r="D1905" s="60" t="n">
        <x:v>0.35</x:v>
      </x:c>
      <x:c r="E1905" s="62" t="b">
        <x:v>1</x:v>
      </x:c>
      <x:c r="F1905" s="62" t="b">
        <x:v>1</x:v>
      </x:c>
      <x:c r="G1905" s="85" t="n">
        <x:v>0</x:v>
      </x:c>
      <x:c r="H1905" s="85" t="n">
        <x:v>0</x:v>
      </x:c>
      <x:c r="I1905" s="85" t="n">
        <x:v>5310242.219319259</x:v>
      </x:c>
      <x:c r="J1905" s="85" t="n">
        <x:v>6360808.085032671</x:v>
      </x:c>
      <x:c r="K1905" s="85" t="n">
        <x:v>223824.25529446645</x:v>
      </x:c>
      <x:c r="L1905" s="28" t="n">
        <x:v>0</x:v>
      </x:c>
      <x:c r="M1905" s="28" t="n">
        <x:v>0</x:v>
      </x:c>
      <x:c r="N1905" s="28" t="n">
        <x:v>2.3283064365386963e-10</x:v>
      </x:c>
      <x:c r="O1905" s="28" t="n">
        <x:v>3.725290298461914e-9</x:v>
      </x:c>
      <x:c r="P1905" s="28" t="n">
        <x:v>0</x:v>
      </x:c>
      <x:c r="Q1905" s="62" t="b">
        <x:v>1</x:v>
      </x:c>
      <x:c r="R1905" s="28" t="n">
        <x:v>0</x:v>
      </x:c>
      <x:c r="S1905" s="28" t="str">
        <x:v>1cd33419ec950b03</x:v>
      </x:c>
    </x:row>
    <x:row r="1906" ht="21" customHeight="1">
      <x:c r="A1906" s="60" t="n">
        <x:v>0.67</x:v>
      </x:c>
      <x:c r="B1906" s="28" t="str">
        <x:v>back_flat</x:v>
      </x:c>
      <x:c r="C1906" s="60" t="n">
        <x:v>0.4</x:v>
      </x:c>
      <x:c r="D1906" s="60" t="n">
        <x:v>0.4</x:v>
      </x:c>
      <x:c r="E1906" s="62" t="b">
        <x:v>1</x:v>
      </x:c>
      <x:c r="F1906" s="62" t="b">
        <x:v>1</x:v>
      </x:c>
      <x:c r="G1906" s="85" t="n">
        <x:v>0</x:v>
      </x:c>
      <x:c r="H1906" s="85" t="n">
        <x:v>0</x:v>
      </x:c>
      <x:c r="I1906" s="85" t="n">
        <x:v>6762607.659123287</x:v>
      </x:c>
      <x:c r="J1906" s="85" t="n">
        <x:v>7376804.67672149</x:v>
      </x:c>
      <x:c r="K1906" s="85" t="n">
        <x:v>198070.48590991867</x:v>
      </x:c>
      <x:c r="L1906" s="28" t="n">
        <x:v>6</x:v>
      </x:c>
      <x:c r="M1906" s="28" t="n">
        <x:v>0</x:v>
      </x:c>
      <x:c r="N1906" s="28" t="n">
        <x:v>9.313225746154785e-10</x:v>
      </x:c>
      <x:c r="O1906" s="28" t="n">
        <x:v>7.450580596923828e-9</x:v>
      </x:c>
      <x:c r="P1906" s="28" t="n">
        <x:v>0</x:v>
      </x:c>
      <x:c r="Q1906" s="62" t="b">
        <x:v>1</x:v>
      </x:c>
      <x:c r="R1906" s="28" t="n">
        <x:v>0</x:v>
      </x:c>
      <x:c r="S1906" s="28" t="str">
        <x:v>480b6e0bc8451b0c</x:v>
      </x:c>
    </x:row>
    <x:row r="1907" ht="21" customHeight="1">
      <x:c r="A1907" s="60" t="n">
        <x:v>0.67</x:v>
      </x:c>
      <x:c r="B1907" s="28" t="str">
        <x:v>back_flat</x:v>
      </x:c>
      <x:c r="C1907" s="60" t="n">
        <x:v>0.45</x:v>
      </x:c>
      <x:c r="D1907" s="60" t="n">
        <x:v>0.45</x:v>
      </x:c>
      <x:c r="E1907" s="62" t="b">
        <x:v>1</x:v>
      </x:c>
      <x:c r="F1907" s="62" t="b">
        <x:v>1</x:v>
      </x:c>
      <x:c r="G1907" s="85" t="n">
        <x:v>0</x:v>
      </x:c>
      <x:c r="H1907" s="85" t="n">
        <x:v>0</x:v>
      </x:c>
      <x:c r="I1907" s="85" t="n">
        <x:v>8033925.154507823</x:v>
      </x:c>
      <x:c r="J1907" s="85" t="n">
        <x:v>8772808.444794469</x:v>
      </x:c>
      <x:c r="K1907" s="85" t="n">
        <x:v>172316.71652537014</x:v>
      </x:c>
      <x:c r="L1907" s="28" t="n">
        <x:v>10</x:v>
      </x:c>
      <x:c r="M1907" s="28" t="n">
        <x:v>0</x:v>
      </x:c>
      <x:c r="N1907" s="28" t="n">
        <x:v>4.656612873077393e-10</x:v>
      </x:c>
      <x:c r="O1907" s="28" t="n">
        <x:v>7.450580596923828e-9</x:v>
      </x:c>
      <x:c r="P1907" s="28" t="n">
        <x:v>0</x:v>
      </x:c>
      <x:c r="Q1907" s="62" t="b">
        <x:v>1</x:v>
      </x:c>
      <x:c r="R1907" s="28" t="n">
        <x:v>0</x:v>
      </x:c>
      <x:c r="S1907" s="28" t="str">
        <x:v>64664459c90570fa</x:v>
      </x:c>
    </x:row>
    <x:row r="1908" ht="21" customHeight="1">
      <x:c r="A1908" s="60" t="n">
        <x:v>0.67</x:v>
      </x:c>
      <x:c r="B1908" s="28" t="str">
        <x:v>back_flat</x:v>
      </x:c>
      <x:c r="C1908" s="60" t="n">
        <x:v>0.5</x:v>
      </x:c>
      <x:c r="D1908" s="60" t="n">
        <x:v>0.5</x:v>
      </x:c>
      <x:c r="E1908" s="62" t="b">
        <x:v>1</x:v>
      </x:c>
      <x:c r="F1908" s="62" t="b">
        <x:v>1</x:v>
      </x:c>
      <x:c r="G1908" s="85" t="n">
        <x:v>0</x:v>
      </x:c>
      <x:c r="H1908" s="85" t="n">
        <x:v>0</x:v>
      </x:c>
      <x:c r="I1908" s="85" t="n">
        <x:v>9265267.739226513</x:v>
      </x:c>
      <x:c r="J1908" s="85" t="n">
        <x:v>10259282.027619887</x:v>
      </x:c>
      <x:c r="K1908" s="85" t="n">
        <x:v>152215.51301369863</x:v>
      </x:c>
      <x:c r="L1908" s="28" t="n">
        <x:v>13</x:v>
      </x:c>
      <x:c r="M1908" s="28" t="n">
        <x:v>3</x:v>
      </x:c>
      <x:c r="N1908" s="28" t="n">
        <x:v>9.313225746154785e-10</x:v>
      </x:c>
      <x:c r="O1908" s="28" t="n">
        <x:v>1.862645149230957e-9</x:v>
      </x:c>
      <x:c r="P1908" s="28" t="n">
        <x:v>0</x:v>
      </x:c>
      <x:c r="Q1908" s="62" t="b">
        <x:v>1</x:v>
      </x:c>
      <x:c r="R1908" s="28" t="n">
        <x:v>0</x:v>
      </x:c>
      <x:c r="S1908" s="28" t="str">
        <x:v>1fc910588b8fe5e3</x:v>
      </x:c>
    </x:row>
    <x:row r="1909" ht="21" customHeight="1">
      <x:c r="A1909" s="60" t="n">
        <x:v>0.67</x:v>
      </x:c>
      <x:c r="B1909" s="28" t="str">
        <x:v>back_flat</x:v>
      </x:c>
      <x:c r="C1909" s="60" t="n">
        <x:v>0.55</x:v>
      </x:c>
      <x:c r="D1909" s="60" t="n">
        <x:v>0.55</x:v>
      </x:c>
      <x:c r="E1909" s="62" t="b">
        <x:v>1</x:v>
      </x:c>
      <x:c r="F1909" s="62" t="b">
        <x:v>1</x:v>
      </x:c>
      <x:c r="G1909" s="85" t="n">
        <x:v>0</x:v>
      </x:c>
      <x:c r="H1909" s="85" t="n">
        <x:v>0</x:v>
      </x:c>
      <x:c r="I1909" s="85" t="n">
        <x:v>10396952.973360933</x:v>
      </x:c>
      <x:c r="J1909" s="85" t="n">
        <x:v>11982488.92590539</x:v>
      </x:c>
      <x:c r="K1909" s="85" t="n">
        <x:v>140472.39631506932</x:v>
      </x:c>
      <x:c r="L1909" s="28" t="n">
        <x:v>17</x:v>
      </x:c>
      <x:c r="M1909" s="28" t="n">
        <x:v>9</x:v>
      </x:c>
      <x:c r="N1909" s="28" t="n">
        <x:v>4.656612873077393e-10</x:v>
      </x:c>
      <x:c r="O1909" s="28" t="n">
        <x:v>7.450580596923828e-9</x:v>
      </x:c>
      <x:c r="P1909" s="28" t="n">
        <x:v>0</x:v>
      </x:c>
      <x:c r="Q1909" s="62" t="b">
        <x:v>1</x:v>
      </x:c>
      <x:c r="R1909" s="28" t="n">
        <x:v>0</x:v>
      </x:c>
      <x:c r="S1909" s="28" t="str">
        <x:v>cba68e52a9e1fd00</x:v>
      </x:c>
    </x:row>
    <x:row r="1910" ht="21" customHeight="1">
      <x:c r="A1910" s="60" t="n">
        <x:v>0.67</x:v>
      </x:c>
      <x:c r="B1910" s="28" t="str">
        <x:v>back_flat</x:v>
      </x:c>
      <x:c r="C1910" s="60" t="n">
        <x:v>0.6</x:v>
      </x:c>
      <x:c r="D1910" s="60" t="n">
        <x:v>0.6</x:v>
      </x:c>
      <x:c r="E1910" s="62" t="b">
        <x:v>1</x:v>
      </x:c>
      <x:c r="F1910" s="62" t="b">
        <x:v>0</x:v>
      </x:c>
      <x:c r="G1910" s="85" t="n">
        <x:v>212280.7407269995</x:v>
      </x:c>
      <x:c r="H1910" s="85" t="n">
        <x:v>1135564.2548134697</x:v>
      </x:c>
      <x:c r="I1910" s="85" t="n">
        <x:v>10966206.422321096</x:v>
      </x:c>
      <x:c r="J1910" s="85" t="n">
        <x:v>12821119.999999998</x:v>
      </x:c>
      <x:c r="K1910" s="85" t="n">
        <x:v>128729.27961643871</x:v>
      </x:c>
      <x:c r="L1910" s="28" t="n">
        <x:v>40</x:v>
      </x:c>
      <x:c r="M1910" s="28" t="n">
        <x:v>32</x:v>
      </x:c>
      <x:c r="N1910" s="28" t="n">
        <x:v>4.656612873077393e-10</x:v>
      </x:c>
      <x:c r="O1910" s="28" t="n">
        <x:v>7.450580596923828e-9</x:v>
      </x:c>
      <x:c r="P1910" s="28" t="n">
        <x:v>0</x:v>
      </x:c>
      <x:c r="Q1910" s="62" t="b">
        <x:v>1</x:v>
      </x:c>
      <x:c r="R1910" s="28" t="n">
        <x:v>0</x:v>
      </x:c>
      <x:c r="S1910" s="28" t="str">
        <x:v>69226ab5bdc9b82f</x:v>
      </x:c>
    </x:row>
    <x:row r="1911" ht="21" customHeight="1">
      <x:c r="A1911" s="60" t="n">
        <x:v>0.67</x:v>
      </x:c>
      <x:c r="B1911" s="28" t="str">
        <x:v>back_flat</x:v>
      </x:c>
      <x:c r="C1911" s="60" t="n">
        <x:v>0.65</x:v>
      </x:c>
      <x:c r="D1911" s="60" t="n">
        <x:v>0.65</x:v>
      </x:c>
      <x:c r="E1911" s="62" t="b">
        <x:v>1</x:v>
      </x:c>
      <x:c r="F1911" s="62" t="b">
        <x:v>0</x:v>
      </x:c>
      <x:c r="G1911" s="85" t="n">
        <x:v>643500.0177059157</x:v>
      </x:c>
      <x:c r="H1911" s="85" t="n">
        <x:v>3468473.2224796833</x:v>
      </x:c>
      <x:c r="I1911" s="85" t="n">
        <x:v>10996089.84907255</x:v>
      </x:c>
      <x:c r="J1911" s="85" t="n">
        <x:v>12821119.999999998</x:v>
      </x:c>
      <x:c r="K1911" s="85" t="n">
        <x:v>116986.16291780837</x:v>
      </x:c>
      <x:c r="L1911" s="28" t="n">
        <x:v>40</x:v>
      </x:c>
      <x:c r="M1911" s="28" t="n">
        <x:v>33</x:v>
      </x:c>
      <x:c r="N1911" s="28" t="n">
        <x:v>2.3283064365386963e-10</x:v>
      </x:c>
      <x:c r="O1911" s="28" t="n">
        <x:v>7.450580596923828e-9</x:v>
      </x:c>
      <x:c r="P1911" s="28" t="n">
        <x:v>0</x:v>
      </x:c>
      <x:c r="Q1911" s="62" t="b">
        <x:v>1</x:v>
      </x:c>
      <x:c r="R1911" s="28" t="n">
        <x:v>0</x:v>
      </x:c>
      <x:c r="S1911" s="28" t="str">
        <x:v>df53d55978e5f0fa</x:v>
      </x:c>
    </x:row>
    <x:row r="1912" ht="21" customHeight="1">
      <x:c r="A1912" s="60" t="n">
        <x:v>0.67</x:v>
      </x:c>
      <x:c r="B1912" s="28" t="str">
        <x:v>back_flat</x:v>
      </x:c>
      <x:c r="C1912" s="60" t="n">
        <x:v>0.7</x:v>
      </x:c>
      <x:c r="D1912" s="60" t="n">
        <x:v>0.7</x:v>
      </x:c>
      <x:c r="E1912" s="62" t="b">
        <x:v>1</x:v>
      </x:c>
      <x:c r="F1912" s="62" t="b">
        <x:v>0</x:v>
      </x:c>
      <x:c r="G1912" s="85" t="n">
        <x:v>1064919.0216464847</x:v>
      </x:c>
      <x:c r="H1912" s="85" t="n">
        <x:v>5400768.456822502</x:v>
      </x:c>
      <x:c r="I1912" s="85" t="n">
        <x:v>11250026.141320547</x:v>
      </x:c>
      <x:c r="J1912" s="85" t="n">
        <x:v>12821119.999999998</x:v>
      </x:c>
      <x:c r="K1912" s="85" t="n">
        <x:v>105243.04621917858</x:v>
      </x:c>
      <x:c r="L1912" s="28" t="n">
        <x:v>41</x:v>
      </x:c>
      <x:c r="M1912" s="28" t="n">
        <x:v>34</x:v>
      </x:c>
      <x:c r="N1912" s="28" t="n">
        <x:v>2.3283064365386963e-10</x:v>
      </x:c>
      <x:c r="O1912" s="28" t="n">
        <x:v>3.725290298461914e-9</x:v>
      </x:c>
      <x:c r="P1912" s="28" t="n">
        <x:v>0</x:v>
      </x:c>
      <x:c r="Q1912" s="62" t="b">
        <x:v>1</x:v>
      </x:c>
      <x:c r="R1912" s="28" t="n">
        <x:v>0</x:v>
      </x:c>
      <x:c r="S1912" s="28" t="str">
        <x:v>80a28511951e5ceb</x:v>
      </x:c>
    </x:row>
    <x:row r="1913" ht="21" customHeight="1">
      <x:c r="A1913" s="60" t="n">
        <x:v>0.67</x:v>
      </x:c>
      <x:c r="B1913" s="28" t="str">
        <x:v>back_flat</x:v>
      </x:c>
      <x:c r="C1913" s="60" t="n">
        <x:v>0.75</x:v>
      </x:c>
      <x:c r="D1913" s="60" t="n">
        <x:v>0.75</x:v>
      </x:c>
      <x:c r="E1913" s="62" t="b">
        <x:v>1</x:v>
      </x:c>
      <x:c r="F1913" s="62" t="b">
        <x:v>0</x:v>
      </x:c>
      <x:c r="G1913" s="85" t="n">
        <x:v>1503915.250492386</x:v>
      </x:c>
      <x:c r="H1913" s="85" t="n">
        <x:v>7612468.289097097</x:v>
      </x:c>
      <x:c r="I1913" s="85" t="n">
        <x:v>11273553.168150686</x:v>
      </x:c>
      <x:c r="J1913" s="85" t="n">
        <x:v>12821119.999999998</x:v>
      </x:c>
      <x:c r="K1913" s="85" t="n">
        <x:v>93499.92952054847</x:v>
      </x:c>
      <x:c r="L1913" s="28" t="n">
        <x:v>41</x:v>
      </x:c>
      <x:c r="M1913" s="28" t="n">
        <x:v>35</x:v>
      </x:c>
      <x:c r="N1913" s="28" t="n">
        <x:v>4.656612873077393e-10</x:v>
      </x:c>
      <x:c r="O1913" s="28" t="n">
        <x:v>7.450580596923828e-9</x:v>
      </x:c>
      <x:c r="P1913" s="28" t="n">
        <x:v>0</x:v>
      </x:c>
      <x:c r="Q1913" s="62" t="b">
        <x:v>1</x:v>
      </x:c>
      <x:c r="R1913" s="28" t="n">
        <x:v>0</x:v>
      </x:c>
      <x:c r="S1913" s="28" t="str">
        <x:v>53b9eb9af2ee26b7</x:v>
      </x:c>
    </x:row>
    <x:row r="1914" ht="21" customHeight="1">
      <x:c r="A1914" s="60" t="n">
        <x:v>0.67</x:v>
      </x:c>
      <x:c r="B1914" s="28" t="str">
        <x:v>back_flat</x:v>
      </x:c>
      <x:c r="C1914" s="60" t="n">
        <x:v>0.8</x:v>
      </x:c>
      <x:c r="D1914" s="60" t="n">
        <x:v>0.8</x:v>
      </x:c>
      <x:c r="E1914" s="62" t="b">
        <x:v>1</x:v>
      </x:c>
      <x:c r="F1914" s="62" t="b">
        <x:v>0</x:v>
      </x:c>
      <x:c r="G1914" s="85" t="n">
        <x:v>2015060.987364537</x:v>
      </x:c>
      <x:c r="H1914" s="85" t="n">
        <x:v>9396234.52710343</x:v>
      </x:c>
      <x:c r="I1914" s="85" t="n">
        <x:v>11506075.769571945</x:v>
      </x:c>
      <x:c r="J1914" s="85" t="n">
        <x:v>12821119.999999998</x:v>
      </x:c>
      <x:c r="K1914" s="85" t="n">
        <x:v>81756.81282191843</x:v>
      </x:c>
      <x:c r="L1914" s="28" t="n">
        <x:v>42</x:v>
      </x:c>
      <x:c r="M1914" s="28" t="n">
        <x:v>36</x:v>
      </x:c>
      <x:c r="N1914" s="28" t="n">
        <x:v>4.656612873077393e-10</x:v>
      </x:c>
      <x:c r="O1914" s="28" t="n">
        <x:v>3.725290298461914e-9</x:v>
      </x:c>
      <x:c r="P1914" s="28" t="n">
        <x:v>0</x:v>
      </x:c>
      <x:c r="Q1914" s="62" t="b">
        <x:v>1</x:v>
      </x:c>
      <x:c r="R1914" s="28" t="n">
        <x:v>0</x:v>
      </x:c>
      <x:c r="S1914" s="28" t="str">
        <x:v>2898864063128c20</x:v>
      </x:c>
    </x:row>
    <x:row r="1915" ht="21" customHeight="1">
      <x:c r="A1915" s="60" t="n">
        <x:v>0.67</x:v>
      </x:c>
      <x:c r="B1915" s="28" t="str">
        <x:v>back_flat</x:v>
      </x:c>
      <x:c r="C1915" s="60" t="n">
        <x:v>0.85</x:v>
      </x:c>
      <x:c r="D1915" s="60" t="n">
        <x:v>0.85</x:v>
      </x:c>
      <x:c r="E1915" s="62" t="b">
        <x:v>1</x:v>
      </x:c>
      <x:c r="F1915" s="62" t="b">
        <x:v>0</x:v>
      </x:c>
      <x:c r="G1915" s="85" t="n">
        <x:v>2735536.1104741935</x:v>
      </x:c>
      <x:c r="H1915" s="85" t="n">
        <x:v>11368043.796901785</x:v>
      </x:c>
      <x:c r="I1915" s="85" t="n">
        <x:v>11520383.488142796</x:v>
      </x:c>
      <x:c r="J1915" s="85" t="n">
        <x:v>12821119.999999998</x:v>
      </x:c>
      <x:c r="K1915" s="85" t="n">
        <x:v>74551.32768493172</x:v>
      </x:c>
      <x:c r="L1915" s="28" t="n">
        <x:v>42</x:v>
      </x:c>
      <x:c r="M1915" s="28" t="n">
        <x:v>36</x:v>
      </x:c>
      <x:c r="N1915" s="28" t="n">
        <x:v>4.656612873077393e-10</x:v>
      </x:c>
      <x:c r="O1915" s="28" t="n">
        <x:v>9.313225746154785e-10</x:v>
      </x:c>
      <x:c r="P1915" s="28" t="n">
        <x:v>0</x:v>
      </x:c>
      <x:c r="Q1915" s="62" t="b">
        <x:v>1</x:v>
      </x:c>
      <x:c r="R1915" s="28" t="n">
        <x:v>0</x:v>
      </x:c>
      <x:c r="S1915" s="28" t="str">
        <x:v>46544e9f3fdd7c18</x:v>
      </x:c>
    </x:row>
    <x:row r="1916" ht="21" customHeight="1">
      <x:c r="A1916" s="60" t="n">
        <x:v>0.67</x:v>
      </x:c>
      <x:c r="B1916" s="28" t="str">
        <x:v>back_flat</x:v>
      </x:c>
      <x:c r="C1916" s="60" t="n">
        <x:v>0.9</x:v>
      </x:c>
      <x:c r="D1916" s="60" t="n">
        <x:v>0.880265491166173</x:v>
      </x:c>
      <x:c r="E1916" s="62" t="b">
        <x:v>0</x:v>
      </x:c>
      <x:c r="F1916" s="62" t="b">
        <x:v>0</x:v>
      </x:c>
      <x:c r="G1916" s="85" t="n">
        <x:v>3165783.5577445296</x:v>
      </x:c>
      <x:c r="H1916" s="85" t="n">
        <x:v>11986131.266096357</x:v>
      </x:c>
      <x:c r="I1916" s="85" t="n">
        <x:v>11759252.048254795</x:v>
      </x:c>
      <x:c r="J1916" s="85" t="n">
        <x:v>12821119.999999998</x:v>
      </x:c>
      <x:c r="K1916" s="85" t="n">
        <x:v>69375.09284931529</x:v>
      </x:c>
      <x:c r="L1916" s="28" t="n">
        <x:v>43</x:v>
      </x:c>
      <x:c r="M1916" s="28" t="n">
        <x:v>37</x:v>
      </x:c>
      <x:c r="N1916" s="28" t="n">
        <x:v>2.3283064365386963e-10</x:v>
      </x:c>
      <x:c r="O1916" s="28" t="n">
        <x:v>3.725290298461914e-9</x:v>
      </x:c>
      <x:c r="P1916" s="28" t="n">
        <x:v>0</x:v>
      </x:c>
      <x:c r="Q1916" s="62" t="b">
        <x:v>1</x:v>
      </x:c>
      <x:c r="R1916" s="28" t="n">
        <x:v>1100080.4604328498</x:v>
      </x:c>
      <x:c r="S1916" s="28" t="str">
        <x:v>8acfbba815d54e91</x:v>
      </x:c>
    </x:row>
    <x:row r="1917" ht="21" customHeight="1">
      <x:c r="A1917" s="60" t="n">
        <x:v>0.67</x:v>
      </x:c>
      <x:c r="B1917" s="28" t="str">
        <x:v>back_flat</x:v>
      </x:c>
      <x:c r="C1917" s="60" t="n">
        <x:v>0.95</x:v>
      </x:c>
      <x:c r="D1917" s="60" t="n">
        <x:v>0.8954794051096439</x:v>
      </x:c>
      <x:c r="E1917" s="62" t="b">
        <x:v>0</x:v>
      </x:c>
      <x:c r="F1917" s="62" t="b">
        <x:v>0</x:v>
      </x:c>
      <x:c r="G1917" s="85" t="n">
        <x:v>3405197.6111796796</x:v>
      </x:c>
      <x:c r="H1917" s="85" t="n">
        <x:v>12770931.251761923</x:v>
      </x:c>
      <x:c r="I1917" s="85" t="n">
        <x:v>11765650.77520959</x:v>
      </x:c>
      <x:c r="J1917" s="85" t="n">
        <x:v>12821119.999999998</x:v>
      </x:c>
      <x:c r="K1917" s="85" t="n">
        <x:v>65800.64228767127</x:v>
      </x:c>
      <x:c r="L1917" s="28" t="n">
        <x:v>43</x:v>
      </x:c>
      <x:c r="M1917" s="28" t="n">
        <x:v>38</x:v>
      </x:c>
      <x:c r="N1917" s="28" t="n">
        <x:v>4.656612873077393e-10</x:v>
      </x:c>
      <x:c r="O1917" s="28" t="n">
        <x:v>3.725290298461914e-9</x:v>
      </x:c>
      <x:c r="P1917" s="28" t="n">
        <x:v>0</x:v>
      </x:c>
      <x:c r="Q1917" s="62" t="b">
        <x:v>1</x:v>
      </x:c>
      <x:c r="R1917" s="28" t="n">
        <x:v>3039196.041568011</x:v>
      </x:c>
      <x:c r="S1917" s="28" t="str">
        <x:v>70c4905e822b3151</x:v>
      </x:c>
    </x:row>
    <x:row r="1918" ht="21" customHeight="1">
      <x:c r="A1918" s="60" t="n">
        <x:v>0.67</x:v>
      </x:c>
      <x:c r="B1918" s="28" t="str">
        <x:v>back_flat</x:v>
      </x:c>
      <x:c r="C1918" s="60" t="n">
        <x:v>1</x:v>
      </x:c>
      <x:c r="D1918" s="60" t="n">
        <x:v>0.9093341115290656</x:v>
      </x:c>
      <x:c r="E1918" s="62" t="b">
        <x:v>0</x:v>
      </x:c>
      <x:c r="F1918" s="62" t="b">
        <x:v>0</x:v>
      </x:c>
      <x:c r="G1918" s="85" t="n">
        <x:v>3686025.6052044523</x:v>
      </x:c>
      <x:c r="H1918" s="85" t="n">
        <x:v>13393455.042205479</x:v>
      </x:c>
      <x:c r="I1918" s="85" t="n">
        <x:v>11772049.502164384</x:v>
      </x:c>
      <x:c r="J1918" s="85" t="n">
        <x:v>12821119.999999998</x:v>
      </x:c>
      <x:c r="K1918" s="85" t="n">
        <x:v>62226.191726027355</x:v>
      </x:c>
      <x:c r="L1918" s="28" t="n">
        <x:v>43</x:v>
      </x:c>
      <x:c r="M1918" s="28" t="n">
        <x:v>38</x:v>
      </x:c>
      <x:c r="N1918" s="28" t="n">
        <x:v>2.3283064365386963e-10</x:v>
      </x:c>
      <x:c r="O1918" s="28" t="n">
        <x:v>3.725290298461914e-9</x:v>
      </x:c>
      <x:c r="P1918" s="28" t="n">
        <x:v>0</x:v>
      </x:c>
      <x:c r="Q1918" s="62" t="b">
        <x:v>1</x:v>
      </x:c>
      <x:c r="R1918" s="28" t="n">
        <x:v>5054079.286923766</x:v>
      </x:c>
      <x:c r="S1918" s="28" t="str">
        <x:v>3f9fc9baaf90a773</x:v>
      </x:c>
    </x:row>
    <x:row r="1919" ht="21" customHeight="1">
      <x:c r="A1919" s="60" t="n">
        <x:v>0.67</x:v>
      </x:c>
      <x:c r="B1919" s="28" t="str">
        <x:v>back_low</x:v>
      </x:c>
      <x:c r="C1919" s="60" t="n">
        <x:v>0</x:v>
      </x:c>
      <x:c r="D1919" s="60" t="n">
        <x:v>0</x:v>
      </x:c>
      <x:c r="E1919" s="62" t="b">
        <x:v>1</x:v>
      </x:c>
      <x:c r="F1919" s="62" t="b">
        <x:v>1</x:v>
      </x:c>
      <x:c r="G1919" s="85" t="n">
        <x:v>0</x:v>
      </x:c>
      <x:c r="H1919" s="85" t="n">
        <x:v>0</x:v>
      </x:c>
      <x:c r="I1919" s="85" t="n">
        <x:v>0</x:v>
      </x:c>
      <x:c r="J1919" s="85" t="n">
        <x:v>0</x:v>
      </x:c>
      <x:c r="K1919" s="85" t="n">
        <x:v>5715452.821260278</x:v>
      </x:c>
      <x:c r="L1919" s="28" t="n">
        <x:v>0</x:v>
      </x:c>
      <x:c r="M1919" s="28" t="n">
        <x:v>0</x:v>
      </x:c>
      <x:c r="N1919" s="28" t="n">
        <x:v>9.313225746154785e-10</x:v>
      </x:c>
      <x:c r="O1919" s="28" t="n">
        <x:v>0</x:v>
      </x:c>
      <x:c r="P1919" s="28" t="n">
        <x:v>0</x:v>
      </x:c>
      <x:c r="Q1919" s="62" t="b">
        <x:v>1</x:v>
      </x:c>
      <x:c r="R1919" s="28" t="n">
        <x:v>0</x:v>
      </x:c>
      <x:c r="S1919" s="28" t="str">
        <x:v>05d0da7e84c021c4</x:v>
      </x:c>
    </x:row>
    <x:row r="1920" ht="21" customHeight="1">
      <x:c r="A1920" s="60" t="n">
        <x:v>0.67</x:v>
      </x:c>
      <x:c r="B1920" s="28" t="str">
        <x:v>back_low</x:v>
      </x:c>
      <x:c r="C1920" s="60" t="n">
        <x:v>0.05</x:v>
      </x:c>
      <x:c r="D1920" s="60" t="n">
        <x:v>0.05</x:v>
      </x:c>
      <x:c r="E1920" s="62" t="b">
        <x:v>1</x:v>
      </x:c>
      <x:c r="F1920" s="62" t="b">
        <x:v>1</x:v>
      </x:c>
      <x:c r="G1920" s="85" t="n">
        <x:v>0</x:v>
      </x:c>
      <x:c r="H1920" s="85" t="n">
        <x:v>0</x:v>
      </x:c>
      <x:c r="I1920" s="85" t="n">
        <x:v>0</x:v>
      </x:c>
      <x:c r="J1920" s="85" t="n">
        <x:v>0</x:v>
      </x:c>
      <x:c r="K1920" s="85" t="n">
        <x:v>3733108.6925914763</x:v>
      </x:c>
      <x:c r="L1920" s="28" t="n">
        <x:v>0</x:v>
      </x:c>
      <x:c r="M1920" s="28" t="n">
        <x:v>0</x:v>
      </x:c>
      <x:c r="N1920" s="28" t="n">
        <x:v>9.313225746154785e-10</x:v>
      </x:c>
      <x:c r="O1920" s="28" t="n">
        <x:v>7.450580596923828e-9</x:v>
      </x:c>
      <x:c r="P1920" s="28" t="n">
        <x:v>0</x:v>
      </x:c>
      <x:c r="Q1920" s="62" t="b">
        <x:v>1</x:v>
      </x:c>
      <x:c r="R1920" s="28" t="n">
        <x:v>0</x:v>
      </x:c>
      <x:c r="S1920" s="28" t="str">
        <x:v>0ba3f33e058e86e4</x:v>
      </x:c>
    </x:row>
    <x:row r="1921" ht="21" customHeight="1">
      <x:c r="A1921" s="60" t="n">
        <x:v>0.67</x:v>
      </x:c>
      <x:c r="B1921" s="28" t="str">
        <x:v>back_low</x:v>
      </x:c>
      <x:c r="C1921" s="60" t="n">
        <x:v>0.1</x:v>
      </x:c>
      <x:c r="D1921" s="60" t="n">
        <x:v>0.1</x:v>
      </x:c>
      <x:c r="E1921" s="62" t="b">
        <x:v>1</x:v>
      </x:c>
      <x:c r="F1921" s="62" t="b">
        <x:v>1</x:v>
      </x:c>
      <x:c r="G1921" s="85" t="n">
        <x:v>0</x:v>
      </x:c>
      <x:c r="H1921" s="85" t="n">
        <x:v>0</x:v>
      </x:c>
      <x:c r="I1921" s="85" t="n">
        <x:v>0</x:v>
      </x:c>
      <x:c r="J1921" s="85" t="n">
        <x:v>0</x:v>
      </x:c>
      <x:c r="K1921" s="85" t="n">
        <x:v>1750764.5639226926</x:v>
      </x:c>
      <x:c r="L1921" s="28" t="n">
        <x:v>0</x:v>
      </x:c>
      <x:c r="M1921" s="28" t="n">
        <x:v>0</x:v>
      </x:c>
      <x:c r="N1921" s="28" t="n">
        <x:v>1.1641532182693481e-10</x:v>
      </x:c>
      <x:c r="O1921" s="28" t="n">
        <x:v>7.450580596923828e-9</x:v>
      </x:c>
      <x:c r="P1921" s="28" t="n">
        <x:v>0</x:v>
      </x:c>
      <x:c r="Q1921" s="62" t="b">
        <x:v>1</x:v>
      </x:c>
      <x:c r="R1921" s="28" t="n">
        <x:v>0</x:v>
      </x:c>
      <x:c r="S1921" s="28" t="str">
        <x:v>6155d9f19f48b5f5</x:v>
      </x:c>
    </x:row>
    <x:row r="1922" ht="21" customHeight="1">
      <x:c r="A1922" s="60" t="n">
        <x:v>0.67</x:v>
      </x:c>
      <x:c r="B1922" s="28" t="str">
        <x:v>back_low</x:v>
      </x:c>
      <x:c r="C1922" s="60" t="n">
        <x:v>0.15</x:v>
      </x:c>
      <x:c r="D1922" s="60" t="n">
        <x:v>0.15</x:v>
      </x:c>
      <x:c r="E1922" s="62" t="b">
        <x:v>1</x:v>
      </x:c>
      <x:c r="F1922" s="62" t="b">
        <x:v>1</x:v>
      </x:c>
      <x:c r="G1922" s="85" t="n">
        <x:v>0</x:v>
      </x:c>
      <x:c r="H1922" s="85" t="n">
        <x:v>0</x:v>
      </x:c>
      <x:c r="I1922" s="85" t="n">
        <x:v>363909.50378582784</x:v>
      </x:c>
      <x:c r="J1922" s="85" t="n">
        <x:v>0</x:v>
      </x:c>
      <x:c r="K1922" s="85" t="n">
        <x:v>238657.90866887828</x:v>
      </x:c>
      <x:c r="L1922" s="28" t="n">
        <x:v>0</x:v>
      </x:c>
      <x:c r="M1922" s="28" t="n">
        <x:v>0</x:v>
      </x:c>
      <x:c r="N1922" s="28" t="n">
        <x:v>4.656612873077393e-10</x:v>
      </x:c>
      <x:c r="O1922" s="28" t="n">
        <x:v>7.450580596923828e-9</x:v>
      </x:c>
      <x:c r="P1922" s="28" t="n">
        <x:v>0</x:v>
      </x:c>
      <x:c r="Q1922" s="62" t="b">
        <x:v>1</x:v>
      </x:c>
      <x:c r="R1922" s="28" t="n">
        <x:v>0</x:v>
      </x:c>
      <x:c r="S1922" s="28" t="str">
        <x:v>0b2e42f39ce9f6d6</x:v>
      </x:c>
    </x:row>
    <x:row r="1923" ht="21" customHeight="1">
      <x:c r="A1923" s="60" t="n">
        <x:v>0.67</x:v>
      </x:c>
      <x:c r="B1923" s="28" t="str">
        <x:v>back_low</x:v>
      </x:c>
      <x:c r="C1923" s="60" t="n">
        <x:v>0.2</x:v>
      </x:c>
      <x:c r="D1923" s="60" t="n">
        <x:v>0.2</x:v>
      </x:c>
      <x:c r="E1923" s="62" t="b">
        <x:v>1</x:v>
      </x:c>
      <x:c r="F1923" s="62" t="b">
        <x:v>1</x:v>
      </x:c>
      <x:c r="G1923" s="85" t="n">
        <x:v>0</x:v>
      </x:c>
      <x:c r="H1923" s="85" t="n">
        <x:v>0</x:v>
      </x:c>
      <x:c r="I1923" s="85" t="n">
        <x:v>1460242.828576278</x:v>
      </x:c>
      <x:c r="J1923" s="85" t="n">
        <x:v>1245718.9057329341</x:v>
      </x:c>
      <x:c r="K1923" s="85" t="n">
        <x:v>195909.59036545723</x:v>
      </x:c>
      <x:c r="L1923" s="28" t="n">
        <x:v>0</x:v>
      </x:c>
      <x:c r="M1923" s="28" t="n">
        <x:v>0</x:v>
      </x:c>
      <x:c r="N1923" s="28" t="n">
        <x:v>2.3283064365386963e-10</x:v>
      </x:c>
      <x:c r="O1923" s="28" t="n">
        <x:v>7.450580596923828e-9</x:v>
      </x:c>
      <x:c r="P1923" s="28" t="n">
        <x:v>0</x:v>
      </x:c>
      <x:c r="Q1923" s="62" t="b">
        <x:v>1</x:v>
      </x:c>
      <x:c r="R1923" s="28" t="n">
        <x:v>0</x:v>
      </x:c>
      <x:c r="S1923" s="28" t="str">
        <x:v>db730a6568ab428a</x:v>
      </x:c>
    </x:row>
    <x:row r="1924" ht="21" customHeight="1">
      <x:c r="A1924" s="60" t="n">
        <x:v>0.67</x:v>
      </x:c>
      <x:c r="B1924" s="28" t="str">
        <x:v>back_low</x:v>
      </x:c>
      <x:c r="C1924" s="60" t="n">
        <x:v>0.25</x:v>
      </x:c>
      <x:c r="D1924" s="60" t="n">
        <x:v>0.25</x:v>
      </x:c>
      <x:c r="E1924" s="62" t="b">
        <x:v>1</x:v>
      </x:c>
      <x:c r="F1924" s="62" t="b">
        <x:v>1</x:v>
      </x:c>
      <x:c r="G1924" s="85" t="n">
        <x:v>0</x:v>
      </x:c>
      <x:c r="H1924" s="85" t="n">
        <x:v>0</x:v>
      </x:c>
      <x:c r="I1924" s="85" t="n">
        <x:v>2190284.449539741</x:v>
      </x:c>
      <x:c r="J1924" s="85" t="n">
        <x:v>2950748.6321661994</x:v>
      </x:c>
      <x:c r="K1924" s="85" t="n">
        <x:v>166220.01834815068</x:v>
      </x:c>
      <x:c r="L1924" s="28" t="n">
        <x:v>0</x:v>
      </x:c>
      <x:c r="M1924" s="28" t="n">
        <x:v>0</x:v>
      </x:c>
      <x:c r="N1924" s="28" t="n">
        <x:v>4.656612873077393e-10</x:v>
      </x:c>
      <x:c r="O1924" s="28" t="n">
        <x:v>7.450580596923828e-9</x:v>
      </x:c>
      <x:c r="P1924" s="28" t="n">
        <x:v>0</x:v>
      </x:c>
      <x:c r="Q1924" s="62" t="b">
        <x:v>1</x:v>
      </x:c>
      <x:c r="R1924" s="28" t="n">
        <x:v>0</x:v>
      </x:c>
      <x:c r="S1924" s="28" t="str">
        <x:v>f9ba1210cc7b2441</x:v>
      </x:c>
    </x:row>
    <x:row r="1925" ht="21" customHeight="1">
      <x:c r="A1925" s="60" t="n">
        <x:v>0.67</x:v>
      </x:c>
      <x:c r="B1925" s="28" t="str">
        <x:v>back_low</x:v>
      </x:c>
      <x:c r="C1925" s="60" t="n">
        <x:v>0.3</x:v>
      </x:c>
      <x:c r="D1925" s="60" t="n">
        <x:v>0.3</x:v>
      </x:c>
      <x:c r="E1925" s="62" t="b">
        <x:v>1</x:v>
      </x:c>
      <x:c r="F1925" s="62" t="b">
        <x:v>1</x:v>
      </x:c>
      <x:c r="G1925" s="85" t="n">
        <x:v>0</x:v>
      </x:c>
      <x:c r="H1925" s="85" t="n">
        <x:v>0</x:v>
      </x:c>
      <x:c r="I1925" s="85" t="n">
        <x:v>2928984.5610046573</x:v>
      </x:c>
      <x:c r="J1925" s="85" t="n">
        <x:v>4655778.358599424</x:v>
      </x:c>
      <x:c r="K1925" s="85" t="n">
        <x:v>140969.32991915086</x:v>
      </x:c>
      <x:c r="L1925" s="28" t="n">
        <x:v>0</x:v>
      </x:c>
      <x:c r="M1925" s="28" t="n">
        <x:v>0</x:v>
      </x:c>
      <x:c r="N1925" s="28" t="n">
        <x:v>9.313225746154785e-10</x:v>
      </x:c>
      <x:c r="O1925" s="28" t="n">
        <x:v>7.450580596923828e-9</x:v>
      </x:c>
      <x:c r="P1925" s="28" t="n">
        <x:v>0</x:v>
      </x:c>
      <x:c r="Q1925" s="62" t="b">
        <x:v>1</x:v>
      </x:c>
      <x:c r="R1925" s="28" t="n">
        <x:v>0</x:v>
      </x:c>
      <x:c r="S1925" s="28" t="str">
        <x:v>46afc0f086d98905</x:v>
      </x:c>
    </x:row>
    <x:row r="1926" ht="21" customHeight="1">
      <x:c r="A1926" s="60" t="n">
        <x:v>0.67</x:v>
      </x:c>
      <x:c r="B1926" s="28" t="str">
        <x:v>back_low</x:v>
      </x:c>
      <x:c r="C1926" s="60" t="n">
        <x:v>0.35</x:v>
      </x:c>
      <x:c r="D1926" s="60" t="n">
        <x:v>0.35</x:v>
      </x:c>
      <x:c r="E1926" s="62" t="b">
        <x:v>1</x:v>
      </x:c>
      <x:c r="F1926" s="62" t="b">
        <x:v>1</x:v>
      </x:c>
      <x:c r="G1926" s="85" t="n">
        <x:v>0</x:v>
      </x:c>
      <x:c r="H1926" s="85" t="n">
        <x:v>0</x:v>
      </x:c>
      <x:c r="I1926" s="85" t="n">
        <x:v>3673475.5185370883</x:v>
      </x:c>
      <x:c r="J1926" s="85" t="n">
        <x:v>6360808.085032671</x:v>
      </x:c>
      <x:c r="K1926" s="85" t="n">
        <x:v>118560.49167836996</x:v>
      </x:c>
      <x:c r="L1926" s="28" t="n">
        <x:v>0</x:v>
      </x:c>
      <x:c r="M1926" s="28" t="n">
        <x:v>0</x:v>
      </x:c>
      <x:c r="N1926" s="28" t="n">
        <x:v>9.313225746154785e-10</x:v>
      </x:c>
      <x:c r="O1926" s="28" t="n">
        <x:v>3.725290298461914e-9</x:v>
      </x:c>
      <x:c r="P1926" s="28" t="n">
        <x:v>0</x:v>
      </x:c>
      <x:c r="Q1926" s="62" t="b">
        <x:v>1</x:v>
      </x:c>
      <x:c r="R1926" s="28" t="n">
        <x:v>0</x:v>
      </x:c>
      <x:c r="S1926" s="28" t="str">
        <x:v>88e3df479f110a66</x:v>
      </x:c>
    </x:row>
    <x:row r="1927" ht="21" customHeight="1">
      <x:c r="A1927" s="60" t="n">
        <x:v>0.67</x:v>
      </x:c>
      <x:c r="B1927" s="28" t="str">
        <x:v>back_low</x:v>
      </x:c>
      <x:c r="C1927" s="60" t="n">
        <x:v>0.4</x:v>
      </x:c>
      <x:c r="D1927" s="60" t="n">
        <x:v>0.4</x:v>
      </x:c>
      <x:c r="E1927" s="62" t="b">
        <x:v>1</x:v>
      </x:c>
      <x:c r="F1927" s="62" t="b">
        <x:v>1</x:v>
      </x:c>
      <x:c r="G1927" s="85" t="n">
        <x:v>0</x:v>
      </x:c>
      <x:c r="H1927" s="85" t="n">
        <x:v>0</x:v>
      </x:c>
      <x:c r="I1927" s="85" t="n">
        <x:v>4773730.587157903</x:v>
      </x:c>
      <x:c r="J1927" s="85" t="n">
        <x:v>7511334.346553168</x:v>
      </x:c>
      <x:c r="K1927" s="85" t="n">
        <x:v>104232.7090962193</x:v>
      </x:c>
      <x:c r="L1927" s="28" t="n">
        <x:v>6</x:v>
      </x:c>
      <x:c r="M1927" s="28" t="n">
        <x:v>0</x:v>
      </x:c>
      <x:c r="N1927" s="28" t="n">
        <x:v>9.313225746154785e-10</x:v>
      </x:c>
      <x:c r="O1927" s="28" t="n">
        <x:v>7.450580596923828e-9</x:v>
      </x:c>
      <x:c r="P1927" s="28" t="n">
        <x:v>0</x:v>
      </x:c>
      <x:c r="Q1927" s="62" t="b">
        <x:v>1</x:v>
      </x:c>
      <x:c r="R1927" s="28" t="n">
        <x:v>0</x:v>
      </x:c>
      <x:c r="S1927" s="28" t="str">
        <x:v>f4c4bfb782a7ab0b</x:v>
      </x:c>
    </x:row>
    <x:row r="1928" ht="21" customHeight="1">
      <x:c r="A1928" s="60" t="n">
        <x:v>0.67</x:v>
      </x:c>
      <x:c r="B1928" s="28" t="str">
        <x:v>back_low</x:v>
      </x:c>
      <x:c r="C1928" s="60" t="n">
        <x:v>0.45</x:v>
      </x:c>
      <x:c r="D1928" s="60" t="n">
        <x:v>0.45</x:v>
      </x:c>
      <x:c r="E1928" s="62" t="b">
        <x:v>1</x:v>
      </x:c>
      <x:c r="F1928" s="62" t="b">
        <x:v>1</x:v>
      </x:c>
      <x:c r="G1928" s="85" t="n">
        <x:v>0</x:v>
      </x:c>
      <x:c r="H1928" s="85" t="n">
        <x:v>0</x:v>
      </x:c>
      <x:c r="I1928" s="85" t="n">
        <x:v>5685141.7196901655</x:v>
      </x:c>
      <x:c r="J1928" s="85" t="n">
        <x:v>8941317.058042526</x:v>
      </x:c>
      <x:c r="K1928" s="85" t="n">
        <x:v>89904.92651406907</x:v>
      </x:c>
      <x:c r="L1928" s="28" t="n">
        <x:v>10</x:v>
      </x:c>
      <x:c r="M1928" s="28" t="n">
        <x:v>0</x:v>
      </x:c>
      <x:c r="N1928" s="28" t="n">
        <x:v>9.313225746154785e-10</x:v>
      </x:c>
      <x:c r="O1928" s="28" t="n">
        <x:v>7.450580596923828e-9</x:v>
      </x:c>
      <x:c r="P1928" s="28" t="n">
        <x:v>0</x:v>
      </x:c>
      <x:c r="Q1928" s="62" t="b">
        <x:v>1</x:v>
      </x:c>
      <x:c r="R1928" s="28" t="n">
        <x:v>0</x:v>
      </x:c>
      <x:c r="S1928" s="28" t="str">
        <x:v>36e68f2faa3eafa5</x:v>
      </x:c>
    </x:row>
    <x:row r="1929" ht="21" customHeight="1">
      <x:c r="A1929" s="60" t="n">
        <x:v>0.67</x:v>
      </x:c>
      <x:c r="B1929" s="28" t="str">
        <x:v>back_low</x:v>
      </x:c>
      <x:c r="C1929" s="60" t="n">
        <x:v>0.5</x:v>
      </x:c>
      <x:c r="D1929" s="60" t="n">
        <x:v>0.5</x:v>
      </x:c>
      <x:c r="E1929" s="62" t="b">
        <x:v>1</x:v>
      </x:c>
      <x:c r="F1929" s="62" t="b">
        <x:v>1</x:v>
      </x:c>
      <x:c r="G1929" s="85" t="n">
        <x:v>0</x:v>
      </x:c>
      <x:c r="H1929" s="85" t="n">
        <x:v>0</x:v>
      </x:c>
      <x:c r="I1929" s="85" t="n">
        <x:v>6551437.8052447485</x:v>
      </x:c>
      <x:c r="J1929" s="85" t="n">
        <x:v>10431314.4828615</x:v>
      </x:c>
      <x:c r="K1929" s="85" t="n">
        <x:v>80473.07191780841</x:v>
      </x:c>
      <x:c r="L1929" s="28" t="n">
        <x:v>13</x:v>
      </x:c>
      <x:c r="M1929" s="28" t="n">
        <x:v>0</x:v>
      </x:c>
      <x:c r="N1929" s="28" t="n">
        <x:v>9.313225746154785e-10</x:v>
      </x:c>
      <x:c r="O1929" s="28" t="n">
        <x:v>1.862645149230957e-9</x:v>
      </x:c>
      <x:c r="P1929" s="28" t="n">
        <x:v>0</x:v>
      </x:c>
      <x:c r="Q1929" s="62" t="b">
        <x:v>1</x:v>
      </x:c>
      <x:c r="R1929" s="28" t="n">
        <x:v>0</x:v>
      </x:c>
      <x:c r="S1929" s="28" t="str">
        <x:v>cec5f82bd476394b</x:v>
      </x:c>
    </x:row>
    <x:row r="1930" ht="21" customHeight="1">
      <x:c r="A1930" s="60" t="n">
        <x:v>0.67</x:v>
      </x:c>
      <x:c r="B1930" s="28" t="str">
        <x:v>back_low</x:v>
      </x:c>
      <x:c r="C1930" s="60" t="n">
        <x:v>0.55</x:v>
      </x:c>
      <x:c r="D1930" s="60" t="n">
        <x:v>0.55</x:v>
      </x:c>
      <x:c r="E1930" s="62" t="b">
        <x:v>1</x:v>
      </x:c>
      <x:c r="F1930" s="62" t="b">
        <x:v>1</x:v>
      </x:c>
      <x:c r="G1930" s="85" t="n">
        <x:v>0</x:v>
      </x:c>
      <x:c r="H1930" s="85" t="n">
        <x:v>0</x:v>
      </x:c>
      <x:c r="I1930" s="85" t="n">
        <x:v>7339626.194939582</x:v>
      </x:c>
      <x:c r="J1930" s="85" t="n">
        <x:v>12061184.927704988</x:v>
      </x:c>
      <x:c r="K1930" s="85" t="n">
        <x:v>73916.71110958926</x:v>
      </x:c>
      <x:c r="L1930" s="28" t="n">
        <x:v>18</x:v>
      </x:c>
      <x:c r="M1930" s="28" t="n">
        <x:v>0</x:v>
      </x:c>
      <x:c r="N1930" s="28" t="n">
        <x:v>4.656612873077393e-10</x:v>
      </x:c>
      <x:c r="O1930" s="28" t="n">
        <x:v>7.450580596923828e-9</x:v>
      </x:c>
      <x:c r="P1930" s="28" t="n">
        <x:v>0</x:v>
      </x:c>
      <x:c r="Q1930" s="62" t="b">
        <x:v>1</x:v>
      </x:c>
      <x:c r="R1930" s="28" t="n">
        <x:v>0</x:v>
      </x:c>
      <x:c r="S1930" s="28" t="str">
        <x:v>c1059da2efeada72</x:v>
      </x:c>
    </x:row>
    <x:row r="1931" ht="21" customHeight="1">
      <x:c r="A1931" s="60" t="n">
        <x:v>0.67</x:v>
      </x:c>
      <x:c r="B1931" s="28" t="str">
        <x:v>back_low</x:v>
      </x:c>
      <x:c r="C1931" s="60" t="n">
        <x:v>0.6</x:v>
      </x:c>
      <x:c r="D1931" s="60" t="n">
        <x:v>0.6</x:v>
      </x:c>
      <x:c r="E1931" s="62" t="b">
        <x:v>1</x:v>
      </x:c>
      <x:c r="F1931" s="62" t="b">
        <x:v>0</x:v>
      </x:c>
      <x:c r="G1931" s="85" t="n">
        <x:v>82632.493051699</x:v>
      </x:c>
      <x:c r="H1931" s="85" t="n">
        <x:v>1031808.7193771497</x:v>
      </x:c>
      <x:c r="I1931" s="85" t="n">
        <x:v>7718072.066786849</x:v>
      </x:c>
      <x:c r="J1931" s="85" t="n">
        <x:v>12821119.999999998</x:v>
      </x:c>
      <x:c r="K1931" s="85" t="n">
        <x:v>67360.35030137</x:v>
      </x:c>
      <x:c r="L1931" s="28" t="n">
        <x:v>40</x:v>
      </x:c>
      <x:c r="M1931" s="28" t="n">
        <x:v>28</x:v>
      </x:c>
      <x:c r="N1931" s="28" t="n">
        <x:v>4.656612873077393e-10</x:v>
      </x:c>
      <x:c r="O1931" s="28" t="n">
        <x:v>7.450580596923828e-9</x:v>
      </x:c>
      <x:c r="P1931" s="28" t="n">
        <x:v>0</x:v>
      </x:c>
      <x:c r="Q1931" s="62" t="b">
        <x:v>1</x:v>
      </x:c>
      <x:c r="R1931" s="28" t="n">
        <x:v>0</x:v>
      </x:c>
      <x:c r="S1931" s="28" t="str">
        <x:v>9683b5d3b13bfd35</x:v>
      </x:c>
    </x:row>
    <x:row r="1932" ht="21" customHeight="1">
      <x:c r="A1932" s="60" t="n">
        <x:v>0.67</x:v>
      </x:c>
      <x:c r="B1932" s="28" t="str">
        <x:v>back_low</x:v>
      </x:c>
      <x:c r="C1932" s="60" t="n">
        <x:v>0.65</x:v>
      </x:c>
      <x:c r="D1932" s="60" t="n">
        <x:v>0.65</x:v>
      </x:c>
      <x:c r="E1932" s="62" t="b">
        <x:v>1</x:v>
      </x:c>
      <x:c r="F1932" s="62" t="b">
        <x:v>0</x:v>
      </x:c>
      <x:c r="G1932" s="85" t="n">
        <x:v>244112.1290359046</x:v>
      </x:c>
      <x:c r="H1932" s="85" t="n">
        <x:v>3039740.044518779</x:v>
      </x:c>
      <x:c r="I1932" s="85" t="n">
        <x:v>7729484.985302191</x:v>
      </x:c>
      <x:c r="J1932" s="85" t="n">
        <x:v>12821119.999999998</x:v>
      </x:c>
      <x:c r="K1932" s="85" t="n">
        <x:v>60803.98949315114</x:v>
      </x:c>
      <x:c r="L1932" s="28" t="n">
        <x:v>40</x:v>
      </x:c>
      <x:c r="M1932" s="28" t="n">
        <x:v>31</x:v>
      </x:c>
      <x:c r="N1932" s="28" t="n">
        <x:v>4.656612873077393e-10</x:v>
      </x:c>
      <x:c r="O1932" s="28" t="n">
        <x:v>7.450580596923828e-9</x:v>
      </x:c>
      <x:c r="P1932" s="28" t="n">
        <x:v>0</x:v>
      </x:c>
      <x:c r="Q1932" s="62" t="b">
        <x:v>1</x:v>
      </x:c>
      <x:c r="R1932" s="28" t="n">
        <x:v>0</x:v>
      </x:c>
      <x:c r="S1932" s="28" t="str">
        <x:v>6c911ae97950501d</x:v>
      </x:c>
    </x:row>
    <x:row r="1933" ht="21" customHeight="1">
      <x:c r="A1933" s="60" t="n">
        <x:v>0.67</x:v>
      </x:c>
      <x:c r="B1933" s="28" t="str">
        <x:v>back_low</x:v>
      </x:c>
      <x:c r="C1933" s="60" t="n">
        <x:v>0.7</x:v>
      </x:c>
      <x:c r="D1933" s="60" t="n">
        <x:v>0.7</x:v>
      </x:c>
      <x:c r="E1933" s="62" t="b">
        <x:v>1</x:v>
      </x:c>
      <x:c r="F1933" s="62" t="b">
        <x:v>0</x:v>
      </x:c>
      <x:c r="G1933" s="85" t="n">
        <x:v>389877.7965243752</x:v>
      </x:c>
      <x:c r="H1933" s="85" t="n">
        <x:v>4852204.252755561</x:v>
      </x:c>
      <x:c r="I1933" s="85" t="n">
        <x:v>7912914.09369578</x:v>
      </x:c>
      <x:c r="J1933" s="85" t="n">
        <x:v>12821119.999999998</x:v>
      </x:c>
      <x:c r="K1933" s="85" t="n">
        <x:v>54247.62868493175</x:v>
      </x:c>
      <x:c r="L1933" s="28" t="n">
        <x:v>41</x:v>
      </x:c>
      <x:c r="M1933" s="28" t="n">
        <x:v>31</x:v>
      </x:c>
      <x:c r="N1933" s="28" t="n">
        <x:v>4.656612873077393e-10</x:v>
      </x:c>
      <x:c r="O1933" s="28" t="n">
        <x:v>3.725290298461914e-9</x:v>
      </x:c>
      <x:c r="P1933" s="28" t="n">
        <x:v>0</x:v>
      </x:c>
      <x:c r="Q1933" s="62" t="b">
        <x:v>1</x:v>
      </x:c>
      <x:c r="R1933" s="28" t="n">
        <x:v>0</x:v>
      </x:c>
      <x:c r="S1933" s="28" t="str">
        <x:v>ea7f7fbb32afe953</x:v>
      </x:c>
    </x:row>
    <x:row r="1934" ht="21" customHeight="1">
      <x:c r="A1934" s="60" t="n">
        <x:v>0.67</x:v>
      </x:c>
      <x:c r="B1934" s="28" t="str">
        <x:v>back_low</x:v>
      </x:c>
      <x:c r="C1934" s="60" t="n">
        <x:v>0.75</x:v>
      </x:c>
      <x:c r="D1934" s="60" t="n">
        <x:v>0.75</x:v>
      </x:c>
      <x:c r="E1934" s="62" t="b">
        <x:v>1</x:v>
      </x:c>
      <x:c r="F1934" s="62" t="b">
        <x:v>0</x:v>
      </x:c>
      <x:c r="G1934" s="85" t="n">
        <x:v>582247.1215916727</x:v>
      </x:c>
      <x:c r="H1934" s="85" t="n">
        <x:v>6828696.872224309</x:v>
      </x:c>
      <x:c r="I1934" s="85" t="n">
        <x:v>7924628.900813356</x:v>
      </x:c>
      <x:c r="J1934" s="85" t="n">
        <x:v>12821119.999999998</x:v>
      </x:c>
      <x:c r="K1934" s="85" t="n">
        <x:v>47691.267876712416</x:v>
      </x:c>
      <x:c r="L1934" s="28" t="n">
        <x:v>41</x:v>
      </x:c>
      <x:c r="M1934" s="28" t="n">
        <x:v>32</x:v>
      </x:c>
      <x:c r="N1934" s="28" t="n">
        <x:v>4.656612873077393e-10</x:v>
      </x:c>
      <x:c r="O1934" s="28" t="n">
        <x:v>7.450580596923828e-9</x:v>
      </x:c>
      <x:c r="P1934" s="28" t="n">
        <x:v>0</x:v>
      </x:c>
      <x:c r="Q1934" s="62" t="b">
        <x:v>1</x:v>
      </x:c>
      <x:c r="R1934" s="28" t="n">
        <x:v>0</x:v>
      </x:c>
      <x:c r="S1934" s="28" t="str">
        <x:v>7aae8c0688ba8971</x:v>
      </x:c>
    </x:row>
    <x:row r="1935" ht="21" customHeight="1">
      <x:c r="A1935" s="60" t="n">
        <x:v>0.67</x:v>
      </x:c>
      <x:c r="B1935" s="28" t="str">
        <x:v>back_low</x:v>
      </x:c>
      <x:c r="C1935" s="60" t="n">
        <x:v>0.8</x:v>
      </x:c>
      <x:c r="D1935" s="60" t="n">
        <x:v>0.8</x:v>
      </x:c>
      <x:c r="E1935" s="62" t="b">
        <x:v>1</x:v>
      </x:c>
      <x:c r="F1935" s="62" t="b">
        <x:v>0</x:v>
      </x:c>
      <x:c r="G1935" s="85" t="n">
        <x:v>733522.8879536474</x:v>
      </x:c>
      <x:c r="H1935" s="85" t="n">
        <x:v>8588497.402159695</x:v>
      </x:c>
      <x:c r="I1935" s="85" t="n">
        <x:v>8099266.190048658</x:v>
      </x:c>
      <x:c r="J1935" s="85" t="n">
        <x:v>12821119.999999998</x:v>
      </x:c>
      <x:c r="K1935" s="85" t="n">
        <x:v>41134.9070684935</x:v>
      </x:c>
      <x:c r="L1935" s="28" t="n">
        <x:v>42</x:v>
      </x:c>
      <x:c r="M1935" s="28" t="n">
        <x:v>33</x:v>
      </x:c>
      <x:c r="N1935" s="28" t="n">
        <x:v>4.656612873077393e-10</x:v>
      </x:c>
      <x:c r="O1935" s="28" t="n">
        <x:v>3.725290298461914e-9</x:v>
      </x:c>
      <x:c r="P1935" s="28" t="n">
        <x:v>0</x:v>
      </x:c>
      <x:c r="Q1935" s="62" t="b">
        <x:v>1</x:v>
      </x:c>
      <x:c r="R1935" s="28" t="n">
        <x:v>0</x:v>
      </x:c>
      <x:c r="S1935" s="28" t="str">
        <x:v>e4739363f260b751</x:v>
      </x:c>
    </x:row>
    <x:row r="1936" ht="21" customHeight="1">
      <x:c r="A1936" s="60" t="n">
        <x:v>0.67</x:v>
      </x:c>
      <x:c r="B1936" s="28" t="str">
        <x:v>back_low</x:v>
      </x:c>
      <x:c r="C1936" s="60" t="n">
        <x:v>0.85</x:v>
      </x:c>
      <x:c r="D1936" s="60" t="n">
        <x:v>0.85</x:v>
      </x:c>
      <x:c r="E1936" s="62" t="b">
        <x:v>1</x:v>
      </x:c>
      <x:c r="F1936" s="62" t="b">
        <x:v>0</x:v>
      </x:c>
      <x:c r="G1936" s="85" t="n">
        <x:v>994765.3892412747</x:v>
      </x:c>
      <x:c r="H1936" s="85" t="n">
        <x:v>10432136.118648544</x:v>
      </x:c>
      <x:c r="I1936" s="85" t="n">
        <x:v>8107334.67770752</x:v>
      </x:c>
      <x:c r="J1936" s="85" t="n">
        <x:v>12821119.999999998</x:v>
      </x:c>
      <x:c r="K1936" s="85" t="n">
        <x:v>37835.454643835365</x:v>
      </x:c>
      <x:c r="L1936" s="28" t="n">
        <x:v>42</x:v>
      </x:c>
      <x:c r="M1936" s="28" t="n">
        <x:v>34</x:v>
      </x:c>
      <x:c r="N1936" s="28" t="n">
        <x:v>4.656612873077393e-10</x:v>
      </x:c>
      <x:c r="O1936" s="28" t="n">
        <x:v>9.313225746154785e-10</x:v>
      </x:c>
      <x:c r="P1936" s="28" t="n">
        <x:v>0</x:v>
      </x:c>
      <x:c r="Q1936" s="62" t="b">
        <x:v>1</x:v>
      </x:c>
      <x:c r="R1936" s="28" t="n">
        <x:v>0</x:v>
      </x:c>
      <x:c r="S1936" s="28" t="str">
        <x:v>556702c6e820400b</x:v>
      </x:c>
    </x:row>
    <x:row r="1937" ht="21" customHeight="1">
      <x:c r="A1937" s="60" t="n">
        <x:v>0.67</x:v>
      </x:c>
      <x:c r="B1937" s="28" t="str">
        <x:v>back_low</x:v>
      </x:c>
      <x:c r="C1937" s="60" t="n">
        <x:v>0.9</x:v>
      </x:c>
      <x:c r="D1937" s="60" t="n">
        <x:v>0.880265491166173</x:v>
      </x:c>
      <x:c r="E1937" s="62" t="b">
        <x:v>0</x:v>
      </x:c>
      <x:c r="F1937" s="62" t="b">
        <x:v>0</x:v>
      </x:c>
      <x:c r="G1937" s="85" t="n">
        <x:v>1278035.618772484</x:v>
      </x:c>
      <x:c r="H1937" s="85" t="n">
        <x:v>11205721.993128749</x:v>
      </x:c>
      <x:c r="I1937" s="85" t="n">
        <x:v>8290527.330515069</x:v>
      </x:c>
      <x:c r="J1937" s="85" t="n">
        <x:v>12821119.999999998</x:v>
      </x:c>
      <x:c r="K1937" s="85" t="n">
        <x:v>35801.17613698613</x:v>
      </x:c>
      <x:c r="L1937" s="28" t="n">
        <x:v>43</x:v>
      </x:c>
      <x:c r="M1937" s="28" t="n">
        <x:v>34</x:v>
      </x:c>
      <x:c r="N1937" s="28" t="n">
        <x:v>4.656612873077393e-10</x:v>
      </x:c>
      <x:c r="O1937" s="28" t="n">
        <x:v>3.725290298461914e-9</x:v>
      </x:c>
      <x:c r="P1937" s="28" t="n">
        <x:v>0</x:v>
      </x:c>
      <x:c r="Q1937" s="62" t="b">
        <x:v>1</x:v>
      </x:c>
      <x:c r="R1937" s="28" t="n">
        <x:v>1100080.4604328498</x:v>
      </x:c>
      <x:c r="S1937" s="28" t="str">
        <x:v>de5725ce4eb3def0</x:v>
      </x:c>
    </x:row>
    <x:row r="1938" ht="21" customHeight="1">
      <x:c r="A1938" s="60" t="n">
        <x:v>0.67</x:v>
      </x:c>
      <x:c r="B1938" s="28" t="str">
        <x:v>back_low</x:v>
      </x:c>
      <x:c r="C1938" s="60" t="n">
        <x:v>0.95</x:v>
      </x:c>
      <x:c r="D1938" s="60" t="n">
        <x:v>0.8954794051096439</x:v>
      </x:c>
      <x:c r="E1938" s="62" t="b">
        <x:v>0</x:v>
      </x:c>
      <x:c r="F1938" s="62" t="b">
        <x:v>0</x:v>
      </x:c>
      <x:c r="G1938" s="85" t="n">
        <x:v>1356971.2853830943</x:v>
      </x:c>
      <x:c r="H1938" s="85" t="n">
        <x:v>11897824.09293592</x:v>
      </x:c>
      <x:c r="I1938" s="85" t="n">
        <x:v>8294092.027641096</x:v>
      </x:c>
      <x:c r="J1938" s="85" t="n">
        <x:v>12821119.999999998</x:v>
      </x:c>
      <x:c r="K1938" s="85" t="n">
        <x:v>33766.89763013724</x:v>
      </x:c>
      <x:c r="L1938" s="28" t="n">
        <x:v>43</x:v>
      </x:c>
      <x:c r="M1938" s="28" t="n">
        <x:v>35</x:v>
      </x:c>
      <x:c r="N1938" s="28" t="n">
        <x:v>4.656612873077393e-10</x:v>
      </x:c>
      <x:c r="O1938" s="28" t="n">
        <x:v>3.725290298461914e-9</x:v>
      </x:c>
      <x:c r="P1938" s="28" t="n">
        <x:v>0</x:v>
      </x:c>
      <x:c r="Q1938" s="62" t="b">
        <x:v>1</x:v>
      </x:c>
      <x:c r="R1938" s="28" t="n">
        <x:v>3039196.041568011</x:v>
      </x:c>
      <x:c r="S1938" s="28" t="str">
        <x:v>9758032b861c70d2</x:v>
      </x:c>
    </x:row>
    <x:row r="1939" ht="21" customHeight="1">
      <x:c r="A1939" s="60" t="n">
        <x:v>0.67</x:v>
      </x:c>
      <x:c r="B1939" s="28" t="str">
        <x:v>back_low</x:v>
      </x:c>
      <x:c r="C1939" s="60" t="n">
        <x:v>1</x:v>
      </x:c>
      <x:c r="D1939" s="60" t="n">
        <x:v>0.9093341115290656</x:v>
      </x:c>
      <x:c r="E1939" s="62" t="b">
        <x:v>0</x:v>
      </x:c>
      <x:c r="F1939" s="62" t="b">
        <x:v>0</x:v>
      </x:c>
      <x:c r="G1939" s="85" t="n">
        <x:v>1480893.4633878623</x:v>
      </x:c>
      <x:c r="H1939" s="85" t="n">
        <x:v>12461122.579629062</x:v>
      </x:c>
      <x:c r="I1939" s="85" t="n">
        <x:v>8297656.724767123</x:v>
      </x:c>
      <x:c r="J1939" s="85" t="n">
        <x:v>12821119.999999998</x:v>
      </x:c>
      <x:c r="K1939" s="85" t="n">
        <x:v>31732.619123287594</x:v>
      </x:c>
      <x:c r="L1939" s="28" t="n">
        <x:v>43</x:v>
      </x:c>
      <x:c r="M1939" s="28" t="n">
        <x:v>36</x:v>
      </x:c>
      <x:c r="N1939" s="28" t="n">
        <x:v>2.3283064365386963e-10</x:v>
      </x:c>
      <x:c r="O1939" s="28" t="n">
        <x:v>3.725290298461914e-9</x:v>
      </x:c>
      <x:c r="P1939" s="28" t="n">
        <x:v>0</x:v>
      </x:c>
      <x:c r="Q1939" s="62" t="b">
        <x:v>1</x:v>
      </x:c>
      <x:c r="R1939" s="28" t="n">
        <x:v>5054079.286923766</x:v>
      </x:c>
      <x:c r="S1939" s="28" t="str">
        <x:v>981b6d26e2a00f54</x:v>
      </x:c>
    </x:row>
    <x:row r="1940" ht="21" customHeight="1">
      <x:c r="A1940" s="60" t="n">
        <x:v>0.67</x:v>
      </x:c>
      <x:c r="B1940" s="28" t="str">
        <x:v>back_high</x:v>
      </x:c>
      <x:c r="C1940" s="60" t="n">
        <x:v>0</x:v>
      </x:c>
      <x:c r="D1940" s="60" t="n">
        <x:v>0</x:v>
      </x:c>
      <x:c r="E1940" s="62" t="b">
        <x:v>1</x:v>
      </x:c>
      <x:c r="F1940" s="62" t="b">
        <x:v>1</x:v>
      </x:c>
      <x:c r="G1940" s="85" t="n">
        <x:v>0</x:v>
      </x:c>
      <x:c r="H1940" s="85" t="n">
        <x:v>0</x:v>
      </x:c>
      <x:c r="I1940" s="85" t="n">
        <x:v>0</x:v>
      </x:c>
      <x:c r="J1940" s="85" t="n">
        <x:v>0</x:v>
      </x:c>
      <x:c r="K1940" s="85" t="n">
        <x:v>7404749.462356168</x:v>
      </x:c>
      <x:c r="L1940" s="28" t="n">
        <x:v>0</x:v>
      </x:c>
      <x:c r="M1940" s="28" t="n">
        <x:v>0</x:v>
      </x:c>
      <x:c r="N1940" s="28" t="n">
        <x:v>9.313225746154785e-10</x:v>
      </x:c>
      <x:c r="O1940" s="28" t="n">
        <x:v>0</x:v>
      </x:c>
      <x:c r="P1940" s="28" t="n">
        <x:v>0</x:v>
      </x:c>
      <x:c r="Q1940" s="62" t="b">
        <x:v>1</x:v>
      </x:c>
      <x:c r="R1940" s="28" t="n">
        <x:v>0</x:v>
      </x:c>
      <x:c r="S1940" s="28" t="str">
        <x:v>c2097498eaf6cd99</x:v>
      </x:c>
    </x:row>
    <x:row r="1941" ht="21" customHeight="1">
      <x:c r="A1941" s="60" t="n">
        <x:v>0.67</x:v>
      </x:c>
      <x:c r="B1941" s="28" t="str">
        <x:v>back_high</x:v>
      </x:c>
      <x:c r="C1941" s="60" t="n">
        <x:v>0.05</x:v>
      </x:c>
      <x:c r="D1941" s="60" t="n">
        <x:v>0.05</x:v>
      </x:c>
      <x:c r="E1941" s="62" t="b">
        <x:v>1</x:v>
      </x:c>
      <x:c r="F1941" s="62" t="b">
        <x:v>1</x:v>
      </x:c>
      <x:c r="G1941" s="85" t="n">
        <x:v>0</x:v>
      </x:c>
      <x:c r="H1941" s="85" t="n">
        <x:v>0</x:v>
      </x:c>
      <x:c r="I1941" s="85" t="n">
        <x:v>0</x:v>
      </x:c>
      <x:c r="J1941" s="85" t="n">
        <x:v>0</x:v>
      </x:c>
      <x:c r="K1941" s="85" t="n">
        <x:v>4960464.469543278</x:v>
      </x:c>
      <x:c r="L1941" s="28" t="n">
        <x:v>0</x:v>
      </x:c>
      <x:c r="M1941" s="28" t="n">
        <x:v>0</x:v>
      </x:c>
      <x:c r="N1941" s="28" t="n">
        <x:v>4.656612873077393e-10</x:v>
      </x:c>
      <x:c r="O1941" s="28" t="n">
        <x:v>7.450580596923828e-9</x:v>
      </x:c>
      <x:c r="P1941" s="28" t="n">
        <x:v>0</x:v>
      </x:c>
      <x:c r="Q1941" s="62" t="b">
        <x:v>1</x:v>
      </x:c>
      <x:c r="R1941" s="28" t="n">
        <x:v>0</x:v>
      </x:c>
      <x:c r="S1941" s="28" t="str">
        <x:v>6b1a1dfa538b9f5c</x:v>
      </x:c>
    </x:row>
    <x:row r="1942" ht="21" customHeight="1">
      <x:c r="A1942" s="60" t="n">
        <x:v>0.67</x:v>
      </x:c>
      <x:c r="B1942" s="28" t="str">
        <x:v>back_high</x:v>
      </x:c>
      <x:c r="C1942" s="60" t="n">
        <x:v>0.1</x:v>
      </x:c>
      <x:c r="D1942" s="60" t="n">
        <x:v>0.1</x:v>
      </x:c>
      <x:c r="E1942" s="62" t="b">
        <x:v>1</x:v>
      </x:c>
      <x:c r="F1942" s="62" t="b">
        <x:v>1</x:v>
      </x:c>
      <x:c r="G1942" s="85" t="n">
        <x:v>0</x:v>
      </x:c>
      <x:c r="H1942" s="85" t="n">
        <x:v>0</x:v>
      </x:c>
      <x:c r="I1942" s="85" t="n">
        <x:v>0</x:v>
      </x:c>
      <x:c r="J1942" s="85" t="n">
        <x:v>0</x:v>
      </x:c>
      <x:c r="K1942" s="85" t="n">
        <x:v>2516179.476730408</x:v>
      </x:c>
      <x:c r="L1942" s="28" t="n">
        <x:v>0</x:v>
      </x:c>
      <x:c r="M1942" s="28" t="n">
        <x:v>0</x:v>
      </x:c>
      <x:c r="N1942" s="28" t="n">
        <x:v>9.313225746154785e-10</x:v>
      </x:c>
      <x:c r="O1942" s="28" t="n">
        <x:v>7.450580596923828e-9</x:v>
      </x:c>
      <x:c r="P1942" s="28" t="n">
        <x:v>0</x:v>
      </x:c>
      <x:c r="Q1942" s="62" t="b">
        <x:v>1</x:v>
      </x:c>
      <x:c r="R1942" s="28" t="n">
        <x:v>0</x:v>
      </x:c>
      <x:c r="S1942" s="28" t="str">
        <x:v>820afd03acdd36f0</x:v>
      </x:c>
    </x:row>
    <x:row r="1943" ht="21" customHeight="1">
      <x:c r="A1943" s="60" t="n">
        <x:v>0.67</x:v>
      </x:c>
      <x:c r="B1943" s="28" t="str">
        <x:v>back_high</x:v>
      </x:c>
      <x:c r="C1943" s="60" t="n">
        <x:v>0.15</x:v>
      </x:c>
      <x:c r="D1943" s="60" t="n">
        <x:v>0.15</x:v>
      </x:c>
      <x:c r="E1943" s="62" t="b">
        <x:v>1</x:v>
      </x:c>
      <x:c r="F1943" s="62" t="b">
        <x:v>1</x:v>
      </x:c>
      <x:c r="G1943" s="85" t="n">
        <x:v>0</x:v>
      </x:c>
      <x:c r="H1943" s="85" t="n">
        <x:v>0</x:v>
      </x:c>
      <x:c r="I1943" s="85" t="n">
        <x:v>616135.0213650791</x:v>
      </x:c>
      <x:c r="J1943" s="85" t="n">
        <x:v>0</x:v>
      </x:c>
      <x:c r="K1943" s="85" t="n">
        <x:v>725292.3127800126</x:v>
      </x:c>
      <x:c r="L1943" s="28" t="n">
        <x:v>0</x:v>
      </x:c>
      <x:c r="M1943" s="28" t="n">
        <x:v>0</x:v>
      </x:c>
      <x:c r="N1943" s="28" t="n">
        <x:v>9.313225746154785e-10</x:v>
      </x:c>
      <x:c r="O1943" s="28" t="n">
        <x:v>7.450580596923828e-9</x:v>
      </x:c>
      <x:c r="P1943" s="28" t="n">
        <x:v>0</x:v>
      </x:c>
      <x:c r="Q1943" s="62" t="b">
        <x:v>1</x:v>
      </x:c>
      <x:c r="R1943" s="28" t="n">
        <x:v>0</x:v>
      </x:c>
      <x:c r="S1943" s="28" t="str">
        <x:v>390f7b53010c05e6</x:v>
      </x:c>
    </x:row>
    <x:row r="1944" ht="21" customHeight="1">
      <x:c r="A1944" s="60" t="n">
        <x:v>0.67</x:v>
      </x:c>
      <x:c r="B1944" s="28" t="str">
        <x:v>back_high</x:v>
      </x:c>
      <x:c r="C1944" s="60" t="n">
        <x:v>0.2</x:v>
      </x:c>
      <x:c r="D1944" s="60" t="n">
        <x:v>0.2</x:v>
      </x:c>
      <x:c r="E1944" s="62" t="b">
        <x:v>1</x:v>
      </x:c>
      <x:c r="F1944" s="62" t="b">
        <x:v>1</x:v>
      </x:c>
      <x:c r="G1944" s="85" t="n">
        <x:v>0</x:v>
      </x:c>
      <x:c r="H1944" s="85" t="n">
        <x:v>0</x:v>
      </x:c>
      <x:c r="I1944" s="85" t="n">
        <x:v>2440244.098583584</x:v>
      </x:c>
      <x:c r="J1944" s="85" t="n">
        <x:v>1245718.9057329341</x:v>
      </x:c>
      <x:c r="K1944" s="85" t="n">
        <x:v>588184.5939462663</x:v>
      </x:c>
      <x:c r="L1944" s="28" t="n">
        <x:v>0</x:v>
      </x:c>
      <x:c r="M1944" s="28" t="n">
        <x:v>0</x:v>
      </x:c>
      <x:c r="N1944" s="28" t="n">
        <x:v>9.313225746154785e-10</x:v>
      </x:c>
      <x:c r="O1944" s="28" t="n">
        <x:v>7.450580596923828e-9</x:v>
      </x:c>
      <x:c r="P1944" s="28" t="n">
        <x:v>0</x:v>
      </x:c>
      <x:c r="Q1944" s="62" t="b">
        <x:v>1</x:v>
      </x:c>
      <x:c r="R1944" s="28" t="n">
        <x:v>0</x:v>
      </x:c>
      <x:c r="S1944" s="28" t="str">
        <x:v>10cdf7a4ab2e44e5</x:v>
      </x:c>
    </x:row>
    <x:row r="1945" ht="21" customHeight="1">
      <x:c r="A1945" s="60" t="n">
        <x:v>0.67</x:v>
      </x:c>
      <x:c r="B1945" s="28" t="str">
        <x:v>back_high</x:v>
      </x:c>
      <x:c r="C1945" s="60" t="n">
        <x:v>0.25</x:v>
      </x:c>
      <x:c r="D1945" s="60" t="n">
        <x:v>0.25</x:v>
      </x:c>
      <x:c r="E1945" s="62" t="b">
        <x:v>1</x:v>
      </x:c>
      <x:c r="F1945" s="62" t="b">
        <x:v>1</x:v>
      </x:c>
      <x:c r="G1945" s="85" t="n">
        <x:v>0</x:v>
      </x:c>
      <x:c r="H1945" s="85" t="n">
        <x:v>0</x:v>
      </x:c>
      <x:c r="I1945" s="85" t="n">
        <x:v>4026362.160408842</x:v>
      </x:c>
      <x:c r="J1945" s="85" t="n">
        <x:v>2950748.6321661994</x:v>
      </x:c>
      <x:c r="K1945" s="85" t="n">
        <x:v>490369.7714053423</x:v>
      </x:c>
      <x:c r="L1945" s="28" t="n">
        <x:v>0</x:v>
      </x:c>
      <x:c r="M1945" s="28" t="n">
        <x:v>0</x:v>
      </x:c>
      <x:c r="N1945" s="28" t="n">
        <x:v>9.313225746154785e-10</x:v>
      </x:c>
      <x:c r="O1945" s="28" t="n">
        <x:v>7.450580596923828e-9</x:v>
      </x:c>
      <x:c r="P1945" s="28" t="n">
        <x:v>0</x:v>
      </x:c>
      <x:c r="Q1945" s="62" t="b">
        <x:v>1</x:v>
      </x:c>
      <x:c r="R1945" s="28" t="n">
        <x:v>0</x:v>
      </x:c>
      <x:c r="S1945" s="28" t="str">
        <x:v>90e955d16cd87a4a</x:v>
      </x:c>
    </x:row>
    <x:row r="1946" ht="21" customHeight="1">
      <x:c r="A1946" s="60" t="n">
        <x:v>0.67</x:v>
      </x:c>
      <x:c r="B1946" s="28" t="str">
        <x:v>back_high</x:v>
      </x:c>
      <x:c r="C1946" s="60" t="n">
        <x:v>0.3</x:v>
      </x:c>
      <x:c r="D1946" s="60" t="n">
        <x:v>0.3</x:v>
      </x:c>
      <x:c r="E1946" s="62" t="b">
        <x:v>1</x:v>
      </x:c>
      <x:c r="F1946" s="62" t="b">
        <x:v>1</x:v>
      </x:c>
      <x:c r="G1946" s="85" t="n">
        <x:v>0</x:v>
      </x:c>
      <x:c r="H1946" s="85" t="n">
        <x:v>0</x:v>
      </x:c>
      <x:c r="I1946" s="85" t="n">
        <x:v>5636539.54888638</x:v>
      </x:c>
      <x:c r="J1946" s="85" t="n">
        <x:v>4655778.358599424</x:v>
      </x:c>
      <x:c r="K1946" s="85" t="n">
        <x:v>421023.2242727146</x:v>
      </x:c>
      <x:c r="L1946" s="28" t="n">
        <x:v>0</x:v>
      </x:c>
      <x:c r="M1946" s="28" t="n">
        <x:v>0</x:v>
      </x:c>
      <x:c r="N1946" s="28" t="n">
        <x:v>4.656612873077393e-10</x:v>
      </x:c>
      <x:c r="O1946" s="28" t="n">
        <x:v>7.450580596923828e-9</x:v>
      </x:c>
      <x:c r="P1946" s="28" t="n">
        <x:v>0</x:v>
      </x:c>
      <x:c r="Q1946" s="62" t="b">
        <x:v>1</x:v>
      </x:c>
      <x:c r="R1946" s="28" t="n">
        <x:v>0</x:v>
      </x:c>
      <x:c r="S1946" s="28" t="str">
        <x:v>1301b93f78e1521c</x:v>
      </x:c>
    </x:row>
    <x:row r="1947" ht="21" customHeight="1">
      <x:c r="A1947" s="60" t="n">
        <x:v>0.67</x:v>
      </x:c>
      <x:c r="B1947" s="28" t="str">
        <x:v>back_high</x:v>
      </x:c>
      <x:c r="C1947" s="60" t="n">
        <x:v>0.35</x:v>
      </x:c>
      <x:c r="D1947" s="60" t="n">
        <x:v>0.35</x:v>
      </x:c>
      <x:c r="E1947" s="62" t="b">
        <x:v>1</x:v>
      </x:c>
      <x:c r="F1947" s="62" t="b">
        <x:v>1</x:v>
      </x:c>
      <x:c r="G1947" s="85" t="n">
        <x:v>0</x:v>
      </x:c>
      <x:c r="H1947" s="85" t="n">
        <x:v>0</x:v>
      </x:c>
      <x:c r="I1947" s="85" t="n">
        <x:v>7274362.26025786</x:v>
      </x:c>
      <x:c r="J1947" s="85" t="n">
        <x:v>6360808.085032671</x:v>
      </x:c>
      <x:c r="K1947" s="85" t="n">
        <x:v>351676.67714008415</x:v>
      </x:c>
      <x:c r="L1947" s="28" t="n">
        <x:v>0</x:v>
      </x:c>
      <x:c r="M1947" s="28" t="n">
        <x:v>0</x:v>
      </x:c>
      <x:c r="N1947" s="28" t="n">
        <x:v>4.656612873077393e-10</x:v>
      </x:c>
      <x:c r="O1947" s="28" t="n">
        <x:v>3.725290298461914e-9</x:v>
      </x:c>
      <x:c r="P1947" s="28" t="n">
        <x:v>0</x:v>
      </x:c>
      <x:c r="Q1947" s="62" t="b">
        <x:v>1</x:v>
      </x:c>
      <x:c r="R1947" s="28" t="n">
        <x:v>0</x:v>
      </x:c>
      <x:c r="S1947" s="28" t="str">
        <x:v>5c9258e3fa2aa733</x:v>
      </x:c>
    </x:row>
    <x:row r="1948" ht="21" customHeight="1">
      <x:c r="A1948" s="60" t="n">
        <x:v>0.67</x:v>
      </x:c>
      <x:c r="B1948" s="28" t="str">
        <x:v>back_high</x:v>
      </x:c>
      <x:c r="C1948" s="60" t="n">
        <x:v>0.4</x:v>
      </x:c>
      <x:c r="D1948" s="60" t="n">
        <x:v>0.4</x:v>
      </x:c>
      <x:c r="E1948" s="62" t="b">
        <x:v>1</x:v>
      </x:c>
      <x:c r="F1948" s="62" t="b">
        <x:v>1</x:v>
      </x:c>
      <x:c r="G1948" s="85" t="n">
        <x:v>0</x:v>
      </x:c>
      <x:c r="H1948" s="85" t="n">
        <x:v>0</x:v>
      </x:c>
      <x:c r="I1948" s="85" t="n">
        <x:v>9081727.698701182</x:v>
      </x:c>
      <x:c r="J1948" s="85" t="n">
        <x:v>7208104.5467050215</x:v>
      </x:c>
      <x:c r="K1948" s="85" t="n">
        <x:v>310675.81808635686</x:v>
      </x:c>
      <x:c r="L1948" s="28" t="n">
        <x:v>6</x:v>
      </x:c>
      <x:c r="M1948" s="28" t="n">
        <x:v>0</x:v>
      </x:c>
      <x:c r="N1948" s="28" t="n">
        <x:v>2.3283064365386963e-10</x:v>
      </x:c>
      <x:c r="O1948" s="28" t="n">
        <x:v>7.450580596923828e-9</x:v>
      </x:c>
      <x:c r="P1948" s="28" t="n">
        <x:v>0</x:v>
      </x:c>
      <x:c r="Q1948" s="62" t="b">
        <x:v>1</x:v>
      </x:c>
      <x:c r="R1948" s="28" t="n">
        <x:v>0</x:v>
      </x:c>
      <x:c r="S1948" s="28" t="str">
        <x:v>7f8712eb6d687647</x:v>
      </x:c>
    </x:row>
    <x:row r="1949" ht="21" customHeight="1">
      <x:c r="A1949" s="60" t="n">
        <x:v>0.67</x:v>
      </x:c>
      <x:c r="B1949" s="28" t="str">
        <x:v>back_high</x:v>
      </x:c>
      <x:c r="C1949" s="60" t="n">
        <x:v>0.45</x:v>
      </x:c>
      <x:c r="D1949" s="60" t="n">
        <x:v>0.45</x:v>
      </x:c>
      <x:c r="E1949" s="62" t="b">
        <x:v>1</x:v>
      </x:c>
      <x:c r="F1949" s="62" t="b">
        <x:v>1</x:v>
      </x:c>
      <x:c r="G1949" s="85" t="n">
        <x:v>0</x:v>
      </x:c>
      <x:c r="H1949" s="85" t="n">
        <x:v>0</x:v>
      </x:c>
      <x:c r="I1949" s="85" t="n">
        <x:v>10762323.226727162</x:v>
      </x:c>
      <x:c r="J1949" s="85" t="n">
        <x:v>8616525.880398095</x:v>
      </x:c>
      <x:c r="K1949" s="85" t="n">
        <x:v>271210.8645389325</x:v>
      </x:c>
      <x:c r="L1949" s="28" t="n">
        <x:v>9</x:v>
      </x:c>
      <x:c r="M1949" s="28" t="n">
        <x:v>1</x:v>
      </x:c>
      <x:c r="N1949" s="28" t="n">
        <x:v>2.3283064365386963e-10</x:v>
      </x:c>
      <x:c r="O1949" s="28" t="n">
        <x:v>7.450580596923828e-9</x:v>
      </x:c>
      <x:c r="P1949" s="28" t="n">
        <x:v>0</x:v>
      </x:c>
      <x:c r="Q1949" s="62" t="b">
        <x:v>1</x:v>
      </x:c>
      <x:c r="R1949" s="28" t="n">
        <x:v>0</x:v>
      </x:c>
      <x:c r="S1949" s="28" t="str">
        <x:v>72bb8f3c8696eb50</x:v>
      </x:c>
    </x:row>
    <x:row r="1950" ht="21" customHeight="1">
      <x:c r="A1950" s="60" t="n">
        <x:v>0.67</x:v>
      </x:c>
      <x:c r="B1950" s="28" t="str">
        <x:v>back_high</x:v>
      </x:c>
      <x:c r="C1950" s="60" t="n">
        <x:v>0.5</x:v>
      </x:c>
      <x:c r="D1950" s="60" t="n">
        <x:v>0.5</x:v>
      </x:c>
      <x:c r="E1950" s="62" t="b">
        <x:v>1</x:v>
      </x:c>
      <x:c r="F1950" s="62" t="b">
        <x:v>1</x:v>
      </x:c>
      <x:c r="G1950" s="85" t="n">
        <x:v>0</x:v>
      </x:c>
      <x:c r="H1950" s="85" t="n">
        <x:v>0</x:v>
      </x:c>
      <x:c r="I1950" s="85" t="n">
        <x:v>12431537.530544931</x:v>
      </x:c>
      <x:c r="J1950" s="85" t="n">
        <x:v>10020989.083066193</x:v>
      </x:c>
      <x:c r="K1950" s="85" t="n">
        <x:v>238623.38535616547</x:v>
      </x:c>
      <x:c r="L1950" s="28" t="n">
        <x:v>13</x:v>
      </x:c>
      <x:c r="M1950" s="28" t="n">
        <x:v>5</x:v>
      </x:c>
      <x:c r="N1950" s="28" t="n">
        <x:v>4.656612873077393e-10</x:v>
      </x:c>
      <x:c r="O1950" s="28" t="n">
        <x:v>1.862645149230957e-9</x:v>
      </x:c>
      <x:c r="P1950" s="28" t="n">
        <x:v>0</x:v>
      </x:c>
      <x:c r="Q1950" s="62" t="b">
        <x:v>1</x:v>
      </x:c>
      <x:c r="R1950" s="28" t="n">
        <x:v>0</x:v>
      </x:c>
      <x:c r="S1950" s="28" t="str">
        <x:v>ba8b939d6d8344ca</x:v>
      </x:c>
    </x:row>
    <x:row r="1951" ht="21" customHeight="1">
      <x:c r="A1951" s="60" t="n">
        <x:v>0.67</x:v>
      </x:c>
      <x:c r="B1951" s="28" t="str">
        <x:v>back_high</x:v>
      </x:c>
      <x:c r="C1951" s="60" t="n">
        <x:v>0.55</x:v>
      </x:c>
      <x:c r="D1951" s="60" t="n">
        <x:v>0.55</x:v>
      </x:c>
      <x:c r="E1951" s="62" t="b">
        <x:v>1</x:v>
      </x:c>
      <x:c r="F1951" s="62" t="b">
        <x:v>1</x:v>
      </x:c>
      <x:c r="G1951" s="85" t="n">
        <x:v>0</x:v>
      </x:c>
      <x:c r="H1951" s="85" t="n">
        <x:v>0</x:v>
      </x:c>
      <x:c r="I1951" s="85" t="n">
        <x:v>14017274.371273188</x:v>
      </x:c>
      <x:c r="J1951" s="85" t="n">
        <x:v>11838678.959849104</x:v>
      </x:c>
      <x:c r="K1951" s="85" t="n">
        <x:v>220339.21856164312</x:v>
      </x:c>
      <x:c r="L1951" s="28" t="n">
        <x:v>17</x:v>
      </x:c>
      <x:c r="M1951" s="28" t="n">
        <x:v>10</x:v>
      </x:c>
      <x:c r="N1951" s="28" t="n">
        <x:v>4.656612873077393e-10</x:v>
      </x:c>
      <x:c r="O1951" s="28" t="n">
        <x:v>7.450580596923828e-9</x:v>
      </x:c>
      <x:c r="P1951" s="28" t="n">
        <x:v>0</x:v>
      </x:c>
      <x:c r="Q1951" s="62" t="b">
        <x:v>1</x:v>
      </x:c>
      <x:c r="R1951" s="28" t="n">
        <x:v>0</x:v>
      </x:c>
      <x:c r="S1951" s="28" t="str">
        <x:v>c29fad84736967e4</x:v>
      </x:c>
    </x:row>
    <x:row r="1952" ht="21" customHeight="1">
      <x:c r="A1952" s="60" t="n">
        <x:v>0.67</x:v>
      </x:c>
      <x:c r="B1952" s="28" t="str">
        <x:v>back_high</x:v>
      </x:c>
      <x:c r="C1952" s="60" t="n">
        <x:v>0.6</x:v>
      </x:c>
      <x:c r="D1952" s="60" t="n">
        <x:v>0.6</x:v>
      </x:c>
      <x:c r="E1952" s="62" t="b">
        <x:v>1</x:v>
      </x:c>
      <x:c r="F1952" s="62" t="b">
        <x:v>0</x:v>
      </x:c>
      <x:c r="G1952" s="85" t="n">
        <x:v>385409.38757143525</x:v>
      </x:c>
      <x:c r="H1952" s="85" t="n">
        <x:v>1230801.760600047</x:v>
      </x:c>
      <x:c r="I1952" s="85" t="n">
        <x:v>14875708.71551485</x:v>
      </x:c>
      <x:c r="J1952" s="85" t="n">
        <x:v>12821119.999999998</x:v>
      </x:c>
      <x:c r="K1952" s="85" t="n">
        <x:v>202371.9947945217</x:v>
      </x:c>
      <x:c r="L1952" s="28" t="n">
        <x:v>40</x:v>
      </x:c>
      <x:c r="M1952" s="28" t="n">
        <x:v>34</x:v>
      </x:c>
      <x:c r="N1952" s="28" t="n">
        <x:v>4.656612873077393e-10</x:v>
      </x:c>
      <x:c r="O1952" s="28" t="n">
        <x:v>7.450580596923828e-9</x:v>
      </x:c>
      <x:c r="P1952" s="28" t="n">
        <x:v>0</x:v>
      </x:c>
      <x:c r="Q1952" s="62" t="b">
        <x:v>1</x:v>
      </x:c>
      <x:c r="R1952" s="28" t="n">
        <x:v>0</x:v>
      </x:c>
      <x:c r="S1952" s="28" t="str">
        <x:v>94ed9f25477e4e73</x:v>
      </x:c>
    </x:row>
    <x:row r="1953" ht="21" customHeight="1">
      <x:c r="A1953" s="60" t="n">
        <x:v>0.67</x:v>
      </x:c>
      <x:c r="B1953" s="28" t="str">
        <x:v>back_high</x:v>
      </x:c>
      <x:c r="C1953" s="60" t="n">
        <x:v>0.65</x:v>
      </x:c>
      <x:c r="D1953" s="60" t="n">
        <x:v>0.65</x:v>
      </x:c>
      <x:c r="E1953" s="62" t="b">
        <x:v>1</x:v>
      </x:c>
      <x:c r="F1953" s="62" t="b">
        <x:v>0</x:v>
      </x:c>
      <x:c r="G1953" s="85" t="n">
        <x:v>1291836.8557986594</x:v>
      </x:c>
      <x:c r="H1953" s="85" t="n">
        <x:v>3906744.416722425</x:v>
      </x:c>
      <x:c r="I1953" s="85" t="n">
        <x:v>14927561.374863917</x:v>
      </x:c>
      <x:c r="J1953" s="85" t="n">
        <x:v>12821119.999999998</x:v>
      </x:c>
      <x:c r="K1953" s="85" t="n">
        <x:v>184404.7710273984</x:v>
      </x:c>
      <x:c r="L1953" s="28" t="n">
        <x:v>40</x:v>
      </x:c>
      <x:c r="M1953" s="28" t="n">
        <x:v>35</x:v>
      </x:c>
      <x:c r="N1953" s="28" t="n">
        <x:v>4.656612873077393e-10</x:v>
      </x:c>
      <x:c r="O1953" s="28" t="n">
        <x:v>7.450580596923828e-9</x:v>
      </x:c>
      <x:c r="P1953" s="28" t="n">
        <x:v>0</x:v>
      </x:c>
      <x:c r="Q1953" s="62" t="b">
        <x:v>1</x:v>
      </x:c>
      <x:c r="R1953" s="28" t="n">
        <x:v>0</x:v>
      </x:c>
      <x:c r="S1953" s="28" t="str">
        <x:v>48e36f56d0242fc2</x:v>
      </x:c>
    </x:row>
    <x:row r="1954" ht="21" customHeight="1">
      <x:c r="A1954" s="60" t="n">
        <x:v>0.67</x:v>
      </x:c>
      <x:c r="B1954" s="28" t="str">
        <x:v>back_high</x:v>
      </x:c>
      <x:c r="C1954" s="60" t="n">
        <x:v>0.7</x:v>
      </x:c>
      <x:c r="D1954" s="60" t="n">
        <x:v>0.7</x:v>
      </x:c>
      <x:c r="E1954" s="62" t="b">
        <x:v>1</x:v>
      </x:c>
      <x:c r="F1954" s="62" t="b">
        <x:v>0</x:v>
      </x:c>
      <x:c r="G1954" s="85" t="n">
        <x:v>2005206.3581115303</x:v>
      </x:c>
      <x:c r="H1954" s="85" t="n">
        <x:v>6046052.465563699</x:v>
      </x:c>
      <x:c r="I1954" s="85" t="n">
        <x:v>15256424.102546576</x:v>
      </x:c>
      <x:c r="J1954" s="85" t="n">
        <x:v>12821119.999999998</x:v>
      </x:c>
      <x:c r="K1954" s="85" t="n">
        <x:v>166437.54726027424</x:v>
      </x:c>
      <x:c r="L1954" s="28" t="n">
        <x:v>41</x:v>
      </x:c>
      <x:c r="M1954" s="28" t="n">
        <x:v>36</x:v>
      </x:c>
      <x:c r="N1954" s="28" t="n">
        <x:v>4.656612873077393e-10</x:v>
      </x:c>
      <x:c r="O1954" s="28" t="n">
        <x:v>3.725290298461914e-9</x:v>
      </x:c>
      <x:c r="P1954" s="28" t="n">
        <x:v>0</x:v>
      </x:c>
      <x:c r="Q1954" s="62" t="b">
        <x:v>1</x:v>
      </x:c>
      <x:c r="R1954" s="28" t="n">
        <x:v>0</x:v>
      </x:c>
      <x:c r="S1954" s="28" t="str">
        <x:v>4c88efbdebbcb571</x:v>
      </x:c>
    </x:row>
    <x:row r="1955" ht="21" customHeight="1">
      <x:c r="A1955" s="60" t="n">
        <x:v>0.67</x:v>
      </x:c>
      <x:c r="B1955" s="28" t="str">
        <x:v>back_high</x:v>
      </x:c>
      <x:c r="C1955" s="60" t="n">
        <x:v>0.75</x:v>
      </x:c>
      <x:c r="D1955" s="60" t="n">
        <x:v>0.75</x:v>
      </x:c>
      <x:c r="E1955" s="62" t="b">
        <x:v>1</x:v>
      </x:c>
      <x:c r="F1955" s="62" t="b">
        <x:v>0</x:v>
      </x:c>
      <x:c r="G1955" s="85" t="n">
        <x:v>3026934.3400599677</x:v>
      </x:c>
      <x:c r="H1955" s="85" t="n">
        <x:v>8429428.35961464</x:v>
      </x:c>
      <x:c r="I1955" s="85" t="n">
        <x:v>15292262.288955482</x:v>
      </x:c>
      <x:c r="J1955" s="85" t="n">
        <x:v>12821119.999999998</x:v>
      </x:c>
      <x:c r="K1955" s="85" t="n">
        <x:v>148470.32349315117</x:v>
      </x:c>
      <x:c r="L1955" s="28" t="n">
        <x:v>41</x:v>
      </x:c>
      <x:c r="M1955" s="28" t="n">
        <x:v>37</x:v>
      </x:c>
      <x:c r="N1955" s="28" t="n">
        <x:v>4.656612873077393e-10</x:v>
      </x:c>
      <x:c r="O1955" s="28" t="n">
        <x:v>7.450580596923828e-9</x:v>
      </x:c>
      <x:c r="P1955" s="28" t="n">
        <x:v>0</x:v>
      </x:c>
      <x:c r="Q1955" s="62" t="b">
        <x:v>1</x:v>
      </x:c>
      <x:c r="R1955" s="28" t="n">
        <x:v>0</x:v>
      </x:c>
      <x:c r="S1955" s="28" t="str">
        <x:v>3ec78bee0887a7ee</x:v>
      </x:c>
    </x:row>
    <x:row r="1956" ht="21" customHeight="1">
      <x:c r="A1956" s="60" t="n">
        <x:v>0.67</x:v>
      </x:c>
      <x:c r="B1956" s="28" t="str">
        <x:v>back_high</x:v>
      </x:c>
      <x:c r="C1956" s="60" t="n">
        <x:v>0.8</x:v>
      </x:c>
      <x:c r="D1956" s="60" t="n">
        <x:v>0.8</x:v>
      </x:c>
      <x:c r="E1956" s="62" t="b">
        <x:v>1</x:v>
      </x:c>
      <x:c r="F1956" s="62" t="b">
        <x:v>0</x:v>
      </x:c>
      <x:c r="G1956" s="85" t="n">
        <x:v>3872064.3356340616</x:v>
      </x:c>
      <x:c r="H1956" s="85" t="n">
        <x:v>10380283.386082267</x:v>
      </x:c>
      <x:c r="I1956" s="85" t="n">
        <x:v>15594247.264999893</x:v>
      </x:c>
      <x:c r="J1956" s="85" t="n">
        <x:v>12821119.999999998</x:v>
      </x:c>
      <x:c r="K1956" s="85" t="n">
        <x:v>132971.26060274025</x:v>
      </x:c>
      <x:c r="L1956" s="28" t="n">
        <x:v>42</x:v>
      </x:c>
      <x:c r="M1956" s="28" t="n">
        <x:v>38</x:v>
      </x:c>
      <x:c r="N1956" s="28" t="n">
        <x:v>4.656612873077393e-10</x:v>
      </x:c>
      <x:c r="O1956" s="28" t="n">
        <x:v>3.725290298461914e-9</x:v>
      </x:c>
      <x:c r="P1956" s="28" t="n">
        <x:v>0</x:v>
      </x:c>
      <x:c r="Q1956" s="62" t="b">
        <x:v>1</x:v>
      </x:c>
      <x:c r="R1956" s="28" t="n">
        <x:v>0</x:v>
      </x:c>
      <x:c r="S1956" s="28" t="str">
        <x:v>3dfcdeafa39f8f22</x:v>
      </x:c>
    </x:row>
    <x:row r="1957" ht="21" customHeight="1">
      <x:c r="A1957" s="60" t="n">
        <x:v>0.67</x:v>
      </x:c>
      <x:c r="B1957" s="28" t="str">
        <x:v>back_high</x:v>
      </x:c>
      <x:c r="C1957" s="60" t="n">
        <x:v>0.85</x:v>
      </x:c>
      <x:c r="D1957" s="60" t="n">
        <x:v>0.85</x:v>
      </x:c>
      <x:c r="E1957" s="62" t="b">
        <x:v>1</x:v>
      </x:c>
      <x:c r="F1957" s="62" t="b">
        <x:v>0</x:v>
      </x:c>
      <x:c r="G1957" s="85" t="n">
        <x:v>5320116.80547722</x:v>
      </x:c>
      <x:c r="H1957" s="85" t="n">
        <x:v>12259366.006798059</x:v>
      </x:c>
      <x:c r="I1957" s="85" t="n">
        <x:v>15616042.060665125</x:v>
      </x:c>
      <x:c r="J1957" s="85" t="n">
        <x:v>12821119.999999998</x:v>
      </x:c>
      <x:c r="K1957" s="85" t="n">
        <x:v>122194.46445205537</x:v>
      </x:c>
      <x:c r="L1957" s="28" t="n">
        <x:v>42</x:v>
      </x:c>
      <x:c r="M1957" s="28" t="n">
        <x:v>38</x:v>
      </x:c>
      <x:c r="N1957" s="28" t="n">
        <x:v>4.656612873077393e-10</x:v>
      </x:c>
      <x:c r="O1957" s="28" t="n">
        <x:v>9.313225746154785e-10</x:v>
      </x:c>
      <x:c r="P1957" s="28" t="n">
        <x:v>0</x:v>
      </x:c>
      <x:c r="Q1957" s="62" t="b">
        <x:v>1</x:v>
      </x:c>
      <x:c r="R1957" s="28" t="n">
        <x:v>0</x:v>
      </x:c>
      <x:c r="S1957" s="28" t="str">
        <x:v>9ee675d77d9e938c</x:v>
      </x:c>
    </x:row>
    <x:row r="1958" ht="21" customHeight="1">
      <x:c r="A1958" s="60" t="n">
        <x:v>0.67</x:v>
      </x:c>
      <x:c r="B1958" s="28" t="str">
        <x:v>back_high</x:v>
      </x:c>
      <x:c r="C1958" s="60" t="n">
        <x:v>0.9</x:v>
      </x:c>
      <x:c r="D1958" s="60" t="n">
        <x:v>0.880265491166173</x:v>
      </x:c>
      <x:c r="E1958" s="62" t="b">
        <x:v>0</x:v>
      </x:c>
      <x:c r="F1958" s="62" t="b">
        <x:v>0</x:v>
      </x:c>
      <x:c r="G1958" s="85" t="n">
        <x:v>5753185.455340673</x:v>
      </x:c>
      <x:c r="H1958" s="85" t="n">
        <x:v>12951710.876184795</x:v>
      </x:c>
      <x:c r="I1958" s="85" t="n">
        <x:v>15921721.709542466</x:v>
      </x:c>
      <x:c r="J1958" s="85" t="n">
        <x:v>12821119.999999998</x:v>
      </x:c>
      <x:c r="K1958" s="85" t="n">
        <x:v>111417.66830136998</x:v>
      </x:c>
      <x:c r="L1958" s="28" t="n">
        <x:v>43</x:v>
      </x:c>
      <x:c r="M1958" s="28" t="n">
        <x:v>38</x:v>
      </x:c>
      <x:c r="N1958" s="28" t="n">
        <x:v>4.656612873077393e-10</x:v>
      </x:c>
      <x:c r="O1958" s="28" t="n">
        <x:v>3.725290298461914e-9</x:v>
      </x:c>
      <x:c r="P1958" s="28" t="n">
        <x:v>0</x:v>
      </x:c>
      <x:c r="Q1958" s="62" t="b">
        <x:v>1</x:v>
      </x:c>
      <x:c r="R1958" s="28" t="n">
        <x:v>1100080.4604328498</x:v>
      </x:c>
      <x:c r="S1958" s="28" t="str">
        <x:v>fcbae1d2802ca587</x:v>
      </x:c>
    </x:row>
    <x:row r="1959" ht="21" customHeight="1">
      <x:c r="A1959" s="60" t="n">
        <x:v>0.67</x:v>
      </x:c>
      <x:c r="B1959" s="28" t="str">
        <x:v>back_high</x:v>
      </x:c>
      <x:c r="C1959" s="60" t="n">
        <x:v>0.95</x:v>
      </x:c>
      <x:c r="D1959" s="60" t="n">
        <x:v>0.8954794051096439</x:v>
      </x:c>
      <x:c r="E1959" s="62" t="b">
        <x:v>0</x:v>
      </x:c>
      <x:c r="F1959" s="62" t="b">
        <x:v>0</x:v>
      </x:c>
      <x:c r="G1959" s="85" t="n">
        <x:v>6274187.429495975</x:v>
      </x:c>
      <x:c r="H1959" s="85" t="n">
        <x:v>13791992.9312275</x:v>
      </x:c>
      <x:c r="I1959" s="85" t="n">
        <x:v>15936286.884390412</x:v>
      </x:c>
      <x:c r="J1959" s="85" t="n">
        <x:v>12821119.999999998</x:v>
      </x:c>
      <x:c r="K1959" s="85" t="n">
        <x:v>104241.13587671262</x:v>
      </x:c>
      <x:c r="L1959" s="28" t="n">
        <x:v>43</x:v>
      </x:c>
      <x:c r="M1959" s="28" t="n">
        <x:v>39</x:v>
      </x:c>
      <x:c r="N1959" s="28" t="n">
        <x:v>4.656612873077393e-10</x:v>
      </x:c>
      <x:c r="O1959" s="28" t="n">
        <x:v>3.725290298461914e-9</x:v>
      </x:c>
      <x:c r="P1959" s="28" t="n">
        <x:v>0</x:v>
      </x:c>
      <x:c r="Q1959" s="62" t="b">
        <x:v>1</x:v>
      </x:c>
      <x:c r="R1959" s="28" t="n">
        <x:v>3039196.041568011</x:v>
      </x:c>
      <x:c r="S1959" s="28" t="str">
        <x:v>212d5a616ca91c6e</x:v>
      </x:c>
    </x:row>
    <x:row r="1960" ht="21" customHeight="1">
      <x:c r="A1960" s="60" t="n">
        <x:v>0.67</x:v>
      </x:c>
      <x:c r="B1960" s="28" t="str">
        <x:v>back_high</x:v>
      </x:c>
      <x:c r="C1960" s="60" t="n">
        <x:v>1</x:v>
      </x:c>
      <x:c r="D1960" s="60" t="n">
        <x:v>0.9093341115290656</x:v>
      </x:c>
      <x:c r="E1960" s="62" t="b">
        <x:v>0</x:v>
      </x:c>
      <x:c r="F1960" s="62" t="b">
        <x:v>0</x:v>
      </x:c>
      <x:c r="G1960" s="85" t="n">
        <x:v>6742173.542700615</x:v>
      </x:c>
      <x:c r="H1960" s="85" t="n">
        <x:v>14566498.224750057</x:v>
      </x:c>
      <x:c r="I1960" s="85" t="n">
        <x:v>15953371.715917809</x:v>
      </x:c>
      <x:c r="J1960" s="85" t="n">
        <x:v>12821119.999999998</x:v>
      </x:c>
      <x:c r="K1960" s="85" t="n">
        <x:v>98818.47884931555</x:v>
      </x:c>
      <x:c r="L1960" s="28" t="n">
        <x:v>43</x:v>
      </x:c>
      <x:c r="M1960" s="28" t="n">
        <x:v>40</x:v>
      </x:c>
      <x:c r="N1960" s="28" t="n">
        <x:v>4.656612873077393e-10</x:v>
      </x:c>
      <x:c r="O1960" s="28" t="n">
        <x:v>3.725290298461914e-9</x:v>
      </x:c>
      <x:c r="P1960" s="28" t="n">
        <x:v>0</x:v>
      </x:c>
      <x:c r="Q1960" s="62" t="b">
        <x:v>1</x:v>
      </x:c>
      <x:c r="R1960" s="28" t="n">
        <x:v>5054079.286923766</x:v>
      </x:c>
      <x:c r="S1960" s="28" t="str">
        <x:v>933adfba24488f1b</x:v>
      </x:c>
    </x:row>
    <x:row r="1961" ht="21" customHeight="1">
      <x:c r="A1961" s="60" t="n">
        <x:v>0.67</x:v>
      </x:c>
      <x:c r="B1961" s="28" t="str">
        <x:v>level_flat</x:v>
      </x:c>
      <x:c r="C1961" s="60" t="n">
        <x:v>0</x:v>
      </x:c>
      <x:c r="D1961" s="60" t="n">
        <x:v>0</x:v>
      </x:c>
      <x:c r="E1961" s="62" t="b">
        <x:v>1</x:v>
      </x:c>
      <x:c r="F1961" s="62" t="b">
        <x:v>1</x:v>
      </x:c>
      <x:c r="G1961" s="85" t="n">
        <x:v>0</x:v>
      </x:c>
      <x:c r="H1961" s="85" t="n">
        <x:v>0</x:v>
      </x:c>
      <x:c r="I1961" s="85" t="n">
        <x:v>0</x:v>
      </x:c>
      <x:c r="J1961" s="85" t="n">
        <x:v>0</x:v>
      </x:c>
      <x:c r="K1961" s="85" t="n">
        <x:v>6483314.930849321</x:v>
      </x:c>
      <x:c r="L1961" s="28" t="n">
        <x:v>0</x:v>
      </x:c>
      <x:c r="M1961" s="28" t="n">
        <x:v>0</x:v>
      </x:c>
      <x:c r="N1961" s="28" t="n">
        <x:v>9.313225746154785e-10</x:v>
      </x:c>
      <x:c r="O1961" s="28" t="n">
        <x:v>0</x:v>
      </x:c>
      <x:c r="P1961" s="28" t="n">
        <x:v>0</x:v>
      </x:c>
      <x:c r="Q1961" s="62" t="b">
        <x:v>1</x:v>
      </x:c>
      <x:c r="R1961" s="28" t="n">
        <x:v>0</x:v>
      </x:c>
      <x:c r="S1961" s="28" t="str">
        <x:v>fe979662cef5c337</x:v>
      </x:c>
    </x:row>
    <x:row r="1962" ht="21" customHeight="1">
      <x:c r="A1962" s="60" t="n">
        <x:v>0.67</x:v>
      </x:c>
      <x:c r="B1962" s="28" t="str">
        <x:v>level_flat</x:v>
      </x:c>
      <x:c r="C1962" s="60" t="n">
        <x:v>0.05</x:v>
      </x:c>
      <x:c r="D1962" s="60" t="n">
        <x:v>0.05</x:v>
      </x:c>
      <x:c r="E1962" s="62" t="b">
        <x:v>1</x:v>
      </x:c>
      <x:c r="F1962" s="62" t="b">
        <x:v>1</x:v>
      </x:c>
      <x:c r="G1962" s="85" t="n">
        <x:v>0</x:v>
      </x:c>
      <x:c r="H1962" s="85" t="n">
        <x:v>0</x:v>
      </x:c>
      <x:c r="I1962" s="85" t="n">
        <x:v>0</x:v>
      </x:c>
      <x:c r="J1962" s="85" t="n">
        <x:v>0</x:v>
      </x:c>
      <x:c r="K1962" s="85" t="n">
        <x:v>4259339.742436297</x:v>
      </x:c>
      <x:c r="L1962" s="28" t="n">
        <x:v>0</x:v>
      </x:c>
      <x:c r="M1962" s="28" t="n">
        <x:v>0</x:v>
      </x:c>
      <x:c r="N1962" s="28" t="n">
        <x:v>9.313225746154785e-10</x:v>
      </x:c>
      <x:c r="O1962" s="28" t="n">
        <x:v>7.450580596923828e-9</x:v>
      </x:c>
      <x:c r="P1962" s="28" t="n">
        <x:v>0</x:v>
      </x:c>
      <x:c r="Q1962" s="62" t="b">
        <x:v>1</x:v>
      </x:c>
      <x:c r="R1962" s="28" t="n">
        <x:v>0</x:v>
      </x:c>
      <x:c r="S1962" s="28" t="str">
        <x:v>d9674a7a737f0610</x:v>
      </x:c>
    </x:row>
    <x:row r="1963" ht="21" customHeight="1">
      <x:c r="A1963" s="60" t="n">
        <x:v>0.67</x:v>
      </x:c>
      <x:c r="B1963" s="28" t="str">
        <x:v>level_flat</x:v>
      </x:c>
      <x:c r="C1963" s="60" t="n">
        <x:v>0.1</x:v>
      </x:c>
      <x:c r="D1963" s="60" t="n">
        <x:v>0.1</x:v>
      </x:c>
      <x:c r="E1963" s="62" t="b">
        <x:v>1</x:v>
      </x:c>
      <x:c r="F1963" s="62" t="b">
        <x:v>1</x:v>
      </x:c>
      <x:c r="G1963" s="85" t="n">
        <x:v>0</x:v>
      </x:c>
      <x:c r="H1963" s="85" t="n">
        <x:v>0</x:v>
      </x:c>
      <x:c r="I1963" s="85" t="n">
        <x:v>0</x:v>
      </x:c>
      <x:c r="J1963" s="85" t="n">
        <x:v>0</x:v>
      </x:c>
      <x:c r="K1963" s="85" t="n">
        <x:v>2035250.0649407199</x:v>
      </x:c>
      <x:c r="L1963" s="28" t="n">
        <x:v>0</x:v>
      </x:c>
      <x:c r="M1963" s="28" t="n">
        <x:v>0</x:v>
      </x:c>
      <x:c r="N1963" s="28" t="n">
        <x:v>4.656612873077393e-10</x:v>
      </x:c>
      <x:c r="O1963" s="28" t="n">
        <x:v>7.450580596923828e-9</x:v>
      </x:c>
      <x:c r="P1963" s="28" t="n">
        <x:v>0</x:v>
      </x:c>
      <x:c r="Q1963" s="62" t="b">
        <x:v>1</x:v>
      </x:c>
      <x:c r="R1963" s="28" t="n">
        <x:v>0</x:v>
      </x:c>
      <x:c r="S1963" s="28" t="str">
        <x:v>2d684d1669059f9b</x:v>
      </x:c>
    </x:row>
    <x:row r="1964" ht="21" customHeight="1">
      <x:c r="A1964" s="60" t="n">
        <x:v>0.67</x:v>
      </x:c>
      <x:c r="B1964" s="28" t="str">
        <x:v>level_flat</x:v>
      </x:c>
      <x:c r="C1964" s="60" t="n">
        <x:v>0.15</x:v>
      </x:c>
      <x:c r="D1964" s="60" t="n">
        <x:v>0.15</x:v>
      </x:c>
      <x:c r="E1964" s="62" t="b">
        <x:v>1</x:v>
      </x:c>
      <x:c r="F1964" s="62" t="b">
        <x:v>1</x:v>
      </x:c>
      <x:c r="G1964" s="85" t="n">
        <x:v>0</x:v>
      </x:c>
      <x:c r="H1964" s="85" t="n">
        <x:v>0</x:v>
      </x:c>
      <x:c r="I1964" s="85" t="n">
        <x:v>479738.5209538466</x:v>
      </x:c>
      <x:c r="J1964" s="85" t="n">
        <x:v>0</x:v>
      </x:c>
      <x:c r="K1964" s="85" t="n">
        <x:v>372543.13720223104</x:v>
      </x:c>
      <x:c r="L1964" s="28" t="n">
        <x:v>0</x:v>
      </x:c>
      <x:c r="M1964" s="28" t="n">
        <x:v>0</x:v>
      </x:c>
      <x:c r="N1964" s="28" t="n">
        <x:v>4.656612873077393e-10</x:v>
      </x:c>
      <x:c r="O1964" s="28" t="n">
        <x:v>7.450580596923828e-9</x:v>
      </x:c>
      <x:c r="P1964" s="28" t="n">
        <x:v>0</x:v>
      </x:c>
      <x:c r="Q1964" s="62" t="b">
        <x:v>1</x:v>
      </x:c>
      <x:c r="R1964" s="28" t="n">
        <x:v>0</x:v>
      </x:c>
      <x:c r="S1964" s="28" t="str">
        <x:v>42ae74b5f1d9cf21</x:v>
      </x:c>
    </x:row>
    <x:row r="1965" ht="21" customHeight="1">
      <x:c r="A1965" s="60" t="n">
        <x:v>0.67</x:v>
      </x:c>
      <x:c r="B1965" s="28" t="str">
        <x:v>level_flat</x:v>
      </x:c>
      <x:c r="C1965" s="60" t="n">
        <x:v>0.2</x:v>
      </x:c>
      <x:c r="D1965" s="60" t="n">
        <x:v>0.2</x:v>
      </x:c>
      <x:c r="E1965" s="62" t="b">
        <x:v>1</x:v>
      </x:c>
      <x:c r="F1965" s="62" t="b">
        <x:v>1</x:v>
      </x:c>
      <x:c r="G1965" s="85" t="n">
        <x:v>0</x:v>
      </x:c>
      <x:c r="H1965" s="85" t="n">
        <x:v>0</x:v>
      </x:c>
      <x:c r="I1965" s="85" t="n">
        <x:v>1916203.2594819744</x:v>
      </x:c>
      <x:c r="J1965" s="85" t="n">
        <x:v>1248509.6821692958</x:v>
      </x:c>
      <x:c r="K1965" s="85" t="n">
        <x:v>277259.4479002744</x:v>
      </x:c>
      <x:c r="L1965" s="28" t="n">
        <x:v>0</x:v>
      </x:c>
      <x:c r="M1965" s="28" t="n">
        <x:v>0</x:v>
      </x:c>
      <x:c r="N1965" s="28" t="n">
        <x:v>9.313225746154785e-10</x:v>
      </x:c>
      <x:c r="O1965" s="28" t="n">
        <x:v>7.450580596923828e-9</x:v>
      </x:c>
      <x:c r="P1965" s="28" t="n">
        <x:v>0</x:v>
      </x:c>
      <x:c r="Q1965" s="62" t="b">
        <x:v>1</x:v>
      </x:c>
      <x:c r="R1965" s="28" t="n">
        <x:v>0</x:v>
      </x:c>
      <x:c r="S1965" s="28" t="str">
        <x:v>74b5999f34606a65</x:v>
      </x:c>
    </x:row>
    <x:row r="1966" ht="21" customHeight="1">
      <x:c r="A1966" s="60" t="n">
        <x:v>0.67</x:v>
      </x:c>
      <x:c r="B1966" s="28" t="str">
        <x:v>level_flat</x:v>
      </x:c>
      <x:c r="C1966" s="60" t="n">
        <x:v>0.25</x:v>
      </x:c>
      <x:c r="D1966" s="60" t="n">
        <x:v>0.25</x:v>
      </x:c>
      <x:c r="E1966" s="62" t="b">
        <x:v>1</x:v>
      </x:c>
      <x:c r="F1966" s="62" t="b">
        <x:v>1</x:v>
      </x:c>
      <x:c r="G1966" s="85" t="n">
        <x:v>0</x:v>
      </x:c>
      <x:c r="H1966" s="85" t="n">
        <x:v>0</x:v>
      </x:c>
      <x:c r="I1966" s="85" t="n">
        <x:v>3055066.6768294736</x:v>
      </x:c>
      <x:c r="J1966" s="85" t="n">
        <x:v>2954237.102711631</x:v>
      </x:c>
      <x:c r="K1966" s="85" t="n">
        <x:v>211566.28036849372</x:v>
      </x:c>
      <x:c r="L1966" s="28" t="n">
        <x:v>0</x:v>
      </x:c>
      <x:c r="M1966" s="28" t="n">
        <x:v>0</x:v>
      </x:c>
      <x:c r="N1966" s="28" t="n">
        <x:v>4.656612873077393e-10</x:v>
      </x:c>
      <x:c r="O1966" s="28" t="n">
        <x:v>7.450580596923828e-9</x:v>
      </x:c>
      <x:c r="P1966" s="28" t="n">
        <x:v>0</x:v>
      </x:c>
      <x:c r="Q1966" s="62" t="b">
        <x:v>1</x:v>
      </x:c>
      <x:c r="R1966" s="28" t="n">
        <x:v>0</x:v>
      </x:c>
      <x:c r="S1966" s="28" t="str">
        <x:v>f4c200a37e8f565c</x:v>
      </x:c>
    </x:row>
    <x:row r="1967" ht="21" customHeight="1">
      <x:c r="A1967" s="60" t="n">
        <x:v>0.67</x:v>
      </x:c>
      <x:c r="B1967" s="28" t="str">
        <x:v>level_flat</x:v>
      </x:c>
      <x:c r="C1967" s="60" t="n">
        <x:v>0.3</x:v>
      </x:c>
      <x:c r="D1967" s="60" t="n">
        <x:v>0.3</x:v>
      </x:c>
      <x:c r="E1967" s="62" t="b">
        <x:v>1</x:v>
      </x:c>
      <x:c r="F1967" s="62" t="b">
        <x:v>1</x:v>
      </x:c>
      <x:c r="G1967" s="85" t="n">
        <x:v>0</x:v>
      </x:c>
      <x:c r="H1967" s="85" t="n">
        <x:v>0</x:v>
      </x:c>
      <x:c r="I1967" s="85" t="n">
        <x:v>4221584.801138066</x:v>
      </x:c>
      <x:c r="J1967" s="85" t="n">
        <x:v>4659964.523253945</x:v>
      </x:c>
      <x:c r="K1967" s="85" t="n">
        <x:v>164503.21693534273</x:v>
      </x:c>
      <x:c r="L1967" s="28" t="n">
        <x:v>0</x:v>
      </x:c>
      <x:c r="M1967" s="28" t="n">
        <x:v>0</x:v>
      </x:c>
      <x:c r="N1967" s="28" t="n">
        <x:v>4.656612873077393e-10</x:v>
      </x:c>
      <x:c r="O1967" s="28" t="n">
        <x:v>7.450580596923828e-9</x:v>
      </x:c>
      <x:c r="P1967" s="28" t="n">
        <x:v>0</x:v>
      </x:c>
      <x:c r="Q1967" s="62" t="b">
        <x:v>1</x:v>
      </x:c>
      <x:c r="R1967" s="28" t="n">
        <x:v>0</x:v>
      </x:c>
      <x:c r="S1967" s="28" t="str">
        <x:v>c576db9551f8be02</x:v>
      </x:c>
    </x:row>
    <x:row r="1968" ht="21" customHeight="1">
      <x:c r="A1968" s="60" t="n">
        <x:v>0.67</x:v>
      </x:c>
      <x:c r="B1968" s="28" t="str">
        <x:v>level_flat</x:v>
      </x:c>
      <x:c r="C1968" s="60" t="n">
        <x:v>0.35</x:v>
      </x:c>
      <x:c r="D1968" s="60" t="n">
        <x:v>0.35</x:v>
      </x:c>
      <x:c r="E1968" s="62" t="b">
        <x:v>1</x:v>
      </x:c>
      <x:c r="F1968" s="62" t="b">
        <x:v>1</x:v>
      </x:c>
      <x:c r="G1968" s="85" t="n">
        <x:v>0</x:v>
      </x:c>
      <x:c r="H1968" s="85" t="n">
        <x:v>0</x:v>
      </x:c>
      <x:c r="I1968" s="85" t="n">
        <x:v>5397216.245581107</x:v>
      </x:c>
      <x:c r="J1968" s="85" t="n">
        <x:v>6365691.94379625</x:v>
      </x:c>
      <x:c r="K1968" s="85" t="n">
        <x:v>132643.65184931576</x:v>
      </x:c>
      <x:c r="L1968" s="28" t="n">
        <x:v>0</x:v>
      </x:c>
      <x:c r="M1968" s="28" t="n">
        <x:v>0</x:v>
      </x:c>
      <x:c r="N1968" s="28" t="n">
        <x:v>2.3283064365386963e-10</x:v>
      </x:c>
      <x:c r="O1968" s="28" t="n">
        <x:v>7.450580596923828e-9</x:v>
      </x:c>
      <x:c r="P1968" s="28" t="n">
        <x:v>0</x:v>
      </x:c>
      <x:c r="Q1968" s="62" t="b">
        <x:v>1</x:v>
      </x:c>
      <x:c r="R1968" s="28" t="n">
        <x:v>0</x:v>
      </x:c>
      <x:c r="S1968" s="28" t="str">
        <x:v>bebb1a31cd22ddff</x:v>
      </x:c>
    </x:row>
    <x:row r="1969" ht="21" customHeight="1">
      <x:c r="A1969" s="60" t="n">
        <x:v>0.67</x:v>
      </x:c>
      <x:c r="B1969" s="28" t="str">
        <x:v>level_flat</x:v>
      </x:c>
      <x:c r="C1969" s="60" t="n">
        <x:v>0.4</x:v>
      </x:c>
      <x:c r="D1969" s="60" t="n">
        <x:v>0.4</x:v>
      </x:c>
      <x:c r="E1969" s="62" t="b">
        <x:v>1</x:v>
      </x:c>
      <x:c r="F1969" s="62" t="b">
        <x:v>1</x:v>
      </x:c>
      <x:c r="G1969" s="85" t="n">
        <x:v>0</x:v>
      </x:c>
      <x:c r="H1969" s="85" t="n">
        <x:v>0</x:v>
      </x:c>
      <x:c r="I1969" s="85" t="n">
        <x:v>6919578.042235586</x:v>
      </x:c>
      <x:c r="J1969" s="85" t="n">
        <x:v>7292688.30475646</x:v>
      </x:c>
      <x:c r="K1969" s="85" t="n">
        <x:v>113071.79068493216</x:v>
      </x:c>
      <x:c r="L1969" s="28" t="n">
        <x:v>6</x:v>
      </x:c>
      <x:c r="M1969" s="28" t="n">
        <x:v>0</x:v>
      </x:c>
      <x:c r="N1969" s="28" t="n">
        <x:v>9.313225746154785e-10</x:v>
      </x:c>
      <x:c r="O1969" s="28" t="n">
        <x:v>7.450580596923828e-9</x:v>
      </x:c>
      <x:c r="P1969" s="28" t="n">
        <x:v>0</x:v>
      </x:c>
      <x:c r="Q1969" s="62" t="b">
        <x:v>1</x:v>
      </x:c>
      <x:c r="R1969" s="28" t="n">
        <x:v>0</x:v>
      </x:c>
      <x:c r="S1969" s="28" t="str">
        <x:v>39ee16097a7a8886</x:v>
      </x:c>
    </x:row>
    <x:row r="1970" ht="21" customHeight="1">
      <x:c r="A1970" s="60" t="n">
        <x:v>0.67</x:v>
      </x:c>
      <x:c r="B1970" s="28" t="str">
        <x:v>level_flat</x:v>
      </x:c>
      <x:c r="C1970" s="60" t="n">
        <x:v>0.45</x:v>
      </x:c>
      <x:c r="D1970" s="60" t="n">
        <x:v>0.45</x:v>
      </x:c>
      <x:c r="E1970" s="62" t="b">
        <x:v>1</x:v>
      </x:c>
      <x:c r="F1970" s="62" t="b">
        <x:v>1</x:v>
      </x:c>
      <x:c r="G1970" s="85" t="n">
        <x:v>0</x:v>
      </x:c>
      <x:c r="H1970" s="85" t="n">
        <x:v>0</x:v>
      </x:c>
      <x:c r="I1970" s="85" t="n">
        <x:v>8329979.529371295</x:v>
      </x:c>
      <x:c r="J1970" s="85" t="n">
        <x:v>8448863.527045516</x:v>
      </x:c>
      <x:c r="K1970" s="85" t="n">
        <x:v>93499.92952054847</x:v>
      </x:c>
      <x:c r="L1970" s="28" t="n">
        <x:v>11</x:v>
      </x:c>
      <x:c r="M1970" s="28" t="n">
        <x:v>0</x:v>
      </x:c>
      <x:c r="N1970" s="28" t="n">
        <x:v>4.656612873077393e-10</x:v>
      </x:c>
      <x:c r="O1970" s="28" t="n">
        <x:v>3.725290298461914e-9</x:v>
      </x:c>
      <x:c r="P1970" s="28" t="n">
        <x:v>0</x:v>
      </x:c>
      <x:c r="Q1970" s="62" t="b">
        <x:v>1</x:v>
      </x:c>
      <x:c r="R1970" s="28" t="n">
        <x:v>0</x:v>
      </x:c>
      <x:c r="S1970" s="28" t="str">
        <x:v>08829a85d7e128ef</x:v>
      </x:c>
    </x:row>
    <x:row r="1971" ht="21" customHeight="1">
      <x:c r="A1971" s="60" t="n">
        <x:v>0.67</x:v>
      </x:c>
      <x:c r="B1971" s="28" t="str">
        <x:v>level_flat</x:v>
      </x:c>
      <x:c r="C1971" s="60" t="n">
        <x:v>0.5</x:v>
      </x:c>
      <x:c r="D1971" s="60" t="n">
        <x:v>0.5</x:v>
      </x:c>
      <x:c r="E1971" s="62" t="b">
        <x:v>1</x:v>
      </x:c>
      <x:c r="F1971" s="62" t="b">
        <x:v>1</x:v>
      </x:c>
      <x:c r="G1971" s="85" t="n">
        <x:v>0</x:v>
      </x:c>
      <x:c r="H1971" s="85" t="n">
        <x:v>0</x:v>
      </x:c>
      <x:c r="I1971" s="85" t="n">
        <x:v>9619232.609417558</x:v>
      </x:c>
      <x:c r="J1971" s="85" t="n">
        <x:v>9885472.64729324</x:v>
      </x:c>
      <x:c r="K1971" s="85" t="n">
        <x:v>76902.39558904144</x:v>
      </x:c>
      <x:c r="L1971" s="28" t="n">
        <x:v>15</x:v>
      </x:c>
      <x:c r="M1971" s="28" t="n">
        <x:v>0</x:v>
      </x:c>
      <x:c r="N1971" s="28" t="n">
        <x:v>2.3283064365386963e-10</x:v>
      </x:c>
      <x:c r="O1971" s="28" t="n">
        <x:v>3.725290298461914e-9</x:v>
      </x:c>
      <x:c r="P1971" s="28" t="n">
        <x:v>0</x:v>
      </x:c>
      <x:c r="Q1971" s="62" t="b">
        <x:v>1</x:v>
      </x:c>
      <x:c r="R1971" s="28" t="n">
        <x:v>0</x:v>
      </x:c>
      <x:c r="S1971" s="28" t="str">
        <x:v>15eb860a25ad7735</x:v>
      </x:c>
    </x:row>
    <x:row r="1972" ht="21" customHeight="1">
      <x:c r="A1972" s="60" t="n">
        <x:v>0.67</x:v>
      </x:c>
      <x:c r="B1972" s="28" t="str">
        <x:v>level_flat</x:v>
      </x:c>
      <x:c r="C1972" s="60" t="n">
        <x:v>0.55</x:v>
      </x:c>
      <x:c r="D1972" s="60" t="n">
        <x:v>0.55</x:v>
      </x:c>
      <x:c r="E1972" s="62" t="b">
        <x:v>1</x:v>
      </x:c>
      <x:c r="F1972" s="62" t="b">
        <x:v>1</x:v>
      </x:c>
      <x:c r="G1972" s="85" t="n">
        <x:v>0</x:v>
      </x:c>
      <x:c r="H1972" s="85" t="n">
        <x:v>0</x:v>
      </x:c>
      <x:c r="I1972" s="85" t="n">
        <x:v>10767009.69856861</x:v>
      </x:c>
      <x:c r="J1972" s="85" t="n">
        <x:v>11650886.246764228</x:v>
      </x:c>
      <x:c r="K1972" s="85" t="n">
        <x:v>68183.60932876714</x:v>
      </x:c>
      <x:c r="L1972" s="28" t="n">
        <x:v>18</x:v>
      </x:c>
      <x:c r="M1972" s="28" t="n">
        <x:v>6</x:v>
      </x:c>
      <x:c r="N1972" s="28" t="n">
        <x:v>4.656612873077393e-10</x:v>
      </x:c>
      <x:c r="O1972" s="28" t="n">
        <x:v>3.725290298461914e-9</x:v>
      </x:c>
      <x:c r="P1972" s="28" t="n">
        <x:v>0</x:v>
      </x:c>
      <x:c r="Q1972" s="62" t="b">
        <x:v>1</x:v>
      </x:c>
      <x:c r="R1972" s="28" t="n">
        <x:v>0</x:v>
      </x:c>
      <x:c r="S1972" s="28" t="str">
        <x:v>3f316880fb2d4ad3</x:v>
      </x:c>
    </x:row>
    <x:row r="1973" ht="21" customHeight="1">
      <x:c r="A1973" s="60" t="n">
        <x:v>0.67</x:v>
      </x:c>
      <x:c r="B1973" s="28" t="str">
        <x:v>level_flat</x:v>
      </x:c>
      <x:c r="C1973" s="60" t="n">
        <x:v>0.6</x:v>
      </x:c>
      <x:c r="D1973" s="60" t="n">
        <x:v>0.6</x:v>
      </x:c>
      <x:c r="E1973" s="62" t="b">
        <x:v>1</x:v>
      </x:c>
      <x:c r="F1973" s="62" t="b">
        <x:v>0</x:v>
      </x:c>
      <x:c r="G1973" s="85" t="n">
        <x:v>143383.09093067114</x:v>
      </x:c>
      <x:c r="H1973" s="85" t="n">
        <x:v>762561.4198933495</x:v>
      </x:c>
      <x:c r="I1973" s="85" t="n">
        <x:v>11527113.403334795</x:v>
      </x:c>
      <x:c r="J1973" s="85" t="n">
        <x:v>12821119.999999998</x:v>
      </x:c>
      <x:c r="K1973" s="85" t="n">
        <x:v>62226.191726027355</x:v>
      </x:c>
      <x:c r="L1973" s="28" t="n">
        <x:v>42</x:v>
      </x:c>
      <x:c r="M1973" s="28" t="n">
        <x:v>32</x:v>
      </x:c>
      <x:c r="N1973" s="28" t="n">
        <x:v>4.656612873077393e-10</x:v>
      </x:c>
      <x:c r="O1973" s="28" t="n">
        <x:v>7.450580596923828e-9</x:v>
      </x:c>
      <x:c r="P1973" s="28" t="n">
        <x:v>0</x:v>
      </x:c>
      <x:c r="Q1973" s="62" t="b">
        <x:v>1</x:v>
      </x:c>
      <x:c r="R1973" s="28" t="n">
        <x:v>0</x:v>
      </x:c>
      <x:c r="S1973" s="28" t="str">
        <x:v>3ec375cb4945b909</x:v>
      </x:c>
    </x:row>
    <x:row r="1974" ht="21" customHeight="1">
      <x:c r="A1974" s="60" t="n">
        <x:v>0.67</x:v>
      </x:c>
      <x:c r="B1974" s="28" t="str">
        <x:v>level_flat</x:v>
      </x:c>
      <x:c r="C1974" s="60" t="n">
        <x:v>0.65</x:v>
      </x:c>
      <x:c r="D1974" s="60" t="n">
        <x:v>0.65</x:v>
      </x:c>
      <x:c r="E1974" s="62" t="b">
        <x:v>1</x:v>
      </x:c>
      <x:c r="F1974" s="62" t="b">
        <x:v>0</x:v>
      </x:c>
      <x:c r="G1974" s="85" t="n">
        <x:v>527730.7434494547</x:v>
      </x:c>
      <x:c r="H1974" s="85" t="n">
        <x:v>2842078.834395243</x:v>
      </x:c>
      <x:c r="I1974" s="85" t="n">
        <x:v>11776938.599958906</x:v>
      </x:c>
      <x:c r="J1974" s="85" t="n">
        <x:v>12821119.999999998</x:v>
      </x:c>
      <x:c r="K1974" s="85" t="n">
        <x:v>56268.774123287934</x:v>
      </x:c>
      <x:c r="L1974" s="28" t="n">
        <x:v>43</x:v>
      </x:c>
      <x:c r="M1974" s="28" t="n">
        <x:v>34</x:v>
      </x:c>
      <x:c r="N1974" s="28" t="n">
        <x:v>4.656612873077393e-10</x:v>
      </x:c>
      <x:c r="O1974" s="28" t="n">
        <x:v>3.725290298461914e-9</x:v>
      </x:c>
      <x:c r="P1974" s="28" t="n">
        <x:v>0</x:v>
      </x:c>
      <x:c r="Q1974" s="62" t="b">
        <x:v>1</x:v>
      </x:c>
      <x:c r="R1974" s="28" t="n">
        <x:v>0</x:v>
      </x:c>
      <x:c r="S1974" s="28" t="str">
        <x:v>c65b6909dd679e05</x:v>
      </x:c>
    </x:row>
    <x:row r="1975" ht="21" customHeight="1">
      <x:c r="A1975" s="60" t="n">
        <x:v>0.67</x:v>
      </x:c>
      <x:c r="B1975" s="28" t="str">
        <x:v>level_flat</x:v>
      </x:c>
      <x:c r="C1975" s="60" t="n">
        <x:v>0.7</x:v>
      </x:c>
      <x:c r="D1975" s="60" t="n">
        <x:v>0.7</x:v>
      </x:c>
      <x:c r="E1975" s="62" t="b">
        <x:v>1</x:v>
      </x:c>
      <x:c r="F1975" s="62" t="b">
        <x:v>0</x:v>
      </x:c>
      <x:c r="G1975" s="85" t="n">
        <x:v>1016580.432558862</x:v>
      </x:c>
      <x:c r="H1975" s="85" t="n">
        <x:v>5158561.440583088</x:v>
      </x:c>
      <x:c r="I1975" s="85" t="n">
        <x:v>11795393.822986303</x:v>
      </x:c>
      <x:c r="J1975" s="85" t="n">
        <x:v>12821119.999999998</x:v>
      </x:c>
      <x:c r="K1975" s="85" t="n">
        <x:v>50311.35652054816</x:v>
      </x:c>
      <x:c r="L1975" s="28" t="n">
        <x:v>43</x:v>
      </x:c>
      <x:c r="M1975" s="28" t="n">
        <x:v>34</x:v>
      </x:c>
      <x:c r="N1975" s="28" t="n">
        <x:v>4.656612873077393e-10</x:v>
      </x:c>
      <x:c r="O1975" s="28" t="n">
        <x:v>3.725290298461914e-9</x:v>
      </x:c>
      <x:c r="P1975" s="28" t="n">
        <x:v>0</x:v>
      </x:c>
      <x:c r="Q1975" s="62" t="b">
        <x:v>1</x:v>
      </x:c>
      <x:c r="R1975" s="28" t="n">
        <x:v>0</x:v>
      </x:c>
      <x:c r="S1975" s="28" t="str">
        <x:v>48e3662ea0df1b2a</x:v>
      </x:c>
    </x:row>
    <x:row r="1976" ht="21" customHeight="1">
      <x:c r="A1976" s="60" t="n">
        <x:v>0.67</x:v>
      </x:c>
      <x:c r="B1976" s="28" t="str">
        <x:v>level_flat</x:v>
      </x:c>
      <x:c r="C1976" s="60" t="n">
        <x:v>0.75</x:v>
      </x:c>
      <x:c r="D1976" s="60" t="n">
        <x:v>0.75</x:v>
      </x:c>
      <x:c r="E1976" s="62" t="b">
        <x:v>1</x:v>
      </x:c>
      <x:c r="F1976" s="62" t="b">
        <x:v>0</x:v>
      </x:c>
      <x:c r="G1976" s="85" t="n">
        <x:v>1410811.2445230784</x:v>
      </x:c>
      <x:c r="H1976" s="85" t="n">
        <x:v>7144251.99195206</x:v>
      </x:c>
      <x:c r="I1976" s="85" t="n">
        <x:v>12026789.684876714</x:v>
      </x:c>
      <x:c r="J1976" s="85" t="n">
        <x:v>12821119.999999998</x:v>
      </x:c>
      <x:c r="K1976" s="85" t="n">
        <x:v>44353.93891780838</x:v>
      </x:c>
      <x:c r="L1976" s="28" t="n">
        <x:v>44</x:v>
      </x:c>
      <x:c r="M1976" s="28" t="n">
        <x:v>36</x:v>
      </x:c>
      <x:c r="N1976" s="28" t="n">
        <x:v>4.656612873077393e-10</x:v>
      </x:c>
      <x:c r="O1976" s="28" t="n">
        <x:v>3.725290298461914e-9</x:v>
      </x:c>
      <x:c r="P1976" s="28" t="n">
        <x:v>0</x:v>
      </x:c>
      <x:c r="Q1976" s="62" t="b">
        <x:v>1</x:v>
      </x:c>
      <x:c r="R1976" s="28" t="n">
        <x:v>0</x:v>
      </x:c>
      <x:c r="S1976" s="28" t="str">
        <x:v>32c55a986edf2096</x:v>
      </x:c>
    </x:row>
    <x:row r="1977" ht="21" customHeight="1">
      <x:c r="A1977" s="60" t="n">
        <x:v>0.67</x:v>
      </x:c>
      <x:c r="B1977" s="28" t="str">
        <x:v>level_flat</x:v>
      </x:c>
      <x:c r="C1977" s="60" t="n">
        <x:v>0.8</x:v>
      </x:c>
      <x:c r="D1977" s="60" t="n">
        <x:v>0.8</x:v>
      </x:c>
      <x:c r="E1977" s="62" t="b">
        <x:v>1</x:v>
      </x:c>
      <x:c r="F1977" s="62" t="b">
        <x:v>0</x:v>
      </x:c>
      <x:c r="G1977" s="85" t="n">
        <x:v>1980336.39875605</x:v>
      </x:c>
      <x:c r="H1977" s="85" t="n">
        <x:v>9306518.935773995</x:v>
      </x:c>
      <x:c r="I1977" s="85" t="n">
        <x:v>12040667.576109592</x:v>
      </x:c>
      <x:c r="J1977" s="85" t="n">
        <x:v>12821119.999999998</x:v>
      </x:c>
      <x:c r="K1977" s="85" t="n">
        <x:v>38396.521315068836</x:v>
      </x:c>
      <x:c r="L1977" s="28" t="n">
        <x:v>44</x:v>
      </x:c>
      <x:c r="M1977" s="28" t="n">
        <x:v>37</x:v>
      </x:c>
      <x:c r="N1977" s="28" t="n">
        <x:v>4.656612873077393e-10</x:v>
      </x:c>
      <x:c r="O1977" s="28" t="n">
        <x:v>3.725290298461914e-9</x:v>
      </x:c>
      <x:c r="P1977" s="28" t="n">
        <x:v>0</x:v>
      </x:c>
      <x:c r="Q1977" s="62" t="b">
        <x:v>1</x:v>
      </x:c>
      <x:c r="R1977" s="28" t="n">
        <x:v>0</x:v>
      </x:c>
      <x:c r="S1977" s="28" t="str">
        <x:v>f66b2e9bf1e38397</x:v>
      </x:c>
    </x:row>
    <x:row r="1978" ht="21" customHeight="1">
      <x:c r="A1978" s="60" t="n">
        <x:v>0.67</x:v>
      </x:c>
      <x:c r="B1978" s="28" t="str">
        <x:v>level_flat</x:v>
      </x:c>
      <x:c r="C1978" s="60" t="n">
        <x:v>0.85</x:v>
      </x:c>
      <x:c r="D1978" s="60" t="n">
        <x:v>0.85</x:v>
      </x:c>
      <x:c r="E1978" s="62" t="b">
        <x:v>1</x:v>
      </x:c>
      <x:c r="F1978" s="62" t="b">
        <x:v>0</x:v>
      </x:c>
      <x:c r="G1978" s="85" t="n">
        <x:v>2473490.964463664</x:v>
      </x:c>
      <x:c r="H1978" s="85" t="n">
        <x:v>11099046.757233076</x:v>
      </x:c>
      <x:c r="I1978" s="85" t="n">
        <x:v>12289932.241260275</x:v>
      </x:c>
      <x:c r="J1978" s="85" t="n">
        <x:v>12821119.999999998</x:v>
      </x:c>
      <x:c r="K1978" s="85" t="n">
        <x:v>32439.103712329525</x:v>
      </x:c>
      <x:c r="L1978" s="28" t="n">
        <x:v>45</x:v>
      </x:c>
      <x:c r="M1978" s="28" t="n">
        <x:v>38</x:v>
      </x:c>
      <x:c r="N1978" s="28" t="n">
        <x:v>2.3283064365386963e-10</x:v>
      </x:c>
      <x:c r="O1978" s="28" t="n">
        <x:v>3.725290298461914e-9</x:v>
      </x:c>
      <x:c r="P1978" s="28" t="n">
        <x:v>0</x:v>
      </x:c>
      <x:c r="Q1978" s="62" t="b">
        <x:v>1</x:v>
      </x:c>
      <x:c r="R1978" s="28" t="n">
        <x:v>0</x:v>
      </x:c>
      <x:c r="S1978" s="28" t="str">
        <x:v>ff3b601af5d11c25</x:v>
      </x:c>
    </x:row>
    <x:row r="1979" ht="21" customHeight="1">
      <x:c r="A1979" s="60" t="n">
        <x:v>0.67</x:v>
      </x:c>
      <x:c r="B1979" s="28" t="str">
        <x:v>level_flat</x:v>
      </x:c>
      <x:c r="C1979" s="60" t="n">
        <x:v>0.9</x:v>
      </x:c>
      <x:c r="D1979" s="60" t="n">
        <x:v>0.8949513562027351</x:v>
      </x:c>
      <x:c r="E1979" s="62" t="b">
        <x:v>0</x:v>
      </x:c>
      <x:c r="F1979" s="62" t="b">
        <x:v>0</x:v>
      </x:c>
      <x:c r="G1979" s="85" t="n">
        <x:v>3295329.6944303764</x:v>
      </x:c>
      <x:c r="H1979" s="85" t="n">
        <x:v>12476612.36532807</x:v>
      </x:c>
      <x:c r="I1979" s="85" t="n">
        <x:v>12295835.542246576</x:v>
      </x:c>
      <x:c r="J1979" s="85" t="n">
        <x:v>12821119.999999998</x:v>
      </x:c>
      <x:c r="K1979" s="85" t="n">
        <x:v>26481.686109589285</x:v>
      </x:c>
      <x:c r="L1979" s="28" t="n">
        <x:v>45</x:v>
      </x:c>
      <x:c r="M1979" s="28" t="n">
        <x:v>38</x:v>
      </x:c>
      <x:c r="N1979" s="28" t="n">
        <x:v>4.656612873077393e-10</x:v>
      </x:c>
      <x:c r="O1979" s="28" t="n">
        <x:v>3.725290298461914e-9</x:v>
      </x:c>
      <x:c r="P1979" s="28" t="n">
        <x:v>0</x:v>
      </x:c>
      <x:c r="Q1979" s="62" t="b">
        <x:v>1</x:v>
      </x:c>
      <x:c r="R1979" s="28" t="n">
        <x:v>281431.5998347327</x:v>
      </x:c>
      <x:c r="S1979" s="28" t="str">
        <x:v>bdbe7f1a6230250b</x:v>
      </x:c>
    </x:row>
    <x:row r="1980" ht="21" customHeight="1">
      <x:c r="A1980" s="60" t="n">
        <x:v>0.67</x:v>
      </x:c>
      <x:c r="B1980" s="28" t="str">
        <x:v>level_flat</x:v>
      </x:c>
      <x:c r="C1980" s="60" t="n">
        <x:v>0.95</x:v>
      </x:c>
      <x:c r="D1980" s="60" t="n">
        <x:v>0.9109811515371262</x:v>
      </x:c>
      <x:c r="E1980" s="62" t="b">
        <x:v>0</x:v>
      </x:c>
      <x:c r="F1980" s="62" t="b">
        <x:v>0</x:v>
      </x:c>
      <x:c r="G1980" s="85" t="n">
        <x:v>3531442.7804766777</x:v>
      </x:c>
      <x:c r="H1980" s="85" t="n">
        <x:v>13370571.914795939</x:v>
      </x:c>
      <x:c r="I1980" s="85" t="n">
        <x:v>12301738.843232878</x:v>
      </x:c>
      <x:c r="J1980" s="85" t="n">
        <x:v>12821119.999999998</x:v>
      </x:c>
      <x:c r="K1980" s="85" t="n">
        <x:v>21321.92589041117</x:v>
      </x:c>
      <x:c r="L1980" s="28" t="n">
        <x:v>45</x:v>
      </x:c>
      <x:c r="M1980" s="28" t="n">
        <x:v>40</x:v>
      </x:c>
      <x:c r="N1980" s="28" t="n">
        <x:v>2.3283064365386963e-10</x:v>
      </x:c>
      <x:c r="O1980" s="28" t="n">
        <x:v>3.725290298461914e-9</x:v>
      </x:c>
      <x:c r="P1980" s="28" t="n">
        <x:v>0</x:v>
      </x:c>
      <x:c r="Q1980" s="62" t="b">
        <x:v>1</x:v>
      </x:c>
      <x:c r="R1980" s="28" t="n">
        <x:v>2175066.688714437</x:v>
      </x:c>
      <x:c r="S1980" s="28" t="str">
        <x:v>a4d96c3d5c82898f</x:v>
      </x:c>
    </x:row>
    <x:row r="1981" ht="21" customHeight="1">
      <x:c r="A1981" s="60" t="n">
        <x:v>0.67</x:v>
      </x:c>
      <x:c r="B1981" s="28" t="str">
        <x:v>level_flat</x:v>
      </x:c>
      <x:c r="C1981" s="60" t="n">
        <x:v>1</x:v>
      </x:c>
      <x:c r="D1981" s="60" t="n">
        <x:v>0.9258453085724337</x:v>
      </x:c>
      <x:c r="E1981" s="62" t="b">
        <x:v>0</x:v>
      </x:c>
      <x:c r="F1981" s="62" t="b">
        <x:v>0</x:v>
      </x:c>
      <x:c r="G1981" s="85" t="n">
        <x:v>3864486.8694701605</x:v>
      </x:c>
      <x:c r="H1981" s="85" t="n">
        <x:v>14041907.650983637</x:v>
      </x:c>
      <x:c r="I1981" s="85" t="n">
        <x:v>12307642.144219179</x:v>
      </x:c>
      <x:c r="J1981" s="85" t="n">
        <x:v>12821119.999999998</x:v>
      </x:c>
      <x:c r="K1981" s="85" t="n">
        <x:v>19316.75671232903</x:v>
      </x:c>
      <x:c r="L1981" s="28" t="n">
        <x:v>45</x:v>
      </x:c>
      <x:c r="M1981" s="28" t="n">
        <x:v>40</x:v>
      </x:c>
      <x:c r="N1981" s="28" t="n">
        <x:v>4.656612873077393e-10</x:v>
      </x:c>
      <x:c r="O1981" s="28" t="n">
        <x:v>1.862645149230957e-9</x:v>
      </x:c>
      <x:c r="P1981" s="28" t="n">
        <x:v>0</x:v>
      </x:c>
      <x:c r="Q1981" s="62" t="b">
        <x:v>1</x:v>
      </x:c>
      <x:c r="R1981" s="28" t="n">
        <x:v>4133679.1189382523</x:v>
      </x:c>
      <x:c r="S1981" s="28" t="str">
        <x:v>293b07c0dc6fb4d0</x:v>
      </x:c>
    </x:row>
    <x:row r="1982" ht="21" customHeight="1">
      <x:c r="A1982" s="60" t="n">
        <x:v>0.67</x:v>
      </x:c>
      <x:c r="B1982" s="28" t="str">
        <x:v>level_low</x:v>
      </x:c>
      <x:c r="C1982" s="60" t="n">
        <x:v>0</x:v>
      </x:c>
      <x:c r="D1982" s="60" t="n">
        <x:v>0</x:v>
      </x:c>
      <x:c r="E1982" s="62" t="b">
        <x:v>1</x:v>
      </x:c>
      <x:c r="F1982" s="62" t="b">
        <x:v>1</x:v>
      </x:c>
      <x:c r="G1982" s="85" t="n">
        <x:v>0</x:v>
      </x:c>
      <x:c r="H1982" s="85" t="n">
        <x:v>0</x:v>
      </x:c>
      <x:c r="I1982" s="85" t="n">
        <x:v>0</x:v>
      </x:c>
      <x:c r="J1982" s="85" t="n">
        <x:v>0</x:v>
      </x:c>
      <x:c r="K1982" s="85" t="n">
        <x:v>5715452.821260278</x:v>
      </x:c>
      <x:c r="L1982" s="28" t="n">
        <x:v>0</x:v>
      </x:c>
      <x:c r="M1982" s="28" t="n">
        <x:v>0</x:v>
      </x:c>
      <x:c r="N1982" s="28" t="n">
        <x:v>9.313225746154785e-10</x:v>
      </x:c>
      <x:c r="O1982" s="28" t="n">
        <x:v>0</x:v>
      </x:c>
      <x:c r="P1982" s="28" t="n">
        <x:v>0</x:v>
      </x:c>
      <x:c r="Q1982" s="62" t="b">
        <x:v>1</x:v>
      </x:c>
      <x:c r="R1982" s="28" t="n">
        <x:v>0</x:v>
      </x:c>
      <x:c r="S1982" s="28" t="str">
        <x:v>7c1590e56dad7040</x:v>
      </x:c>
    </x:row>
    <x:row r="1983" ht="21" customHeight="1">
      <x:c r="A1983" s="60" t="n">
        <x:v>0.67</x:v>
      </x:c>
      <x:c r="B1983" s="28" t="str">
        <x:v>level_low</x:v>
      </x:c>
      <x:c r="C1983" s="60" t="n">
        <x:v>0.05</x:v>
      </x:c>
      <x:c r="D1983" s="60" t="n">
        <x:v>0.05</x:v>
      </x:c>
      <x:c r="E1983" s="62" t="b">
        <x:v>1</x:v>
      </x:c>
      <x:c r="F1983" s="62" t="b">
        <x:v>1</x:v>
      </x:c>
      <x:c r="G1983" s="85" t="n">
        <x:v>0</x:v>
      </x:c>
      <x:c r="H1983" s="85" t="n">
        <x:v>0</x:v>
      </x:c>
      <x:c r="I1983" s="85" t="n">
        <x:v>0</x:v>
      </x:c>
      <x:c r="J1983" s="85" t="n">
        <x:v>0</x:v>
      </x:c>
      <x:c r="K1983" s="85" t="n">
        <x:v>3714464.6116576595</x:v>
      </x:c>
      <x:c r="L1983" s="28" t="n">
        <x:v>0</x:v>
      </x:c>
      <x:c r="M1983" s="28" t="n">
        <x:v>0</x:v>
      </x:c>
      <x:c r="N1983" s="28" t="n">
        <x:v>2.3283064365386963e-10</x:v>
      </x:c>
      <x:c r="O1983" s="28" t="n">
        <x:v>7.450580596923828e-9</x:v>
      </x:c>
      <x:c r="P1983" s="28" t="n">
        <x:v>0</x:v>
      </x:c>
      <x:c r="Q1983" s="62" t="b">
        <x:v>1</x:v>
      </x:c>
      <x:c r="R1983" s="28" t="n">
        <x:v>0</x:v>
      </x:c>
      <x:c r="S1983" s="28" t="str">
        <x:v>e09079f3ee1207f1</x:v>
      </x:c>
    </x:row>
    <x:row r="1984" ht="21" customHeight="1">
      <x:c r="A1984" s="60" t="n">
        <x:v>0.67</x:v>
      </x:c>
      <x:c r="B1984" s="28" t="str">
        <x:v>level_low</x:v>
      </x:c>
      <x:c r="C1984" s="60" t="n">
        <x:v>0.1</x:v>
      </x:c>
      <x:c r="D1984" s="60" t="n">
        <x:v>0.1</x:v>
      </x:c>
      <x:c r="E1984" s="62" t="b">
        <x:v>1</x:v>
      </x:c>
      <x:c r="F1984" s="62" t="b">
        <x:v>1</x:v>
      </x:c>
      <x:c r="G1984" s="85" t="n">
        <x:v>0</x:v>
      </x:c>
      <x:c r="H1984" s="85" t="n">
        <x:v>0</x:v>
      </x:c>
      <x:c r="I1984" s="85" t="n">
        <x:v>0</x:v>
      </x:c>
      <x:c r="J1984" s="85" t="n">
        <x:v>0</x:v>
      </x:c>
      <x:c r="K1984" s="85" t="n">
        <x:v>1713395.5862320634</x:v>
      </x:c>
      <x:c r="L1984" s="28" t="n">
        <x:v>0</x:v>
      </x:c>
      <x:c r="M1984" s="28" t="n">
        <x:v>0</x:v>
      </x:c>
      <x:c r="N1984" s="28" t="n">
        <x:v>2.3283064365386963e-10</x:v>
      </x:c>
      <x:c r="O1984" s="28" t="n">
        <x:v>7.450580596923828e-9</x:v>
      </x:c>
      <x:c r="P1984" s="28" t="n">
        <x:v>0</x:v>
      </x:c>
      <x:c r="Q1984" s="62" t="b">
        <x:v>1</x:v>
      </x:c>
      <x:c r="R1984" s="28" t="n">
        <x:v>0</x:v>
      </x:c>
      <x:c r="S1984" s="28" t="str">
        <x:v>d0051f18b754349e</x:v>
      </x:c>
    </x:row>
    <x:row r="1985" ht="21" customHeight="1">
      <x:c r="A1985" s="60" t="n">
        <x:v>0.67</x:v>
      </x:c>
      <x:c r="B1985" s="28" t="str">
        <x:v>level_low</x:v>
      </x:c>
      <x:c r="C1985" s="60" t="n">
        <x:v>0.15</x:v>
      </x:c>
      <x:c r="D1985" s="60" t="n">
        <x:v>0.15</x:v>
      </x:c>
      <x:c r="E1985" s="62" t="b">
        <x:v>1</x:v>
      </x:c>
      <x:c r="F1985" s="62" t="b">
        <x:v>1</x:v>
      </x:c>
      <x:c r="G1985" s="85" t="n">
        <x:v>0</x:v>
      </x:c>
      <x:c r="H1985" s="85" t="n">
        <x:v>0</x:v>
      </x:c>
      <x:c r="I1985" s="85" t="n">
        <x:v>366710.01304256887</x:v>
      </x:c>
      <x:c r="J1985" s="85" t="n">
        <x:v>0</x:v>
      </x:c>
      <x:c r="K1985" s="85" t="n">
        <x:v>192843.9471139388</x:v>
      </x:c>
      <x:c r="L1985" s="28" t="n">
        <x:v>0</x:v>
      </x:c>
      <x:c r="M1985" s="28" t="n">
        <x:v>0</x:v>
      </x:c>
      <x:c r="N1985" s="28" t="n">
        <x:v>2.3283064365386963e-10</x:v>
      </x:c>
      <x:c r="O1985" s="28" t="n">
        <x:v>7.450580596923828e-9</x:v>
      </x:c>
      <x:c r="P1985" s="28" t="n">
        <x:v>0</x:v>
      </x:c>
      <x:c r="Q1985" s="62" t="b">
        <x:v>1</x:v>
      </x:c>
      <x:c r="R1985" s="28" t="n">
        <x:v>0</x:v>
      </x:c>
      <x:c r="S1985" s="28" t="str">
        <x:v>edc3d2a1cdcae8c9</x:v>
      </x:c>
    </x:row>
    <x:row r="1986" ht="21" customHeight="1">
      <x:c r="A1986" s="60" t="n">
        <x:v>0.67</x:v>
      </x:c>
      <x:c r="B1986" s="28" t="str">
        <x:v>level_low</x:v>
      </x:c>
      <x:c r="C1986" s="60" t="n">
        <x:v>0.2</x:v>
      </x:c>
      <x:c r="D1986" s="60" t="n">
        <x:v>0.2</x:v>
      </x:c>
      <x:c r="E1986" s="62" t="b">
        <x:v>1</x:v>
      </x:c>
      <x:c r="F1986" s="62" t="b">
        <x:v>1</x:v>
      </x:c>
      <x:c r="G1986" s="85" t="n">
        <x:v>0</x:v>
      </x:c>
      <x:c r="H1986" s="85" t="n">
        <x:v>0</x:v>
      </x:c>
      <x:c r="I1986" s="85" t="n">
        <x:v>1468579.2064709023</x:v>
      </x:c>
      <x:c r="J1986" s="85" t="n">
        <x:v>1248509.6821692958</x:v>
      </x:c>
      <x:c r="K1986" s="85" t="n">
        <x:v>146016.5436605475</x:v>
      </x:c>
      <x:c r="L1986" s="28" t="n">
        <x:v>0</x:v>
      </x:c>
      <x:c r="M1986" s="28" t="n">
        <x:v>0</x:v>
      </x:c>
      <x:c r="N1986" s="28" t="n">
        <x:v>4.656612873077393e-10</x:v>
      </x:c>
      <x:c r="O1986" s="28" t="n">
        <x:v>7.450580596923828e-9</x:v>
      </x:c>
      <x:c r="P1986" s="28" t="n">
        <x:v>0</x:v>
      </x:c>
      <x:c r="Q1986" s="62" t="b">
        <x:v>1</x:v>
      </x:c>
      <x:c r="R1986" s="28" t="n">
        <x:v>0</x:v>
      </x:c>
      <x:c r="S1986" s="28" t="str">
        <x:v>eea8501fb43454ee</x:v>
      </x:c>
    </x:row>
    <x:row r="1987" ht="21" customHeight="1">
      <x:c r="A1987" s="60" t="n">
        <x:v>0.67</x:v>
      </x:c>
      <x:c r="B1987" s="28" t="str">
        <x:v>level_low</x:v>
      </x:c>
      <x:c r="C1987" s="60" t="n">
        <x:v>0.25</x:v>
      </x:c>
      <x:c r="D1987" s="60" t="n">
        <x:v>0.25</x:v>
      </x:c>
      <x:c r="E1987" s="62" t="b">
        <x:v>1</x:v>
      </x:c>
      <x:c r="F1987" s="62" t="b">
        <x:v>1</x:v>
      </x:c>
      <x:c r="G1987" s="85" t="n">
        <x:v>0</x:v>
      </x:c>
      <x:c r="H1987" s="85" t="n">
        <x:v>0</x:v>
      </x:c>
      <x:c r="I1987" s="85" t="n">
        <x:v>2208088.215716432</x:v>
      </x:c>
      <x:c r="J1987" s="85" t="n">
        <x:v>2954237.102711631</x:v>
      </x:c>
      <x:c r="K1987" s="85" t="n">
        <x:v>109402.31445239726</x:v>
      </x:c>
      <x:c r="L1987" s="28" t="n">
        <x:v>0</x:v>
      </x:c>
      <x:c r="M1987" s="28" t="n">
        <x:v>0</x:v>
      </x:c>
      <x:c r="N1987" s="28" t="n">
        <x:v>4.656612873077393e-10</x:v>
      </x:c>
      <x:c r="O1987" s="28" t="n">
        <x:v>7.450580596923828e-9</x:v>
      </x:c>
      <x:c r="P1987" s="28" t="n">
        <x:v>0</x:v>
      </x:c>
      <x:c r="Q1987" s="62" t="b">
        <x:v>1</x:v>
      </x:c>
      <x:c r="R1987" s="28" t="n">
        <x:v>0</x:v>
      </x:c>
      <x:c r="S1987" s="28" t="str">
        <x:v>1b51dbd7fa489e0c</x:v>
      </x:c>
    </x:row>
    <x:row r="1988" ht="21" customHeight="1">
      <x:c r="A1988" s="60" t="n">
        <x:v>0.67</x:v>
      </x:c>
      <x:c r="B1988" s="28" t="str">
        <x:v>level_low</x:v>
      </x:c>
      <x:c r="C1988" s="60" t="n">
        <x:v>0.3</x:v>
      </x:c>
      <x:c r="D1988" s="60" t="n">
        <x:v>0.3</x:v>
      </x:c>
      <x:c r="E1988" s="62" t="b">
        <x:v>1</x:v>
      </x:c>
      <x:c r="F1988" s="62" t="b">
        <x:v>1</x:v>
      </x:c>
      <x:c r="G1988" s="85" t="n">
        <x:v>0</x:v>
      </x:c>
      <x:c r="H1988" s="85" t="n">
        <x:v>0</x:v>
      </x:c>
      <x:c r="I1988" s="85" t="n">
        <x:v>2960096.7953856695</x:v>
      </x:c>
      <x:c r="J1988" s="85" t="n">
        <x:v>4659964.523253945</x:v>
      </x:c>
      <x:c r="K1988" s="85" t="n">
        <x:v>85788.24146616478</x:v>
      </x:c>
      <x:c r="L1988" s="28" t="n">
        <x:v>0</x:v>
      </x:c>
      <x:c r="M1988" s="28" t="n">
        <x:v>0</x:v>
      </x:c>
      <x:c r="N1988" s="28" t="n">
        <x:v>4.656612873077393e-10</x:v>
      </x:c>
      <x:c r="O1988" s="28" t="n">
        <x:v>7.450580596923828e-9</x:v>
      </x:c>
      <x:c r="P1988" s="28" t="n">
        <x:v>0</x:v>
      </x:c>
      <x:c r="Q1988" s="62" t="b">
        <x:v>1</x:v>
      </x:c>
      <x:c r="R1988" s="28" t="n">
        <x:v>0</x:v>
      </x:c>
      <x:c r="S1988" s="28" t="str">
        <x:v>1169756d26d2fa5f</x:v>
      </x:c>
    </x:row>
    <x:row r="1989" ht="21" customHeight="1">
      <x:c r="A1989" s="60" t="n">
        <x:v>0.67</x:v>
      </x:c>
      <x:c r="B1989" s="28" t="str">
        <x:v>level_low</x:v>
      </x:c>
      <x:c r="C1989" s="60" t="n">
        <x:v>0.35</x:v>
      </x:c>
      <x:c r="D1989" s="60" t="n">
        <x:v>0.35</x:v>
      </x:c>
      <x:c r="E1989" s="62" t="b">
        <x:v>1</x:v>
      </x:c>
      <x:c r="F1989" s="62" t="b">
        <x:v>1</x:v>
      </x:c>
      <x:c r="G1989" s="85" t="n">
        <x:v>0</x:v>
      </x:c>
      <x:c r="H1989" s="85" t="n">
        <x:v>0</x:v>
      </x:c>
      <x:c r="I1989" s="85" t="n">
        <x:v>3724451.7875585705</x:v>
      </x:c>
      <x:c r="J1989" s="85" t="n">
        <x:v>6365691.94379625</x:v>
      </x:c>
      <x:c r="K1989" s="85" t="n">
        <x:v>69545.8039041099</x:v>
      </x:c>
      <x:c r="L1989" s="28" t="n">
        <x:v>0</x:v>
      </x:c>
      <x:c r="M1989" s="28" t="n">
        <x:v>0</x:v>
      </x:c>
      <x:c r="N1989" s="28" t="n">
        <x:v>9.313225746154785e-10</x:v>
      </x:c>
      <x:c r="O1989" s="28" t="n">
        <x:v>7.450580596923828e-9</x:v>
      </x:c>
      <x:c r="P1989" s="28" t="n">
        <x:v>0</x:v>
      </x:c>
      <x:c r="Q1989" s="62" t="b">
        <x:v>1</x:v>
      </x:c>
      <x:c r="R1989" s="28" t="n">
        <x:v>0</x:v>
      </x:c>
      <x:c r="S1989" s="28" t="str">
        <x:v>aa63741825882af0</x:v>
      </x:c>
    </x:row>
    <x:row r="1990" ht="21" customHeight="1">
      <x:c r="A1990" s="60" t="n">
        <x:v>0.67</x:v>
      </x:c>
      <x:c r="B1990" s="28" t="str">
        <x:v>level_low</x:v>
      </x:c>
      <x:c r="C1990" s="60" t="n">
        <x:v>0.4</x:v>
      </x:c>
      <x:c r="D1990" s="60" t="n">
        <x:v>0.4</x:v>
      </x:c>
      <x:c r="E1990" s="62" t="b">
        <x:v>1</x:v>
      </x:c>
      <x:c r="F1990" s="62" t="b">
        <x:v>1</x:v>
      </x:c>
      <x:c r="G1990" s="85" t="n">
        <x:v>0</x:v>
      </x:c>
      <x:c r="H1990" s="85" t="n">
        <x:v>0</x:v>
      </x:c>
      <x:c r="I1990" s="85" t="n">
        <x:v>4920118.408267972</x:v>
      </x:c>
      <x:c r="J1990" s="85" t="n">
        <x:v>7383068.867173561</x:v>
      </x:c>
      <x:c r="K1990" s="85" t="n">
        <x:v>58618.53589041099</x:v>
      </x:c>
      <x:c r="L1990" s="28" t="n">
        <x:v>7</x:v>
      </x:c>
      <x:c r="M1990" s="28" t="n">
        <x:v>0</x:v>
      </x:c>
      <x:c r="N1990" s="28" t="n">
        <x:v>9.313225746154785e-10</x:v>
      </x:c>
      <x:c r="O1990" s="28" t="n">
        <x:v>7.450580596923828e-9</x:v>
      </x:c>
      <x:c r="P1990" s="28" t="n">
        <x:v>0</x:v>
      </x:c>
      <x:c r="Q1990" s="62" t="b">
        <x:v>1</x:v>
      </x:c>
      <x:c r="R1990" s="28" t="n">
        <x:v>0</x:v>
      </x:c>
      <x:c r="S1990" s="28" t="str">
        <x:v>fb58fbaf32b5c6d7</x:v>
      </x:c>
    </x:row>
    <x:row r="1991" ht="21" customHeight="1">
      <x:c r="A1991" s="60" t="n">
        <x:v>0.67</x:v>
      </x:c>
      <x:c r="B1991" s="28" t="str">
        <x:v>level_low</x:v>
      </x:c>
      <x:c r="C1991" s="60" t="n">
        <x:v>0.45</x:v>
      </x:c>
      <x:c r="D1991" s="60" t="n">
        <x:v>0.45</x:v>
      </x:c>
      <x:c r="E1991" s="62" t="b">
        <x:v>1</x:v>
      </x:c>
      <x:c r="F1991" s="62" t="b">
        <x:v>1</x:v>
      </x:c>
      <x:c r="G1991" s="85" t="n">
        <x:v>0</x:v>
      </x:c>
      <x:c r="H1991" s="85" t="n">
        <x:v>0</x:v>
      </x:c>
      <x:c r="I1991" s="85" t="n">
        <x:v>5918006.350672054</x:v>
      </x:c>
      <x:c r="J1991" s="85" t="n">
        <x:v>8704798.04048763</x:v>
      </x:c>
      <x:c r="K1991" s="85" t="n">
        <x:v>47691.267876712416</x:v>
      </x:c>
      <x:c r="L1991" s="28" t="n">
        <x:v>11</x:v>
      </x:c>
      <x:c r="M1991" s="28" t="n">
        <x:v>0</x:v>
      </x:c>
      <x:c r="N1991" s="28" t="n">
        <x:v>9.313225746154785e-10</x:v>
      </x:c>
      <x:c r="O1991" s="28" t="n">
        <x:v>3.725290298461914e-9</x:v>
      </x:c>
      <x:c r="P1991" s="28" t="n">
        <x:v>0</x:v>
      </x:c>
      <x:c r="Q1991" s="62" t="b">
        <x:v>1</x:v>
      </x:c>
      <x:c r="R1991" s="28" t="n">
        <x:v>0</x:v>
      </x:c>
      <x:c r="S1991" s="28" t="str">
        <x:v>90f27af96105f1c7</x:v>
      </x:c>
    </x:row>
    <x:row r="1992" ht="21" customHeight="1">
      <x:c r="A1992" s="60" t="n">
        <x:v>0.67</x:v>
      </x:c>
      <x:c r="B1992" s="28" t="str">
        <x:v>level_low</x:v>
      </x:c>
      <x:c r="C1992" s="60" t="n">
        <x:v>0.5</x:v>
      </x:c>
      <x:c r="D1992" s="60" t="n">
        <x:v>0.5</x:v>
      </x:c>
      <x:c r="E1992" s="62" t="b">
        <x:v>1</x:v>
      </x:c>
      <x:c r="F1992" s="62" t="b">
        <x:v>1</x:v>
      </x:c>
      <x:c r="G1992" s="85" t="n">
        <x:v>0</x:v>
      </x:c>
      <x:c r="H1992" s="85" t="n">
        <x:v>0</x:v>
      </x:c>
      <x:c r="I1992" s="85" t="n">
        <x:v>6833617.56195679</x:v>
      </x:c>
      <x:c r="J1992" s="85" t="n">
        <x:v>10155807.69419636</x:v>
      </x:c>
      <x:c r="K1992" s="85" t="n">
        <x:v>38513.54747945205</x:v>
      </x:c>
      <x:c r="L1992" s="28" t="n">
        <x:v>15</x:v>
      </x:c>
      <x:c r="M1992" s="28" t="n">
        <x:v>0</x:v>
      </x:c>
      <x:c r="N1992" s="28" t="n">
        <x:v>2.3283064365386963e-10</x:v>
      </x:c>
      <x:c r="O1992" s="28" t="n">
        <x:v>3.725290298461914e-9</x:v>
      </x:c>
      <x:c r="P1992" s="28" t="n">
        <x:v>0</x:v>
      </x:c>
      <x:c r="Q1992" s="62" t="b">
        <x:v>1</x:v>
      </x:c>
      <x:c r="R1992" s="28" t="n">
        <x:v>0</x:v>
      </x:c>
      <x:c r="S1992" s="28" t="str">
        <x:v>4cc68833e2188d10</x:v>
      </x:c>
    </x:row>
    <x:row r="1993" ht="21" customHeight="1">
      <x:c r="A1993" s="60" t="n">
        <x:v>0.67</x:v>
      </x:c>
      <x:c r="B1993" s="28" t="str">
        <x:v>level_low</x:v>
      </x:c>
      <x:c r="C1993" s="60" t="n">
        <x:v>0.55</x:v>
      </x:c>
      <x:c r="D1993" s="60" t="n">
        <x:v>0.55</x:v>
      </x:c>
      <x:c r="E1993" s="62" t="b">
        <x:v>1</x:v>
      </x:c>
      <x:c r="F1993" s="62" t="b">
        <x:v>1</x:v>
      </x:c>
      <x:c r="G1993" s="85" t="n">
        <x:v>0</x:v>
      </x:c>
      <x:c r="H1993" s="85" t="n">
        <x:v>0</x:v>
      </x:c>
      <x:c r="I1993" s="85" t="n">
        <x:v>7631851.454452013</x:v>
      </x:c>
      <x:c r="J1993" s="85" t="n">
        <x:v>11808046.222053707</x:v>
      </x:c>
      <x:c r="K1993" s="85" t="n">
        <x:v>35123.083301369974</x:v>
      </x:c>
      <x:c r="L1993" s="28" t="n">
        <x:v>19</x:v>
      </x:c>
      <x:c r="M1993" s="28" t="n">
        <x:v>0</x:v>
      </x:c>
      <x:c r="N1993" s="28" t="n">
        <x:v>4.656612873077393e-10</x:v>
      </x:c>
      <x:c r="O1993" s="28" t="n">
        <x:v>3.725290298461914e-9</x:v>
      </x:c>
      <x:c r="P1993" s="28" t="n">
        <x:v>0</x:v>
      </x:c>
      <x:c r="Q1993" s="62" t="b">
        <x:v>1</x:v>
      </x:c>
      <x:c r="R1993" s="28" t="n">
        <x:v>0</x:v>
      </x:c>
      <x:c r="S1993" s="28" t="str">
        <x:v>8ea6a20e9c628d5c</x:v>
      </x:c>
    </x:row>
    <x:row r="1994" ht="21" customHeight="1">
      <x:c r="A1994" s="60" t="n">
        <x:v>0.67</x:v>
      </x:c>
      <x:c r="B1994" s="28" t="str">
        <x:v>level_low</x:v>
      </x:c>
      <x:c r="C1994" s="60" t="n">
        <x:v>0.6</x:v>
      </x:c>
      <x:c r="D1994" s="60" t="n">
        <x:v>0.6</x:v>
      </x:c>
      <x:c r="E1994" s="62" t="b">
        <x:v>1</x:v>
      </x:c>
      <x:c r="F1994" s="62" t="b">
        <x:v>0</x:v>
      </x:c>
      <x:c r="G1994" s="85" t="n">
        <x:v>61167.35073397266</x:v>
      </x:c>
      <x:c r="H1994" s="85" t="n">
        <x:v>765006.3546672104</x:v>
      </x:c>
      <x:c r="I1994" s="85" t="n">
        <x:v>8110805.244684109</x:v>
      </x:c>
      <x:c r="J1994" s="85" t="n">
        <x:v>12821119.999999998</x:v>
      </x:c>
      <x:c r="K1994" s="85" t="n">
        <x:v>31732.619123287594</x:v>
      </x:c>
      <x:c r="L1994" s="28" t="n">
        <x:v>42</x:v>
      </x:c>
      <x:c r="M1994" s="28" t="n">
        <x:v>24</x:v>
      </x:c>
      <x:c r="N1994" s="28" t="n">
        <x:v>4.656612873077393e-10</x:v>
      </x:c>
      <x:c r="O1994" s="28" t="n">
        <x:v>7.450580596923828e-9</x:v>
      </x:c>
      <x:c r="P1994" s="28" t="n">
        <x:v>0</x:v>
      </x:c>
      <x:c r="Q1994" s="62" t="b">
        <x:v>1</x:v>
      </x:c>
      <x:c r="R1994" s="28" t="n">
        <x:v>0</x:v>
      </x:c>
      <x:c r="S1994" s="28" t="str">
        <x:v>dd287b095542dc7f</x:v>
      </x:c>
    </x:row>
    <x:row r="1995" ht="21" customHeight="1">
      <x:c r="A1995" s="60" t="n">
        <x:v>0.67</x:v>
      </x:c>
      <x:c r="B1995" s="28" t="str">
        <x:v>level_low</x:v>
      </x:c>
      <x:c r="C1995" s="60" t="n">
        <x:v>0.65</x:v>
      </x:c>
      <x:c r="D1995" s="60" t="n">
        <x:v>0.65</x:v>
      </x:c>
      <x:c r="E1995" s="62" t="b">
        <x:v>1</x:v>
      </x:c>
      <x:c r="F1995" s="62" t="b">
        <x:v>0</x:v>
      </x:c>
      <x:c r="G1995" s="85" t="n">
        <x:v>208701.04875873055</x:v>
      </x:c>
      <x:c r="H1995" s="85" t="n">
        <x:v>2599480.213683905</x:v>
      </x:c>
      <x:c r="I1995" s="85" t="n">
        <x:v>8296001.649178082</x:v>
      </x:c>
      <x:c r="J1995" s="85" t="n">
        <x:v>12821119.999999998</x:v>
      </x:c>
      <x:c r="K1995" s="85" t="n">
        <x:v>28342.154945205282</x:v>
      </x:c>
      <x:c r="L1995" s="28" t="n">
        <x:v>43</x:v>
      </x:c>
      <x:c r="M1995" s="28" t="n">
        <x:v>30</x:v>
      </x:c>
      <x:c r="N1995" s="28" t="n">
        <x:v>4.656612873077393e-10</x:v>
      </x:c>
      <x:c r="O1995" s="28" t="n">
        <x:v>3.725290298461914e-9</x:v>
      </x:c>
      <x:c r="P1995" s="28" t="n">
        <x:v>0</x:v>
      </x:c>
      <x:c r="Q1995" s="62" t="b">
        <x:v>1</x:v>
      </x:c>
      <x:c r="R1995" s="28" t="n">
        <x:v>0</x:v>
      </x:c>
      <x:c r="S1995" s="28" t="str">
        <x:v>a0983d66aeef1280</x:v>
      </x:c>
    </x:row>
    <x:row r="1996" ht="21" customHeight="1">
      <x:c r="A1996" s="60" t="n">
        <x:v>0.67</x:v>
      </x:c>
      <x:c r="B1996" s="28" t="str">
        <x:v>level_low</x:v>
      </x:c>
      <x:c r="C1996" s="60" t="n">
        <x:v>0.7</x:v>
      </x:c>
      <x:c r="D1996" s="60" t="n">
        <x:v>0.7</x:v>
      </x:c>
      <x:c r="E1996" s="62" t="b">
        <x:v>1</x:v>
      </x:c>
      <x:c r="F1996" s="62" t="b">
        <x:v>0</x:v>
      </x:c>
      <x:c r="G1996" s="85" t="n">
        <x:v>372821.1258160096</x:v>
      </x:c>
      <x:c r="H1996" s="85" t="n">
        <x:v>4640273.16327647</x:v>
      </x:c>
      <x:c r="I1996" s="85" t="n">
        <x:v>8301358.48509589</x:v>
      </x:c>
      <x:c r="J1996" s="85" t="n">
        <x:v>12821119.999999998</x:v>
      </x:c>
      <x:c r="K1996" s="85" t="n">
        <x:v>24951.690767123375</x:v>
      </x:c>
      <x:c r="L1996" s="28" t="n">
        <x:v>43</x:v>
      </x:c>
      <x:c r="M1996" s="28" t="n">
        <x:v>31</x:v>
      </x:c>
      <x:c r="N1996" s="28" t="n">
        <x:v>4.656612873077393e-10</x:v>
      </x:c>
      <x:c r="O1996" s="28" t="n">
        <x:v>3.725290298461914e-9</x:v>
      </x:c>
      <x:c r="P1996" s="28" t="n">
        <x:v>0</x:v>
      </x:c>
      <x:c r="Q1996" s="62" t="b">
        <x:v>1</x:v>
      </x:c>
      <x:c r="R1996" s="28" t="n">
        <x:v>0</x:v>
      </x:c>
      <x:c r="S1996" s="28" t="str">
        <x:v>8cfc95bfa0b97c5d</x:v>
      </x:c>
    </x:row>
    <x:row r="1997" ht="21" customHeight="1">
      <x:c r="A1997" s="60" t="n">
        <x:v>0.67</x:v>
      </x:c>
      <x:c r="B1997" s="28" t="str">
        <x:v>level_low</x:v>
      </x:c>
      <x:c r="C1997" s="60" t="n">
        <x:v>0.75</x:v>
      </x:c>
      <x:c r="D1997" s="60" t="n">
        <x:v>0.75</x:v>
      </x:c>
      <x:c r="E1997" s="62" t="b">
        <x:v>1</x:v>
      </x:c>
      <x:c r="F1997" s="62" t="b">
        <x:v>0</x:v>
      </x:c>
      <x:c r="G1997" s="85" t="n">
        <x:v>539427.7837682001</x:v>
      </x:c>
      <x:c r="H1997" s="85" t="n">
        <x:v>6476248.412521051</x:v>
      </x:c>
      <x:c r="I1997" s="85" t="n">
        <x:v>8470676.533260275</x:v>
      </x:c>
      <x:c r="J1997" s="85" t="n">
        <x:v>12821119.999999998</x:v>
      </x:c>
      <x:c r="K1997" s="85" t="n">
        <x:v>21561.226589041005</x:v>
      </x:c>
      <x:c r="L1997" s="28" t="n">
        <x:v>44</x:v>
      </x:c>
      <x:c r="M1997" s="28" t="n">
        <x:v>32</x:v>
      </x:c>
      <x:c r="N1997" s="28" t="n">
        <x:v>4.656612873077393e-10</x:v>
      </x:c>
      <x:c r="O1997" s="28" t="n">
        <x:v>3.725290298461914e-9</x:v>
      </x:c>
      <x:c r="P1997" s="28" t="n">
        <x:v>0</x:v>
      </x:c>
      <x:c r="Q1997" s="62" t="b">
        <x:v>1</x:v>
      </x:c>
      <x:c r="R1997" s="28" t="n">
        <x:v>0</x:v>
      </x:c>
      <x:c r="S1997" s="28" t="str">
        <x:v>11f1b009e147df47</x:v>
      </x:c>
    </x:row>
    <x:row r="1998" ht="21" customHeight="1">
      <x:c r="A1998" s="60" t="n">
        <x:v>0.67</x:v>
      </x:c>
      <x:c r="B1998" s="28" t="str">
        <x:v>level_low</x:v>
      </x:c>
      <x:c r="C1998" s="60" t="n">
        <x:v>0.8</x:v>
      </x:c>
      <x:c r="D1998" s="60" t="n">
        <x:v>0.8</x:v>
      </x:c>
      <x:c r="E1998" s="62" t="b">
        <x:v>1</x:v>
      </x:c>
      <x:c r="F1998" s="62" t="b">
        <x:v>0</x:v>
      </x:c>
      <x:c r="G1998" s="85" t="n">
        <x:v>721317.0641016696</x:v>
      </x:c>
      <x:c r="H1998" s="85" t="n">
        <x:v>8449103.355507245</x:v>
      </x:c>
      <x:c r="I1998" s="85" t="n">
        <x:v>8477295.850082193</x:v>
      </x:c>
      <x:c r="J1998" s="85" t="n">
        <x:v>12821119.999999998</x:v>
      </x:c>
      <x:c r="K1998" s="85" t="n">
        <x:v>18170.76241095898</x:v>
      </x:c>
      <x:c r="L1998" s="28" t="n">
        <x:v>44</x:v>
      </x:c>
      <x:c r="M1998" s="28" t="n">
        <x:v>34</x:v>
      </x:c>
      <x:c r="N1998" s="28" t="n">
        <x:v>2.3283064365386963e-10</x:v>
      </x:c>
      <x:c r="O1998" s="28" t="n">
        <x:v>3.725290298461914e-9</x:v>
      </x:c>
      <x:c r="P1998" s="28" t="n">
        <x:v>0</x:v>
      </x:c>
      <x:c r="Q1998" s="62" t="b">
        <x:v>1</x:v>
      </x:c>
      <x:c r="R1998" s="28" t="n">
        <x:v>0</x:v>
      </x:c>
      <x:c r="S1998" s="28" t="str">
        <x:v>7cdeca506c6027f4</x:v>
      </x:c>
    </x:row>
    <x:row r="1999" ht="21" customHeight="1">
      <x:c r="A1999" s="60" t="n">
        <x:v>0.67</x:v>
      </x:c>
      <x:c r="B1999" s="28" t="str">
        <x:v>level_low</x:v>
      </x:c>
      <x:c r="C1999" s="60" t="n">
        <x:v>0.85</x:v>
      </x:c>
      <x:c r="D1999" s="60" t="n">
        <x:v>0.85</x:v>
      </x:c>
      <x:c r="E1999" s="62" t="b">
        <x:v>1</x:v>
      </x:c>
      <x:c r="F1999" s="62" t="b">
        <x:v>0</x:v>
      </x:c>
      <x:c r="G1999" s="85" t="n">
        <x:v>934715.1519195796</x:v>
      </x:c>
      <x:c r="H1999" s="85" t="n">
        <x:v>10158161.09982476</x:v>
      </x:c>
      <x:c r="I1999" s="85" t="n">
        <x:v>8667575.691945206</x:v>
      </x:c>
      <x:c r="J1999" s="85" t="n">
        <x:v>12821119.999999998</x:v>
      </x:c>
      <x:c r="K1999" s="85" t="n">
        <x:v>14780.298232876958</x:v>
      </x:c>
      <x:c r="L1999" s="28" t="n">
        <x:v>45</x:v>
      </x:c>
      <x:c r="M1999" s="28" t="n">
        <x:v>34</x:v>
      </x:c>
      <x:c r="N1999" s="28" t="n">
        <x:v>4.656612873077393e-10</x:v>
      </x:c>
      <x:c r="O1999" s="28" t="n">
        <x:v>3.725290298461914e-9</x:v>
      </x:c>
      <x:c r="P1999" s="28" t="n">
        <x:v>0</x:v>
      </x:c>
      <x:c r="Q1999" s="62" t="b">
        <x:v>1</x:v>
      </x:c>
      <x:c r="R1999" s="28" t="n">
        <x:v>0</x:v>
      </x:c>
      <x:c r="S1999" s="28" t="str">
        <x:v>b5c408c7a0fdd14b</x:v>
      </x:c>
    </x:row>
    <x:row r="2000" ht="21" customHeight="1">
      <x:c r="A2000" s="60" t="n">
        <x:v>0.67</x:v>
      </x:c>
      <x:c r="B2000" s="28" t="str">
        <x:v>level_low</x:v>
      </x:c>
      <x:c r="C2000" s="60" t="n">
        <x:v>0.9</x:v>
      </x:c>
      <x:c r="D2000" s="60" t="n">
        <x:v>0.8949513562027351</x:v>
      </x:c>
      <x:c r="E2000" s="62" t="b">
        <x:v>0</x:v>
      </x:c>
      <x:c r="F2000" s="62" t="b">
        <x:v>0</x:v>
      </x:c>
      <x:c r="G2000" s="85" t="n">
        <x:v>1325500.608493794</x:v>
      </x:c>
      <x:c r="H2000" s="85" t="n">
        <x:v>11621891.520340025</x:v>
      </x:c>
      <x:c r="I2000" s="85" t="n">
        <x:v>8670874.29019178</x:v>
      </x:c>
      <x:c r="J2000" s="85" t="n">
        <x:v>12821119.999999998</x:v>
      </x:c>
      <x:c r="K2000" s="85" t="n">
        <x:v>11389.834054794705</x:v>
      </x:c>
      <x:c r="L2000" s="28" t="n">
        <x:v>45</x:v>
      </x:c>
      <x:c r="M2000" s="28" t="n">
        <x:v>35</x:v>
      </x:c>
      <x:c r="N2000" s="28" t="n">
        <x:v>4.656612873077393e-10</x:v>
      </x:c>
      <x:c r="O2000" s="28" t="n">
        <x:v>3.725290298461914e-9</x:v>
      </x:c>
      <x:c r="P2000" s="28" t="n">
        <x:v>0</x:v>
      </x:c>
      <x:c r="Q2000" s="62" t="b">
        <x:v>1</x:v>
      </x:c>
      <x:c r="R2000" s="28" t="n">
        <x:v>281431.5998347327</x:v>
      </x:c>
      <x:c r="S2000" s="28" t="str">
        <x:v>e0003f71a17cffa1</x:v>
      </x:c>
    </x:row>
    <x:row r="2001" ht="21" customHeight="1">
      <x:c r="A2001" s="60" t="n">
        <x:v>0.67</x:v>
      </x:c>
      <x:c r="B2001" s="28" t="str">
        <x:v>level_low</x:v>
      </x:c>
      <x:c r="C2001" s="60" t="n">
        <x:v>0.95</x:v>
      </x:c>
      <x:c r="D2001" s="60" t="n">
        <x:v>0.9109811515371262</x:v>
      </x:c>
      <x:c r="E2001" s="62" t="b">
        <x:v>0</x:v>
      </x:c>
      <x:c r="F2001" s="62" t="b">
        <x:v>0</x:v>
      </x:c>
      <x:c r="G2001" s="85" t="n">
        <x:v>1410555.0119447939</x:v>
      </x:c>
      <x:c r="H2001" s="85" t="n">
        <x:v>12367642.253233315</x:v>
      </x:c>
      <x:c r="I2001" s="85" t="n">
        <x:v>8674172.888438357</x:v>
      </x:c>
      <x:c r="J2001" s="85" t="n">
        <x:v>12821119.999999998</x:v>
      </x:c>
      <x:c r="K2001" s="85" t="n">
        <x:v>7999.369876712273</x:v>
      </x:c>
      <x:c r="L2001" s="28" t="n">
        <x:v>45</x:v>
      </x:c>
      <x:c r="M2001" s="28" t="n">
        <x:v>36</x:v>
      </x:c>
      <x:c r="N2001" s="28" t="n">
        <x:v>2.3283064365386963e-10</x:v>
      </x:c>
      <x:c r="O2001" s="28" t="n">
        <x:v>3.725290298461914e-9</x:v>
      </x:c>
      <x:c r="P2001" s="28" t="n">
        <x:v>0</x:v>
      </x:c>
      <x:c r="Q2001" s="62" t="b">
        <x:v>1</x:v>
      </x:c>
      <x:c r="R2001" s="28" t="n">
        <x:v>2175066.688714437</x:v>
      </x:c>
      <x:c r="S2001" s="28" t="str">
        <x:v>9f2b51e973329026</x:v>
      </x:c>
    </x:row>
    <x:row r="2002" ht="21" customHeight="1">
      <x:c r="A2002" s="60" t="n">
        <x:v>0.67</x:v>
      </x:c>
      <x:c r="B2002" s="28" t="str">
        <x:v>level_low</x:v>
      </x:c>
      <x:c r="C2002" s="60" t="n">
        <x:v>1</x:v>
      </x:c>
      <x:c r="D2002" s="60" t="n">
        <x:v>0.9258453085724337</x:v>
      </x:c>
      <x:c r="E2002" s="62" t="b">
        <x:v>0</x:v>
      </x:c>
      <x:c r="F2002" s="62" t="b">
        <x:v>0</x:v>
      </x:c>
      <x:c r="G2002" s="85" t="n">
        <x:v>1543970.6912270915</x:v>
      </x:c>
      <x:c r="H2002" s="85" t="n">
        <x:v>12991892.069481254</x:v>
      </x:c>
      <x:c r="I2002" s="85" t="n">
        <x:v>8677471.486684931</x:v>
      </x:c>
      <x:c r="J2002" s="85" t="n">
        <x:v>12821119.999999998</x:v>
      </x:c>
      <x:c r="K2002" s="85" t="n">
        <x:v>5824.770410958772</x:v>
      </x:c>
      <x:c r="L2002" s="28" t="n">
        <x:v>45</x:v>
      </x:c>
      <x:c r="M2002" s="28" t="n">
        <x:v>36</x:v>
      </x:c>
      <x:c r="N2002" s="28" t="n">
        <x:v>2.3283064365386963e-10</x:v>
      </x:c>
      <x:c r="O2002" s="28" t="n">
        <x:v>1.862645149230957e-9</x:v>
      </x:c>
      <x:c r="P2002" s="28" t="n">
        <x:v>0</x:v>
      </x:c>
      <x:c r="Q2002" s="62" t="b">
        <x:v>1</x:v>
      </x:c>
      <x:c r="R2002" s="28" t="n">
        <x:v>4133679.1189382523</x:v>
      </x:c>
      <x:c r="S2002" s="28" t="str">
        <x:v>cfe23e7806cc7a37</x:v>
      </x:c>
    </x:row>
    <x:row r="2003" ht="21" customHeight="1">
      <x:c r="A2003" s="60" t="n">
        <x:v>0.67</x:v>
      </x:c>
      <x:c r="B2003" s="28" t="str">
        <x:v>level_high</x:v>
      </x:c>
      <x:c r="C2003" s="60" t="n">
        <x:v>0</x:v>
      </x:c>
      <x:c r="D2003" s="60" t="n">
        <x:v>0</x:v>
      </x:c>
      <x:c r="E2003" s="62" t="b">
        <x:v>1</x:v>
      </x:c>
      <x:c r="F2003" s="62" t="b">
        <x:v>1</x:v>
      </x:c>
      <x:c r="G2003" s="85" t="n">
        <x:v>0</x:v>
      </x:c>
      <x:c r="H2003" s="85" t="n">
        <x:v>0</x:v>
      </x:c>
      <x:c r="I2003" s="85" t="n">
        <x:v>0</x:v>
      </x:c>
      <x:c r="J2003" s="85" t="n">
        <x:v>0</x:v>
      </x:c>
      <x:c r="K2003" s="85" t="n">
        <x:v>7404749.462356168</x:v>
      </x:c>
      <x:c r="L2003" s="28" t="n">
        <x:v>0</x:v>
      </x:c>
      <x:c r="M2003" s="28" t="n">
        <x:v>0</x:v>
      </x:c>
      <x:c r="N2003" s="28" t="n">
        <x:v>9.313225746154785e-10</x:v>
      </x:c>
      <x:c r="O2003" s="28" t="n">
        <x:v>0</x:v>
      </x:c>
      <x:c r="P2003" s="28" t="n">
        <x:v>0</x:v>
      </x:c>
      <x:c r="Q2003" s="62" t="b">
        <x:v>1</x:v>
      </x:c>
      <x:c r="R2003" s="28" t="n">
        <x:v>0</x:v>
      </x:c>
      <x:c r="S2003" s="28" t="str">
        <x:v>34b774acbe925a1e</x:v>
      </x:c>
    </x:row>
    <x:row r="2004" ht="21" customHeight="1">
      <x:c r="A2004" s="60" t="n">
        <x:v>0.67</x:v>
      </x:c>
      <x:c r="B2004" s="28" t="str">
        <x:v>level_high</x:v>
      </x:c>
      <x:c r="C2004" s="60" t="n">
        <x:v>0.05</x:v>
      </x:c>
      <x:c r="D2004" s="60" t="n">
        <x:v>0.05</x:v>
      </x:c>
      <x:c r="E2004" s="62" t="b">
        <x:v>1</x:v>
      </x:c>
      <x:c r="F2004" s="62" t="b">
        <x:v>1</x:v>
      </x:c>
      <x:c r="G2004" s="85" t="n">
        <x:v>0</x:v>
      </x:c>
      <x:c r="H2004" s="85" t="n">
        <x:v>0</x:v>
      </x:c>
      <x:c r="I2004" s="85" t="n">
        <x:v>0</x:v>
      </x:c>
      <x:c r="J2004" s="85" t="n">
        <x:v>0</x:v>
      </x:c>
      <x:c r="K2004" s="85" t="n">
        <x:v>4913189.899370663</x:v>
      </x:c>
      <x:c r="L2004" s="28" t="n">
        <x:v>0</x:v>
      </x:c>
      <x:c r="M2004" s="28" t="n">
        <x:v>0</x:v>
      </x:c>
      <x:c r="N2004" s="28" t="n">
        <x:v>4.656612873077393e-10</x:v>
      </x:c>
      <x:c r="O2004" s="28" t="n">
        <x:v>7.450580596923828e-9</x:v>
      </x:c>
      <x:c r="P2004" s="28" t="n">
        <x:v>0</x:v>
      </x:c>
      <x:c r="Q2004" s="62" t="b">
        <x:v>1</x:v>
      </x:c>
      <x:c r="R2004" s="28" t="n">
        <x:v>0</x:v>
      </x:c>
      <x:c r="S2004" s="28" t="str">
        <x:v>132e442699cc7955</x:v>
      </x:c>
    </x:row>
    <x:row r="2005" ht="21" customHeight="1">
      <x:c r="A2005" s="60" t="n">
        <x:v>0.67</x:v>
      </x:c>
      <x:c r="B2005" s="28" t="str">
        <x:v>level_high</x:v>
      </x:c>
      <x:c r="C2005" s="60" t="n">
        <x:v>0.1</x:v>
      </x:c>
      <x:c r="D2005" s="60" t="n">
        <x:v>0.1</x:v>
      </x:c>
      <x:c r="E2005" s="62" t="b">
        <x:v>1</x:v>
      </x:c>
      <x:c r="F2005" s="62" t="b">
        <x:v>1</x:v>
      </x:c>
      <x:c r="G2005" s="85" t="n">
        <x:v>0</x:v>
      </x:c>
      <x:c r="H2005" s="85" t="n">
        <x:v>0</x:v>
      </x:c>
      <x:c r="I2005" s="85" t="n">
        <x:v>0</x:v>
      </x:c>
      <x:c r="J2005" s="85" t="n">
        <x:v>0</x:v>
      </x:c>
      <x:c r="K2005" s="85" t="n">
        <x:v>2421475.4393911087</x:v>
      </x:c>
      <x:c r="L2005" s="28" t="n">
        <x:v>0</x:v>
      </x:c>
      <x:c r="M2005" s="28" t="n">
        <x:v>0</x:v>
      </x:c>
      <x:c r="N2005" s="28" t="n">
        <x:v>4.656612873077393e-10</x:v>
      </x:c>
      <x:c r="O2005" s="28" t="n">
        <x:v>7.450580596923828e-9</x:v>
      </x:c>
      <x:c r="P2005" s="28" t="n">
        <x:v>0</x:v>
      </x:c>
      <x:c r="Q2005" s="62" t="b">
        <x:v>1</x:v>
      </x:c>
      <x:c r="R2005" s="28" t="n">
        <x:v>0</x:v>
      </x:c>
      <x:c r="S2005" s="28" t="str">
        <x:v>85c3521fb97776a5</x:v>
      </x:c>
    </x:row>
    <x:row r="2006" ht="21" customHeight="1">
      <x:c r="A2006" s="60" t="n">
        <x:v>0.67</x:v>
      </x:c>
      <x:c r="B2006" s="28" t="str">
        <x:v>level_high</x:v>
      </x:c>
      <x:c r="C2006" s="60" t="n">
        <x:v>0.15</x:v>
      </x:c>
      <x:c r="D2006" s="60" t="n">
        <x:v>0.15</x:v>
      </x:c>
      <x:c r="E2006" s="62" t="b">
        <x:v>1</x:v>
      </x:c>
      <x:c r="F2006" s="62" t="b">
        <x:v>1</x:v>
      </x:c>
      <x:c r="G2006" s="85" t="n">
        <x:v>0</x:v>
      </x:c>
      <x:c r="H2006" s="85" t="n">
        <x:v>0</x:v>
      </x:c>
      <x:c r="I2006" s="85" t="n">
        <x:v>615372.730447378</x:v>
      </x:c>
      <x:c r="J2006" s="85" t="n">
        <x:v>0</x:v>
      </x:c>
      <x:c r="K2006" s="85" t="n">
        <x:v>592508.8939066484</x:v>
      </x:c>
      <x:c r="L2006" s="28" t="n">
        <x:v>0</x:v>
      </x:c>
      <x:c r="M2006" s="28" t="n">
        <x:v>0</x:v>
      </x:c>
      <x:c r="N2006" s="28" t="n">
        <x:v>9.313225746154785e-10</x:v>
      </x:c>
      <x:c r="O2006" s="28" t="n">
        <x:v>7.450580596923828e-9</x:v>
      </x:c>
      <x:c r="P2006" s="28" t="n">
        <x:v>0</x:v>
      </x:c>
      <x:c r="Q2006" s="62" t="b">
        <x:v>1</x:v>
      </x:c>
      <x:c r="R2006" s="28" t="n">
        <x:v>0</x:v>
      </x:c>
      <x:c r="S2006" s="28" t="str">
        <x:v>1219d9be8ebaf450</x:v>
      </x:c>
    </x:row>
    <x:row r="2007" ht="21" customHeight="1">
      <x:c r="A2007" s="60" t="n">
        <x:v>0.67</x:v>
      </x:c>
      <x:c r="B2007" s="28" t="str">
        <x:v>level_high</x:v>
      </x:c>
      <x:c r="C2007" s="60" t="n">
        <x:v>0.2</x:v>
      </x:c>
      <x:c r="D2007" s="60" t="n">
        <x:v>0.2</x:v>
      </x:c>
      <x:c r="E2007" s="62" t="b">
        <x:v>1</x:v>
      </x:c>
      <x:c r="F2007" s="62" t="b">
        <x:v>1</x:v>
      </x:c>
      <x:c r="G2007" s="85" t="n">
        <x:v>0</x:v>
      </x:c>
      <x:c r="H2007" s="85" t="n">
        <x:v>0</x:v>
      </x:c>
      <x:c r="I2007" s="85" t="n">
        <x:v>2458586.222963515</x:v>
      </x:c>
      <x:c r="J2007" s="85" t="n">
        <x:v>1248509.6821692958</x:v>
      </x:c>
      <x:c r="K2007" s="85" t="n">
        <x:v>434750.93298794527</x:v>
      </x:c>
      <x:c r="L2007" s="28" t="n">
        <x:v>0</x:v>
      </x:c>
      <x:c r="M2007" s="28" t="n">
        <x:v>0</x:v>
      </x:c>
      <x:c r="N2007" s="28" t="n">
        <x:v>9.313225746154785e-10</x:v>
      </x:c>
      <x:c r="O2007" s="28" t="n">
        <x:v>7.450580596923828e-9</x:v>
      </x:c>
      <x:c r="P2007" s="28" t="n">
        <x:v>0</x:v>
      </x:c>
      <x:c r="Q2007" s="62" t="b">
        <x:v>1</x:v>
      </x:c>
      <x:c r="R2007" s="28" t="n">
        <x:v>0</x:v>
      </x:c>
      <x:c r="S2007" s="28" t="str">
        <x:v>58690435d2c89442</x:v>
      </x:c>
    </x:row>
    <x:row r="2008" ht="21" customHeight="1">
      <x:c r="A2008" s="60" t="n">
        <x:v>0.67</x:v>
      </x:c>
      <x:c r="B2008" s="28" t="str">
        <x:v>level_high</x:v>
      </x:c>
      <x:c r="C2008" s="60" t="n">
        <x:v>0.25</x:v>
      </x:c>
      <x:c r="D2008" s="60" t="n">
        <x:v>0.25</x:v>
      </x:c>
      <x:c r="E2008" s="62" t="b">
        <x:v>1</x:v>
      </x:c>
      <x:c r="F2008" s="62" t="b">
        <x:v>1</x:v>
      </x:c>
      <x:c r="G2008" s="85" t="n">
        <x:v>0</x:v>
      </x:c>
      <x:c r="H2008" s="85" t="n">
        <x:v>0</x:v>
      </x:c>
      <x:c r="I2008" s="85" t="n">
        <x:v>4081075.8868103763</x:v>
      </x:c>
      <x:c r="J2008" s="85" t="n">
        <x:v>2954237.102711631</x:v>
      </x:c>
      <x:c r="K2008" s="85" t="n">
        <x:v>334163.03946780856</x:v>
      </x:c>
      <x:c r="L2008" s="28" t="n">
        <x:v>0</x:v>
      </x:c>
      <x:c r="M2008" s="28" t="n">
        <x:v>0</x:v>
      </x:c>
      <x:c r="N2008" s="28" t="n">
        <x:v>4.656612873077393e-10</x:v>
      </x:c>
      <x:c r="O2008" s="28" t="n">
        <x:v>7.450580596923828e-9</x:v>
      </x:c>
      <x:c r="P2008" s="28" t="n">
        <x:v>0</x:v>
      </x:c>
      <x:c r="Q2008" s="62" t="b">
        <x:v>1</x:v>
      </x:c>
      <x:c r="R2008" s="28" t="n">
        <x:v>0</x:v>
      </x:c>
      <x:c r="S2008" s="28" t="str">
        <x:v>c5c056adcd08b84d</x:v>
      </x:c>
    </x:row>
    <x:row r="2009" ht="21" customHeight="1">
      <x:c r="A2009" s="60" t="n">
        <x:v>0.67</x:v>
      </x:c>
      <x:c r="B2009" s="28" t="str">
        <x:v>level_high</x:v>
      </x:c>
      <x:c r="C2009" s="60" t="n">
        <x:v>0.3</x:v>
      </x:c>
      <x:c r="D2009" s="60" t="n">
        <x:v>0.3</x:v>
      </x:c>
      <x:c r="E2009" s="62" t="b">
        <x:v>1</x:v>
      </x:c>
      <x:c r="F2009" s="62" t="b">
        <x:v>1</x:v>
      </x:c>
      <x:c r="G2009" s="85" t="n">
        <x:v>0</x:v>
      </x:c>
      <x:c r="H2009" s="85" t="n">
        <x:v>0</x:v>
      </x:c>
      <x:c r="I2009" s="85" t="n">
        <x:v>5735370.408040936</x:v>
      </x:c>
      <x:c r="J2009" s="85" t="n">
        <x:v>4659964.523253945</x:v>
      </x:c>
      <x:c r="K2009" s="85" t="n">
        <x:v>258961.18749835758</x:v>
      </x:c>
      <x:c r="L2009" s="28" t="n">
        <x:v>0</x:v>
      </x:c>
      <x:c r="M2009" s="28" t="n">
        <x:v>0</x:v>
      </x:c>
      <x:c r="N2009" s="28" t="n">
        <x:v>4.656612873077393e-10</x:v>
      </x:c>
      <x:c r="O2009" s="28" t="n">
        <x:v>7.450580596923828e-9</x:v>
      </x:c>
      <x:c r="P2009" s="28" t="n">
        <x:v>0</x:v>
      </x:c>
      <x:c r="Q2009" s="62" t="b">
        <x:v>1</x:v>
      </x:c>
      <x:c r="R2009" s="28" t="n">
        <x:v>0</x:v>
      </x:c>
      <x:c r="S2009" s="28" t="str">
        <x:v>a0a2ace77f861145</x:v>
      </x:c>
    </x:row>
    <x:row r="2010" ht="21" customHeight="1">
      <x:c r="A2010" s="60" t="n">
        <x:v>0.67</x:v>
      </x:c>
      <x:c r="B2010" s="28" t="str">
        <x:v>level_high</x:v>
      </x:c>
      <x:c r="C2010" s="60" t="n">
        <x:v>0.35</x:v>
      </x:c>
      <x:c r="D2010" s="60" t="n">
        <x:v>0.35</x:v>
      </x:c>
      <x:c r="E2010" s="62" t="b">
        <x:v>1</x:v>
      </x:c>
      <x:c r="F2010" s="62" t="b">
        <x:v>1</x:v>
      </x:c>
      <x:c r="G2010" s="85" t="n">
        <x:v>0</x:v>
      </x:c>
      <x:c r="H2010" s="85" t="n">
        <x:v>0</x:v>
      </x:c>
      <x:c r="I2010" s="85" t="n">
        <x:v>7416437.934086509</x:v>
      </x:c>
      <x:c r="J2010" s="85" t="n">
        <x:v>6365691.94379625</x:v>
      </x:c>
      <x:c r="K2010" s="85" t="n">
        <x:v>208361.06938356225</x:v>
      </x:c>
      <x:c r="L2010" s="28" t="n">
        <x:v>0</x:v>
      </x:c>
      <x:c r="M2010" s="28" t="n">
        <x:v>0</x:v>
      </x:c>
      <x:c r="N2010" s="28" t="n">
        <x:v>2.3283064365386963e-10</x:v>
      </x:c>
      <x:c r="O2010" s="28" t="n">
        <x:v>7.450580596923828e-9</x:v>
      </x:c>
      <x:c r="P2010" s="28" t="n">
        <x:v>0</x:v>
      </x:c>
      <x:c r="Q2010" s="62" t="b">
        <x:v>1</x:v>
      </x:c>
      <x:c r="R2010" s="28" t="n">
        <x:v>0</x:v>
      </x:c>
      <x:c r="S2010" s="28" t="str">
        <x:v>9528ee2e9e246a3c</x:v>
      </x:c>
    </x:row>
    <x:row r="2011" ht="21" customHeight="1">
      <x:c r="A2011" s="60" t="n">
        <x:v>0.67</x:v>
      </x:c>
      <x:c r="B2011" s="28" t="str">
        <x:v>level_high</x:v>
      </x:c>
      <x:c r="C2011" s="60" t="n">
        <x:v>0.4</x:v>
      </x:c>
      <x:c r="D2011" s="60" t="n">
        <x:v>0.4</x:v>
      </x:c>
      <x:c r="E2011" s="62" t="b">
        <x:v>1</x:v>
      </x:c>
      <x:c r="F2011" s="62" t="b">
        <x:v>1</x:v>
      </x:c>
      <x:c r="G2011" s="85" t="n">
        <x:v>0</x:v>
      </x:c>
      <x:c r="H2011" s="85" t="n">
        <x:v>0</x:v>
      </x:c>
      <x:c r="I2011" s="85" t="n">
        <x:v>9268079.493766015</x:v>
      </x:c>
      <x:c r="J2011" s="85" t="n">
        <x:v>7191683.513500624</x:v>
      </x:c>
      <x:c r="K2011" s="85" t="n">
        <x:v>178415.69643835674</x:v>
      </x:c>
      <x:c r="L2011" s="28" t="n">
        <x:v>5</x:v>
      </x:c>
      <x:c r="M2011" s="28" t="n">
        <x:v>0</x:v>
      </x:c>
      <x:c r="N2011" s="28" t="n">
        <x:v>2.3283064365386963e-10</x:v>
      </x:c>
      <x:c r="O2011" s="28" t="n">
        <x:v>7.450580596923828e-9</x:v>
      </x:c>
      <x:c r="P2011" s="28" t="n">
        <x:v>0</x:v>
      </x:c>
      <x:c r="Q2011" s="62" t="b">
        <x:v>1</x:v>
      </x:c>
      <x:c r="R2011" s="28" t="n">
        <x:v>0</x:v>
      </x:c>
      <x:c r="S2011" s="28" t="str">
        <x:v>400df65aa2f7b391</x:v>
      </x:c>
    </x:row>
    <x:row r="2012" ht="21" customHeight="1">
      <x:c r="A2012" s="60" t="n">
        <x:v>0.67</x:v>
      </x:c>
      <x:c r="B2012" s="28" t="str">
        <x:v>level_high</x:v>
      </x:c>
      <x:c r="C2012" s="60" t="n">
        <x:v>0.45</x:v>
      </x:c>
      <x:c r="D2012" s="60" t="n">
        <x:v>0.45</x:v>
      </x:c>
      <x:c r="E2012" s="62" t="b">
        <x:v>1</x:v>
      </x:c>
      <x:c r="F2012" s="62" t="b">
        <x:v>1</x:v>
      </x:c>
      <x:c r="G2012" s="85" t="n">
        <x:v>0</x:v>
      </x:c>
      <x:c r="H2012" s="85" t="n">
        <x:v>0</x:v>
      </x:c>
      <x:c r="I2012" s="85" t="n">
        <x:v>11076167.480808701</x:v>
      </x:c>
      <x:c r="J2012" s="85" t="n">
        <x:v>8194492.902169102</x:v>
      </x:c>
      <x:c r="K2012" s="85" t="n">
        <x:v>148470.32349315117</x:v>
      </x:c>
      <x:c r="L2012" s="28" t="n">
        <x:v>10</x:v>
      </x:c>
      <x:c r="M2012" s="28" t="n">
        <x:v>0</x:v>
      </x:c>
      <x:c r="N2012" s="28" t="n">
        <x:v>4.656612873077393e-10</x:v>
      </x:c>
      <x:c r="O2012" s="28" t="n">
        <x:v>3.725290298461914e-9</x:v>
      </x:c>
      <x:c r="P2012" s="28" t="n">
        <x:v>0</x:v>
      </x:c>
      <x:c r="Q2012" s="62" t="b">
        <x:v>1</x:v>
      </x:c>
      <x:c r="R2012" s="28" t="n">
        <x:v>0</x:v>
      </x:c>
      <x:c r="S2012" s="28" t="str">
        <x:v>e9a0386bddda64f2</x:v>
      </x:c>
    </x:row>
    <x:row r="2013" ht="21" customHeight="1">
      <x:c r="A2013" s="60" t="n">
        <x:v>0.67</x:v>
      </x:c>
      <x:c r="B2013" s="28" t="str">
        <x:v>level_high</x:v>
      </x:c>
      <x:c r="C2013" s="60" t="n">
        <x:v>0.5</x:v>
      </x:c>
      <x:c r="D2013" s="60" t="n">
        <x:v>0.5</x:v>
      </x:c>
      <x:c r="E2013" s="62" t="b">
        <x:v>1</x:v>
      </x:c>
      <x:c r="F2013" s="62" t="b">
        <x:v>1</x:v>
      </x:c>
      <x:c r="G2013" s="85" t="n">
        <x:v>0</x:v>
      </x:c>
      <x:c r="H2013" s="85" t="n">
        <x:v>0</x:v>
      </x:c>
      <x:c r="I2013" s="85" t="n">
        <x:v>12794184.935267279</x:v>
      </x:c>
      <x:c r="J2013" s="85" t="n">
        <x:v>9576270.95394672</x:v>
      </x:c>
      <x:c r="K2013" s="85" t="n">
        <x:v>125786.72983561628</x:v>
      </x:c>
      <x:c r="L2013" s="28" t="n">
        <x:v>14</x:v>
      </x:c>
      <x:c r="M2013" s="28" t="n">
        <x:v>3</x:v>
      </x:c>
      <x:c r="N2013" s="28" t="n">
        <x:v>4.656612873077393e-10</x:v>
      </x:c>
      <x:c r="O2013" s="28" t="n">
        <x:v>3.725290298461914e-9</x:v>
      </x:c>
      <x:c r="P2013" s="28" t="n">
        <x:v>0</x:v>
      </x:c>
      <x:c r="Q2013" s="62" t="b">
        <x:v>1</x:v>
      </x:c>
      <x:c r="R2013" s="28" t="n">
        <x:v>0</x:v>
      </x:c>
      <x:c r="S2013" s="28" t="str">
        <x:v>77f136ba0554f9de</x:v>
      </x:c>
    </x:row>
    <x:row r="2014" ht="21" customHeight="1">
      <x:c r="A2014" s="60" t="n">
        <x:v>0.67</x:v>
      </x:c>
      <x:c r="B2014" s="28" t="str">
        <x:v>level_high</x:v>
      </x:c>
      <x:c r="C2014" s="60" t="n">
        <x:v>0.55</x:v>
      </x:c>
      <x:c r="D2014" s="60" t="n">
        <x:v>0.55</x:v>
      </x:c>
      <x:c r="E2014" s="62" t="b">
        <x:v>1</x:v>
      </x:c>
      <x:c r="F2014" s="62" t="b">
        <x:v>1</x:v>
      </x:c>
      <x:c r="G2014" s="85" t="n">
        <x:v>0</x:v>
      </x:c>
      <x:c r="H2014" s="85" t="n">
        <x:v>0</x:v>
      </x:c>
      <x:c r="I2014" s="85" t="n">
        <x:v>14445164.153172754</x:v>
      </x:c>
      <x:c r="J2014" s="85" t="n">
        <x:v>11371780.677068736</x:v>
      </x:c>
      <x:c r="K2014" s="85" t="n">
        <x:v>107856.24056164376</x:v>
      </x:c>
      <x:c r="L2014" s="28" t="n">
        <x:v>18</x:v>
      </x:c>
      <x:c r="M2014" s="28" t="n">
        <x:v>10</x:v>
      </x:c>
      <x:c r="N2014" s="28" t="n">
        <x:v>2.3283064365386963e-10</x:v>
      </x:c>
      <x:c r="O2014" s="28" t="n">
        <x:v>3.725290298461914e-9</x:v>
      </x:c>
      <x:c r="P2014" s="28" t="n">
        <x:v>0</x:v>
      </x:c>
      <x:c r="Q2014" s="62" t="b">
        <x:v>1</x:v>
      </x:c>
      <x:c r="R2014" s="28" t="n">
        <x:v>0</x:v>
      </x:c>
      <x:c r="S2014" s="28" t="str">
        <x:v>2b0fd9449939d6d8</x:v>
      </x:c>
    </x:row>
    <x:row r="2015" ht="21" customHeight="1">
      <x:c r="A2015" s="60" t="n">
        <x:v>0.67</x:v>
      </x:c>
      <x:c r="B2015" s="28" t="str">
        <x:v>level_high</x:v>
      </x:c>
      <x:c r="C2015" s="60" t="n">
        <x:v>0.6</x:v>
      </x:c>
      <x:c r="D2015" s="60" t="n">
        <x:v>0.6</x:v>
      </x:c>
      <x:c r="E2015" s="62" t="b">
        <x:v>1</x:v>
      </x:c>
      <x:c r="F2015" s="62" t="b">
        <x:v>0</x:v>
      </x:c>
      <x:c r="G2015" s="85" t="n">
        <x:v>218238.72895861094</x:v>
      </x:c>
      <x:c r="H2015" s="85" t="n">
        <x:v>688850.1950153639</x:v>
      </x:c>
      <x:c r="I2015" s="85" t="n">
        <x:v>15638734.07459233</x:v>
      </x:c>
      <x:c r="J2015" s="85" t="n">
        <x:v>12821119.999999998</x:v>
      </x:c>
      <x:c r="K2015" s="85" t="n">
        <x:v>98818.47884931555</x:v>
      </x:c>
      <x:c r="L2015" s="28" t="n">
        <x:v>42</x:v>
      </x:c>
      <x:c r="M2015" s="28" t="n">
        <x:v>34</x:v>
      </x:c>
      <x:c r="N2015" s="28" t="n">
        <x:v>4.656612873077393e-10</x:v>
      </x:c>
      <x:c r="O2015" s="28" t="n">
        <x:v>7.450580596923828e-9</x:v>
      </x:c>
      <x:c r="P2015" s="28" t="n">
        <x:v>0</x:v>
      </x:c>
      <x:c r="Q2015" s="62" t="b">
        <x:v>1</x:v>
      </x:c>
      <x:c r="R2015" s="28" t="n">
        <x:v>0</x:v>
      </x:c>
      <x:c r="S2015" s="28" t="str">
        <x:v>70f813ee98f3f385</x:v>
      </x:c>
    </x:row>
    <x:row r="2016" ht="21" customHeight="1">
      <x:c r="A2016" s="60" t="n">
        <x:v>0.67</x:v>
      </x:c>
      <x:c r="B2016" s="28" t="str">
        <x:v>level_high</x:v>
      </x:c>
      <x:c r="C2016" s="60" t="n">
        <x:v>0.65</x:v>
      </x:c>
      <x:c r="D2016" s="60" t="n">
        <x:v>0.65</x:v>
      </x:c>
      <x:c r="E2016" s="62" t="b">
        <x:v>1</x:v>
      </x:c>
      <x:c r="F2016" s="62" t="b">
        <x:v>0</x:v>
      </x:c>
      <x:c r="G2016" s="85" t="n">
        <x:v>990846.0434588315</x:v>
      </x:c>
      <x:c r="H2016" s="85" t="n">
        <x:v>3057240.49348533</x:v>
      </x:c>
      <x:c r="I2016" s="85" t="n">
        <x:v>15961969.401739728</x:v>
      </x:c>
      <x:c r="J2016" s="85" t="n">
        <x:v>12821119.999999998</x:v>
      </x:c>
      <x:c r="K2016" s="85" t="n">
        <x:v>89780.71713698644</x:v>
      </x:c>
      <x:c r="L2016" s="28" t="n">
        <x:v>43</x:v>
      </x:c>
      <x:c r="M2016" s="28" t="n">
        <x:v>36</x:v>
      </x:c>
      <x:c r="N2016" s="28" t="n">
        <x:v>4.656612873077393e-10</x:v>
      </x:c>
      <x:c r="O2016" s="28" t="n">
        <x:v>3.725290298461914e-9</x:v>
      </x:c>
      <x:c r="P2016" s="28" t="n">
        <x:v>0</x:v>
      </x:c>
      <x:c r="Q2016" s="62" t="b">
        <x:v>1</x:v>
      </x:c>
      <x:c r="R2016" s="28" t="n">
        <x:v>0</x:v>
      </x:c>
      <x:c r="S2016" s="28" t="str">
        <x:v>b45bcec2bf991b24</x:v>
      </x:c>
    </x:row>
    <x:row r="2017" ht="21" customHeight="1">
      <x:c r="A2017" s="60" t="n">
        <x:v>0.67</x:v>
      </x:c>
      <x:c r="B2017" s="28" t="str">
        <x:v>level_high</x:v>
      </x:c>
      <x:c r="C2017" s="60" t="n">
        <x:v>0.7</x:v>
      </x:c>
      <x:c r="D2017" s="60" t="n">
        <x:v>0.7</x:v>
      </x:c>
      <x:c r="E2017" s="62" t="b">
        <x:v>1</x:v>
      </x:c>
      <x:c r="F2017" s="62" t="b">
        <x:v>0</x:v>
      </x:c>
      <x:c r="G2017" s="85" t="n">
        <x:v>1900010.746587217</x:v>
      </x:c>
      <x:c r="H2017" s="85" t="n">
        <x:v>5731530.610517078</x:v>
      </x:c>
      <x:c r="I2017" s="85" t="n">
        <x:v>15996116.14490411</x:v>
      </x:c>
      <x:c r="J2017" s="85" t="n">
        <x:v>12821119.999999998</x:v>
      </x:c>
      <x:c r="K2017" s="85" t="n">
        <x:v>80742.95542465778</x:v>
      </x:c>
      <x:c r="L2017" s="28" t="n">
        <x:v>43</x:v>
      </x:c>
      <x:c r="M2017" s="28" t="n">
        <x:v>37</x:v>
      </x:c>
      <x:c r="N2017" s="28" t="n">
        <x:v>4.656612873077393e-10</x:v>
      </x:c>
      <x:c r="O2017" s="28" t="n">
        <x:v>3.725290298461914e-9</x:v>
      </x:c>
      <x:c r="P2017" s="28" t="n">
        <x:v>0</x:v>
      </x:c>
      <x:c r="Q2017" s="62" t="b">
        <x:v>1</x:v>
      </x:c>
      <x:c r="R2017" s="28" t="n">
        <x:v>0</x:v>
      </x:c>
      <x:c r="S2017" s="28" t="str">
        <x:v>0e6eaeb25d2f5d88</x:v>
      </x:c>
    </x:row>
    <x:row r="2018" ht="21" customHeight="1">
      <x:c r="A2018" s="60" t="n">
        <x:v>0.67</x:v>
      </x:c>
      <x:c r="B2018" s="28" t="str">
        <x:v>level_high</x:v>
      </x:c>
      <x:c r="C2018" s="60" t="n">
        <x:v>0.75</x:v>
      </x:c>
      <x:c r="D2018" s="60" t="n">
        <x:v>0.75</x:v>
      </x:c>
      <x:c r="E2018" s="62" t="b">
        <x:v>1</x:v>
      </x:c>
      <x:c r="F2018" s="62" t="b">
        <x:v>0</x:v>
      </x:c>
      <x:c r="G2018" s="85" t="n">
        <x:v>2782342.031823159</x:v>
      </x:c>
      <x:c r="H2018" s="85" t="n">
        <x:v>7850471.204311506</x:v>
      </x:c>
      <x:c r="I2018" s="85" t="n">
        <x:v>16295542.588438358</x:v>
      </x:c>
      <x:c r="J2018" s="85" t="n">
        <x:v>12821119.999999998</x:v>
      </x:c>
      <x:c r="K2018" s="85" t="n">
        <x:v>71705.19371232865</x:v>
      </x:c>
      <x:c r="L2018" s="28" t="n">
        <x:v>44</x:v>
      </x:c>
      <x:c r="M2018" s="28" t="n">
        <x:v>38</x:v>
      </x:c>
      <x:c r="N2018" s="28" t="n">
        <x:v>4.656612873077393e-10</x:v>
      </x:c>
      <x:c r="O2018" s="28" t="n">
        <x:v>3.725290298461914e-9</x:v>
      </x:c>
      <x:c r="P2018" s="28" t="n">
        <x:v>0</x:v>
      </x:c>
      <x:c r="Q2018" s="62" t="b">
        <x:v>1</x:v>
      </x:c>
      <x:c r="R2018" s="28" t="n">
        <x:v>0</x:v>
      </x:c>
      <x:c r="S2018" s="28" t="str">
        <x:v>7ac3803c9ab055a8</x:v>
      </x:c>
    </x:row>
    <x:row r="2019" ht="21" customHeight="1">
      <x:c r="A2019" s="60" t="n">
        <x:v>0.67</x:v>
      </x:c>
      <x:c r="B2019" s="28" t="str">
        <x:v>level_high</x:v>
      </x:c>
      <x:c r="C2019" s="60" t="n">
        <x:v>0.8</x:v>
      </x:c>
      <x:c r="D2019" s="60" t="n">
        <x:v>0.8</x:v>
      </x:c>
      <x:c r="E2019" s="62" t="b">
        <x:v>1</x:v>
      </x:c>
      <x:c r="F2019" s="62" t="b">
        <x:v>0</x:v>
      </x:c>
      <x:c r="G2019" s="85" t="n">
        <x:v>3800397.4507874697</x:v>
      </x:c>
      <x:c r="H2019" s="85" t="n">
        <x:v>10301867.43857412</x:v>
      </x:c>
      <x:c r="I2019" s="85" t="n">
        <x:v>16316713.647342468</x:v>
      </x:c>
      <x:c r="J2019" s="85" t="n">
        <x:v>12821119.999999998</x:v>
      </x:c>
      <x:c r="K2019" s="85" t="n">
        <x:v>62667.43200000092</x:v>
      </x:c>
      <x:c r="L2019" s="28" t="n">
        <x:v>44</x:v>
      </x:c>
      <x:c r="M2019" s="28" t="n">
        <x:v>38</x:v>
      </x:c>
      <x:c r="N2019" s="28" t="n">
        <x:v>4.656612873077393e-10</x:v>
      </x:c>
      <x:c r="O2019" s="28" t="n">
        <x:v>3.725290298461914e-9</x:v>
      </x:c>
      <x:c r="P2019" s="28" t="n">
        <x:v>0</x:v>
      </x:c>
      <x:c r="Q2019" s="62" t="b">
        <x:v>1</x:v>
      </x:c>
      <x:c r="R2019" s="28" t="n">
        <x:v>0</x:v>
      </x:c>
      <x:c r="S2019" s="28" t="str">
        <x:v>c36938beba7836f5</x:v>
      </x:c>
    </x:row>
    <x:row r="2020" ht="21" customHeight="1">
      <x:c r="A2020" s="60" t="n">
        <x:v>0.67</x:v>
      </x:c>
      <x:c r="B2020" s="28" t="str">
        <x:v>level_high</x:v>
      </x:c>
      <x:c r="C2020" s="60" t="n">
        <x:v>0.85</x:v>
      </x:c>
      <x:c r="D2020" s="60" t="n">
        <x:v>0.85</x:v>
      </x:c>
      <x:c r="E2020" s="62" t="b">
        <x:v>1</x:v>
      </x:c>
      <x:c r="F2020" s="62" t="b">
        <x:v>0</x:v>
      </x:c>
      <x:c r="G2020" s="85" t="n">
        <x:v>4848664.833308213</x:v>
      </x:c>
      <x:c r="H2020" s="85" t="n">
        <x:v>12200048.720836813</x:v>
      </x:c>
      <x:c r="I2020" s="85" t="n">
        <x:v>16636760.100438358</x:v>
      </x:c>
      <x:c r="J2020" s="85" t="n">
        <x:v>12821119.999999998</x:v>
      </x:c>
      <x:c r="K2020" s="85" t="n">
        <x:v>53629.67028767156</x:v>
      </x:c>
      <x:c r="L2020" s="28" t="n">
        <x:v>45</x:v>
      </x:c>
      <x:c r="M2020" s="28" t="n">
        <x:v>40</x:v>
      </x:c>
      <x:c r="N2020" s="28" t="n">
        <x:v>4.656612873077393e-10</x:v>
      </x:c>
      <x:c r="O2020" s="28" t="n">
        <x:v>3.725290298461914e-9</x:v>
      </x:c>
      <x:c r="P2020" s="28" t="n">
        <x:v>0</x:v>
      </x:c>
      <x:c r="Q2020" s="62" t="b">
        <x:v>1</x:v>
      </x:c>
      <x:c r="R2020" s="28" t="n">
        <x:v>0</x:v>
      </x:c>
      <x:c r="S2020" s="28" t="str">
        <x:v>6b0b09fc24026a5c</x:v>
      </x:c>
    </x:row>
    <x:row r="2021" ht="21" customHeight="1">
      <x:c r="A2021" s="60" t="n">
        <x:v>0.67</x:v>
      </x:c>
      <x:c r="B2021" s="28" t="str">
        <x:v>level_high</x:v>
      </x:c>
      <x:c r="C2021" s="60" t="n">
        <x:v>0.9</x:v>
      </x:c>
      <x:c r="D2021" s="60" t="n">
        <x:v>0.8949513562027351</x:v>
      </x:c>
      <x:c r="E2021" s="62" t="b">
        <x:v>0</x:v>
      </x:c>
      <x:c r="F2021" s="62" t="b">
        <x:v>0</x:v>
      </x:c>
      <x:c r="G2021" s="85" t="n">
        <x:v>6014871.954078575</x:v>
      </x:c>
      <x:c r="H2021" s="85" t="n">
        <x:v>13540825.880066363</x:v>
      </x:c>
      <x:c r="I2021" s="85" t="n">
        <x:v>16645789.044712331</x:v>
      </x:c>
      <x:c r="J2021" s="85" t="n">
        <x:v>12821119.999999998</x:v>
      </x:c>
      <x:c r="K2021" s="85" t="n">
        <x:v>44591.90857534266</x:v>
      </x:c>
      <x:c r="L2021" s="28" t="n">
        <x:v>45</x:v>
      </x:c>
      <x:c r="M2021" s="28" t="n">
        <x:v>40</x:v>
      </x:c>
      <x:c r="N2021" s="28" t="n">
        <x:v>2.3283064365386963e-10</x:v>
      </x:c>
      <x:c r="O2021" s="28" t="n">
        <x:v>3.725290298461914e-9</x:v>
      </x:c>
      <x:c r="P2021" s="28" t="n">
        <x:v>0</x:v>
      </x:c>
      <x:c r="Q2021" s="62" t="b">
        <x:v>1</x:v>
      </x:c>
      <x:c r="R2021" s="28" t="n">
        <x:v>281431.5998347327</x:v>
      </x:c>
      <x:c r="S2021" s="28" t="str">
        <x:v>ae11bc9879c96c8b</x:v>
      </x:c>
    </x:row>
    <x:row r="2022" ht="21" customHeight="1">
      <x:c r="A2022" s="60" t="n">
        <x:v>0.67</x:v>
      </x:c>
      <x:c r="B2022" s="28" t="str">
        <x:v>level_high</x:v>
      </x:c>
      <x:c r="C2022" s="60" t="n">
        <x:v>0.95</x:v>
      </x:c>
      <x:c r="D2022" s="60" t="n">
        <x:v>0.9109811515371262</x:v>
      </x:c>
      <x:c r="E2022" s="62" t="b">
        <x:v>0</x:v>
      </x:c>
      <x:c r="F2022" s="62" t="b">
        <x:v>0</x:v>
      </x:c>
      <x:c r="G2022" s="85" t="n">
        <x:v>6547884.391538818</x:v>
      </x:c>
      <x:c r="H2022" s="85" t="n">
        <x:v>14560067.145154053</x:v>
      </x:c>
      <x:c r="I2022" s="85" t="n">
        <x:v>16654817.988986304</x:v>
      </x:c>
      <x:c r="J2022" s="85" t="n">
        <x:v>12821119.999999998</x:v>
      </x:c>
      <x:c r="K2022" s="85" t="n">
        <x:v>38531.540958903766</x:v>
      </x:c>
      <x:c r="L2022" s="28" t="n">
        <x:v>45</x:v>
      </x:c>
      <x:c r="M2022" s="28" t="n">
        <x:v>41</x:v>
      </x:c>
      <x:c r="N2022" s="28" t="n">
        <x:v>2.3283064365386963e-10</x:v>
      </x:c>
      <x:c r="O2022" s="28" t="n">
        <x:v>3.725290298461914e-9</x:v>
      </x:c>
      <x:c r="P2022" s="28" t="n">
        <x:v>0</x:v>
      </x:c>
      <x:c r="Q2022" s="62" t="b">
        <x:v>1</x:v>
      </x:c>
      <x:c r="R2022" s="28" t="n">
        <x:v>2175066.688714437</x:v>
      </x:c>
      <x:c r="S2022" s="28" t="str">
        <x:v>2c6bec38f18e0eb0</x:v>
      </x:c>
    </x:row>
    <x:row r="2023" ht="21" customHeight="1">
      <x:c r="A2023" s="60" t="n">
        <x:v>0.67</x:v>
      </x:c>
      <x:c r="B2023" s="28" t="str">
        <x:v>level_high</x:v>
      </x:c>
      <x:c r="C2023" s="60" t="n">
        <x:v>1</x:v>
      </x:c>
      <x:c r="D2023" s="60" t="n">
        <x:v>0.9258453085724337</x:v>
      </x:c>
      <x:c r="E2023" s="62" t="b">
        <x:v>0</x:v>
      </x:c>
      <x:c r="F2023" s="62" t="b">
        <x:v>0</x:v>
      </x:c>
      <x:c r="G2023" s="85" t="n">
        <x:v>7116956.168929594</x:v>
      </x:c>
      <x:c r="H2023" s="85" t="n">
        <x:v>15376217.883411473</x:v>
      </x:c>
      <x:c r="I2023" s="85" t="n">
        <x:v>16663846.933260277</x:v>
      </x:c>
      <x:c r="J2023" s="85" t="n">
        <x:v>12821119.999999998</x:v>
      </x:c>
      <x:c r="K2023" s="85" t="n">
        <x:v>35507.140273972684</x:v>
      </x:c>
      <x:c r="L2023" s="28" t="n">
        <x:v>45</x:v>
      </x:c>
      <x:c r="M2023" s="28" t="n">
        <x:v>42</x:v>
      </x:c>
      <x:c r="N2023" s="28" t="n">
        <x:v>2.3283064365386963e-10</x:v>
      </x:c>
      <x:c r="O2023" s="28" t="n">
        <x:v>1.862645149230957e-9</x:v>
      </x:c>
      <x:c r="P2023" s="28" t="n">
        <x:v>0</x:v>
      </x:c>
      <x:c r="Q2023" s="62" t="b">
        <x:v>1</x:v>
      </x:c>
      <x:c r="R2023" s="28" t="n">
        <x:v>4133679.1189382523</x:v>
      </x:c>
      <x:c r="S2023" s="28" t="str">
        <x:v>4ac61a261c4c4833</x:v>
      </x:c>
    </x:row>
    <x:row r="2024" ht="21" customHeight="1">
      <x:c r="A2024" s="60" t="n">
        <x:v>0.68</x:v>
      </x:c>
      <x:c r="B2024" s="28" t="str">
        <x:v>front_flat</x:v>
      </x:c>
      <x:c r="C2024" s="60" t="n">
        <x:v>0</x:v>
      </x:c>
      <x:c r="D2024" s="60" t="n">
        <x:v>0</x:v>
      </x:c>
      <x:c r="E2024" s="62" t="b">
        <x:v>1</x:v>
      </x:c>
      <x:c r="F2024" s="62" t="b">
        <x:v>1</x:v>
      </x:c>
      <x:c r="G2024" s="85" t="n">
        <x:v>0</x:v>
      </x:c>
      <x:c r="H2024" s="85" t="n">
        <x:v>0</x:v>
      </x:c>
      <x:c r="I2024" s="85" t="n">
        <x:v>0</x:v>
      </x:c>
      <x:c r="J2024" s="85" t="n">
        <x:v>0</x:v>
      </x:c>
      <x:c r="K2024" s="85" t="n">
        <x:v>6626205.893260283</x:v>
      </x:c>
      <x:c r="L2024" s="28" t="n">
        <x:v>0</x:v>
      </x:c>
      <x:c r="M2024" s="28" t="n">
        <x:v>0</x:v>
      </x:c>
      <x:c r="N2024" s="28" t="n">
        <x:v>2.3283064365386963e-10</x:v>
      </x:c>
      <x:c r="O2024" s="28" t="n">
        <x:v>0</x:v>
      </x:c>
      <x:c r="P2024" s="28" t="n">
        <x:v>0</x:v>
      </x:c>
      <x:c r="Q2024" s="62" t="b">
        <x:v>1</x:v>
      </x:c>
      <x:c r="R2024" s="28" t="n">
        <x:v>0</x:v>
      </x:c>
      <x:c r="S2024" s="28" t="str">
        <x:v>902cb1a08fe8aae4</x:v>
      </x:c>
    </x:row>
    <x:row r="2025" ht="21" customHeight="1">
      <x:c r="A2025" s="60" t="n">
        <x:v>0.68</x:v>
      </x:c>
      <x:c r="B2025" s="28" t="str">
        <x:v>front_flat</x:v>
      </x:c>
      <x:c r="C2025" s="60" t="n">
        <x:v>0.05</x:v>
      </x:c>
      <x:c r="D2025" s="60" t="n">
        <x:v>0.05</x:v>
      </x:c>
      <x:c r="E2025" s="62" t="b">
        <x:v>1</x:v>
      </x:c>
      <x:c r="F2025" s="62" t="b">
        <x:v>1</x:v>
      </x:c>
      <x:c r="G2025" s="85" t="n">
        <x:v>0</x:v>
      </x:c>
      <x:c r="H2025" s="85" t="n">
        <x:v>0</x:v>
      </x:c>
      <x:c r="I2025" s="85" t="n">
        <x:v>0</x:v>
      </x:c>
      <x:c r="J2025" s="85" t="n">
        <x:v>0</x:v>
      </x:c>
      <x:c r="K2025" s="85" t="n">
        <x:v>4333841.6177903125</x:v>
      </x:c>
      <x:c r="L2025" s="28" t="n">
        <x:v>0</x:v>
      </x:c>
      <x:c r="M2025" s="28" t="n">
        <x:v>0</x:v>
      </x:c>
      <x:c r="N2025" s="28" t="n">
        <x:v>9.313225746154785e-10</x:v>
      </x:c>
      <x:c r="O2025" s="28" t="n">
        <x:v>7.450580596923828e-9</x:v>
      </x:c>
      <x:c r="P2025" s="28" t="n">
        <x:v>0</x:v>
      </x:c>
      <x:c r="Q2025" s="62" t="b">
        <x:v>1</x:v>
      </x:c>
      <x:c r="R2025" s="28" t="n">
        <x:v>0</x:v>
      </x:c>
      <x:c r="S2025" s="28" t="str">
        <x:v>4430dffdc5101d71</x:v>
      </x:c>
    </x:row>
    <x:row r="2026" ht="21" customHeight="1">
      <x:c r="A2026" s="60" t="n">
        <x:v>0.68</x:v>
      </x:c>
      <x:c r="B2026" s="28" t="str">
        <x:v>front_flat</x:v>
      </x:c>
      <x:c r="C2026" s="60" t="n">
        <x:v>0.1</x:v>
      </x:c>
      <x:c r="D2026" s="60" t="n">
        <x:v>0.1</x:v>
      </x:c>
      <x:c r="E2026" s="62" t="b">
        <x:v>1</x:v>
      </x:c>
      <x:c r="F2026" s="62" t="b">
        <x:v>1</x:v>
      </x:c>
      <x:c r="G2026" s="85" t="n">
        <x:v>0</x:v>
      </x:c>
      <x:c r="H2026" s="85" t="n">
        <x:v>0</x:v>
      </x:c>
      <x:c r="I2026" s="85" t="n">
        <x:v>0</x:v>
      </x:c>
      <x:c r="J2026" s="85" t="n">
        <x:v>0</x:v>
      </x:c>
      <x:c r="K2026" s="85" t="n">
        <x:v>2041022.434288274</x:v>
      </x:c>
      <x:c r="L2026" s="28" t="n">
        <x:v>0</x:v>
      </x:c>
      <x:c r="M2026" s="28" t="n">
        <x:v>0</x:v>
      </x:c>
      <x:c r="N2026" s="28" t="n">
        <x:v>9.313225746154785e-10</x:v>
      </x:c>
      <x:c r="O2026" s="28" t="n">
        <x:v>7.450580596923828e-9</x:v>
      </x:c>
      <x:c r="P2026" s="28" t="n">
        <x:v>0</x:v>
      </x:c>
      <x:c r="Q2026" s="62" t="b">
        <x:v>1</x:v>
      </x:c>
      <x:c r="R2026" s="28" t="n">
        <x:v>0</x:v>
      </x:c>
      <x:c r="S2026" s="28" t="str">
        <x:v>6aea1af384b436e4</x:v>
      </x:c>
    </x:row>
    <x:row r="2027" ht="21" customHeight="1">
      <x:c r="A2027" s="60" t="n">
        <x:v>0.68</x:v>
      </x:c>
      <x:c r="B2027" s="28" t="str">
        <x:v>front_flat</x:v>
      </x:c>
      <x:c r="C2027" s="60" t="n">
        <x:v>0.15</x:v>
      </x:c>
      <x:c r="D2027" s="60" t="n">
        <x:v>0.15</x:v>
      </x:c>
      <x:c r="E2027" s="62" t="b">
        <x:v>1</x:v>
      </x:c>
      <x:c r="F2027" s="62" t="b">
        <x:v>1</x:v>
      </x:c>
      <x:c r="G2027" s="85" t="n">
        <x:v>0</x:v>
      </x:c>
      <x:c r="H2027" s="85" t="n">
        <x:v>0</x:v>
      </x:c>
      <x:c r="I2027" s="85" t="n">
        <x:v>418105.85503931355</x:v>
      </x:c>
      <x:c r="J2027" s="85" t="n">
        <x:v>0</x:v>
      </x:c>
      <x:c r="K2027" s="85" t="n">
        <x:v>259700.15216441412</x:v>
      </x:c>
      <x:c r="L2027" s="28" t="n">
        <x:v>0</x:v>
      </x:c>
      <x:c r="M2027" s="28" t="n">
        <x:v>0</x:v>
      </x:c>
      <x:c r="N2027" s="28" t="n">
        <x:v>4.656612873077393e-10</x:v>
      </x:c>
      <x:c r="O2027" s="28" t="n">
        <x:v>7.450580596923828e-9</x:v>
      </x:c>
      <x:c r="P2027" s="28" t="n">
        <x:v>0</x:v>
      </x:c>
      <x:c r="Q2027" s="62" t="b">
        <x:v>1</x:v>
      </x:c>
      <x:c r="R2027" s="28" t="n">
        <x:v>0</x:v>
      </x:c>
      <x:c r="S2027" s="28" t="str">
        <x:v>33496b50b5046b5d</x:v>
      </x:c>
    </x:row>
    <x:row r="2028" ht="21" customHeight="1">
      <x:c r="A2028" s="60" t="n">
        <x:v>0.68</x:v>
      </x:c>
      <x:c r="B2028" s="28" t="str">
        <x:v>front_flat</x:v>
      </x:c>
      <x:c r="C2028" s="60" t="n">
        <x:v>0.2</x:v>
      </x:c>
      <x:c r="D2028" s="60" t="n">
        <x:v>0.2</x:v>
      </x:c>
      <x:c r="E2028" s="62" t="b">
        <x:v>1</x:v>
      </x:c>
      <x:c r="F2028" s="62" t="b">
        <x:v>1</x:v>
      </x:c>
      <x:c r="G2028" s="85" t="n">
        <x:v>0</x:v>
      </x:c>
      <x:c r="H2028" s="85" t="n">
        <x:v>0</x:v>
      </x:c>
      <x:c r="I2028" s="85" t="n">
        <x:v>1877420.4483121897</x:v>
      </x:c>
      <x:c r="J2028" s="85" t="n">
        <x:v>1254093.4388721066</x:v>
      </x:c>
      <x:c r="K2028" s="85" t="n">
        <x:v>147207.54721320572</x:v>
      </x:c>
      <x:c r="L2028" s="28" t="n">
        <x:v>0</x:v>
      </x:c>
      <x:c r="M2028" s="28" t="n">
        <x:v>0</x:v>
      </x:c>
      <x:c r="N2028" s="28" t="n">
        <x:v>4.656612873077393e-10</x:v>
      </x:c>
      <x:c r="O2028" s="28" t="n">
        <x:v>7.450580596923828e-9</x:v>
      </x:c>
      <x:c r="P2028" s="28" t="n">
        <x:v>0</x:v>
      </x:c>
      <x:c r="Q2028" s="62" t="b">
        <x:v>1</x:v>
      </x:c>
      <x:c r="R2028" s="28" t="n">
        <x:v>0</x:v>
      </x:c>
      <x:c r="S2028" s="28" t="str">
        <x:v>8955ba058fc1e4e5</x:v>
      </x:c>
    </x:row>
    <x:row r="2029" ht="21" customHeight="1">
      <x:c r="A2029" s="60" t="n">
        <x:v>0.68</x:v>
      </x:c>
      <x:c r="B2029" s="28" t="str">
        <x:v>front_flat</x:v>
      </x:c>
      <x:c r="C2029" s="60" t="n">
        <x:v>0.25</x:v>
      </x:c>
      <x:c r="D2029" s="60" t="n">
        <x:v>0.25</x:v>
      </x:c>
      <x:c r="E2029" s="62" t="b">
        <x:v>1</x:v>
      </x:c>
      <x:c r="F2029" s="62" t="b">
        <x:v>1</x:v>
      </x:c>
      <x:c r="G2029" s="85" t="n">
        <x:v>0</x:v>
      </x:c>
      <x:c r="H2029" s="85" t="n">
        <x:v>0</x:v>
      </x:c>
      <x:c r="I2029" s="85" t="n">
        <x:v>3074760.2601578403</x:v>
      </x:c>
      <x:c r="J2029" s="85" t="n">
        <x:v>2961216.7985901358</x:v>
      </x:c>
      <x:c r="K2029" s="85" t="n">
        <x:v>101676.0736472609</x:v>
      </x:c>
      <x:c r="L2029" s="28" t="n">
        <x:v>0</x:v>
      </x:c>
      <x:c r="M2029" s="28" t="n">
        <x:v>0</x:v>
      </x:c>
      <x:c r="N2029" s="28" t="n">
        <x:v>9.313225746154785e-10</x:v>
      </x:c>
      <x:c r="O2029" s="28" t="n">
        <x:v>3.725290298461914e-9</x:v>
      </x:c>
      <x:c r="P2029" s="28" t="n">
        <x:v>0</x:v>
      </x:c>
      <x:c r="Q2029" s="62" t="b">
        <x:v>1</x:v>
      </x:c>
      <x:c r="R2029" s="28" t="n">
        <x:v>0</x:v>
      </x:c>
      <x:c r="S2029" s="28" t="str">
        <x:v>16684977cfb02aa5</x:v>
      </x:c>
    </x:row>
    <x:row r="2030" ht="21" customHeight="1">
      <x:c r="A2030" s="60" t="n">
        <x:v>0.68</x:v>
      </x:c>
      <x:c r="B2030" s="28" t="str">
        <x:v>front_flat</x:v>
      </x:c>
      <x:c r="C2030" s="60" t="n">
        <x:v>0.3</x:v>
      </x:c>
      <x:c r="D2030" s="60" t="n">
        <x:v>0.3</x:v>
      </x:c>
      <x:c r="E2030" s="62" t="b">
        <x:v>1</x:v>
      </x:c>
      <x:c r="F2030" s="62" t="b">
        <x:v>1</x:v>
      </x:c>
      <x:c r="G2030" s="85" t="n">
        <x:v>0</x:v>
      </x:c>
      <x:c r="H2030" s="85" t="n">
        <x:v>0</x:v>
      </x:c>
      <x:c r="I2030" s="85" t="n">
        <x:v>4332327.310792892</x:v>
      </x:c>
      <x:c r="J2030" s="85" t="n">
        <x:v>4668340.158308172</x:v>
      </x:c>
      <x:c r="K2030" s="85" t="n">
        <x:v>75347.01218493225</x:v>
      </x:c>
      <x:c r="L2030" s="28" t="n">
        <x:v>0</x:v>
      </x:c>
      <x:c r="M2030" s="28" t="n">
        <x:v>0</x:v>
      </x:c>
      <x:c r="N2030" s="28" t="n">
        <x:v>4.656612873077393e-10</x:v>
      </x:c>
      <x:c r="O2030" s="28" t="n">
        <x:v>7.450580596923828e-9</x:v>
      </x:c>
      <x:c r="P2030" s="28" t="n">
        <x:v>0</x:v>
      </x:c>
      <x:c r="Q2030" s="62" t="b">
        <x:v>1</x:v>
      </x:c>
      <x:c r="R2030" s="28" t="n">
        <x:v>0</x:v>
      </x:c>
      <x:c r="S2030" s="28" t="str">
        <x:v>90ab2ac771f00261</x:v>
      </x:c>
    </x:row>
    <x:row r="2031" ht="21" customHeight="1">
      <x:c r="A2031" s="60" t="n">
        <x:v>0.68</x:v>
      </x:c>
      <x:c r="B2031" s="28" t="str">
        <x:v>front_flat</x:v>
      </x:c>
      <x:c r="C2031" s="60" t="n">
        <x:v>0.35</x:v>
      </x:c>
      <x:c r="D2031" s="60" t="n">
        <x:v>0.35</x:v>
      </x:c>
      <x:c r="E2031" s="62" t="b">
        <x:v>1</x:v>
      </x:c>
      <x:c r="F2031" s="62" t="b">
        <x:v>1</x:v>
      </x:c>
      <x:c r="G2031" s="85" t="n">
        <x:v>0</x:v>
      </x:c>
      <x:c r="H2031" s="85" t="n">
        <x:v>0</x:v>
      </x:c>
      <x:c r="I2031" s="85" t="n">
        <x:v>5819643.781791678</x:v>
      </x:c>
      <x:c r="J2031" s="85" t="n">
        <x:v>5774847.706517624</x:v>
      </x:c>
      <x:c r="K2031" s="85" t="n">
        <x:v>63730.04785958898</x:v>
      </x:c>
      <x:c r="L2031" s="28" t="n">
        <x:v>3</x:v>
      </x:c>
      <x:c r="M2031" s="28" t="n">
        <x:v>0</x:v>
      </x:c>
      <x:c r="N2031" s="28" t="n">
        <x:v>9.313225746154785e-10</x:v>
      </x:c>
      <x:c r="O2031" s="28" t="n">
        <x:v>7.450580596923828e-9</x:v>
      </x:c>
      <x:c r="P2031" s="28" t="n">
        <x:v>0</x:v>
      </x:c>
      <x:c r="Q2031" s="62" t="b">
        <x:v>1</x:v>
      </x:c>
      <x:c r="R2031" s="28" t="n">
        <x:v>0</x:v>
      </x:c>
      <x:c r="S2031" s="28" t="str">
        <x:v>ab7f5cfc165144e1</x:v>
      </x:c>
    </x:row>
    <x:row r="2032" ht="21" customHeight="1">
      <x:c r="A2032" s="60" t="n">
        <x:v>0.68</x:v>
      </x:c>
      <x:c r="B2032" s="28" t="str">
        <x:v>front_flat</x:v>
      </x:c>
      <x:c r="C2032" s="60" t="n">
        <x:v>0.4</x:v>
      </x:c>
      <x:c r="D2032" s="60" t="n">
        <x:v>0.4</x:v>
      </x:c>
      <x:c r="E2032" s="62" t="b">
        <x:v>1</x:v>
      </x:c>
      <x:c r="F2032" s="62" t="b">
        <x:v>1</x:v>
      </x:c>
      <x:c r="G2032" s="85" t="n">
        <x:v>0</x:v>
      </x:c>
      <x:c r="H2032" s="85" t="n">
        <x:v>0</x:v>
      </x:c>
      <x:c r="I2032" s="85" t="n">
        <x:v>7487153.587364027</x:v>
      </x:c>
      <x:c r="J2032" s="85" t="n">
        <x:v>6308976.773486867</x:v>
      </x:c>
      <x:c r="K2032" s="85" t="n">
        <x:v>52113.08353424676</x:v>
      </x:c>
      <x:c r="L2032" s="28" t="n">
        <x:v>9</x:v>
      </x:c>
      <x:c r="M2032" s="28" t="n">
        <x:v>0</x:v>
      </x:c>
      <x:c r="N2032" s="28" t="n">
        <x:v>2.3283064365386963e-10</x:v>
      </x:c>
      <x:c r="O2032" s="28" t="n">
        <x:v>7.450580596923828e-9</x:v>
      </x:c>
      <x:c r="P2032" s="28" t="n">
        <x:v>0</x:v>
      </x:c>
      <x:c r="Q2032" s="62" t="b">
        <x:v>1</x:v>
      </x:c>
      <x:c r="R2032" s="28" t="n">
        <x:v>0</x:v>
      </x:c>
      <x:c r="S2032" s="28" t="str">
        <x:v>aa38668ab921bd19</x:v>
      </x:c>
    </x:row>
    <x:row r="2033" ht="21" customHeight="1">
      <x:c r="A2033" s="60" t="n">
        <x:v>0.68</x:v>
      </x:c>
      <x:c r="B2033" s="28" t="str">
        <x:v>front_flat</x:v>
      </x:c>
      <x:c r="C2033" s="60" t="n">
        <x:v>0.45</x:v>
      </x:c>
      <x:c r="D2033" s="60" t="n">
        <x:v>0.45</x:v>
      </x:c>
      <x:c r="E2033" s="62" t="b">
        <x:v>1</x:v>
      </x:c>
      <x:c r="F2033" s="62" t="b">
        <x:v>1</x:v>
      </x:c>
      <x:c r="G2033" s="85" t="n">
        <x:v>0</x:v>
      </x:c>
      <x:c r="H2033" s="85" t="n">
        <x:v>0</x:v>
      </x:c>
      <x:c r="I2033" s="85" t="n">
        <x:v>9026402.035814304</x:v>
      </x:c>
      <x:c r="J2033" s="85" t="n">
        <x:v>7415676.777159381</x:v>
      </x:c>
      <x:c r="K2033" s="85" t="n">
        <x:v>40496.11920890396</x:v>
      </x:c>
      <x:c r="L2033" s="28" t="n">
        <x:v>15</x:v>
      </x:c>
      <x:c r="M2033" s="28" t="n">
        <x:v>0</x:v>
      </x:c>
      <x:c r="N2033" s="28" t="n">
        <x:v>4.656612873077393e-10</x:v>
      </x:c>
      <x:c r="O2033" s="28" t="n">
        <x:v>3.725290298461914e-9</x:v>
      </x:c>
      <x:c r="P2033" s="28" t="n">
        <x:v>0</x:v>
      </x:c>
      <x:c r="Q2033" s="62" t="b">
        <x:v>1</x:v>
      </x:c>
      <x:c r="R2033" s="28" t="n">
        <x:v>0</x:v>
      </x:c>
      <x:c r="S2033" s="28" t="str">
        <x:v>f05e09ea0ef55c7e</x:v>
      </x:c>
    </x:row>
    <x:row r="2034" ht="21" customHeight="1">
      <x:c r="A2034" s="60" t="n">
        <x:v>0.68</x:v>
      </x:c>
      <x:c r="B2034" s="28" t="str">
        <x:v>front_flat</x:v>
      </x:c>
      <x:c r="C2034" s="60" t="n">
        <x:v>0.5</x:v>
      </x:c>
      <x:c r="D2034" s="60" t="n">
        <x:v>0.5</x:v>
      </x:c>
      <x:c r="E2034" s="62" t="b">
        <x:v>1</x:v>
      </x:c>
      <x:c r="F2034" s="62" t="b">
        <x:v>1</x:v>
      </x:c>
      <x:c r="G2034" s="85" t="n">
        <x:v>0</x:v>
      </x:c>
      <x:c r="H2034" s="85" t="n">
        <x:v>0</x:v>
      </x:c>
      <x:c r="I2034" s="85" t="n">
        <x:v>10265761.76267856</x:v>
      </x:c>
      <x:c r="J2034" s="85" t="n">
        <x:v>9253897.071985375</x:v>
      </x:c>
      <x:c r="K2034" s="85" t="n">
        <x:v>28879.154883561856</x:v>
      </x:c>
      <x:c r="L2034" s="28" t="n">
        <x:v>19</x:v>
      </x:c>
      <x:c r="M2034" s="28" t="n">
        <x:v>0</x:v>
      </x:c>
      <x:c r="N2034" s="28" t="n">
        <x:v>4.656612873077393e-10</x:v>
      </x:c>
      <x:c r="O2034" s="28" t="n">
        <x:v>7.450580596923828e-9</x:v>
      </x:c>
      <x:c r="P2034" s="28" t="n">
        <x:v>0</x:v>
      </x:c>
      <x:c r="Q2034" s="62" t="b">
        <x:v>1</x:v>
      </x:c>
      <x:c r="R2034" s="28" t="n">
        <x:v>0</x:v>
      </x:c>
      <x:c r="S2034" s="28" t="str">
        <x:v>7c3d0ba4d5e837a2</x:v>
      </x:c>
    </x:row>
    <x:row r="2035" ht="21" customHeight="1">
      <x:c r="A2035" s="60" t="n">
        <x:v>0.68</x:v>
      </x:c>
      <x:c r="B2035" s="28" t="str">
        <x:v>front_flat</x:v>
      </x:c>
      <x:c r="C2035" s="60" t="n">
        <x:v>0.55</x:v>
      </x:c>
      <x:c r="D2035" s="60" t="n">
        <x:v>0.55</x:v>
      </x:c>
      <x:c r="E2035" s="62" t="b">
        <x:v>1</x:v>
      </x:c>
      <x:c r="F2035" s="62" t="b">
        <x:v>1</x:v>
      </x:c>
      <x:c r="G2035" s="85" t="n">
        <x:v>0</x:v>
      </x:c>
      <x:c r="H2035" s="85" t="n">
        <x:v>0</x:v>
      </x:c>
      <x:c r="I2035" s="85" t="n">
        <x:v>11474742.786301823</x:v>
      </x:c>
      <x:c r="J2035" s="85" t="n">
        <x:v>11064268.555564128</x:v>
      </x:c>
      <x:c r="K2035" s="85" t="n">
        <x:v>22044.75071917795</x:v>
      </x:c>
      <x:c r="L2035" s="28" t="n">
        <x:v>23</x:v>
      </x:c>
      <x:c r="M2035" s="28" t="n">
        <x:v>4</x:v>
      </x:c>
      <x:c r="N2035" s="28" t="n">
        <x:v>4.656612873077393e-10</x:v>
      </x:c>
      <x:c r="O2035" s="28" t="n">
        <x:v>3.725290298461914e-9</x:v>
      </x:c>
      <x:c r="P2035" s="28" t="n">
        <x:v>0</x:v>
      </x:c>
      <x:c r="Q2035" s="62" t="b">
        <x:v>1</x:v>
      </x:c>
      <x:c r="R2035" s="28" t="n">
        <x:v>0</x:v>
      </x:c>
      <x:c r="S2035" s="28" t="str">
        <x:v>181ab28ac14f2395</x:v>
      </x:c>
    </x:row>
    <x:row r="2036" ht="21" customHeight="1">
      <x:c r="A2036" s="60" t="n">
        <x:v>0.68</x:v>
      </x:c>
      <x:c r="B2036" s="28" t="str">
        <x:v>front_flat</x:v>
      </x:c>
      <x:c r="C2036" s="60" t="n">
        <x:v>0.6</x:v>
      </x:c>
      <x:c r="D2036" s="60" t="n">
        <x:v>0.6</x:v>
      </x:c>
      <x:c r="E2036" s="62" t="b">
        <x:v>1</x:v>
      </x:c>
      <x:c r="F2036" s="62" t="b">
        <x:v>0</x:v>
      </x:c>
      <x:c r="G2036" s="85" t="n">
        <x:v>218733.68042122075</x:v>
      </x:c>
      <x:c r="H2036" s="85" t="n">
        <x:v>1168577.99837198</x:v>
      </x:c>
      <x:c r="I2036" s="85" t="n">
        <x:v>12000598.864657527</x:v>
      </x:c>
      <x:c r="J2036" s="85" t="n">
        <x:v>12263679.999999996</x:v>
      </x:c>
      <x:c r="K2036" s="85" t="n">
        <x:v>18134.67082191824</x:v>
      </x:c>
      <x:c r="L2036" s="28" t="n">
        <x:v>46</x:v>
      </x:c>
      <x:c r="M2036" s="28" t="n">
        <x:v>34</x:v>
      </x:c>
      <x:c r="N2036" s="28" t="n">
        <x:v>4.656612873077393e-10</x:v>
      </x:c>
      <x:c r="O2036" s="28" t="n">
        <x:v>3.725290298461914e-9</x:v>
      </x:c>
      <x:c r="P2036" s="28" t="n">
        <x:v>0</x:v>
      </x:c>
      <x:c r="Q2036" s="62" t="b">
        <x:v>1</x:v>
      </x:c>
      <x:c r="R2036" s="28" t="n">
        <x:v>0</x:v>
      </x:c>
      <x:c r="S2036" s="28" t="str">
        <x:v>a4e8734e181fdf71</x:v>
      </x:c>
    </x:row>
    <x:row r="2037" ht="21" customHeight="1">
      <x:c r="A2037" s="60" t="n">
        <x:v>0.68</x:v>
      </x:c>
      <x:c r="B2037" s="28" t="str">
        <x:v>front_flat</x:v>
      </x:c>
      <x:c r="C2037" s="60" t="n">
        <x:v>0.65</x:v>
      </x:c>
      <x:c r="D2037" s="60" t="n">
        <x:v>0.65</x:v>
      </x:c>
      <x:c r="E2037" s="62" t="b">
        <x:v>1</x:v>
      </x:c>
      <x:c r="F2037" s="62" t="b">
        <x:v>0</x:v>
      </x:c>
      <x:c r="G2037" s="85" t="n">
        <x:v>684432.9960067798</x:v>
      </x:c>
      <x:c r="H2037" s="85" t="n">
        <x:v>3687695.7983895936</x:v>
      </x:c>
      <x:c r="I2037" s="85" t="n">
        <x:v>12001269.626343144</x:v>
      </x:c>
      <x:c r="J2037" s="85" t="n">
        <x:v>12263679.999999996</x:v>
      </x:c>
      <x:c r="K2037" s="85" t="n">
        <x:v>14224.590924657597</x:v>
      </x:c>
      <x:c r="L2037" s="28" t="n">
        <x:v>46</x:v>
      </x:c>
      <x:c r="M2037" s="28" t="n">
        <x:v>37</x:v>
      </x:c>
      <x:c r="N2037" s="28" t="n">
        <x:v>4.656612873077393e-10</x:v>
      </x:c>
      <x:c r="O2037" s="28" t="n">
        <x:v>3.725290298461914e-9</x:v>
      </x:c>
      <x:c r="P2037" s="28" t="n">
        <x:v>0</x:v>
      </x:c>
      <x:c r="Q2037" s="62" t="b">
        <x:v>1</x:v>
      </x:c>
      <x:c r="R2037" s="28" t="n">
        <x:v>0</x:v>
      </x:c>
      <x:c r="S2037" s="28" t="str">
        <x:v>3885395f40414517</x:v>
      </x:c>
    </x:row>
    <x:row r="2038" ht="21" customHeight="1">
      <x:c r="A2038" s="60" t="n">
        <x:v>0.68</x:v>
      </x:c>
      <x:c r="B2038" s="28" t="str">
        <x:v>front_flat</x:v>
      </x:c>
      <x:c r="C2038" s="60" t="n">
        <x:v>0.7</x:v>
      </x:c>
      <x:c r="D2038" s="60" t="n">
        <x:v>0.7</x:v>
      </x:c>
      <x:c r="E2038" s="62" t="b">
        <x:v>1</x:v>
      </x:c>
      <x:c r="F2038" s="62" t="b">
        <x:v>0</x:v>
      </x:c>
      <x:c r="G2038" s="85" t="n">
        <x:v>1203771.0323886212</x:v>
      </x:c>
      <x:c r="H2038" s="85" t="n">
        <x:v>6108321.972773166</x:v>
      </x:c>
      <x:c r="I2038" s="85" t="n">
        <x:v>12009078.138573965</x:v>
      </x:c>
      <x:c r="J2038" s="85" t="n">
        <x:v>12263679.999999996</x:v>
      </x:c>
      <x:c r="K2038" s="85" t="n">
        <x:v>10314.51102739742</x:v>
      </x:c>
      <x:c r="L2038" s="28" t="n">
        <x:v>46</x:v>
      </x:c>
      <x:c r="M2038" s="28" t="n">
        <x:v>40</x:v>
      </x:c>
      <x:c r="N2038" s="28" t="n">
        <x:v>4.656612873077393e-10</x:v>
      </x:c>
      <x:c r="O2038" s="28" t="n">
        <x:v>1.862645149230957e-9</x:v>
      </x:c>
      <x:c r="P2038" s="28" t="n">
        <x:v>0</x:v>
      </x:c>
      <x:c r="Q2038" s="62" t="b">
        <x:v>1</x:v>
      </x:c>
      <x:c r="R2038" s="28" t="n">
        <x:v>0</x:v>
      </x:c>
      <x:c r="S2038" s="28" t="str">
        <x:v>03203d450379e848</x:v>
      </x:c>
    </x:row>
    <x:row r="2039" ht="21" customHeight="1">
      <x:c r="A2039" s="60" t="n">
        <x:v>0.68</x:v>
      </x:c>
      <x:c r="B2039" s="28" t="str">
        <x:v>front_flat</x:v>
      </x:c>
      <x:c r="C2039" s="60" t="n">
        <x:v>0.75</x:v>
      </x:c>
      <x:c r="D2039" s="60" t="n">
        <x:v>0.75</x:v>
      </x:c>
      <x:c r="E2039" s="62" t="b">
        <x:v>1</x:v>
      </x:c>
      <x:c r="F2039" s="62" t="b">
        <x:v>0</x:v>
      </x:c>
      <x:c r="G2039" s="85" t="n">
        <x:v>1675755.1409916473</x:v>
      </x:c>
      <x:c r="H2039" s="85" t="n">
        <x:v>8487108.817480123</x:v>
      </x:c>
      <x:c r="I2039" s="85" t="n">
        <x:v>12016886.650804786</x:v>
      </x:c>
      <x:c r="J2039" s="85" t="n">
        <x:v>12263679.999999996</x:v>
      </x:c>
      <x:c r="K2039" s="85" t="n">
        <x:v>6404.431130137244</x:v>
      </x:c>
      <x:c r="L2039" s="28" t="n">
        <x:v>46</x:v>
      </x:c>
      <x:c r="M2039" s="28" t="n">
        <x:v>42</x:v>
      </x:c>
      <x:c r="N2039" s="28" t="n">
        <x:v>2.3283064365386963e-10</x:v>
      </x:c>
      <x:c r="O2039" s="28" t="n">
        <x:v>3.725290298461914e-9</x:v>
      </x:c>
      <x:c r="P2039" s="28" t="n">
        <x:v>0</x:v>
      </x:c>
      <x:c r="Q2039" s="62" t="b">
        <x:v>1</x:v>
      </x:c>
      <x:c r="R2039" s="28" t="n">
        <x:v>0</x:v>
      </x:c>
      <x:c r="S2039" s="28" t="str">
        <x:v>e0de07e0eff2a805</x:v>
      </x:c>
    </x:row>
    <x:row r="2040" ht="21" customHeight="1">
      <x:c r="A2040" s="60" t="n">
        <x:v>0.68</x:v>
      </x:c>
      <x:c r="B2040" s="28" t="str">
        <x:v>front_flat</x:v>
      </x:c>
      <x:c r="C2040" s="60" t="n">
        <x:v>0.8</x:v>
      </x:c>
      <x:c r="D2040" s="60" t="n">
        <x:v>0.8</x:v>
      </x:c>
      <x:c r="E2040" s="62" t="b">
        <x:v>1</x:v>
      </x:c>
      <x:c r="F2040" s="62" t="b">
        <x:v>0</x:v>
      </x:c>
      <x:c r="G2040" s="85" t="n">
        <x:v>2159786.7065975745</x:v>
      </x:c>
      <x:c r="H2040" s="85" t="n">
        <x:v>10474036.203163143</x:v>
      </x:c>
      <x:c r="I2040" s="85" t="n">
        <x:v>12260488.083287662</x:v>
      </x:c>
      <x:c r="J2040" s="85" t="n">
        <x:v>12263679.999999996</x:v>
      </x:c>
      <x:c r="K2040" s="85" t="n">
        <x:v>2494.351232876834</x:v>
      </x:c>
      <x:c r="L2040" s="28" t="n">
        <x:v>47</x:v>
      </x:c>
      <x:c r="M2040" s="28" t="n">
        <x:v>44</x:v>
      </x:c>
      <x:c r="N2040" s="28" t="n">
        <x:v>4.656612873077393e-10</x:v>
      </x:c>
      <x:c r="O2040" s="28" t="n">
        <x:v>3.725290298461914e-9</x:v>
      </x:c>
      <x:c r="P2040" s="28" t="n">
        <x:v>0</x:v>
      </x:c>
      <x:c r="Q2040" s="62" t="b">
        <x:v>1</x:v>
      </x:c>
      <x:c r="R2040" s="28" t="n">
        <x:v>0</x:v>
      </x:c>
      <x:c r="S2040" s="28" t="str">
        <x:v>4c709a63833c1743</x:v>
      </x:c>
    </x:row>
    <x:row r="2041" ht="21" customHeight="1">
      <x:c r="A2041" s="60" t="n">
        <x:v>0.68</x:v>
      </x:c>
      <x:c r="B2041" s="28" t="str">
        <x:v>front_flat</x:v>
      </x:c>
      <x:c r="C2041" s="60" t="n">
        <x:v>0.85</x:v>
      </x:c>
      <x:c r="D2041" s="60" t="n">
        <x:v>0.85</x:v>
      </x:c>
      <x:c r="E2041" s="62" t="b">
        <x:v>1</x:v>
      </x:c>
      <x:c r="F2041" s="62" t="b">
        <x:v>0</x:v>
      </x:c>
      <x:c r="G2041" s="85" t="n">
        <x:v>2752368.34199794</x:v>
      </x:c>
      <x:c r="H2041" s="85" t="n">
        <x:v>12689223.392546974</x:v>
      </x:c>
      <x:c r="I2041" s="85" t="n">
        <x:v>12260488.083287662</x:v>
      </x:c>
      <x:c r="J2041" s="85" t="n">
        <x:v>12263679.999999996</x:v>
      </x:c>
      <x:c r="K2041" s="85" t="n">
        <x:v>0</x:v>
      </x:c>
      <x:c r="L2041" s="28" t="n">
        <x:v>47</x:v>
      </x:c>
      <x:c r="M2041" s="28" t="n">
        <x:v>44</x:v>
      </x:c>
      <x:c r="N2041" s="28" t="n">
        <x:v>2.3283064365386963e-10</x:v>
      </x:c>
      <x:c r="O2041" s="28" t="n">
        <x:v>1.862645149230957e-9</x:v>
      </x:c>
      <x:c r="P2041" s="28" t="n">
        <x:v>0</x:v>
      </x:c>
      <x:c r="Q2041" s="62" t="b">
        <x:v>1</x:v>
      </x:c>
      <x:c r="R2041" s="28" t="n">
        <x:v>0</x:v>
      </x:c>
      <x:c r="S2041" s="28" t="str">
        <x:v>5e783a7bde1ed17e</x:v>
      </x:c>
    </x:row>
    <x:row r="2042" ht="21" customHeight="1">
      <x:c r="A2042" s="60" t="n">
        <x:v>0.68</x:v>
      </x:c>
      <x:c r="B2042" s="28" t="str">
        <x:v>front_flat</x:v>
      </x:c>
      <x:c r="C2042" s="60" t="n">
        <x:v>0.9</x:v>
      </x:c>
      <x:c r="D2042" s="60" t="n">
        <x:v>0.9</x:v>
      </x:c>
      <x:c r="E2042" s="62" t="b">
        <x:v>1</x:v>
      </x:c>
      <x:c r="F2042" s="62" t="b">
        <x:v>0</x:v>
      </x:c>
      <x:c r="G2042" s="85" t="n">
        <x:v>3383410.2506800573</x:v>
      </x:c>
      <x:c r="H2042" s="85" t="n">
        <x:v>14903441.950060423</x:v>
      </x:c>
      <x:c r="I2042" s="85" t="n">
        <x:v>12260488.083287662</x:v>
      </x:c>
      <x:c r="J2042" s="85" t="n">
        <x:v>12263679.999999996</x:v>
      </x:c>
      <x:c r="K2042" s="85" t="n">
        <x:v>0</x:v>
      </x:c>
      <x:c r="L2042" s="28" t="n">
        <x:v>47</x:v>
      </x:c>
      <x:c r="M2042" s="28" t="n">
        <x:v>44</x:v>
      </x:c>
      <x:c r="N2042" s="28" t="n">
        <x:v>2.3283064365386963e-10</x:v>
      </x:c>
      <x:c r="O2042" s="28" t="n">
        <x:v>3.725290298461914e-9</x:v>
      </x:c>
      <x:c r="P2042" s="28" t="n">
        <x:v>0</x:v>
      </x:c>
      <x:c r="Q2042" s="62" t="b">
        <x:v>1</x:v>
      </x:c>
      <x:c r="R2042" s="28" t="n">
        <x:v>0</x:v>
      </x:c>
      <x:c r="S2042" s="28" t="str">
        <x:v>58a9e1de1a663ed5</x:v>
      </x:c>
    </x:row>
    <x:row r="2043" ht="21" customHeight="1">
      <x:c r="A2043" s="60" t="n">
        <x:v>0.68</x:v>
      </x:c>
      <x:c r="B2043" s="28" t="str">
        <x:v>front_flat</x:v>
      </x:c>
      <x:c r="C2043" s="60" t="n">
        <x:v>0.95</x:v>
      </x:c>
      <x:c r="D2043" s="60" t="n">
        <x:v>0.9427119459478259</x:v>
      </x:c>
      <x:c r="E2043" s="62" t="b">
        <x:v>0</x:v>
      </x:c>
      <x:c r="F2043" s="62" t="b">
        <x:v>0</x:v>
      </x:c>
      <x:c r="G2043" s="85" t="n">
        <x:v>4264445.900859796</x:v>
      </x:c>
      <x:c r="H2043" s="85" t="n">
        <x:v>16145831.644058604</x:v>
      </x:c>
      <x:c r="I2043" s="85" t="n">
        <x:v>12260488.083287662</x:v>
      </x:c>
      <x:c r="J2043" s="85" t="n">
        <x:v>12263679.999999996</x:v>
      </x:c>
      <x:c r="K2043" s="85" t="n">
        <x:v>0</x:v>
      </x:c>
      <x:c r="L2043" s="28" t="n">
        <x:v>47</x:v>
      </x:c>
      <x:c r="M2043" s="28" t="n">
        <x:v>45</x:v>
      </x:c>
      <x:c r="N2043" s="28" t="n">
        <x:v>4.656612873077393e-10</x:v>
      </x:c>
      <x:c r="O2043" s="28" t="n">
        <x:v>1.862645149230957e-9</x:v>
      </x:c>
      <x:c r="P2043" s="28" t="n">
        <x:v>0</x:v>
      </x:c>
      <x:c r="Q2043" s="62" t="b">
        <x:v>1</x:v>
      </x:c>
      <x:c r="R2043" s="28" t="n">
        <x:v>406265.28508438915</x:v>
      </x:c>
      <x:c r="S2043" s="28" t="str">
        <x:v>3e0d80cc9f69a0ff</x:v>
      </x:c>
    </x:row>
    <x:row r="2044" ht="21" customHeight="1">
      <x:c r="A2044" s="60" t="n">
        <x:v>0.68</x:v>
      </x:c>
      <x:c r="B2044" s="28" t="str">
        <x:v>front_flat</x:v>
      </x:c>
      <x:c r="C2044" s="60" t="n">
        <x:v>1</x:v>
      </x:c>
      <x:c r="D2044" s="60" t="n">
        <x:v>0.9596721012870685</x:v>
      </x:c>
      <x:c r="E2044" s="62" t="b">
        <x:v>0</x:v>
      </x:c>
      <x:c r="F2044" s="62" t="b">
        <x:v>0</x:v>
      </x:c>
      <x:c r="G2044" s="85" t="n">
        <x:v>4669144.803913759</x:v>
      </x:c>
      <x:c r="H2044" s="85" t="n">
        <x:v>16965693.599216763</x:v>
      </x:c>
      <x:c r="I2044" s="85" t="n">
        <x:v>12260488.083287662</x:v>
      </x:c>
      <x:c r="J2044" s="85" t="n">
        <x:v>12263679.999999996</x:v>
      </x:c>
      <x:c r="K2044" s="85" t="n">
        <x:v>0</x:v>
      </x:c>
      <x:c r="L2044" s="28" t="n">
        <x:v>47</x:v>
      </x:c>
      <x:c r="M2044" s="28" t="n">
        <x:v>45</x:v>
      </x:c>
      <x:c r="N2044" s="28" t="n">
        <x:v>4.656612873077393e-10</x:v>
      </x:c>
      <x:c r="O2044" s="28" t="n">
        <x:v>1.862645149230957e-9</x:v>
      </x:c>
      <x:c r="P2044" s="28" t="n">
        <x:v>0</x:v>
      </x:c>
      <x:c r="Q2044" s="62" t="b">
        <x:v>1</x:v>
      </x:c>
      <x:c r="R2044" s="28" t="n">
        <x:v>2248038.3858536556</x:v>
      </x:c>
      <x:c r="S2044" s="28" t="str">
        <x:v>1e0055ec9c536075</x:v>
      </x:c>
    </x:row>
    <x:row r="2045" ht="21" customHeight="1">
      <x:c r="A2045" s="60" t="n">
        <x:v>0.68</x:v>
      </x:c>
      <x:c r="B2045" s="28" t="str">
        <x:v>front_low</x:v>
      </x:c>
      <x:c r="C2045" s="60" t="n">
        <x:v>0</x:v>
      </x:c>
      <x:c r="D2045" s="60" t="n">
        <x:v>0</x:v>
      </x:c>
      <x:c r="E2045" s="62" t="b">
        <x:v>1</x:v>
      </x:c>
      <x:c r="F2045" s="62" t="b">
        <x:v>1</x:v>
      </x:c>
      <x:c r="G2045" s="85" t="n">
        <x:v>0</x:v>
      </x:c>
      <x:c r="H2045" s="85" t="n">
        <x:v>0</x:v>
      </x:c>
      <x:c r="I2045" s="85" t="n">
        <x:v>0</x:v>
      </x:c>
      <x:c r="J2045" s="85" t="n">
        <x:v>0</x:v>
      </x:c>
      <x:c r="K2045" s="85" t="n">
        <x:v>5858343.783671239</x:v>
      </x:c>
      <x:c r="L2045" s="28" t="n">
        <x:v>0</x:v>
      </x:c>
      <x:c r="M2045" s="28" t="n">
        <x:v>0</x:v>
      </x:c>
      <x:c r="N2045" s="28" t="n">
        <x:v>4.656612873077393e-10</x:v>
      </x:c>
      <x:c r="O2045" s="28" t="n">
        <x:v>0</x:v>
      </x:c>
      <x:c r="P2045" s="28" t="n">
        <x:v>0</x:v>
      </x:c>
      <x:c r="Q2045" s="62" t="b">
        <x:v>1</x:v>
      </x:c>
      <x:c r="R2045" s="28" t="n">
        <x:v>0</x:v>
      </x:c>
      <x:c r="S2045" s="28" t="str">
        <x:v>fb4d343ed97245f6</x:v>
      </x:c>
    </x:row>
    <x:row r="2046" ht="21" customHeight="1">
      <x:c r="A2046" s="60" t="n">
        <x:v>0.68</x:v>
      </x:c>
      <x:c r="B2046" s="28" t="str">
        <x:v>front_low</x:v>
      </x:c>
      <x:c r="C2046" s="60" t="n">
        <x:v>0.05</x:v>
      </x:c>
      <x:c r="D2046" s="60" t="n">
        <x:v>0.05</x:v>
      </x:c>
      <x:c r="E2046" s="62" t="b">
        <x:v>1</x:v>
      </x:c>
      <x:c r="F2046" s="62" t="b">
        <x:v>1</x:v>
      </x:c>
      <x:c r="G2046" s="85" t="n">
        <x:v>0</x:v>
      </x:c>
      <x:c r="H2046" s="85" t="n">
        <x:v>0</x:v>
      </x:c>
      <x:c r="I2046" s="85" t="n">
        <x:v>0</x:v>
      </x:c>
      <x:c r="J2046" s="85" t="n">
        <x:v>0</x:v>
      </x:c>
      <x:c r="K2046" s="85" t="n">
        <x:v>3817093.452554915</x:v>
      </x:c>
      <x:c r="L2046" s="28" t="n">
        <x:v>0</x:v>
      </x:c>
      <x:c r="M2046" s="28" t="n">
        <x:v>0</x:v>
      </x:c>
      <x:c r="N2046" s="28" t="n">
        <x:v>9.313225746154785e-10</x:v>
      </x:c>
      <x:c r="O2046" s="28" t="n">
        <x:v>7.450580596923828e-9</x:v>
      </x:c>
      <x:c r="P2046" s="28" t="n">
        <x:v>0</x:v>
      </x:c>
      <x:c r="Q2046" s="62" t="b">
        <x:v>1</x:v>
      </x:c>
      <x:c r="R2046" s="28" t="n">
        <x:v>0</x:v>
      </x:c>
      <x:c r="S2046" s="28" t="str">
        <x:v>fd49299ed509fa0e</x:v>
      </x:c>
    </x:row>
    <x:row r="2047" ht="21" customHeight="1">
      <x:c r="A2047" s="60" t="n">
        <x:v>0.68</x:v>
      </x:c>
      <x:c r="B2047" s="28" t="str">
        <x:v>front_low</x:v>
      </x:c>
      <x:c r="C2047" s="60" t="n">
        <x:v>0.1</x:v>
      </x:c>
      <x:c r="D2047" s="60" t="n">
        <x:v>0.1</x:v>
      </x:c>
      <x:c r="E2047" s="62" t="b">
        <x:v>1</x:v>
      </x:c>
      <x:c r="F2047" s="62" t="b">
        <x:v>1</x:v>
      </x:c>
      <x:c r="G2047" s="85" t="n">
        <x:v>0</x:v>
      </x:c>
      <x:c r="H2047" s="85" t="n">
        <x:v>0</x:v>
      </x:c>
      <x:c r="I2047" s="85" t="n">
        <x:v>0</x:v>
      </x:c>
      <x:c r="J2047" s="85" t="n">
        <x:v>0</x:v>
      </x:c>
      <x:c r="K2047" s="85" t="n">
        <x:v>1775522.0098865414</x:v>
      </x:c>
      <x:c r="L2047" s="28" t="n">
        <x:v>0</x:v>
      </x:c>
      <x:c r="M2047" s="28" t="n">
        <x:v>0</x:v>
      </x:c>
      <x:c r="N2047" s="28" t="n">
        <x:v>9.313225746154785e-10</x:v>
      </x:c>
      <x:c r="O2047" s="28" t="n">
        <x:v>7.450580596923828e-9</x:v>
      </x:c>
      <x:c r="P2047" s="28" t="n">
        <x:v>0</x:v>
      </x:c>
      <x:c r="Q2047" s="62" t="b">
        <x:v>1</x:v>
      </x:c>
      <x:c r="R2047" s="28" t="n">
        <x:v>0</x:v>
      </x:c>
      <x:c r="S2047" s="28" t="str">
        <x:v>166aef8deee1d6b9</x:v>
      </x:c>
    </x:row>
    <x:row r="2048" ht="21" customHeight="1">
      <x:c r="A2048" s="60" t="n">
        <x:v>0.68</x:v>
      </x:c>
      <x:c r="B2048" s="28" t="str">
        <x:v>front_low</x:v>
      </x:c>
      <x:c r="C2048" s="60" t="n">
        <x:v>0.15</x:v>
      </x:c>
      <x:c r="D2048" s="60" t="n">
        <x:v>0.15</x:v>
      </x:c>
      <x:c r="E2048" s="62" t="b">
        <x:v>1</x:v>
      </x:c>
      <x:c r="F2048" s="62" t="b">
        <x:v>1</x:v>
      </x:c>
      <x:c r="G2048" s="85" t="n">
        <x:v>0</x:v>
      </x:c>
      <x:c r="H2048" s="85" t="n">
        <x:v>0</x:v>
      </x:c>
      <x:c r="I2048" s="85" t="n">
        <x:v>308691.6522742233</x:v>
      </x:c>
      <x:c r="J2048" s="85" t="n">
        <x:v>0</x:v>
      </x:c>
      <x:c r="K2048" s="85" t="n">
        <x:v>156360.84354129896</x:v>
      </x:c>
      <x:c r="L2048" s="28" t="n">
        <x:v>0</x:v>
      </x:c>
      <x:c r="M2048" s="28" t="n">
        <x:v>0</x:v>
      </x:c>
      <x:c r="N2048" s="28" t="n">
        <x:v>4.656612873077393e-10</x:v>
      </x:c>
      <x:c r="O2048" s="28" t="n">
        <x:v>7.450580596923828e-9</x:v>
      </x:c>
      <x:c r="P2048" s="28" t="n">
        <x:v>0</x:v>
      </x:c>
      <x:c r="Q2048" s="62" t="b">
        <x:v>1</x:v>
      </x:c>
      <x:c r="R2048" s="28" t="n">
        <x:v>0</x:v>
      </x:c>
      <x:c r="S2048" s="28" t="str">
        <x:v>d45b1d628f986123</x:v>
      </x:c>
    </x:row>
    <x:row r="2049" ht="21" customHeight="1">
      <x:c r="A2049" s="60" t="n">
        <x:v>0.68</x:v>
      </x:c>
      <x:c r="B2049" s="28" t="str">
        <x:v>front_low</x:v>
      </x:c>
      <x:c r="C2049" s="60" t="n">
        <x:v>0.2</x:v>
      </x:c>
      <x:c r="D2049" s="60" t="n">
        <x:v>0.2</x:v>
      </x:c>
      <x:c r="E2049" s="62" t="b">
        <x:v>1</x:v>
      </x:c>
      <x:c r="F2049" s="62" t="b">
        <x:v>1</x:v>
      </x:c>
      <x:c r="G2049" s="85" t="n">
        <x:v>0</x:v>
      </x:c>
      <x:c r="H2049" s="85" t="n">
        <x:v>0</x:v>
      </x:c>
      <x:c r="I2049" s="85" t="n">
        <x:v>1408406.0369070407</x:v>
      </x:c>
      <x:c r="J2049" s="85" t="n">
        <x:v>1254093.4388721066</x:v>
      </x:c>
      <x:c r="K2049" s="85" t="n">
        <x:v>91692.0519114937</x:v>
      </x:c>
      <x:c r="L2049" s="28" t="n">
        <x:v>0</x:v>
      </x:c>
      <x:c r="M2049" s="28" t="n">
        <x:v>0</x:v>
      </x:c>
      <x:c r="N2049" s="28" t="n">
        <x:v>4.656612873077393e-10</x:v>
      </x:c>
      <x:c r="O2049" s="28" t="n">
        <x:v>7.450580596923828e-9</x:v>
      </x:c>
      <x:c r="P2049" s="28" t="n">
        <x:v>0</x:v>
      </x:c>
      <x:c r="Q2049" s="62" t="b">
        <x:v>1</x:v>
      </x:c>
      <x:c r="R2049" s="28" t="n">
        <x:v>0</x:v>
      </x:c>
      <x:c r="S2049" s="28" t="str">
        <x:v>6cf6b98a7252f5b6</x:v>
      </x:c>
    </x:row>
    <x:row r="2050" ht="21" customHeight="1">
      <x:c r="A2050" s="60" t="n">
        <x:v>0.68</x:v>
      </x:c>
      <x:c r="B2050" s="28" t="str">
        <x:v>front_low</x:v>
      </x:c>
      <x:c r="C2050" s="60" t="n">
        <x:v>0.25</x:v>
      </x:c>
      <x:c r="D2050" s="60" t="n">
        <x:v>0.25</x:v>
      </x:c>
      <x:c r="E2050" s="62" t="b">
        <x:v>1</x:v>
      </x:c>
      <x:c r="F2050" s="62" t="b">
        <x:v>1</x:v>
      </x:c>
      <x:c r="G2050" s="85" t="n">
        <x:v>0</x:v>
      </x:c>
      <x:c r="H2050" s="85" t="n">
        <x:v>0</x:v>
      </x:c>
      <x:c r="I2050" s="85" t="n">
        <x:v>2167360.500725418</x:v>
      </x:c>
      <x:c r="J2050" s="85" t="n">
        <x:v>2961216.7985901358</x:v>
      </x:c>
      <x:c r="K2050" s="85" t="n">
        <x:v>62350.85686643892</x:v>
      </x:c>
      <x:c r="L2050" s="28" t="n">
        <x:v>0</x:v>
      </x:c>
      <x:c r="M2050" s="28" t="n">
        <x:v>0</x:v>
      </x:c>
      <x:c r="N2050" s="28" t="n">
        <x:v>4.656612873077393e-10</x:v>
      </x:c>
      <x:c r="O2050" s="28" t="n">
        <x:v>3.725290298461914e-9</x:v>
      </x:c>
      <x:c r="P2050" s="28" t="n">
        <x:v>0</x:v>
      </x:c>
      <x:c r="Q2050" s="62" t="b">
        <x:v>1</x:v>
      </x:c>
      <x:c r="R2050" s="28" t="n">
        <x:v>0</x:v>
      </x:c>
      <x:c r="S2050" s="28" t="str">
        <x:v>f1f3ee3af9802381</x:v>
      </x:c>
    </x:row>
    <x:row r="2051" ht="21" customHeight="1">
      <x:c r="A2051" s="60" t="n">
        <x:v>0.68</x:v>
      </x:c>
      <x:c r="B2051" s="28" t="str">
        <x:v>front_low</x:v>
      </x:c>
      <x:c r="C2051" s="60" t="n">
        <x:v>0.3</x:v>
      </x:c>
      <x:c r="D2051" s="60" t="n">
        <x:v>0.3</x:v>
      </x:c>
      <x:c r="E2051" s="62" t="b">
        <x:v>1</x:v>
      </x:c>
      <x:c r="F2051" s="62" t="b">
        <x:v>1</x:v>
      </x:c>
      <x:c r="G2051" s="85" t="n">
        <x:v>0</x:v>
      </x:c>
      <x:c r="H2051" s="85" t="n">
        <x:v>0</x:v>
      </x:c>
      <x:c r="I2051" s="85" t="n">
        <x:v>2957176.109612834</x:v>
      </x:c>
      <x:c r="J2051" s="85" t="n">
        <x:v>4668340.158308172</x:v>
      </x:c>
      <x:c r="K2051" s="85" t="n">
        <x:v>44083.35355479442</x:v>
      </x:c>
      <x:c r="L2051" s="28" t="n">
        <x:v>0</x:v>
      </x:c>
      <x:c r="M2051" s="28" t="n">
        <x:v>0</x:v>
      </x:c>
      <x:c r="N2051" s="28" t="n">
        <x:v>4.656612873077393e-10</x:v>
      </x:c>
      <x:c r="O2051" s="28" t="n">
        <x:v>7.450580596923828e-9</x:v>
      </x:c>
      <x:c r="P2051" s="28" t="n">
        <x:v>0</x:v>
      </x:c>
      <x:c r="Q2051" s="62" t="b">
        <x:v>1</x:v>
      </x:c>
      <x:c r="R2051" s="28" t="n">
        <x:v>0</x:v>
      </x:c>
      <x:c r="S2051" s="28" t="str">
        <x:v>9983a5a47c1a9b54</x:v>
      </x:c>
    </x:row>
    <x:row r="2052" ht="21" customHeight="1">
      <x:c r="A2052" s="60" t="n">
        <x:v>0.68</x:v>
      </x:c>
      <x:c r="B2052" s="28" t="str">
        <x:v>front_low</x:v>
      </x:c>
      <x:c r="C2052" s="60" t="n">
        <x:v>0.35</x:v>
      </x:c>
      <x:c r="D2052" s="60" t="n">
        <x:v>0.35</x:v>
      </x:c>
      <x:c r="E2052" s="62" t="b">
        <x:v>1</x:v>
      </x:c>
      <x:c r="F2052" s="62" t="b">
        <x:v>1</x:v>
      </x:c>
      <x:c r="G2052" s="85" t="n">
        <x:v>0</x:v>
      </x:c>
      <x:c r="H2052" s="85" t="n">
        <x:v>0</x:v>
      </x:c>
      <x:c r="I2052" s="85" t="n">
        <x:v>4125139.6378586935</x:v>
      </x:c>
      <x:c r="J2052" s="85" t="n">
        <x:v>5782088.642969603</x:v>
      </x:c>
      <x:c r="K2052" s="85" t="n">
        <x:v>37471.9484075343</x:v>
      </x:c>
      <x:c r="L2052" s="28" t="n">
        <x:v>4</x:v>
      </x:c>
      <x:c r="M2052" s="28" t="n">
        <x:v>0</x:v>
      </x:c>
      <x:c r="N2052" s="28" t="n">
        <x:v>2.3283064365386963e-10</x:v>
      </x:c>
      <x:c r="O2052" s="28" t="n">
        <x:v>7.450580596923828e-9</x:v>
      </x:c>
      <x:c r="P2052" s="28" t="n">
        <x:v>0</x:v>
      </x:c>
      <x:c r="Q2052" s="62" t="b">
        <x:v>1</x:v>
      </x:c>
      <x:c r="R2052" s="28" t="n">
        <x:v>0</x:v>
      </x:c>
      <x:c r="S2052" s="28" t="str">
        <x:v>0620e66782b78176</x:v>
      </x:c>
    </x:row>
    <x:row r="2053" ht="21" customHeight="1">
      <x:c r="A2053" s="60" t="n">
        <x:v>0.68</x:v>
      </x:c>
      <x:c r="B2053" s="28" t="str">
        <x:v>front_low</x:v>
      </x:c>
      <x:c r="C2053" s="60" t="n">
        <x:v>0.4</x:v>
      </x:c>
      <x:c r="D2053" s="60" t="n">
        <x:v>0.4</x:v>
      </x:c>
      <x:c r="E2053" s="62" t="b">
        <x:v>1</x:v>
      </x:c>
      <x:c r="F2053" s="62" t="b">
        <x:v>1</x:v>
      </x:c>
      <x:c r="G2053" s="85" t="n">
        <x:v>0</x:v>
      </x:c>
      <x:c r="H2053" s="85" t="n">
        <x:v>0</x:v>
      </x:c>
      <x:c r="I2053" s="85" t="n">
        <x:v>5639606.175266444</x:v>
      </x:c>
      <x:c r="J2053" s="85" t="n">
        <x:v>6309256.072414941</x:v>
      </x:c>
      <x:c r="K2053" s="85" t="n">
        <x:v>30860.54326027412</x:v>
      </x:c>
      <x:c r="L2053" s="28" t="n">
        <x:v>12</x:v>
      </x:c>
      <x:c r="M2053" s="28" t="n">
        <x:v>0</x:v>
      </x:c>
      <x:c r="N2053" s="28" t="n">
        <x:v>4.656612873077393e-10</x:v>
      </x:c>
      <x:c r="O2053" s="28" t="n">
        <x:v>7.450580596923828e-9</x:v>
      </x:c>
      <x:c r="P2053" s="28" t="n">
        <x:v>0</x:v>
      </x:c>
      <x:c r="Q2053" s="62" t="b">
        <x:v>1</x:v>
      </x:c>
      <x:c r="R2053" s="28" t="n">
        <x:v>0</x:v>
      </x:c>
      <x:c r="S2053" s="28" t="str">
        <x:v>0210e82a61ae342c</x:v>
      </x:c>
    </x:row>
    <x:row r="2054" ht="21" customHeight="1">
      <x:c r="A2054" s="60" t="n">
        <x:v>0.68</x:v>
      </x:c>
      <x:c r="B2054" s="28" t="str">
        <x:v>front_low</x:v>
      </x:c>
      <x:c r="C2054" s="60" t="n">
        <x:v>0.45</x:v>
      </x:c>
      <x:c r="D2054" s="60" t="n">
        <x:v>0.45</x:v>
      </x:c>
      <x:c r="E2054" s="62" t="b">
        <x:v>1</x:v>
      </x:c>
      <x:c r="F2054" s="62" t="b">
        <x:v>1</x:v>
      </x:c>
      <x:c r="G2054" s="85" t="n">
        <x:v>0</x:v>
      </x:c>
      <x:c r="H2054" s="85" t="n">
        <x:v>0</x:v>
      </x:c>
      <x:c r="I2054" s="85" t="n">
        <x:v>6615346.834470717</x:v>
      </x:c>
      <x:c r="J2054" s="85" t="n">
        <x:v>7773249.035035061</x:v>
      </x:c>
      <x:c r="K2054" s="85" t="n">
        <x:v>24249.138113013592</x:v>
      </x:c>
      <x:c r="L2054" s="28" t="n">
        <x:v>17</x:v>
      </x:c>
      <x:c r="M2054" s="28" t="n">
        <x:v>0</x:v>
      </x:c>
      <x:c r="N2054" s="28" t="n">
        <x:v>2.3283064365386963e-10</x:v>
      </x:c>
      <x:c r="O2054" s="28" t="n">
        <x:v>3.725290298461914e-9</x:v>
      </x:c>
      <x:c r="P2054" s="28" t="n">
        <x:v>0</x:v>
      </x:c>
      <x:c r="Q2054" s="62" t="b">
        <x:v>1</x:v>
      </x:c>
      <x:c r="R2054" s="28" t="n">
        <x:v>0</x:v>
      </x:c>
      <x:c r="S2054" s="28" t="str">
        <x:v>2a28dea3ea8c36b5</x:v>
      </x:c>
    </x:row>
    <x:row r="2055" ht="21" customHeight="1">
      <x:c r="A2055" s="60" t="n">
        <x:v>0.68</x:v>
      </x:c>
      <x:c r="B2055" s="28" t="str">
        <x:v>front_low</x:v>
      </x:c>
      <x:c r="C2055" s="60" t="n">
        <x:v>0.5</x:v>
      </x:c>
      <x:c r="D2055" s="60" t="n">
        <x:v>0.5</x:v>
      </x:c>
      <x:c r="E2055" s="62" t="b">
        <x:v>1</x:v>
      </x:c>
      <x:c r="F2055" s="62" t="b">
        <x:v>1</x:v>
      </x:c>
      <x:c r="G2055" s="85" t="n">
        <x:v>0</x:v>
      </x:c>
      <x:c r="H2055" s="85" t="n">
        <x:v>0</x:v>
      </x:c>
      <x:c r="I2055" s="85" t="n">
        <x:v>7378884.191715771</x:v>
      </x:c>
      <x:c r="J2055" s="85" t="n">
        <x:v>9569759.363621756</x:v>
      </x:c>
      <x:c r="K2055" s="85" t="n">
        <x:v>17637.732965753527</x:v>
      </x:c>
      <x:c r="L2055" s="28" t="n">
        <x:v>20</x:v>
      </x:c>
      <x:c r="M2055" s="28" t="n">
        <x:v>0</x:v>
      </x:c>
      <x:c r="N2055" s="28" t="n">
        <x:v>4.656612873077393e-10</x:v>
      </x:c>
      <x:c r="O2055" s="28" t="n">
        <x:v>7.450580596923828e-9</x:v>
      </x:c>
      <x:c r="P2055" s="28" t="n">
        <x:v>0</x:v>
      </x:c>
      <x:c r="Q2055" s="62" t="b">
        <x:v>1</x:v>
      </x:c>
      <x:c r="R2055" s="28" t="n">
        <x:v>0</x:v>
      </x:c>
      <x:c r="S2055" s="28" t="str">
        <x:v>2fa57ee0bc7ff1a7</x:v>
      </x:c>
    </x:row>
    <x:row r="2056" ht="21" customHeight="1">
      <x:c r="A2056" s="60" t="n">
        <x:v>0.68</x:v>
      </x:c>
      <x:c r="B2056" s="28" t="str">
        <x:v>front_low</x:v>
      </x:c>
      <x:c r="C2056" s="60" t="n">
        <x:v>0.55</x:v>
      </x:c>
      <x:c r="D2056" s="60" t="n">
        <x:v>0.55</x:v>
      </x:c>
      <x:c r="E2056" s="62" t="b">
        <x:v>1</x:v>
      </x:c>
      <x:c r="F2056" s="62" t="b">
        <x:v>1</x:v>
      </x:c>
      <x:c r="G2056" s="85" t="n">
        <x:v>0</x:v>
      </x:c>
      <x:c r="H2056" s="85" t="n">
        <x:v>0</x:v>
      </x:c>
      <x:c r="I2056" s="85" t="n">
        <x:v>8182227.665666851</x:v>
      </x:c>
      <x:c r="J2056" s="85" t="n">
        <x:v>11283819.34923109</x:v>
      </x:c>
      <x:c r="K2056" s="85" t="n">
        <x:v>11026.327818493111</x:v>
      </x:c>
      <x:c r="L2056" s="28" t="n">
        <x:v>24</x:v>
      </x:c>
      <x:c r="M2056" s="28" t="n">
        <x:v>0</x:v>
      </x:c>
      <x:c r="N2056" s="28" t="n">
        <x:v>4.656612873077393e-10</x:v>
      </x:c>
      <x:c r="O2056" s="28" t="n">
        <x:v>3.725290298461914e-9</x:v>
      </x:c>
      <x:c r="P2056" s="28" t="n">
        <x:v>0</x:v>
      </x:c>
      <x:c r="Q2056" s="62" t="b">
        <x:v>1</x:v>
      </x:c>
      <x:c r="R2056" s="28" t="n">
        <x:v>0</x:v>
      </x:c>
      <x:c r="S2056" s="28" t="str">
        <x:v>da8931d786228365</x:v>
      </x:c>
    </x:row>
    <x:row r="2057" ht="21" customHeight="1">
      <x:c r="A2057" s="60" t="n">
        <x:v>0.68</x:v>
      </x:c>
      <x:c r="B2057" s="28" t="str">
        <x:v>front_low</x:v>
      </x:c>
      <x:c r="C2057" s="60" t="n">
        <x:v>0.6</x:v>
      </x:c>
      <x:c r="D2057" s="60" t="n">
        <x:v>0.6</x:v>
      </x:c>
      <x:c r="E2057" s="62" t="b">
        <x:v>1</x:v>
      </x:c>
      <x:c r="F2057" s="62" t="b">
        <x:v>0</x:v>
      </x:c>
      <x:c r="G2057" s="85" t="n">
        <x:v>84487.55234898016</x:v>
      </x:c>
      <x:c r="H2057" s="85" t="n">
        <x:v>1055505.4752399838</x:v>
      </x:c>
      <x:c r="I2057" s="85" t="n">
        <x:v>8471010.963287663</x:v>
      </x:c>
      <x:c r="J2057" s="85" t="n">
        <x:v>12263679.999999996</x:v>
      </x:c>
      <x:c r="K2057" s="85" t="n">
        <x:v>7530.507123287629</x:v>
      </x:c>
      <x:c r="L2057" s="28" t="n">
        <x:v>46</x:v>
      </x:c>
      <x:c r="M2057" s="28" t="n">
        <x:v>23</x:v>
      </x:c>
      <x:c r="N2057" s="28" t="n">
        <x:v>2.3283064365386963e-10</x:v>
      </x:c>
      <x:c r="O2057" s="28" t="n">
        <x:v>3.725290298461914e-9</x:v>
      </x:c>
      <x:c r="P2057" s="28" t="n">
        <x:v>0</x:v>
      </x:c>
      <x:c r="Q2057" s="62" t="b">
        <x:v>1</x:v>
      </x:c>
      <x:c r="R2057" s="28" t="n">
        <x:v>0</x:v>
      </x:c>
      <x:c r="S2057" s="28" t="str">
        <x:v>aa3b4c884e716926</x:v>
      </x:c>
    </x:row>
    <x:row r="2058" ht="21" customHeight="1">
      <x:c r="A2058" s="60" t="n">
        <x:v>0.68</x:v>
      </x:c>
      <x:c r="B2058" s="28" t="str">
        <x:v>front_low</x:v>
      </x:c>
      <x:c r="C2058" s="60" t="n">
        <x:v>0.65</x:v>
      </x:c>
      <x:c r="D2058" s="60" t="n">
        <x:v>0.65</x:v>
      </x:c>
      <x:c r="E2058" s="62" t="b">
        <x:v>1</x:v>
      </x:c>
      <x:c r="F2058" s="62" t="b">
        <x:v>0</x:v>
      </x:c>
      <x:c r="G2058" s="85" t="n">
        <x:v>253350.71841201067</x:v>
      </x:c>
      <x:c r="H2058" s="85" t="n">
        <x:v>3155332.8260541083</x:v>
      </x:c>
      <x:c r="I2058" s="85" t="n">
        <x:v>8471010.963287663</x:v>
      </x:c>
      <x:c r="J2058" s="85" t="n">
        <x:v>12263679.999999996</x:v>
      </x:c>
      <x:c r="K2058" s="85" t="n">
        <x:v>5276.678424657708</x:v>
      </x:c>
      <x:c r="L2058" s="28" t="n">
        <x:v>46</x:v>
      </x:c>
      <x:c r="M2058" s="28" t="n">
        <x:v>31</x:v>
      </x:c>
      <x:c r="N2058" s="28" t="n">
        <x:v>4.656612873077393e-10</x:v>
      </x:c>
      <x:c r="O2058" s="28" t="n">
        <x:v>3.725290298461914e-9</x:v>
      </x:c>
      <x:c r="P2058" s="28" t="n">
        <x:v>0</x:v>
      </x:c>
      <x:c r="Q2058" s="62" t="b">
        <x:v>1</x:v>
      </x:c>
      <x:c r="R2058" s="28" t="n">
        <x:v>0</x:v>
      </x:c>
      <x:c r="S2058" s="28" t="str">
        <x:v>3920c299204335dc</x:v>
      </x:c>
    </x:row>
    <x:row r="2059" ht="21" customHeight="1">
      <x:c r="A2059" s="60" t="n">
        <x:v>0.68</x:v>
      </x:c>
      <x:c r="B2059" s="28" t="str">
        <x:v>front_low</x:v>
      </x:c>
      <x:c r="C2059" s="60" t="n">
        <x:v>0.7</x:v>
      </x:c>
      <x:c r="D2059" s="60" t="n">
        <x:v>0.7</x:v>
      </x:c>
      <x:c r="E2059" s="62" t="b">
        <x:v>1</x:v>
      </x:c>
      <x:c r="F2059" s="62" t="b">
        <x:v>0</x:v>
      </x:c>
      <x:c r="G2059" s="85" t="n">
        <x:v>422213.8844750412</x:v>
      </x:c>
      <x:c r="H2059" s="85" t="n">
        <x:v>5255160.176868234</x:v>
      </x:c>
      <x:c r="I2059" s="85" t="n">
        <x:v>8471010.963287663</x:v>
      </x:c>
      <x:c r="J2059" s="85" t="n">
        <x:v>12263679.999999996</x:v>
      </x:c>
      <x:c r="K2059" s="85" t="n">
        <x:v>3022.84972602738</x:v>
      </x:c>
      <x:c r="L2059" s="28" t="n">
        <x:v>46</x:v>
      </x:c>
      <x:c r="M2059" s="28" t="n">
        <x:v>32</x:v>
      </x:c>
      <x:c r="N2059" s="28" t="n">
        <x:v>4.656612873077393e-10</x:v>
      </x:c>
      <x:c r="O2059" s="28" t="n">
        <x:v>1.862645149230957e-9</x:v>
      </x:c>
      <x:c r="P2059" s="28" t="n">
        <x:v>0</x:v>
      </x:c>
      <x:c r="Q2059" s="62" t="b">
        <x:v>1</x:v>
      </x:c>
      <x:c r="R2059" s="28" t="n">
        <x:v>0</x:v>
      </x:c>
      <x:c r="S2059" s="28" t="str">
        <x:v>9d8129c6d39f34f4</x:v>
      </x:c>
    </x:row>
    <x:row r="2060" ht="21" customHeight="1">
      <x:c r="A2060" s="60" t="n">
        <x:v>0.68</x:v>
      </x:c>
      <x:c r="B2060" s="28" t="str">
        <x:v>front_low</x:v>
      </x:c>
      <x:c r="C2060" s="60" t="n">
        <x:v>0.75</x:v>
      </x:c>
      <x:c r="D2060" s="60" t="n">
        <x:v>0.75</x:v>
      </x:c>
      <x:c r="E2060" s="62" t="b">
        <x:v>1</x:v>
      </x:c>
      <x:c r="F2060" s="62" t="b">
        <x:v>0</x:v>
      </x:c>
      <x:c r="G2060" s="85" t="n">
        <x:v>598711.4295188496</x:v>
      </x:c>
      <x:c r="H2060" s="85" t="n">
        <x:v>7346849.909473636</x:v>
      </x:c>
      <x:c r="I2060" s="85" t="n">
        <x:v>8471010.963287663</x:v>
      </x:c>
      <x:c r="J2060" s="85" t="n">
        <x:v>12263679.999999996</x:v>
      </x:c>
      <x:c r="K2060" s="85" t="n">
        <x:v>769.0210273972843</x:v>
      </x:c>
      <x:c r="L2060" s="28" t="n">
        <x:v>46</x:v>
      </x:c>
      <x:c r="M2060" s="28" t="n">
        <x:v>34</x:v>
      </x:c>
      <x:c r="N2060" s="28" t="n">
        <x:v>2.3283064365386963e-10</x:v>
      </x:c>
      <x:c r="O2060" s="28" t="n">
        <x:v>3.725290298461914e-9</x:v>
      </x:c>
      <x:c r="P2060" s="28" t="n">
        <x:v>0</x:v>
      </x:c>
      <x:c r="Q2060" s="62" t="b">
        <x:v>1</x:v>
      </x:c>
      <x:c r="R2060" s="28" t="n">
        <x:v>0</x:v>
      </x:c>
      <x:c r="S2060" s="28" t="str">
        <x:v>94c1e6e0a890e419</x:v>
      </x:c>
    </x:row>
    <x:row r="2061" ht="21" customHeight="1">
      <x:c r="A2061" s="60" t="n">
        <x:v>0.68</x:v>
      </x:c>
      <x:c r="B2061" s="28" t="str">
        <x:v>front_low</x:v>
      </x:c>
      <x:c r="C2061" s="60" t="n">
        <x:v>0.8</x:v>
      </x:c>
      <x:c r="D2061" s="60" t="n">
        <x:v>0.8</x:v>
      </x:c>
      <x:c r="E2061" s="62" t="b">
        <x:v>1</x:v>
      </x:c>
      <x:c r="F2061" s="62" t="b">
        <x:v>0</x:v>
      </x:c>
      <x:c r="G2061" s="85" t="n">
        <x:v>781916.5987410782</x:v>
      </x:c>
      <x:c r="H2061" s="85" t="n">
        <x:v>9164365.254001344</x:v>
      </x:c>
      <x:c r="I2061" s="85" t="n">
        <x:v>8654462.176438348</x:v>
      </x:c>
      <x:c r="J2061" s="85" t="n">
        <x:v>12263679.999999996</x:v>
      </x:c>
      <x:c r="K2061" s="85" t="n">
        <x:v>0</x:v>
      </x:c>
      <x:c r="L2061" s="28" t="n">
        <x:v>47</x:v>
      </x:c>
      <x:c r="M2061" s="28" t="n">
        <x:v>36</x:v>
      </x:c>
      <x:c r="N2061" s="28" t="n">
        <x:v>2.3283064365386963e-10</x:v>
      </x:c>
      <x:c r="O2061" s="28" t="n">
        <x:v>3.725290298461914e-9</x:v>
      </x:c>
      <x:c r="P2061" s="28" t="n">
        <x:v>0</x:v>
      </x:c>
      <x:c r="Q2061" s="62" t="b">
        <x:v>1</x:v>
      </x:c>
      <x:c r="R2061" s="28" t="n">
        <x:v>0</x:v>
      </x:c>
      <x:c r="S2061" s="28" t="str">
        <x:v>30c7cd33507b8099</x:v>
      </x:c>
    </x:row>
    <x:row r="2062" ht="21" customHeight="1">
      <x:c r="A2062" s="60" t="n">
        <x:v>0.68</x:v>
      </x:c>
      <x:c r="B2062" s="28" t="str">
        <x:v>front_low</x:v>
      </x:c>
      <x:c r="C2062" s="60" t="n">
        <x:v>0.85</x:v>
      </x:c>
      <x:c r="D2062" s="60" t="n">
        <x:v>0.85</x:v>
      </x:c>
      <x:c r="E2062" s="62" t="b">
        <x:v>1</x:v>
      </x:c>
      <x:c r="F2062" s="62" t="b">
        <x:v>0</x:v>
      </x:c>
      <x:c r="G2062" s="85" t="n">
        <x:v>956387.5103073029</x:v>
      </x:c>
      <x:c r="H2062" s="85" t="n">
        <x:v>11195978.177316006</x:v>
      </x:c>
      <x:c r="I2062" s="85" t="n">
        <x:v>8654462.176438348</x:v>
      </x:c>
      <x:c r="J2062" s="85" t="n">
        <x:v>12263679.999999996</x:v>
      </x:c>
      <x:c r="K2062" s="85" t="n">
        <x:v>0</x:v>
      </x:c>
      <x:c r="L2062" s="28" t="n">
        <x:v>47</x:v>
      </x:c>
      <x:c r="M2062" s="28" t="n">
        <x:v>38</x:v>
      </x:c>
      <x:c r="N2062" s="28" t="n">
        <x:v>2.3283064365386963e-10</x:v>
      </x:c>
      <x:c r="O2062" s="28" t="n">
        <x:v>1.862645149230957e-9</x:v>
      </x:c>
      <x:c r="P2062" s="28" t="n">
        <x:v>0</x:v>
      </x:c>
      <x:c r="Q2062" s="62" t="b">
        <x:v>1</x:v>
      </x:c>
      <x:c r="R2062" s="28" t="n">
        <x:v>0</x:v>
      </x:c>
      <x:c r="S2062" s="28" t="str">
        <x:v>585f56b21159f5c6</x:v>
      </x:c>
    </x:row>
    <x:row r="2063" ht="21" customHeight="1">
      <x:c r="A2063" s="60" t="n">
        <x:v>0.68</x:v>
      </x:c>
      <x:c r="B2063" s="28" t="str">
        <x:v>front_low</x:v>
      </x:c>
      <x:c r="C2063" s="60" t="n">
        <x:v>0.9</x:v>
      </x:c>
      <x:c r="D2063" s="60" t="n">
        <x:v>0.9</x:v>
      </x:c>
      <x:c r="E2063" s="62" t="b">
        <x:v>1</x:v>
      </x:c>
      <x:c r="F2063" s="62" t="b">
        <x:v>0</x:v>
      </x:c>
      <x:c r="G2063" s="85" t="n">
        <x:v>1232052.803172647</x:v>
      </x:c>
      <x:c r="H2063" s="85" t="n">
        <x:v>13117000.759857308</x:v>
      </x:c>
      <x:c r="I2063" s="85" t="n">
        <x:v>8654462.176438348</x:v>
      </x:c>
      <x:c r="J2063" s="85" t="n">
        <x:v>12263679.999999996</x:v>
      </x:c>
      <x:c r="K2063" s="85" t="n">
        <x:v>0</x:v>
      </x:c>
      <x:c r="L2063" s="28" t="n">
        <x:v>47</x:v>
      </x:c>
      <x:c r="M2063" s="28" t="n">
        <x:v>40</x:v>
      </x:c>
      <x:c r="N2063" s="28" t="n">
        <x:v>2.3283064365386963e-10</x:v>
      </x:c>
      <x:c r="O2063" s="28" t="n">
        <x:v>3.725290298461914e-9</x:v>
      </x:c>
      <x:c r="P2063" s="28" t="n">
        <x:v>0</x:v>
      </x:c>
      <x:c r="Q2063" s="62" t="b">
        <x:v>1</x:v>
      </x:c>
      <x:c r="R2063" s="28" t="n">
        <x:v>0</x:v>
      </x:c>
      <x:c r="S2063" s="28" t="str">
        <x:v>3074b062d1196ce8</x:v>
      </x:c>
    </x:row>
    <x:row r="2064" ht="21" customHeight="1">
      <x:c r="A2064" s="60" t="n">
        <x:v>0.68</x:v>
      </x:c>
      <x:c r="B2064" s="28" t="str">
        <x:v>front_low</x:v>
      </x:c>
      <x:c r="C2064" s="60" t="n">
        <x:v>0.95</x:v>
      </x:c>
      <x:c r="D2064" s="60" t="n">
        <x:v>0.9427119459478259</x:v>
      </x:c>
      <x:c r="E2064" s="62" t="b">
        <x:v>0</x:v>
      </x:c>
      <x:c r="F2064" s="62" t="b">
        <x:v>0</x:v>
      </x:c>
      <x:c r="G2064" s="85" t="n">
        <x:v>1655089.4161831615</x:v>
      </x:c>
      <x:c r="H2064" s="85" t="n">
        <x:v>14511701.864249775</x:v>
      </x:c>
      <x:c r="I2064" s="85" t="n">
        <x:v>8654462.176438348</x:v>
      </x:c>
      <x:c r="J2064" s="85" t="n">
        <x:v>12263679.999999996</x:v>
      </x:c>
      <x:c r="K2064" s="85" t="n">
        <x:v>0</x:v>
      </x:c>
      <x:c r="L2064" s="28" t="n">
        <x:v>47</x:v>
      </x:c>
      <x:c r="M2064" s="28" t="n">
        <x:v>40</x:v>
      </x:c>
      <x:c r="N2064" s="28" t="n">
        <x:v>2.3283064365386963e-10</x:v>
      </x:c>
      <x:c r="O2064" s="28" t="n">
        <x:v>1.862645149230957e-9</x:v>
      </x:c>
      <x:c r="P2064" s="28" t="n">
        <x:v>0</x:v>
      </x:c>
      <x:c r="Q2064" s="62" t="b">
        <x:v>1</x:v>
      </x:c>
      <x:c r="R2064" s="28" t="n">
        <x:v>406265.28508438915</x:v>
      </x:c>
      <x:c r="S2064" s="28" t="str">
        <x:v>49a47b8d47b2d772</x:v>
      </x:c>
    </x:row>
    <x:row r="2065" ht="21" customHeight="1">
      <x:c r="A2065" s="60" t="n">
        <x:v>0.68</x:v>
      </x:c>
      <x:c r="B2065" s="28" t="str">
        <x:v>front_low</x:v>
      </x:c>
      <x:c r="C2065" s="60" t="n">
        <x:v>1</x:v>
      </x:c>
      <x:c r="D2065" s="60" t="n">
        <x:v>0.9596721012870685</x:v>
      </x:c>
      <x:c r="E2065" s="62" t="b">
        <x:v>0</x:v>
      </x:c>
      <x:c r="F2065" s="62" t="b">
        <x:v>0</x:v>
      </x:c>
      <x:c r="G2065" s="85" t="n">
        <x:v>1813049.0156097359</x:v>
      </x:c>
      <x:c r="H2065" s="85" t="n">
        <x:v>15256077.89145293</x:v>
      </x:c>
      <x:c r="I2065" s="85" t="n">
        <x:v>8654462.176438348</x:v>
      </x:c>
      <x:c r="J2065" s="85" t="n">
        <x:v>12263679.999999996</x:v>
      </x:c>
      <x:c r="K2065" s="85" t="n">
        <x:v>0</x:v>
      </x:c>
      <x:c r="L2065" s="28" t="n">
        <x:v>47</x:v>
      </x:c>
      <x:c r="M2065" s="28" t="n">
        <x:v>42</x:v>
      </x:c>
      <x:c r="N2065" s="28" t="n">
        <x:v>2.3283064365386963e-10</x:v>
      </x:c>
      <x:c r="O2065" s="28" t="n">
        <x:v>1.862645149230957e-9</x:v>
      </x:c>
      <x:c r="P2065" s="28" t="n">
        <x:v>0</x:v>
      </x:c>
      <x:c r="Q2065" s="62" t="b">
        <x:v>1</x:v>
      </x:c>
      <x:c r="R2065" s="28" t="n">
        <x:v>2248038.3858536556</x:v>
      </x:c>
      <x:c r="S2065" s="28" t="str">
        <x:v>d1ea0416d79189a3</x:v>
      </x:c>
    </x:row>
    <x:row r="2066" ht="21" customHeight="1">
      <x:c r="A2066" s="60" t="n">
        <x:v>0.68</x:v>
      </x:c>
      <x:c r="B2066" s="28" t="str">
        <x:v>front_high</x:v>
      </x:c>
      <x:c r="C2066" s="60" t="n">
        <x:v>0</x:v>
      </x:c>
      <x:c r="D2066" s="60" t="n">
        <x:v>0</x:v>
      </x:c>
      <x:c r="E2066" s="62" t="b">
        <x:v>1</x:v>
      </x:c>
      <x:c r="F2066" s="62" t="b">
        <x:v>1</x:v>
      </x:c>
      <x:c r="G2066" s="85" t="n">
        <x:v>0</x:v>
      </x:c>
      <x:c r="H2066" s="85" t="n">
        <x:v>0</x:v>
      </x:c>
      <x:c r="I2066" s="85" t="n">
        <x:v>0</x:v>
      </x:c>
      <x:c r="J2066" s="85" t="n">
        <x:v>0</x:v>
      </x:c>
      <x:c r="K2066" s="85" t="n">
        <x:v>7547640.424767128</x:v>
      </x:c>
      <x:c r="L2066" s="28" t="n">
        <x:v>0</x:v>
      </x:c>
      <x:c r="M2066" s="28" t="n">
        <x:v>0</x:v>
      </x:c>
      <x:c r="N2066" s="28" t="n">
        <x:v>9.313225746154785e-10</x:v>
      </x:c>
      <x:c r="O2066" s="28" t="n">
        <x:v>0</x:v>
      </x:c>
      <x:c r="P2066" s="28" t="n">
        <x:v>0</x:v>
      </x:c>
      <x:c r="Q2066" s="62" t="b">
        <x:v>1</x:v>
      </x:c>
      <x:c r="R2066" s="28" t="n">
        <x:v>0</x:v>
      </x:c>
      <x:c r="S2066" s="28" t="str">
        <x:v>8e4fc0ff1beeea52</x:v>
      </x:c>
    </x:row>
    <x:row r="2067" ht="21" customHeight="1">
      <x:c r="A2067" s="60" t="n">
        <x:v>0.68</x:v>
      </x:c>
      <x:c r="B2067" s="28" t="str">
        <x:v>front_high</x:v>
      </x:c>
      <x:c r="C2067" s="60" t="n">
        <x:v>0.05</x:v>
      </x:c>
      <x:c r="D2067" s="60" t="n">
        <x:v>0.05</x:v>
      </x:c>
      <x:c r="E2067" s="62" t="b">
        <x:v>1</x:v>
      </x:c>
      <x:c r="F2067" s="62" t="b">
        <x:v>1</x:v>
      </x:c>
      <x:c r="G2067" s="85" t="n">
        <x:v>0</x:v>
      </x:c>
      <x:c r="H2067" s="85" t="n">
        <x:v>0</x:v>
      </x:c>
      <x:c r="I2067" s="85" t="n">
        <x:v>0</x:v>
      </x:c>
      <x:c r="J2067" s="85" t="n">
        <x:v>0</x:v>
      </x:c>
      <x:c r="K2067" s="85" t="n">
        <x:v>4953939.416072789</x:v>
      </x:c>
      <x:c r="L2067" s="28" t="n">
        <x:v>0</x:v>
      </x:c>
      <x:c r="M2067" s="28" t="n">
        <x:v>0</x:v>
      </x:c>
      <x:c r="N2067" s="28" t="n">
        <x:v>9.313225746154785e-10</x:v>
      </x:c>
      <x:c r="O2067" s="28" t="n">
        <x:v>7.450580596923828e-9</x:v>
      </x:c>
      <x:c r="P2067" s="28" t="n">
        <x:v>0</x:v>
      </x:c>
      <x:c r="Q2067" s="62" t="b">
        <x:v>1</x:v>
      </x:c>
      <x:c r="R2067" s="28" t="n">
        <x:v>0</x:v>
      </x:c>
      <x:c r="S2067" s="28" t="str">
        <x:v>9b0195410cc57c96</x:v>
      </x:c>
    </x:row>
    <x:row r="2068" ht="21" customHeight="1">
      <x:c r="A2068" s="60" t="n">
        <x:v>0.68</x:v>
      </x:c>
      <x:c r="B2068" s="28" t="str">
        <x:v>front_high</x:v>
      </x:c>
      <x:c r="C2068" s="60" t="n">
        <x:v>0.1</x:v>
      </x:c>
      <x:c r="D2068" s="60" t="n">
        <x:v>0.1</x:v>
      </x:c>
      <x:c r="E2068" s="62" t="b">
        <x:v>1</x:v>
      </x:c>
      <x:c r="F2068" s="62" t="b">
        <x:v>1</x:v>
      </x:c>
      <x:c r="G2068" s="85" t="n">
        <x:v>0</x:v>
      </x:c>
      <x:c r="H2068" s="85" t="n">
        <x:v>0</x:v>
      </x:c>
      <x:c r="I2068" s="85" t="n">
        <x:v>0</x:v>
      </x:c>
      <x:c r="J2068" s="85" t="n">
        <x:v>0</x:v>
      </x:c>
      <x:c r="K2068" s="85" t="n">
        <x:v>2359622.94357035</x:v>
      </x:c>
      <x:c r="L2068" s="28" t="n">
        <x:v>0</x:v>
      </x:c>
      <x:c r="M2068" s="28" t="n">
        <x:v>0</x:v>
      </x:c>
      <x:c r="N2068" s="28" t="n">
        <x:v>2.3283064365386963e-10</x:v>
      </x:c>
      <x:c r="O2068" s="28" t="n">
        <x:v>7.450580596923828e-9</x:v>
      </x:c>
      <x:c r="P2068" s="28" t="n">
        <x:v>0</x:v>
      </x:c>
      <x:c r="Q2068" s="62" t="b">
        <x:v>1</x:v>
      </x:c>
      <x:c r="R2068" s="28" t="n">
        <x:v>0</x:v>
      </x:c>
      <x:c r="S2068" s="28" t="str">
        <x:v>35a535f3a08614fc</x:v>
      </x:c>
    </x:row>
    <x:row r="2069" ht="21" customHeight="1">
      <x:c r="A2069" s="60" t="n">
        <x:v>0.68</x:v>
      </x:c>
      <x:c r="B2069" s="28" t="str">
        <x:v>front_high</x:v>
      </x:c>
      <x:c r="C2069" s="60" t="n">
        <x:v>0.15</x:v>
      </x:c>
      <x:c r="D2069" s="60" t="n">
        <x:v>0.15</x:v>
      </x:c>
      <x:c r="E2069" s="62" t="b">
        <x:v>1</x:v>
      </x:c>
      <x:c r="F2069" s="62" t="b">
        <x:v>1</x:v>
      </x:c>
      <x:c r="G2069" s="85" t="n">
        <x:v>0</x:v>
      </x:c>
      <x:c r="H2069" s="85" t="n">
        <x:v>0</x:v>
      </x:c>
      <x:c r="I2069" s="85" t="n">
        <x:v>551719.7282309093</x:v>
      </x:c>
      <x:c r="J2069" s="85" t="n">
        <x:v>0</x:v>
      </x:c>
      <x:c r="K2069" s="85" t="n">
        <x:v>383707.32251215103</x:v>
      </x:c>
      <x:c r="L2069" s="28" t="n">
        <x:v>0</x:v>
      </x:c>
      <x:c r="M2069" s="28" t="n">
        <x:v>0</x:v>
      </x:c>
      <x:c r="N2069" s="28" t="n">
        <x:v>9.313225746154785e-10</x:v>
      </x:c>
      <x:c r="O2069" s="28" t="n">
        <x:v>7.450580596923828e-9</x:v>
      </x:c>
      <x:c r="P2069" s="28" t="n">
        <x:v>0</x:v>
      </x:c>
      <x:c r="Q2069" s="62" t="b">
        <x:v>1</x:v>
      </x:c>
      <x:c r="R2069" s="28" t="n">
        <x:v>0</x:v>
      </x:c>
      <x:c r="S2069" s="28" t="str">
        <x:v>6e32f58d842efe5f</x:v>
      </x:c>
    </x:row>
    <x:row r="2070" ht="21" customHeight="1">
      <x:c r="A2070" s="60" t="n">
        <x:v>0.68</x:v>
      </x:c>
      <x:c r="B2070" s="28" t="str">
        <x:v>front_high</x:v>
      </x:c>
      <x:c r="C2070" s="60" t="n">
        <x:v>0.2</x:v>
      </x:c>
      <x:c r="D2070" s="60" t="n">
        <x:v>0.2</x:v>
      </x:c>
      <x:c r="E2070" s="62" t="b">
        <x:v>1</x:v>
      </x:c>
      <x:c r="F2070" s="62" t="b">
        <x:v>1</x:v>
      </x:c>
      <x:c r="G2070" s="85" t="n">
        <x:v>0</x:v>
      </x:c>
      <x:c r="H2070" s="85" t="n">
        <x:v>0</x:v>
      </x:c>
      <x:c r="I2070" s="85" t="n">
        <x:v>2455979.888728352</x:v>
      </x:c>
      <x:c r="J2070" s="85" t="n">
        <x:v>1254093.4388721066</x:v>
      </x:c>
      <x:c r="K2070" s="85" t="n">
        <x:v>213826.1415752611</x:v>
      </x:c>
      <x:c r="L2070" s="28" t="n">
        <x:v>0</x:v>
      </x:c>
      <x:c r="M2070" s="28" t="n">
        <x:v>0</x:v>
      </x:c>
      <x:c r="N2070" s="28" t="n">
        <x:v>4.656612873077393e-10</x:v>
      </x:c>
      <x:c r="O2070" s="28" t="n">
        <x:v>7.450580596923828e-9</x:v>
      </x:c>
      <x:c r="P2070" s="28" t="n">
        <x:v>0</x:v>
      </x:c>
      <x:c r="Q2070" s="62" t="b">
        <x:v>1</x:v>
      </x:c>
      <x:c r="R2070" s="28" t="n">
        <x:v>0</x:v>
      </x:c>
      <x:c r="S2070" s="28" t="str">
        <x:v>6d75bb9d672b77ed</x:v>
      </x:c>
    </x:row>
    <x:row r="2071" ht="21" customHeight="1">
      <x:c r="A2071" s="60" t="n">
        <x:v>0.68</x:v>
      </x:c>
      <x:c r="B2071" s="28" t="str">
        <x:v>front_high</x:v>
      </x:c>
      <x:c r="C2071" s="60" t="n">
        <x:v>0.25</x:v>
      </x:c>
      <x:c r="D2071" s="60" t="n">
        <x:v>0.25</x:v>
      </x:c>
      <x:c r="E2071" s="62" t="b">
        <x:v>1</x:v>
      </x:c>
      <x:c r="F2071" s="62" t="b">
        <x:v>1</x:v>
      </x:c>
      <x:c r="G2071" s="85" t="n">
        <x:v>0</x:v>
      </x:c>
      <x:c r="H2071" s="85" t="n">
        <x:v>0</x:v>
      </x:c>
      <x:c r="I2071" s="85" t="n">
        <x:v>4188654.3184372606</x:v>
      </x:c>
      <x:c r="J2071" s="85" t="n">
        <x:v>2961216.7985901358</x:v>
      </x:c>
      <x:c r="K2071" s="85" t="n">
        <x:v>148866.33378424746</x:v>
      </x:c>
      <x:c r="L2071" s="28" t="n">
        <x:v>0</x:v>
      </x:c>
      <x:c r="M2071" s="28" t="n">
        <x:v>0</x:v>
      </x:c>
      <x:c r="N2071" s="28" t="n">
        <x:v>9.313225746154785e-10</x:v>
      </x:c>
      <x:c r="O2071" s="28" t="n">
        <x:v>3.725290298461914e-9</x:v>
      </x:c>
      <x:c r="P2071" s="28" t="n">
        <x:v>0</x:v>
      </x:c>
      <x:c r="Q2071" s="62" t="b">
        <x:v>1</x:v>
      </x:c>
      <x:c r="R2071" s="28" t="n">
        <x:v>0</x:v>
      </x:c>
      <x:c r="S2071" s="28" t="str">
        <x:v>cabb3d3f3130ccd7</x:v>
      </x:c>
    </x:row>
    <x:row r="2072" ht="21" customHeight="1">
      <x:c r="A2072" s="60" t="n">
        <x:v>0.68</x:v>
      </x:c>
      <x:c r="B2072" s="28" t="str">
        <x:v>front_high</x:v>
      </x:c>
      <x:c r="C2072" s="60" t="n">
        <x:v>0.3</x:v>
      </x:c>
      <x:c r="D2072" s="60" t="n">
        <x:v>0.3</x:v>
      </x:c>
      <x:c r="E2072" s="62" t="b">
        <x:v>1</x:v>
      </x:c>
      <x:c r="F2072" s="62" t="b">
        <x:v>1</x:v>
      </x:c>
      <x:c r="G2072" s="85" t="n">
        <x:v>0</x:v>
      </x:c>
      <x:c r="H2072" s="85" t="n">
        <x:v>0</x:v>
      </x:c>
      <x:c r="I2072" s="85" t="n">
        <x:v>5992852.638124718</x:v>
      </x:c>
      <x:c r="J2072" s="85" t="n">
        <x:v>4668340.158308172</x:v>
      </x:c>
      <x:c r="K2072" s="85" t="n">
        <x:v>112863.40254109638</x:v>
      </x:c>
      <x:c r="L2072" s="28" t="n">
        <x:v>0</x:v>
      </x:c>
      <x:c r="M2072" s="28" t="n">
        <x:v>0</x:v>
      </x:c>
      <x:c r="N2072" s="28" t="n">
        <x:v>4.656612873077393e-10</x:v>
      </x:c>
      <x:c r="O2072" s="28" t="n">
        <x:v>7.450580596923828e-9</x:v>
      </x:c>
      <x:c r="P2072" s="28" t="n">
        <x:v>0</x:v>
      </x:c>
      <x:c r="Q2072" s="62" t="b">
        <x:v>1</x:v>
      </x:c>
      <x:c r="R2072" s="28" t="n">
        <x:v>0</x:v>
      </x:c>
      <x:c r="S2072" s="28" t="str">
        <x:v>2821f8e907fcbd15</x:v>
      </x:c>
    </x:row>
    <x:row r="2073" ht="21" customHeight="1">
      <x:c r="A2073" s="60" t="n">
        <x:v>0.68</x:v>
      </x:c>
      <x:c r="B2073" s="28" t="str">
        <x:v>front_high</x:v>
      </x:c>
      <x:c r="C2073" s="60" t="n">
        <x:v>0.35</x:v>
      </x:c>
      <x:c r="D2073" s="60" t="n">
        <x:v>0.35</x:v>
      </x:c>
      <x:c r="E2073" s="62" t="b">
        <x:v>1</x:v>
      </x:c>
      <x:c r="F2073" s="62" t="b">
        <x:v>1</x:v>
      </x:c>
      <x:c r="G2073" s="85" t="n">
        <x:v>0</x:v>
      </x:c>
      <x:c r="H2073" s="85" t="n">
        <x:v>0</x:v>
      </x:c>
      <x:c r="I2073" s="85" t="n">
        <x:v>7845416.880238584</x:v>
      </x:c>
      <x:c r="J2073" s="85" t="n">
        <x:v>5859315.16016751</x:v>
      </x:c>
      <x:c r="K2073" s="85" t="n">
        <x:v>95239.76720205526</x:v>
      </x:c>
      <x:c r="L2073" s="28" t="n">
        <x:v>2</x:v>
      </x:c>
      <x:c r="M2073" s="28" t="n">
        <x:v>0</x:v>
      </x:c>
      <x:c r="N2073" s="28" t="n">
        <x:v>2.3283064365386963e-10</x:v>
      </x:c>
      <x:c r="O2073" s="28" t="n">
        <x:v>7.450580596923828e-9</x:v>
      </x:c>
      <x:c r="P2073" s="28" t="n">
        <x:v>0</x:v>
      </x:c>
      <x:c r="Q2073" s="62" t="b">
        <x:v>1</x:v>
      </x:c>
      <x:c r="R2073" s="28" t="n">
        <x:v>0</x:v>
      </x:c>
      <x:c r="S2073" s="28" t="str">
        <x:v>1fb82c6c4dad4c91</x:v>
      </x:c>
    </x:row>
    <x:row r="2074" ht="21" customHeight="1">
      <x:c r="A2074" s="60" t="n">
        <x:v>0.68</x:v>
      </x:c>
      <x:c r="B2074" s="28" t="str">
        <x:v>front_high</x:v>
      </x:c>
      <x:c r="C2074" s="60" t="n">
        <x:v>0.4</x:v>
      </x:c>
      <x:c r="D2074" s="60" t="n">
        <x:v>0.4</x:v>
      </x:c>
      <x:c r="E2074" s="62" t="b">
        <x:v>1</x:v>
      </x:c>
      <x:c r="F2074" s="62" t="b">
        <x:v>1</x:v>
      </x:c>
      <x:c r="G2074" s="85" t="n">
        <x:v>0</x:v>
      </x:c>
      <x:c r="H2074" s="85" t="n">
        <x:v>0</x:v>
      </x:c>
      <x:c r="I2074" s="85" t="n">
        <x:v>9704211.175053418</x:v>
      </x:c>
      <x:c r="J2074" s="85" t="n">
        <x:v>6323354.877717297</x:v>
      </x:c>
      <x:c r="K2074" s="85" t="n">
        <x:v>77616.13186301365</x:v>
      </x:c>
      <x:c r="L2074" s="28" t="n">
        <x:v>7</x:v>
      </x:c>
      <x:c r="M2074" s="28" t="n">
        <x:v>0</x:v>
      </x:c>
      <x:c r="N2074" s="28" t="n">
        <x:v>4.656612873077393e-10</x:v>
      </x:c>
      <x:c r="O2074" s="28" t="n">
        <x:v>7.450580596923828e-9</x:v>
      </x:c>
      <x:c r="P2074" s="28" t="n">
        <x:v>0</x:v>
      </x:c>
      <x:c r="Q2074" s="62" t="b">
        <x:v>1</x:v>
      </x:c>
      <x:c r="R2074" s="28" t="n">
        <x:v>0</x:v>
      </x:c>
      <x:c r="S2074" s="28" t="str">
        <x:v>cc031263b561a795</x:v>
      </x:c>
    </x:row>
    <x:row r="2075" ht="21" customHeight="1">
      <x:c r="A2075" s="60" t="n">
        <x:v>0.68</x:v>
      </x:c>
      <x:c r="B2075" s="28" t="str">
        <x:v>front_high</x:v>
      </x:c>
      <x:c r="C2075" s="60" t="n">
        <x:v>0.45</x:v>
      </x:c>
      <x:c r="D2075" s="60" t="n">
        <x:v>0.45</x:v>
      </x:c>
      <x:c r="E2075" s="62" t="b">
        <x:v>1</x:v>
      </x:c>
      <x:c r="F2075" s="62" t="b">
        <x:v>1</x:v>
      </x:c>
      <x:c r="G2075" s="85" t="n">
        <x:v>0</x:v>
      </x:c>
      <x:c r="H2075" s="85" t="n">
        <x:v>0</x:v>
      </x:c>
      <x:c r="I2075" s="85" t="n">
        <x:v>11662856.253567893</x:v>
      </x:c>
      <x:c r="J2075" s="85" t="n">
        <x:v>7035351.102069755</x:v>
      </x:c>
      <x:c r="K2075" s="85" t="n">
        <x:v>59992.496523972986</x:v>
      </x:c>
      <x:c r="L2075" s="28" t="n">
        <x:v>13</x:v>
      </x:c>
      <x:c r="M2075" s="28" t="n">
        <x:v>0</x:v>
      </x:c>
      <x:c r="N2075" s="28" t="n">
        <x:v>2.3283064365386963e-10</x:v>
      </x:c>
      <x:c r="O2075" s="28" t="n">
        <x:v>3.725290298461914e-9</x:v>
      </x:c>
      <x:c r="P2075" s="28" t="n">
        <x:v>0</x:v>
      </x:c>
      <x:c r="Q2075" s="62" t="b">
        <x:v>1</x:v>
      </x:c>
      <x:c r="R2075" s="28" t="n">
        <x:v>0</x:v>
      </x:c>
      <x:c r="S2075" s="28" t="str">
        <x:v>0e497c5a56cb61ba</x:v>
      </x:c>
    </x:row>
    <x:row r="2076" ht="21" customHeight="1">
      <x:c r="A2076" s="60" t="n">
        <x:v>0.68</x:v>
      </x:c>
      <x:c r="B2076" s="28" t="str">
        <x:v>front_high</x:v>
      </x:c>
      <x:c r="C2076" s="60" t="n">
        <x:v>0.5</x:v>
      </x:c>
      <x:c r="D2076" s="60" t="n">
        <x:v>0.5</x:v>
      </x:c>
      <x:c r="E2076" s="62" t="b">
        <x:v>1</x:v>
      </x:c>
      <x:c r="F2076" s="62" t="b">
        <x:v>1</x:v>
      </x:c>
      <x:c r="G2076" s="85" t="n">
        <x:v>0</x:v>
      </x:c>
      <x:c r="H2076" s="85" t="n">
        <x:v>0</x:v>
      </x:c>
      <x:c r="I2076" s="85" t="n">
        <x:v>13534581.477512063</x:v>
      </x:c>
      <x:c r="J2076" s="85" t="n">
        <x:v>8814361.949191768</x:v>
      </x:c>
      <x:c r="K2076" s="85" t="n">
        <x:v>42654.829931506574</x:v>
      </x:c>
      <x:c r="L2076" s="28" t="n">
        <x:v>18</x:v>
      </x:c>
      <x:c r="M2076" s="28" t="n">
        <x:v>0</x:v>
      </x:c>
      <x:c r="N2076" s="28" t="n">
        <x:v>4.656612873077393e-10</x:v>
      </x:c>
      <x:c r="O2076" s="28" t="n">
        <x:v>7.450580596923828e-9</x:v>
      </x:c>
      <x:c r="P2076" s="28" t="n">
        <x:v>0</x:v>
      </x:c>
      <x:c r="Q2076" s="62" t="b">
        <x:v>1</x:v>
      </x:c>
      <x:c r="R2076" s="28" t="n">
        <x:v>0</x:v>
      </x:c>
      <x:c r="S2076" s="28" t="str">
        <x:v>f51d83937b42be29</x:v>
      </x:c>
    </x:row>
    <x:row r="2077" ht="21" customHeight="1">
      <x:c r="A2077" s="60" t="n">
        <x:v>0.68</x:v>
      </x:c>
      <x:c r="B2077" s="28" t="str">
        <x:v>front_high</x:v>
      </x:c>
      <x:c r="C2077" s="60" t="n">
        <x:v>0.55</x:v>
      </x:c>
      <x:c r="D2077" s="60" t="n">
        <x:v>0.55</x:v>
      </x:c>
      <x:c r="E2077" s="62" t="b">
        <x:v>1</x:v>
      </x:c>
      <x:c r="F2077" s="62" t="b">
        <x:v>1</x:v>
      </x:c>
      <x:c r="G2077" s="85" t="n">
        <x:v>0</x:v>
      </x:c>
      <x:c r="H2077" s="85" t="n">
        <x:v>0</x:v>
      </x:c>
      <x:c r="I2077" s="85" t="n">
        <x:v>15293623.048882958</x:v>
      </x:c>
      <x:c r="J2077" s="85" t="n">
        <x:v>10687924.479793912</x:v>
      </x:c>
      <x:c r="K2077" s="85" t="n">
        <x:v>36757.248595890276</x:v>
      </x:c>
      <x:c r="L2077" s="28" t="n">
        <x:v>23</x:v>
      </x:c>
      <x:c r="M2077" s="28" t="n">
        <x:v>11</x:v>
      </x:c>
      <x:c r="N2077" s="28" t="n">
        <x:v>4.656612873077393e-10</x:v>
      </x:c>
      <x:c r="O2077" s="28" t="n">
        <x:v>3.725290298461914e-9</x:v>
      </x:c>
      <x:c r="P2077" s="28" t="n">
        <x:v>0</x:v>
      </x:c>
      <x:c r="Q2077" s="62" t="b">
        <x:v>1</x:v>
      </x:c>
      <x:c r="R2077" s="28" t="n">
        <x:v>0</x:v>
      </x:c>
      <x:c r="S2077" s="28" t="str">
        <x:v>6361ebd788d7f45b</x:v>
      </x:c>
    </x:row>
    <x:row r="2078" ht="21" customHeight="1">
      <x:c r="A2078" s="60" t="n">
        <x:v>0.68</x:v>
      </x:c>
      <x:c r="B2078" s="28" t="str">
        <x:v>front_high</x:v>
      </x:c>
      <x:c r="C2078" s="60" t="n">
        <x:v>0.6</x:v>
      </x:c>
      <x:c r="D2078" s="60" t="n">
        <x:v>0.6</x:v>
      </x:c>
      <x:c r="E2078" s="62" t="b">
        <x:v>1</x:v>
      </x:c>
      <x:c r="F2078" s="62" t="b">
        <x:v>0</x:v>
      </x:c>
      <x:c r="G2078" s="85" t="n">
        <x:v>395829.78389262967</x:v>
      </x:c>
      <x:c r="H2078" s="85" t="n">
        <x:v>1261898.75067022</x:v>
      </x:c>
      <x:c r="I2078" s="85" t="n">
        <x:v>16240215.227920532</x:v>
      </x:c>
      <x:c r="J2078" s="85" t="n">
        <x:v>12263679.999999996</x:v>
      </x:c>
      <x:c r="K2078" s="85" t="n">
        <x:v>30859.66726027421</x:v>
      </x:c>
      <x:c r="L2078" s="28" t="n">
        <x:v>46</x:v>
      </x:c>
      <x:c r="M2078" s="28" t="n">
        <x:v>39</x:v>
      </x:c>
      <x:c r="N2078" s="28" t="n">
        <x:v>4.656612873077393e-10</x:v>
      </x:c>
      <x:c r="O2078" s="28" t="n">
        <x:v>3.725290298461914e-9</x:v>
      </x:c>
      <x:c r="P2078" s="28" t="n">
        <x:v>0</x:v>
      </x:c>
      <x:c r="Q2078" s="62" t="b">
        <x:v>1</x:v>
      </x:c>
      <x:c r="R2078" s="28" t="n">
        <x:v>0</x:v>
      </x:c>
      <x:c r="S2078" s="28" t="str">
        <x:v>2befb872ba47fc92</x:v>
      </x:c>
    </x:row>
    <x:row r="2079" ht="21" customHeight="1">
      <x:c r="A2079" s="60" t="n">
        <x:v>0.68</x:v>
      </x:c>
      <x:c r="B2079" s="28" t="str">
        <x:v>front_high</x:v>
      </x:c>
      <x:c r="C2079" s="60" t="n">
        <x:v>0.65</x:v>
      </x:c>
      <x:c r="D2079" s="60" t="n">
        <x:v>0.65</x:v>
      </x:c>
      <x:c r="E2079" s="62" t="b">
        <x:v>1</x:v>
      </x:c>
      <x:c r="F2079" s="62" t="b">
        <x:v>0</x:v>
      </x:c>
      <x:c r="G2079" s="85" t="n">
        <x:v>1417478.2167889986</x:v>
      </x:c>
      <x:c r="H2079" s="85" t="n">
        <x:v>4289312.639734284</x:v>
      </x:c>
      <x:c r="I2079" s="85" t="n">
        <x:v>16252042.909726696</x:v>
      </x:c>
      <x:c r="J2079" s="85" t="n">
        <x:v>12263679.999999996</x:v>
      </x:c>
      <x:c r="K2079" s="85" t="n">
        <x:v>24962.08592465768</x:v>
      </x:c>
      <x:c r="L2079" s="28" t="n">
        <x:v>46</x:v>
      </x:c>
      <x:c r="M2079" s="28" t="n">
        <x:v>42</x:v>
      </x:c>
      <x:c r="N2079" s="28" t="n">
        <x:v>2.3283064365386963e-10</x:v>
      </x:c>
      <x:c r="O2079" s="28" t="n">
        <x:v>3.725290298461914e-9</x:v>
      </x:c>
      <x:c r="P2079" s="28" t="n">
        <x:v>0</x:v>
      </x:c>
      <x:c r="Q2079" s="62" t="b">
        <x:v>1</x:v>
      </x:c>
      <x:c r="R2079" s="28" t="n">
        <x:v>0</x:v>
      </x:c>
      <x:c r="S2079" s="28" t="str">
        <x:v>bbe38cca5d28d28c</x:v>
      </x:c>
    </x:row>
    <x:row r="2080" ht="21" customHeight="1">
      <x:c r="A2080" s="60" t="n">
        <x:v>0.68</x:v>
      </x:c>
      <x:c r="B2080" s="28" t="str">
        <x:v>front_high</x:v>
      </x:c>
      <x:c r="C2080" s="60" t="n">
        <x:v>0.7</x:v>
      </x:c>
      <x:c r="D2080" s="60" t="n">
        <x:v>0.7</x:v>
      </x:c>
      <x:c r="E2080" s="62" t="b">
        <x:v>1</x:v>
      </x:c>
      <x:c r="F2080" s="62" t="b">
        <x:v>0</x:v>
      </x:c>
      <x:c r="G2080" s="85" t="n">
        <x:v>2378131.8089080146</x:v>
      </x:c>
      <x:c r="H2080" s="85" t="n">
        <x:v>7172384.149267414</x:v>
      </x:c>
      <x:c r="I2080" s="85" t="n">
        <x:v>16263870.591532862</x:v>
      </x:c>
      <x:c r="J2080" s="85" t="n">
        <x:v>12263679.999999996</x:v>
      </x:c>
      <x:c r="K2080" s="85" t="n">
        <x:v>19064.504589040916</x:v>
      </x:c>
      <x:c r="L2080" s="28" t="n">
        <x:v>46</x:v>
      </x:c>
      <x:c r="M2080" s="28" t="n">
        <x:v>44</x:v>
      </x:c>
      <x:c r="N2080" s="28" t="n">
        <x:v>4.656612873077393e-10</x:v>
      </x:c>
      <x:c r="O2080" s="28" t="n">
        <x:v>1.862645149230957e-9</x:v>
      </x:c>
      <x:c r="P2080" s="28" t="n">
        <x:v>0</x:v>
      </x:c>
      <x:c r="Q2080" s="62" t="b">
        <x:v>1</x:v>
      </x:c>
      <x:c r="R2080" s="28" t="n">
        <x:v>0</x:v>
      </x:c>
      <x:c r="S2080" s="28" t="str">
        <x:v>2129c47f60767c71</x:v>
      </x:c>
    </x:row>
    <x:row r="2081" ht="21" customHeight="1">
      <x:c r="A2081" s="60" t="n">
        <x:v>0.68</x:v>
      </x:c>
      <x:c r="B2081" s="28" t="str">
        <x:v>front_high</x:v>
      </x:c>
      <x:c r="C2081" s="60" t="n">
        <x:v>0.75</x:v>
      </x:c>
      <x:c r="D2081" s="60" t="n">
        <x:v>0.75</x:v>
      </x:c>
      <x:c r="E2081" s="62" t="b">
        <x:v>1</x:v>
      </x:c>
      <x:c r="F2081" s="62" t="b">
        <x:v>0</x:v>
      </x:c>
      <x:c r="G2081" s="85" t="n">
        <x:v>3505669.32254092</x:v>
      </x:c>
      <x:c r="H2081" s="85" t="n">
        <x:v>9889997.69703558</x:v>
      </x:c>
      <x:c r="I2081" s="85" t="n">
        <x:v>16275698.273339026</x:v>
      </x:c>
      <x:c r="J2081" s="85" t="n">
        <x:v>12263679.999999996</x:v>
      </x:c>
      <x:c r="K2081" s="85" t="n">
        <x:v>13166.923253424153</x:v>
      </x:c>
      <x:c r="L2081" s="28" t="n">
        <x:v>46</x:v>
      </x:c>
      <x:c r="M2081" s="28" t="n">
        <x:v>44</x:v>
      </x:c>
      <x:c r="N2081" s="28" t="n">
        <x:v>4.656612873077393e-10</x:v>
      </x:c>
      <x:c r="O2081" s="28" t="n">
        <x:v>3.725290298461914e-9</x:v>
      </x:c>
      <x:c r="P2081" s="28" t="n">
        <x:v>0</x:v>
      </x:c>
      <x:c r="Q2081" s="62" t="b">
        <x:v>1</x:v>
      </x:c>
      <x:c r="R2081" s="28" t="n">
        <x:v>0</x:v>
      </x:c>
      <x:c r="S2081" s="28" t="str">
        <x:v>115181239b63541a</x:v>
      </x:c>
    </x:row>
    <x:row r="2082" ht="21" customHeight="1">
      <x:c r="A2082" s="60" t="n">
        <x:v>0.68</x:v>
      </x:c>
      <x:c r="B2082" s="28" t="str">
        <x:v>front_high</x:v>
      </x:c>
      <x:c r="C2082" s="60" t="n">
        <x:v>0.8</x:v>
      </x:c>
      <x:c r="D2082" s="60" t="n">
        <x:v>0.8</x:v>
      </x:c>
      <x:c r="E2082" s="62" t="b">
        <x:v>1</x:v>
      </x:c>
      <x:c r="F2082" s="62" t="b">
        <x:v>0</x:v>
      </x:c>
      <x:c r="G2082" s="85" t="n">
        <x:v>4390016.348279448</x:v>
      </x:c>
      <x:c r="H2082" s="85" t="n">
        <x:v>12038176.1623561</x:v>
      </x:c>
      <x:c r="I2082" s="85" t="n">
        <x:v>16587719.171506833</x:v>
      </x:c>
      <x:c r="J2082" s="85" t="n">
        <x:v>12263679.999999996</x:v>
      </x:c>
      <x:c r="K2082" s="85" t="n">
        <x:v>7269.341917808553</x:v>
      </x:c>
      <x:c r="L2082" s="28" t="n">
        <x:v>47</x:v>
      </x:c>
      <x:c r="M2082" s="28" t="n">
        <x:v>45</x:v>
      </x:c>
      <x:c r="N2082" s="28" t="n">
        <x:v>2.3283064365386963e-10</x:v>
      </x:c>
      <x:c r="O2082" s="28" t="n">
        <x:v>3.725290298461914e-9</x:v>
      </x:c>
      <x:c r="P2082" s="28" t="n">
        <x:v>0</x:v>
      </x:c>
      <x:c r="Q2082" s="62" t="b">
        <x:v>1</x:v>
      </x:c>
      <x:c r="R2082" s="28" t="n">
        <x:v>0</x:v>
      </x:c>
      <x:c r="S2082" s="28" t="str">
        <x:v>366452e7a68644c9</x:v>
      </x:c>
    </x:row>
    <x:row r="2083" ht="21" customHeight="1">
      <x:c r="A2083" s="60" t="n">
        <x:v>0.68</x:v>
      </x:c>
      <x:c r="B2083" s="28" t="str">
        <x:v>front_high</x:v>
      </x:c>
      <x:c r="C2083" s="60" t="n">
        <x:v>0.85</x:v>
      </x:c>
      <x:c r="D2083" s="60" t="n">
        <x:v>0.85</x:v>
      </x:c>
      <x:c r="E2083" s="62" t="b">
        <x:v>1</x:v>
      </x:c>
      <x:c r="F2083" s="62" t="b">
        <x:v>0</x:v>
      </x:c>
      <x:c r="G2083" s="85" t="n">
        <x:v>5520539.745124018</x:v>
      </x:c>
      <x:c r="H2083" s="85" t="n">
        <x:v>14687728.844955983</x:v>
      </x:c>
      <x:c r="I2083" s="85" t="n">
        <x:v>16587719.171506833</x:v>
      </x:c>
      <x:c r="J2083" s="85" t="n">
        <x:v>12263679.999999996</x:v>
      </x:c>
      <x:c r="K2083" s="85" t="n">
        <x:v>1371.7605821915568</x:v>
      </x:c>
      <x:c r="L2083" s="28" t="n">
        <x:v>47</x:v>
      </x:c>
      <x:c r="M2083" s="28" t="n">
        <x:v>45</x:v>
      </x:c>
      <x:c r="N2083" s="28" t="n">
        <x:v>4.656612873077393e-10</x:v>
      </x:c>
      <x:c r="O2083" s="28" t="n">
        <x:v>1.862645149230957e-9</x:v>
      </x:c>
      <x:c r="P2083" s="28" t="n">
        <x:v>0</x:v>
      </x:c>
      <x:c r="Q2083" s="62" t="b">
        <x:v>1</x:v>
      </x:c>
      <x:c r="R2083" s="28" t="n">
        <x:v>0</x:v>
      </x:c>
      <x:c r="S2083" s="28" t="str">
        <x:v>21b69a56ff0f8735</x:v>
      </x:c>
    </x:row>
    <x:row r="2084" ht="21" customHeight="1">
      <x:c r="A2084" s="60" t="n">
        <x:v>0.68</x:v>
      </x:c>
      <x:c r="B2084" s="28" t="str">
        <x:v>front_high</x:v>
      </x:c>
      <x:c r="C2084" s="60" t="n">
        <x:v>0.9</x:v>
      </x:c>
      <x:c r="D2084" s="60" t="n">
        <x:v>0.9</x:v>
      </x:c>
      <x:c r="E2084" s="62" t="b">
        <x:v>1</x:v>
      </x:c>
      <x:c r="F2084" s="62" t="b">
        <x:v>0</x:v>
      </x:c>
      <x:c r="G2084" s="85" t="n">
        <x:v>7196106.970604692</x:v>
      </x:c>
      <x:c r="H2084" s="85" t="n">
        <x:v>16804582.790354837</x:v>
      </x:c>
      <x:c r="I2084" s="85" t="n">
        <x:v>16587719.171506833</x:v>
      </x:c>
      <x:c r="J2084" s="85" t="n">
        <x:v>12263679.999999996</x:v>
      </x:c>
      <x:c r="K2084" s="85" t="n">
        <x:v>0</x:v>
      </x:c>
      <x:c r="L2084" s="28" t="n">
        <x:v>47</x:v>
      </x:c>
      <x:c r="M2084" s="28" t="n">
        <x:v>45</x:v>
      </x:c>
      <x:c r="N2084" s="28" t="n">
        <x:v>4.656612873077393e-10</x:v>
      </x:c>
      <x:c r="O2084" s="28" t="n">
        <x:v>3.725290298461914e-9</x:v>
      </x:c>
      <x:c r="P2084" s="28" t="n">
        <x:v>0</x:v>
      </x:c>
      <x:c r="Q2084" s="62" t="b">
        <x:v>1</x:v>
      </x:c>
      <x:c r="R2084" s="28" t="n">
        <x:v>0</x:v>
      </x:c>
      <x:c r="S2084" s="28" t="str">
        <x:v>3c275831f9c48efe</x:v>
      </x:c>
    </x:row>
    <x:row r="2085" ht="21" customHeight="1">
      <x:c r="A2085" s="60" t="n">
        <x:v>0.68</x:v>
      </x:c>
      <x:c r="B2085" s="28" t="str">
        <x:v>front_high</x:v>
      </x:c>
      <x:c r="C2085" s="60" t="n">
        <x:v>0.95</x:v>
      </x:c>
      <x:c r="D2085" s="60" t="n">
        <x:v>0.9427119459478259</x:v>
      </x:c>
      <x:c r="E2085" s="62" t="b">
        <x:v>0</x:v>
      </x:c>
      <x:c r="F2085" s="62" t="b">
        <x:v>0</x:v>
      </x:c>
      <x:c r="G2085" s="85" t="n">
        <x:v>8139316.55383981</x:v>
      </x:c>
      <x:c r="H2085" s="85" t="n">
        <x:v>18323427.17845443</x:v>
      </x:c>
      <x:c r="I2085" s="85" t="n">
        <x:v>16587719.171506833</x:v>
      </x:c>
      <x:c r="J2085" s="85" t="n">
        <x:v>12263679.999999996</x:v>
      </x:c>
      <x:c r="K2085" s="85" t="n">
        <x:v>0</x:v>
      </x:c>
      <x:c r="L2085" s="28" t="n">
        <x:v>47</x:v>
      </x:c>
      <x:c r="M2085" s="28" t="n">
        <x:v>45</x:v>
      </x:c>
      <x:c r="N2085" s="28" t="n">
        <x:v>4.656612873077393e-10</x:v>
      </x:c>
      <x:c r="O2085" s="28" t="n">
        <x:v>1.862645149230957e-9</x:v>
      </x:c>
      <x:c r="P2085" s="28" t="n">
        <x:v>0</x:v>
      </x:c>
      <x:c r="Q2085" s="62" t="b">
        <x:v>1</x:v>
      </x:c>
      <x:c r="R2085" s="28" t="n">
        <x:v>406265.28508438915</x:v>
      </x:c>
      <x:c r="S2085" s="28" t="str">
        <x:v>0307597437c7c56d</x:v>
      </x:c>
    </x:row>
    <x:row r="2086" ht="21" customHeight="1">
      <x:c r="A2086" s="60" t="n">
        <x:v>0.68</x:v>
      </x:c>
      <x:c r="B2086" s="28" t="str">
        <x:v>front_high</x:v>
      </x:c>
      <x:c r="C2086" s="60" t="n">
        <x:v>1</x:v>
      </x:c>
      <x:c r="D2086" s="60" t="n">
        <x:v>0.9596721012870685</x:v>
      </x:c>
      <x:c r="E2086" s="62" t="b">
        <x:v>0</x:v>
      </x:c>
      <x:c r="F2086" s="62" t="b">
        <x:v>0</x:v>
      </x:c>
      <x:c r="G2086" s="85" t="n">
        <x:v>8982789.192790244</x:v>
      </x:c>
      <x:c r="H2086" s="85" t="n">
        <x:v>19099059.336209208</x:v>
      </x:c>
      <x:c r="I2086" s="85" t="n">
        <x:v>16587719.171506833</x:v>
      </x:c>
      <x:c r="J2086" s="85" t="n">
        <x:v>12263679.999999996</x:v>
      </x:c>
      <x:c r="K2086" s="85" t="n">
        <x:v>0</x:v>
      </x:c>
      <x:c r="L2086" s="28" t="n">
        <x:v>47</x:v>
      </x:c>
      <x:c r="M2086" s="28" t="n">
        <x:v>46</x:v>
      </x:c>
      <x:c r="N2086" s="28" t="n">
        <x:v>2.3283064365386963e-10</x:v>
      </x:c>
      <x:c r="O2086" s="28" t="n">
        <x:v>1.862645149230957e-9</x:v>
      </x:c>
      <x:c r="P2086" s="28" t="n">
        <x:v>0</x:v>
      </x:c>
      <x:c r="Q2086" s="62" t="b">
        <x:v>1</x:v>
      </x:c>
      <x:c r="R2086" s="28" t="n">
        <x:v>2248038.3858536556</x:v>
      </x:c>
      <x:c r="S2086" s="28" t="str">
        <x:v>1fb3b001554b8c48</x:v>
      </x:c>
    </x:row>
    <x:row r="2087" ht="21" customHeight="1">
      <x:c r="A2087" s="60" t="n">
        <x:v>0.68</x:v>
      </x:c>
      <x:c r="B2087" s="28" t="str">
        <x:v>middle_flat</x:v>
      </x:c>
      <x:c r="C2087" s="60" t="n">
        <x:v>0</x:v>
      </x:c>
      <x:c r="D2087" s="60" t="n">
        <x:v>0</x:v>
      </x:c>
      <x:c r="E2087" s="62" t="b">
        <x:v>1</x:v>
      </x:c>
      <x:c r="F2087" s="62" t="b">
        <x:v>1</x:v>
      </x:c>
      <x:c r="G2087" s="85" t="n">
        <x:v>0</x:v>
      </x:c>
      <x:c r="H2087" s="85" t="n">
        <x:v>0</x:v>
      </x:c>
      <x:c r="I2087" s="85" t="n">
        <x:v>0</x:v>
      </x:c>
      <x:c r="J2087" s="85" t="n">
        <x:v>0</x:v>
      </x:c>
      <x:c r="K2087" s="85" t="n">
        <x:v>6626205.893260283</x:v>
      </x:c>
      <x:c r="L2087" s="28" t="n">
        <x:v>0</x:v>
      </x:c>
      <x:c r="M2087" s="28" t="n">
        <x:v>0</x:v>
      </x:c>
      <x:c r="N2087" s="28" t="n">
        <x:v>2.3283064365386963e-10</x:v>
      </x:c>
      <x:c r="O2087" s="28" t="n">
        <x:v>0</x:v>
      </x:c>
      <x:c r="P2087" s="28" t="n">
        <x:v>0</x:v>
      </x:c>
      <x:c r="Q2087" s="62" t="b">
        <x:v>1</x:v>
      </x:c>
      <x:c r="R2087" s="28" t="n">
        <x:v>0</x:v>
      </x:c>
      <x:c r="S2087" s="28" t="str">
        <x:v>225399cc3cab1106</x:v>
      </x:c>
    </x:row>
    <x:row r="2088" ht="21" customHeight="1">
      <x:c r="A2088" s="60" t="n">
        <x:v>0.68</x:v>
      </x:c>
      <x:c r="B2088" s="28" t="str">
        <x:v>middle_flat</x:v>
      </x:c>
      <x:c r="C2088" s="60" t="n">
        <x:v>0.05</x:v>
      </x:c>
      <x:c r="D2088" s="60" t="n">
        <x:v>0.05</x:v>
      </x:c>
      <x:c r="E2088" s="62" t="b">
        <x:v>1</x:v>
      </x:c>
      <x:c r="F2088" s="62" t="b">
        <x:v>1</x:v>
      </x:c>
      <x:c r="G2088" s="85" t="n">
        <x:v>0</x:v>
      </x:c>
      <x:c r="H2088" s="85" t="n">
        <x:v>0</x:v>
      </x:c>
      <x:c r="I2088" s="85" t="n">
        <x:v>0</x:v>
      </x:c>
      <x:c r="J2088" s="85" t="n">
        <x:v>0</x:v>
      </x:c>
      <x:c r="K2088" s="85" t="n">
        <x:v>4394528.1684373645</x:v>
      </x:c>
      <x:c r="L2088" s="28" t="n">
        <x:v>0</x:v>
      </x:c>
      <x:c r="M2088" s="28" t="n">
        <x:v>0</x:v>
      </x:c>
      <x:c r="N2088" s="28" t="n">
        <x:v>9.313225746154785e-10</x:v>
      </x:c>
      <x:c r="O2088" s="28" t="n">
        <x:v>7.450580596923828e-9</x:v>
      </x:c>
      <x:c r="P2088" s="28" t="n">
        <x:v>0</x:v>
      </x:c>
      <x:c r="Q2088" s="62" t="b">
        <x:v>1</x:v>
      </x:c>
      <x:c r="R2088" s="28" t="n">
        <x:v>0</x:v>
      </x:c>
      <x:c r="S2088" s="28" t="str">
        <x:v>cb29c08ded5f578f</x:v>
      </x:c>
    </x:row>
    <x:row r="2089" ht="21" customHeight="1">
      <x:c r="A2089" s="60" t="n">
        <x:v>0.68</x:v>
      </x:c>
      <x:c r="B2089" s="28" t="str">
        <x:v>middle_flat</x:v>
      </x:c>
      <x:c r="C2089" s="60" t="n">
        <x:v>0.1</x:v>
      </x:c>
      <x:c r="D2089" s="60" t="n">
        <x:v>0.1</x:v>
      </x:c>
      <x:c r="E2089" s="62" t="b">
        <x:v>1</x:v>
      </x:c>
      <x:c r="F2089" s="62" t="b">
        <x:v>1</x:v>
      </x:c>
      <x:c r="G2089" s="85" t="n">
        <x:v>0</x:v>
      </x:c>
      <x:c r="H2089" s="85" t="n">
        <x:v>0</x:v>
      </x:c>
      <x:c r="I2089" s="85" t="n">
        <x:v>0</x:v>
      </x:c>
      <x:c r="J2089" s="85" t="n">
        <x:v>0</x:v>
      </x:c>
      <x:c r="K2089" s="85" t="n">
        <x:v>2162544.3670360437</x:v>
      </x:c>
      <x:c r="L2089" s="28" t="n">
        <x:v>0</x:v>
      </x:c>
      <x:c r="M2089" s="28" t="n">
        <x:v>0</x:v>
      </x:c>
      <x:c r="N2089" s="28" t="n">
        <x:v>2.3283064365386963e-10</x:v>
      </x:c>
      <x:c r="O2089" s="28" t="n">
        <x:v>7.450580596923828e-9</x:v>
      </x:c>
      <x:c r="P2089" s="28" t="n">
        <x:v>0</x:v>
      </x:c>
      <x:c r="Q2089" s="62" t="b">
        <x:v>1</x:v>
      </x:c>
      <x:c r="R2089" s="28" t="n">
        <x:v>0</x:v>
      </x:c>
      <x:c r="S2089" s="28" t="str">
        <x:v>06fa84569c10703c</x:v>
      </x:c>
    </x:row>
    <x:row r="2090" ht="21" customHeight="1">
      <x:c r="A2090" s="60" t="n">
        <x:v>0.68</x:v>
      </x:c>
      <x:c r="B2090" s="28" t="str">
        <x:v>middle_flat</x:v>
      </x:c>
      <x:c r="C2090" s="60" t="n">
        <x:v>0.15</x:v>
      </x:c>
      <x:c r="D2090" s="60" t="n">
        <x:v>0.15</x:v>
      </x:c>
      <x:c r="E2090" s="62" t="b">
        <x:v>1</x:v>
      </x:c>
      <x:c r="F2090" s="62" t="b">
        <x:v>1</x:v>
      </x:c>
      <x:c r="G2090" s="85" t="n">
        <x:v>0</x:v>
      </x:c>
      <x:c r="H2090" s="85" t="n">
        <x:v>0</x:v>
      </x:c>
      <x:c r="I2090" s="85" t="n">
        <x:v>430620.95511090057</x:v>
      </x:c>
      <x:c r="J2090" s="85" t="n">
        <x:v>0</x:v>
      </x:c>
      <x:c r="K2090" s="85" t="n">
        <x:v>442961.86215329956</x:v>
      </x:c>
      <x:c r="L2090" s="28" t="n">
        <x:v>0</x:v>
      </x:c>
      <x:c r="M2090" s="28" t="n">
        <x:v>0</x:v>
      </x:c>
      <x:c r="N2090" s="28" t="n">
        <x:v>4.656612873077393e-10</x:v>
      </x:c>
      <x:c r="O2090" s="28" t="n">
        <x:v>7.450580596923828e-9</x:v>
      </x:c>
      <x:c r="P2090" s="28" t="n">
        <x:v>0</x:v>
      </x:c>
      <x:c r="Q2090" s="62" t="b">
        <x:v>1</x:v>
      </x:c>
      <x:c r="R2090" s="28" t="n">
        <x:v>0</x:v>
      </x:c>
      <x:c r="S2090" s="28" t="str">
        <x:v>9778831da94f8763</x:v>
      </x:c>
    </x:row>
    <x:row r="2091" ht="21" customHeight="1">
      <x:c r="A2091" s="60" t="n">
        <x:v>0.68</x:v>
      </x:c>
      <x:c r="B2091" s="28" t="str">
        <x:v>middle_flat</x:v>
      </x:c>
      <x:c r="C2091" s="60" t="n">
        <x:v>0.2</x:v>
      </x:c>
      <x:c r="D2091" s="60" t="n">
        <x:v>0.2</x:v>
      </x:c>
      <x:c r="E2091" s="62" t="b">
        <x:v>1</x:v>
      </x:c>
      <x:c r="F2091" s="62" t="b">
        <x:v>1</x:v>
      </x:c>
      <x:c r="G2091" s="85" t="n">
        <x:v>0</x:v>
      </x:c>
      <x:c r="H2091" s="85" t="n">
        <x:v>0</x:v>
      </x:c>
      <x:c r="I2091" s="85" t="n">
        <x:v>1873104.9233507991</x:v>
      </x:c>
      <x:c r="J2091" s="85" t="n">
        <x:v>1253157.2790408984</x:v>
      </x:c>
      <x:c r="K2091" s="85" t="n">
        <x:v>348154.3315832339</x:v>
      </x:c>
      <x:c r="L2091" s="28" t="n">
        <x:v>0</x:v>
      </x:c>
      <x:c r="M2091" s="28" t="n">
        <x:v>0</x:v>
      </x:c>
      <x:c r="N2091" s="28" t="n">
        <x:v>2.3283064365386963e-10</x:v>
      </x:c>
      <x:c r="O2091" s="28" t="n">
        <x:v>7.450580596923828e-9</x:v>
      </x:c>
      <x:c r="P2091" s="28" t="n">
        <x:v>0</x:v>
      </x:c>
      <x:c r="Q2091" s="62" t="b">
        <x:v>1</x:v>
      </x:c>
      <x:c r="R2091" s="28" t="n">
        <x:v>0</x:v>
      </x:c>
      <x:c r="S2091" s="28" t="str">
        <x:v>eeedd37c2b336220</x:v>
      </x:c>
    </x:row>
    <x:row r="2092" ht="21" customHeight="1">
      <x:c r="A2092" s="60" t="n">
        <x:v>0.68</x:v>
      </x:c>
      <x:c r="B2092" s="28" t="str">
        <x:v>middle_flat</x:v>
      </x:c>
      <x:c r="C2092" s="60" t="n">
        <x:v>0.25</x:v>
      </x:c>
      <x:c r="D2092" s="60" t="n">
        <x:v>0.25</x:v>
      </x:c>
      <x:c r="E2092" s="62" t="b">
        <x:v>1</x:v>
      </x:c>
      <x:c r="F2092" s="62" t="b">
        <x:v>1</x:v>
      </x:c>
      <x:c r="G2092" s="85" t="n">
        <x:v>0</x:v>
      </x:c>
      <x:c r="H2092" s="85" t="n">
        <x:v>0</x:v>
      </x:c>
      <x:c r="I2092" s="85" t="n">
        <x:v>3022438.966458989</x:v>
      </x:c>
      <x:c r="J2092" s="85" t="n">
        <x:v>2960046.598801143</x:v>
      </x:c>
      <x:c r="K2092" s="85" t="n">
        <x:v>288741.71083520644</x:v>
      </x:c>
      <x:c r="L2092" s="28" t="n">
        <x:v>0</x:v>
      </x:c>
      <x:c r="M2092" s="28" t="n">
        <x:v>0</x:v>
      </x:c>
      <x:c r="N2092" s="28" t="n">
        <x:v>4.656612873077393e-10</x:v>
      </x:c>
      <x:c r="O2092" s="28" t="n">
        <x:v>7.450580596923828e-9</x:v>
      </x:c>
      <x:c r="P2092" s="28" t="n">
        <x:v>0</x:v>
      </x:c>
      <x:c r="Q2092" s="62" t="b">
        <x:v>1</x:v>
      </x:c>
      <x:c r="R2092" s="28" t="n">
        <x:v>0</x:v>
      </x:c>
      <x:c r="S2092" s="28" t="str">
        <x:v>c46497d6fd3474fe</x:v>
      </x:c>
    </x:row>
    <x:row r="2093" ht="21" customHeight="1">
      <x:c r="A2093" s="60" t="n">
        <x:v>0.68</x:v>
      </x:c>
      <x:c r="B2093" s="28" t="str">
        <x:v>middle_flat</x:v>
      </x:c>
      <x:c r="C2093" s="60" t="n">
        <x:v>0.3</x:v>
      </x:c>
      <x:c r="D2093" s="60" t="n">
        <x:v>0.3</x:v>
      </x:c>
      <x:c r="E2093" s="62" t="b">
        <x:v>1</x:v>
      </x:c>
      <x:c r="F2093" s="62" t="b">
        <x:v>1</x:v>
      </x:c>
      <x:c r="G2093" s="85" t="n">
        <x:v>0</x:v>
      </x:c>
      <x:c r="H2093" s="85" t="n">
        <x:v>0</x:v>
      </x:c>
      <x:c r="I2093" s="85" t="n">
        <x:v>4200711.12224262</x:v>
      </x:c>
      <x:c r="J2093" s="85" t="n">
        <x:v>4666935.9185613645</x:v>
      </x:c>
      <x:c r="K2093" s="85" t="n">
        <x:v>234115.76461539863</x:v>
      </x:c>
      <x:c r="L2093" s="28" t="n">
        <x:v>0</x:v>
      </x:c>
      <x:c r="M2093" s="28" t="n">
        <x:v>0</x:v>
      </x:c>
      <x:c r="N2093" s="28" t="n">
        <x:v>4.656612873077393e-10</x:v>
      </x:c>
      <x:c r="O2093" s="28" t="n">
        <x:v>7.450580596923828e-9</x:v>
      </x:c>
      <x:c r="P2093" s="28" t="n">
        <x:v>0</x:v>
      </x:c>
      <x:c r="Q2093" s="62" t="b">
        <x:v>1</x:v>
      </x:c>
      <x:c r="R2093" s="28" t="n">
        <x:v>0</x:v>
      </x:c>
      <x:c r="S2093" s="28" t="str">
        <x:v>8ba10ad457398024</x:v>
      </x:c>
    </x:row>
    <x:row r="2094" ht="21" customHeight="1">
      <x:c r="A2094" s="60" t="n">
        <x:v>0.68</x:v>
      </x:c>
      <x:c r="B2094" s="28" t="str">
        <x:v>middle_flat</x:v>
      </x:c>
      <x:c r="C2094" s="60" t="n">
        <x:v>0.35</x:v>
      </x:c>
      <x:c r="D2094" s="60" t="n">
        <x:v>0.35</x:v>
      </x:c>
      <x:c r="E2094" s="62" t="b">
        <x:v>1</x:v>
      </x:c>
      <x:c r="F2094" s="62" t="b">
        <x:v>1</x:v>
      </x:c>
      <x:c r="G2094" s="85" t="n">
        <x:v>0</x:v>
      </x:c>
      <x:c r="H2094" s="85" t="n">
        <x:v>0</x:v>
      </x:c>
      <x:c r="I2094" s="85" t="n">
        <x:v>5726415.40512142</x:v>
      </x:c>
      <x:c r="J2094" s="85" t="n">
        <x:v>5513540.875922206</x:v>
      </x:c>
      <x:c r="K2094" s="85" t="n">
        <x:v>200076.40993257513</x:v>
      </x:c>
      <x:c r="L2094" s="28" t="n">
        <x:v>5</x:v>
      </x:c>
      <x:c r="M2094" s="28" t="n">
        <x:v>0</x:v>
      </x:c>
      <x:c r="N2094" s="28" t="n">
        <x:v>9.313225746154785e-10</x:v>
      </x:c>
      <x:c r="O2094" s="28" t="n">
        <x:v>7.450580596923828e-9</x:v>
      </x:c>
      <x:c r="P2094" s="28" t="n">
        <x:v>0</x:v>
      </x:c>
      <x:c r="Q2094" s="62" t="b">
        <x:v>1</x:v>
      </x:c>
      <x:c r="R2094" s="28" t="n">
        <x:v>0</x:v>
      </x:c>
      <x:c r="S2094" s="28" t="str">
        <x:v>f8f0f9eb045d5fab</x:v>
      </x:c>
    </x:row>
    <x:row r="2095" ht="21" customHeight="1">
      <x:c r="A2095" s="60" t="n">
        <x:v>0.68</x:v>
      </x:c>
      <x:c r="B2095" s="28" t="str">
        <x:v>middle_flat</x:v>
      </x:c>
      <x:c r="C2095" s="60" t="n">
        <x:v>0.4</x:v>
      </x:c>
      <x:c r="D2095" s="60" t="n">
        <x:v>0.4</x:v>
      </x:c>
      <x:c r="E2095" s="62" t="b">
        <x:v>1</x:v>
      </x:c>
      <x:c r="F2095" s="62" t="b">
        <x:v>1</x:v>
      </x:c>
      <x:c r="G2095" s="85" t="n">
        <x:v>0</x:v>
      </x:c>
      <x:c r="H2095" s="85" t="n">
        <x:v>0</x:v>
      </x:c>
      <x:c r="I2095" s="85" t="n">
        <x:v>7124097.042772589</x:v>
      </x:c>
      <x:c r="J2095" s="85" t="n">
        <x:v>6698194.785101325</x:v>
      </x:c>
      <x:c r="K2095" s="85" t="n">
        <x:v>167241.8085479461</x:v>
      </x:c>
      <x:c r="L2095" s="28" t="n">
        <x:v>9</x:v>
      </x:c>
      <x:c r="M2095" s="28" t="n">
        <x:v>0</x:v>
      </x:c>
      <x:c r="N2095" s="28" t="n">
        <x:v>4.656612873077393e-10</x:v>
      </x:c>
      <x:c r="O2095" s="28" t="n">
        <x:v>3.725290298461914e-9</x:v>
      </x:c>
      <x:c r="P2095" s="28" t="n">
        <x:v>0</x:v>
      </x:c>
      <x:c r="Q2095" s="62" t="b">
        <x:v>1</x:v>
      </x:c>
      <x:c r="R2095" s="28" t="n">
        <x:v>0</x:v>
      </x:c>
      <x:c r="S2095" s="28" t="str">
        <x:v>a7f936ec3ca99fb1</x:v>
      </x:c>
    </x:row>
    <x:row r="2096" ht="21" customHeight="1">
      <x:c r="A2096" s="60" t="n">
        <x:v>0.68</x:v>
      </x:c>
      <x:c r="B2096" s="28" t="str">
        <x:v>middle_flat</x:v>
      </x:c>
      <x:c r="C2096" s="60" t="n">
        <x:v>0.45</x:v>
      </x:c>
      <x:c r="D2096" s="60" t="n">
        <x:v>0.45</x:v>
      </x:c>
      <x:c r="E2096" s="62" t="b">
        <x:v>1</x:v>
      </x:c>
      <x:c r="F2096" s="62" t="b">
        <x:v>1</x:v>
      </x:c>
      <x:c r="G2096" s="85" t="n">
        <x:v>0</x:v>
      </x:c>
      <x:c r="H2096" s="85" t="n">
        <x:v>0</x:v>
      </x:c>
      <x:c r="I2096" s="85" t="n">
        <x:v>8395074.245906722</x:v>
      </x:c>
      <x:c r="J2096" s="85" t="n">
        <x:v>8209179.3131302</x:v>
      </x:c>
      <x:c r="K2096" s="85" t="n">
        <x:v>151584.31961643882</x:v>
      </x:c>
      <x:c r="L2096" s="28" t="n">
        <x:v>13</x:v>
      </x:c>
      <x:c r="M2096" s="28" t="n">
        <x:v>0</x:v>
      </x:c>
      <x:c r="N2096" s="28" t="n">
        <x:v>9.313225746154785e-10</x:v>
      </x:c>
      <x:c r="O2096" s="28" t="n">
        <x:v>1.862645149230957e-9</x:v>
      </x:c>
      <x:c r="P2096" s="28" t="n">
        <x:v>0</x:v>
      </x:c>
      <x:c r="Q2096" s="62" t="b">
        <x:v>1</x:v>
      </x:c>
      <x:c r="R2096" s="28" t="n">
        <x:v>0</x:v>
      </x:c>
      <x:c r="S2096" s="28" t="str">
        <x:v>fa4d173699f3a2d9</x:v>
      </x:c>
    </x:row>
    <x:row r="2097" ht="21" customHeight="1">
      <x:c r="A2097" s="60" t="n">
        <x:v>0.68</x:v>
      </x:c>
      <x:c r="B2097" s="28" t="str">
        <x:v>middle_flat</x:v>
      </x:c>
      <x:c r="C2097" s="60" t="n">
        <x:v>0.5</x:v>
      </x:c>
      <x:c r="D2097" s="60" t="n">
        <x:v>0.5</x:v>
      </x:c>
      <x:c r="E2097" s="62" t="b">
        <x:v>1</x:v>
      </x:c>
      <x:c r="F2097" s="62" t="b">
        <x:v>1</x:v>
      </x:c>
      <x:c r="G2097" s="85" t="n">
        <x:v>0</x:v>
      </x:c>
      <x:c r="H2097" s="85" t="n">
        <x:v>0</x:v>
      </x:c>
      <x:c r="I2097" s="85" t="n">
        <x:v>9607297.760051435</x:v>
      </x:c>
      <x:c r="J2097" s="85" t="n">
        <x:v>9840295.96643516</x:v>
      </x:c>
      <x:c r="K2097" s="85" t="n">
        <x:v>135926.83068493227</x:v>
      </x:c>
      <x:c r="L2097" s="28" t="n">
        <x:v>17</x:v>
      </x:c>
      <x:c r="M2097" s="28" t="n">
        <x:v>0</x:v>
      </x:c>
      <x:c r="N2097" s="28" t="n">
        <x:v>4.656612873077393e-10</x:v>
      </x:c>
      <x:c r="O2097" s="28" t="n">
        <x:v>7.450580596923828e-9</x:v>
      </x:c>
      <x:c r="P2097" s="28" t="n">
        <x:v>0</x:v>
      </x:c>
      <x:c r="Q2097" s="62" t="b">
        <x:v>1</x:v>
      </x:c>
      <x:c r="R2097" s="28" t="n">
        <x:v>0</x:v>
      </x:c>
      <x:c r="S2097" s="28" t="str">
        <x:v>bf2fbdba2b664323</x:v>
      </x:c>
    </x:row>
    <x:row r="2098" ht="21" customHeight="1">
      <x:c r="A2098" s="60" t="n">
        <x:v>0.68</x:v>
      </x:c>
      <x:c r="B2098" s="28" t="str">
        <x:v>middle_flat</x:v>
      </x:c>
      <x:c r="C2098" s="60" t="n">
        <x:v>0.55</x:v>
      </x:c>
      <x:c r="D2098" s="60" t="n">
        <x:v>0.55</x:v>
      </x:c>
      <x:c r="E2098" s="62" t="b">
        <x:v>1</x:v>
      </x:c>
      <x:c r="F2098" s="62" t="b">
        <x:v>1</x:v>
      </x:c>
      <x:c r="G2098" s="85" t="n">
        <x:v>0</x:v>
      </x:c>
      <x:c r="H2098" s="85" t="n">
        <x:v>0</x:v>
      </x:c>
      <x:c r="I2098" s="85" t="n">
        <x:v>10738217.563504735</x:v>
      </x:c>
      <x:c r="J2098" s="85" t="n">
        <x:v>11647789.141062465</x:v>
      </x:c>
      <x:c r="K2098" s="85" t="n">
        <x:v>120269.34175342522</x:v>
      </x:c>
      <x:c r="L2098" s="28" t="n">
        <x:v>22</x:v>
      </x:c>
      <x:c r="M2098" s="28" t="n">
        <x:v>10</x:v>
      </x:c>
      <x:c r="N2098" s="28" t="n">
        <x:v>4.656612873077393e-10</x:v>
      </x:c>
      <x:c r="O2098" s="28" t="n">
        <x:v>7.450580596923828e-9</x:v>
      </x:c>
      <x:c r="P2098" s="28" t="n">
        <x:v>0</x:v>
      </x:c>
      <x:c r="Q2098" s="62" t="b">
        <x:v>1</x:v>
      </x:c>
      <x:c r="R2098" s="28" t="n">
        <x:v>0</x:v>
      </x:c>
      <x:c r="S2098" s="28" t="str">
        <x:v>c70141bbdfd31b2f</x:v>
      </x:c>
    </x:row>
    <x:row r="2099" ht="21" customHeight="1">
      <x:c r="A2099" s="60" t="n">
        <x:v>0.68</x:v>
      </x:c>
      <x:c r="B2099" s="28" t="str">
        <x:v>middle_flat</x:v>
      </x:c>
      <x:c r="C2099" s="60" t="n">
        <x:v>0.6</x:v>
      </x:c>
      <x:c r="D2099" s="60" t="n">
        <x:v>0.6</x:v>
      </x:c>
      <x:c r="E2099" s="62" t="b">
        <x:v>1</x:v>
      </x:c>
      <x:c r="F2099" s="62" t="b">
        <x:v>0</x:v>
      </x:c>
      <x:c r="G2099" s="85" t="n">
        <x:v>323068.39775632386</x:v>
      </x:c>
      <x:c r="H2099" s="85" t="n">
        <x:v>1733123.5293816165</x:v>
      </x:c>
      <x:c r="I2099" s="85" t="n">
        <x:v>10993090.682013035</x:v>
      </x:c>
      <x:c r="J2099" s="85" t="n">
        <x:v>12263679.999999996</x:v>
      </x:c>
      <x:c r="K2099" s="85" t="n">
        <x:v>104611.85282191852</x:v>
      </x:c>
      <x:c r="L2099" s="28" t="n">
        <x:v>42</x:v>
      </x:c>
      <x:c r="M2099" s="28" t="n">
        <x:v>34</x:v>
      </x:c>
      <x:c r="N2099" s="28" t="n">
        <x:v>4.656612873077393e-10</x:v>
      </x:c>
      <x:c r="O2099" s="28" t="n">
        <x:v>3.725290298461914e-9</x:v>
      </x:c>
      <x:c r="P2099" s="28" t="n">
        <x:v>0</x:v>
      </x:c>
      <x:c r="Q2099" s="62" t="b">
        <x:v>1</x:v>
      </x:c>
      <x:c r="R2099" s="28" t="n">
        <x:v>0</x:v>
      </x:c>
      <x:c r="S2099" s="28" t="str">
        <x:v>0a54305c4b60608f</x:v>
      </x:c>
    </x:row>
    <x:row r="2100" ht="21" customHeight="1">
      <x:c r="A2100" s="60" t="n">
        <x:v>0.68</x:v>
      </x:c>
      <x:c r="B2100" s="28" t="str">
        <x:v>middle_flat</x:v>
      </x:c>
      <x:c r="C2100" s="60" t="n">
        <x:v>0.65</x:v>
      </x:c>
      <x:c r="D2100" s="60" t="n">
        <x:v>0.65</x:v>
      </x:c>
      <x:c r="E2100" s="62" t="b">
        <x:v>1</x:v>
      </x:c>
      <x:c r="F2100" s="62" t="b">
        <x:v>0</x:v>
      </x:c>
      <x:c r="G2100" s="85" t="n">
        <x:v>709392.703432418</x:v>
      </x:c>
      <x:c r="H2100" s="85" t="n">
        <x:v>3823271.8300467944</x:v>
      </x:c>
      <x:c r="I2100" s="85" t="n">
        <x:v>11238187.584596569</x:v>
      </x:c>
      <x:c r="J2100" s="85" t="n">
        <x:v>12263679.999999996</x:v>
      </x:c>
      <x:c r="K2100" s="85" t="n">
        <x:v>89294.5773698638</x:v>
      </x:c>
      <x:c r="L2100" s="28" t="n">
        <x:v>43</x:v>
      </x:c>
      <x:c r="M2100" s="28" t="n">
        <x:v>36</x:v>
      </x:c>
      <x:c r="N2100" s="28" t="n">
        <x:v>4.656612873077393e-10</x:v>
      </x:c>
      <x:c r="O2100" s="28" t="n">
        <x:v>1.862645149230957e-9</x:v>
      </x:c>
      <x:c r="P2100" s="28" t="n">
        <x:v>0</x:v>
      </x:c>
      <x:c r="Q2100" s="62" t="b">
        <x:v>1</x:v>
      </x:c>
      <x:c r="R2100" s="28" t="n">
        <x:v>0</x:v>
      </x:c>
      <x:c r="S2100" s="28" t="str">
        <x:v>40d64ff77f1693e1</x:v>
      </x:c>
    </x:row>
    <x:row r="2101" ht="21" customHeight="1">
      <x:c r="A2101" s="60" t="n">
        <x:v>0.68</x:v>
      </x:c>
      <x:c r="B2101" s="28" t="str">
        <x:v>middle_flat</x:v>
      </x:c>
      <x:c r="C2101" s="60" t="n">
        <x:v>0.7</x:v>
      </x:c>
      <x:c r="D2101" s="60" t="n">
        <x:v>0.7</x:v>
      </x:c>
      <x:c r="E2101" s="62" t="b">
        <x:v>1</x:v>
      </x:c>
      <x:c r="F2101" s="62" t="b">
        <x:v>0</x:v>
      </x:c>
      <x:c r="G2101" s="85" t="n">
        <x:v>1207716.3894695498</x:v>
      </x:c>
      <x:c r="H2101" s="85" t="n">
        <x:v>6126238.530882046</x:v>
      </x:c>
      <x:c r="I2101" s="85" t="n">
        <x:v>11246617.848094514</x:v>
      </x:c>
      <x:c r="J2101" s="85" t="n">
        <x:v>12263679.999999996</x:v>
      </x:c>
      <x:c r="K2101" s="85" t="n">
        <x:v>79890.30575342482</x:v>
      </x:c>
      <x:c r="L2101" s="28" t="n">
        <x:v>43</x:v>
      </x:c>
      <x:c r="M2101" s="28" t="n">
        <x:v>37</x:v>
      </x:c>
      <x:c r="N2101" s="28" t="n">
        <x:v>4.656612873077393e-10</x:v>
      </x:c>
      <x:c r="O2101" s="28" t="n">
        <x:v>3.725290298461914e-9</x:v>
      </x:c>
      <x:c r="P2101" s="28" t="n">
        <x:v>0</x:v>
      </x:c>
      <x:c r="Q2101" s="62" t="b">
        <x:v>1</x:v>
      </x:c>
      <x:c r="R2101" s="28" t="n">
        <x:v>0</x:v>
      </x:c>
      <x:c r="S2101" s="28" t="str">
        <x:v>27a2c8857366e991</x:v>
      </x:c>
    </x:row>
    <x:row r="2102" ht="21" customHeight="1">
      <x:c r="A2102" s="60" t="n">
        <x:v>0.68</x:v>
      </x:c>
      <x:c r="B2102" s="28" t="str">
        <x:v>middle_flat</x:v>
      </x:c>
      <x:c r="C2102" s="60" t="n">
        <x:v>0.75</x:v>
      </x:c>
      <x:c r="D2102" s="60" t="n">
        <x:v>0.75</x:v>
      </x:c>
      <x:c r="E2102" s="62" t="b">
        <x:v>1</x:v>
      </x:c>
      <x:c r="F2102" s="62" t="b">
        <x:v>0</x:v>
      </x:c>
      <x:c r="G2102" s="85" t="n">
        <x:v>1601916.5248971565</x:v>
      </x:c>
      <x:c r="H2102" s="85" t="n">
        <x:v>8111922.042408345</x:v>
      </x:c>
      <x:c r="I2102" s="85" t="n">
        <x:v>11475108.576438349</x:v>
      </x:c>
      <x:c r="J2102" s="85" t="n">
        <x:v>12263679.999999996</x:v>
      </x:c>
      <x:c r="K2102" s="85" t="n">
        <x:v>73559.78690410953</x:v>
      </x:c>
      <x:c r="L2102" s="28" t="n">
        <x:v>44</x:v>
      </x:c>
      <x:c r="M2102" s="28" t="n">
        <x:v>38</x:v>
      </x:c>
      <x:c r="N2102" s="28" t="n">
        <x:v>4.656612873077393e-10</x:v>
      </x:c>
      <x:c r="O2102" s="28" t="n">
        <x:v>3.725290298461914e-9</x:v>
      </x:c>
      <x:c r="P2102" s="28" t="n">
        <x:v>0</x:v>
      </x:c>
      <x:c r="Q2102" s="62" t="b">
        <x:v>1</x:v>
      </x:c>
      <x:c r="R2102" s="28" t="n">
        <x:v>0</x:v>
      </x:c>
      <x:c r="S2102" s="28" t="str">
        <x:v>690f882f577a1122</x:v>
      </x:c>
    </x:row>
    <x:row r="2103" ht="21" customHeight="1">
      <x:c r="A2103" s="60" t="n">
        <x:v>0.68</x:v>
      </x:c>
      <x:c r="B2103" s="28" t="str">
        <x:v>middle_flat</x:v>
      </x:c>
      <x:c r="C2103" s="60" t="n">
        <x:v>0.8</x:v>
      </x:c>
      <x:c r="D2103" s="60" t="n">
        <x:v>0.8</x:v>
      </x:c>
      <x:c r="E2103" s="62" t="b">
        <x:v>1</x:v>
      </x:c>
      <x:c r="F2103" s="62" t="b">
        <x:v>0</x:v>
      </x:c>
      <x:c r="G2103" s="85" t="n">
        <x:v>2172260.0350581114</x:v>
      </x:c>
      <x:c r="H2103" s="85" t="n">
        <x:v>10298098.181187289</x:v>
      </x:c>
      <x:c r="I2103" s="85" t="n">
        <x:v>11475155.906279445</x:v>
      </x:c>
      <x:c r="J2103" s="85" t="n">
        <x:v>12263679.999999996</x:v>
      </x:c>
      <x:c r="K2103" s="85" t="n">
        <x:v>68793.85282191816</x:v>
      </x:c>
      <x:c r="L2103" s="28" t="n">
        <x:v>44</x:v>
      </x:c>
      <x:c r="M2103" s="28" t="n">
        <x:v>38</x:v>
      </x:c>
      <x:c r="N2103" s="28" t="n">
        <x:v>4.656612873077393e-10</x:v>
      </x:c>
      <x:c r="O2103" s="28" t="n">
        <x:v>1.862645149230957e-9</x:v>
      </x:c>
      <x:c r="P2103" s="28" t="n">
        <x:v>0</x:v>
      </x:c>
      <x:c r="Q2103" s="62" t="b">
        <x:v>1</x:v>
      </x:c>
      <x:c r="R2103" s="28" t="n">
        <x:v>0</x:v>
      </x:c>
      <x:c r="S2103" s="28" t="str">
        <x:v>fad670d1c4aa4b80</x:v>
      </x:c>
    </x:row>
    <x:row r="2104" ht="21" customHeight="1">
      <x:c r="A2104" s="60" t="n">
        <x:v>0.68</x:v>
      </x:c>
      <x:c r="B2104" s="28" t="str">
        <x:v>middle_flat</x:v>
      </x:c>
      <x:c r="C2104" s="60" t="n">
        <x:v>0.85</x:v>
      </x:c>
      <x:c r="D2104" s="60" t="n">
        <x:v>0.85</x:v>
      </x:c>
      <x:c r="E2104" s="62" t="b">
        <x:v>1</x:v>
      </x:c>
      <x:c r="F2104" s="62" t="b">
        <x:v>0</x:v>
      </x:c>
      <x:c r="G2104" s="85" t="n">
        <x:v>2732302.4809723715</x:v>
      </x:c>
      <x:c r="H2104" s="85" t="n">
        <x:v>12413589.000098566</x:v>
      </x:c>
      <x:c r="I2104" s="85" t="n">
        <x:v>11481535.578476705</x:v>
      </x:c>
      <x:c r="J2104" s="85" t="n">
        <x:v>12263679.999999996</x:v>
      </x:c>
      <x:c r="K2104" s="85" t="n">
        <x:v>64027.9187397262</x:v>
      </x:c>
      <x:c r="L2104" s="28" t="n">
        <x:v>44</x:v>
      </x:c>
      <x:c r="M2104" s="28" t="n">
        <x:v>39</x:v>
      </x:c>
      <x:c r="N2104" s="28" t="n">
        <x:v>4.656612873077393e-10</x:v>
      </x:c>
      <x:c r="O2104" s="28" t="n">
        <x:v>3.725290298461914e-9</x:v>
      </x:c>
      <x:c r="P2104" s="28" t="n">
        <x:v>0</x:v>
      </x:c>
      <x:c r="Q2104" s="62" t="b">
        <x:v>1</x:v>
      </x:c>
      <x:c r="R2104" s="28" t="n">
        <x:v>0</x:v>
      </x:c>
      <x:c r="S2104" s="28" t="str">
        <x:v>2fc85a5dc3f26d24</x:v>
      </x:c>
    </x:row>
    <x:row r="2105" ht="21" customHeight="1">
      <x:c r="A2105" s="60" t="n">
        <x:v>0.68</x:v>
      </x:c>
      <x:c r="B2105" s="28" t="str">
        <x:v>middle_flat</x:v>
      </x:c>
      <x:c r="C2105" s="60" t="n">
        <x:v>0.9</x:v>
      </x:c>
      <x:c r="D2105" s="60" t="n">
        <x:v>0.9</x:v>
      </x:c>
      <x:c r="E2105" s="62" t="b">
        <x:v>1</x:v>
      </x:c>
      <x:c r="F2105" s="62" t="b">
        <x:v>0</x:v>
      </x:c>
      <x:c r="G2105" s="85" t="n">
        <x:v>3664448.1876805183</x:v>
      </x:c>
      <x:c r="H2105" s="85" t="n">
        <x:v>14188448.847295837</x:v>
      </x:c>
      <x:c r="I2105" s="85" t="n">
        <x:v>11487915.250673966</x:v>
      </x:c>
      <x:c r="J2105" s="85" t="n">
        <x:v>12263679.999999996</x:v>
      </x:c>
      <x:c r="K2105" s="85" t="n">
        <x:v>59261.984657534704</x:v>
      </x:c>
      <x:c r="L2105" s="28" t="n">
        <x:v>44</x:v>
      </x:c>
      <x:c r="M2105" s="28" t="n">
        <x:v>40</x:v>
      </x:c>
      <x:c r="N2105" s="28" t="n">
        <x:v>2.3283064365386963e-10</x:v>
      </x:c>
      <x:c r="O2105" s="28" t="n">
        <x:v>3.725290298461914e-9</x:v>
      </x:c>
      <x:c r="P2105" s="28" t="n">
        <x:v>0</x:v>
      </x:c>
      <x:c r="Q2105" s="62" t="b">
        <x:v>1</x:v>
      </x:c>
      <x:c r="R2105" s="28" t="n">
        <x:v>0</x:v>
      </x:c>
      <x:c r="S2105" s="28" t="str">
        <x:v>e3d35523768bc65e</x:v>
      </x:c>
    </x:row>
    <x:row r="2106" ht="21" customHeight="1">
      <x:c r="A2106" s="60" t="n">
        <x:v>0.68</x:v>
      </x:c>
      <x:c r="B2106" s="28" t="str">
        <x:v>middle_flat</x:v>
      </x:c>
      <x:c r="C2106" s="60" t="n">
        <x:v>0.95</x:v>
      </x:c>
      <x:c r="D2106" s="60" t="n">
        <x:v>0.9270639118581285</x:v>
      </x:c>
      <x:c r="E2106" s="62" t="b">
        <x:v>0</x:v>
      </x:c>
      <x:c r="F2106" s="62" t="b">
        <x:v>0</x:v>
      </x:c>
      <x:c r="G2106" s="85" t="n">
        <x:v>3927560.7853528783</x:v>
      </x:c>
      <x:c r="H2106" s="85" t="n">
        <x:v>14870334.080056852</x:v>
      </x:c>
      <x:c r="I2106" s="85" t="n">
        <x:v>11740006.771594513</x:v>
      </x:c>
      <x:c r="J2106" s="85" t="n">
        <x:v>12263679.999999996</x:v>
      </x:c>
      <x:c r="K2106" s="85" t="n">
        <x:v>54496.05057534251</x:v>
      </x:c>
      <x:c r="L2106" s="28" t="n">
        <x:v>45</x:v>
      </x:c>
      <x:c r="M2106" s="28" t="n">
        <x:v>40</x:v>
      </x:c>
      <x:c r="N2106" s="28" t="n">
        <x:v>2.3283064365386963e-10</x:v>
      </x:c>
      <x:c r="O2106" s="28" t="n">
        <x:v>3.725290298461914e-9</x:v>
      </x:c>
      <x:c r="P2106" s="28" t="n">
        <x:v>0</x:v>
      </x:c>
      <x:c r="Q2106" s="62" t="b">
        <x:v>1</x:v>
      </x:c>
      <x:c r="R2106" s="28" t="n">
        <x:v>1278549.2973804846</x:v>
      </x:c>
      <x:c r="S2106" s="28" t="str">
        <x:v>9c211ace8355a5ca</x:v>
      </x:c>
    </x:row>
    <x:row r="2107" ht="21" customHeight="1">
      <x:c r="A2107" s="60" t="n">
        <x:v>0.68</x:v>
      </x:c>
      <x:c r="B2107" s="28" t="str">
        <x:v>middle_flat</x:v>
      </x:c>
      <x:c r="C2107" s="60" t="n">
        <x:v>1</x:v>
      </x:c>
      <x:c r="D2107" s="60" t="n">
        <x:v>0.9427455891708479</x:v>
      </x:c>
      <x:c r="E2107" s="62" t="b">
        <x:v>0</x:v>
      </x:c>
      <x:c r="F2107" s="62" t="b">
        <x:v>0</x:v>
      </x:c>
      <x:c r="G2107" s="85" t="n">
        <x:v>4284852.114632023</x:v>
      </x:c>
      <x:c r="H2107" s="85" t="n">
        <x:v>15563521.98230469</x:v>
      </x:c>
      <x:c r="I2107" s="85" t="n">
        <x:v>11744729.412383555</x:v>
      </x:c>
      <x:c r="J2107" s="85" t="n">
        <x:v>12263679.999999996</x:v>
      </x:c>
      <x:c r="K2107" s="85" t="n">
        <x:v>49730.116493151014</x:v>
      </x:c>
      <x:c r="L2107" s="28" t="n">
        <x:v>45</x:v>
      </x:c>
      <x:c r="M2107" s="28" t="n">
        <x:v>40</x:v>
      </x:c>
      <x:c r="N2107" s="28" t="n">
        <x:v>2.3283064365386963e-10</x:v>
      </x:c>
      <x:c r="O2107" s="28" t="n">
        <x:v>9.313225746154785e-10</x:v>
      </x:c>
      <x:c r="P2107" s="28" t="n">
        <x:v>0</x:v>
      </x:c>
      <x:c r="Q2107" s="62" t="b">
        <x:v>1</x:v>
      </x:c>
      <x:c r="R2107" s="28" t="n">
        <x:v>3191589.877260253</x:v>
      </x:c>
      <x:c r="S2107" s="28" t="str">
        <x:v>3d8262767db49b70</x:v>
      </x:c>
    </x:row>
    <x:row r="2108" ht="21" customHeight="1">
      <x:c r="A2108" s="60" t="n">
        <x:v>0.68</x:v>
      </x:c>
      <x:c r="B2108" s="28" t="str">
        <x:v>middle_low</x:v>
      </x:c>
      <x:c r="C2108" s="60" t="n">
        <x:v>0</x:v>
      </x:c>
      <x:c r="D2108" s="60" t="n">
        <x:v>0</x:v>
      </x:c>
      <x:c r="E2108" s="62" t="b">
        <x:v>1</x:v>
      </x:c>
      <x:c r="F2108" s="62" t="b">
        <x:v>1</x:v>
      </x:c>
      <x:c r="G2108" s="85" t="n">
        <x:v>0</x:v>
      </x:c>
      <x:c r="H2108" s="85" t="n">
        <x:v>0</x:v>
      </x:c>
      <x:c r="I2108" s="85" t="n">
        <x:v>0</x:v>
      </x:c>
      <x:c r="J2108" s="85" t="n">
        <x:v>0</x:v>
      </x:c>
      <x:c r="K2108" s="85" t="n">
        <x:v>5858343.783671239</x:v>
      </x:c>
      <x:c r="L2108" s="28" t="n">
        <x:v>0</x:v>
      </x:c>
      <x:c r="M2108" s="28" t="n">
        <x:v>0</x:v>
      </x:c>
      <x:c r="N2108" s="28" t="n">
        <x:v>4.656612873077393e-10</x:v>
      </x:c>
      <x:c r="O2108" s="28" t="n">
        <x:v>0</x:v>
      </x:c>
      <x:c r="P2108" s="28" t="n">
        <x:v>0</x:v>
      </x:c>
      <x:c r="Q2108" s="62" t="b">
        <x:v>1</x:v>
      </x:c>
      <x:c r="R2108" s="28" t="n">
        <x:v>0</x:v>
      </x:c>
      <x:c r="S2108" s="28" t="str">
        <x:v>c18f21f1eb3b3ce6</x:v>
      </x:c>
    </x:row>
    <x:row r="2109" ht="21" customHeight="1">
      <x:c r="A2109" s="60" t="n">
        <x:v>0.68</x:v>
      </x:c>
      <x:c r="B2109" s="28" t="str">
        <x:v>middle_low</x:v>
      </x:c>
      <x:c r="C2109" s="60" t="n">
        <x:v>0.05</x:v>
      </x:c>
      <x:c r="D2109" s="60" t="n">
        <x:v>0.05</x:v>
      </x:c>
      <x:c r="E2109" s="62" t="b">
        <x:v>1</x:v>
      </x:c>
      <x:c r="F2109" s="62" t="b">
        <x:v>1</x:v>
      </x:c>
      <x:c r="G2109" s="85" t="n">
        <x:v>0</x:v>
      </x:c>
      <x:c r="H2109" s="85" t="n">
        <x:v>0</x:v>
      </x:c>
      <x:c r="I2109" s="85" t="n">
        <x:v>0</x:v>
      </x:c>
      <x:c r="J2109" s="85" t="n">
        <x:v>0</x:v>
      </x:c>
      <x:c r="K2109" s="85" t="n">
        <x:v>3852620.610631197</x:v>
      </x:c>
      <x:c r="L2109" s="28" t="n">
        <x:v>0</x:v>
      </x:c>
      <x:c r="M2109" s="28" t="n">
        <x:v>0</x:v>
      </x:c>
      <x:c r="N2109" s="28" t="n">
        <x:v>4.656612873077393e-10</x:v>
      </x:c>
      <x:c r="O2109" s="28" t="n">
        <x:v>7.450580596923828e-9</x:v>
      </x:c>
      <x:c r="P2109" s="28" t="n">
        <x:v>0</x:v>
      </x:c>
      <x:c r="Q2109" s="62" t="b">
        <x:v>1</x:v>
      </x:c>
      <x:c r="R2109" s="28" t="n">
        <x:v>0</x:v>
      </x:c>
      <x:c r="S2109" s="28" t="str">
        <x:v>5087687d72b4c049</x:v>
      </x:c>
    </x:row>
    <x:row r="2110" ht="21" customHeight="1">
      <x:c r="A2110" s="60" t="n">
        <x:v>0.68</x:v>
      </x:c>
      <x:c r="B2110" s="28" t="str">
        <x:v>middle_low</x:v>
      </x:c>
      <x:c r="C2110" s="60" t="n">
        <x:v>0.1</x:v>
      </x:c>
      <x:c r="D2110" s="60" t="n">
        <x:v>0.1</x:v>
      </x:c>
      <x:c r="E2110" s="62" t="b">
        <x:v>1</x:v>
      </x:c>
      <x:c r="F2110" s="62" t="b">
        <x:v>1</x:v>
      </x:c>
      <x:c r="G2110" s="85" t="n">
        <x:v>0</x:v>
      </x:c>
      <x:c r="H2110" s="85" t="n">
        <x:v>0</x:v>
      </x:c>
      <x:c r="I2110" s="85" t="n">
        <x:v>0</x:v>
      </x:c>
      <x:c r="J2110" s="85" t="n">
        <x:v>0</x:v>
      </x:c>
      <x:c r="K2110" s="85" t="n">
        <x:v>1846681.3835358</x:v>
      </x:c>
      <x:c r="L2110" s="28" t="n">
        <x:v>0</x:v>
      </x:c>
      <x:c r="M2110" s="28" t="n">
        <x:v>0</x:v>
      </x:c>
      <x:c r="N2110" s="28" t="n">
        <x:v>9.313225746154785e-10</x:v>
      </x:c>
      <x:c r="O2110" s="28" t="n">
        <x:v>7.450580596923828e-9</x:v>
      </x:c>
      <x:c r="P2110" s="28" t="n">
        <x:v>0</x:v>
      </x:c>
      <x:c r="Q2110" s="62" t="b">
        <x:v>1</x:v>
      </x:c>
      <x:c r="R2110" s="28" t="n">
        <x:v>0</x:v>
      </x:c>
      <x:c r="S2110" s="28" t="str">
        <x:v>7652311abe13339e</x:v>
      </x:c>
    </x:row>
    <x:row r="2111" ht="21" customHeight="1">
      <x:c r="A2111" s="60" t="n">
        <x:v>0.68</x:v>
      </x:c>
      <x:c r="B2111" s="28" t="str">
        <x:v>middle_low</x:v>
      </x:c>
      <x:c r="C2111" s="60" t="n">
        <x:v>0.15</x:v>
      </x:c>
      <x:c r="D2111" s="60" t="n">
        <x:v>0.15</x:v>
      </x:c>
      <x:c r="E2111" s="62" t="b">
        <x:v>1</x:v>
      </x:c>
      <x:c r="F2111" s="62" t="b">
        <x:v>1</x:v>
      </x:c>
      <x:c r="G2111" s="85" t="n">
        <x:v>0</x:v>
      </x:c>
      <x:c r="H2111" s="85" t="n">
        <x:v>0</x:v>
      </x:c>
      <x:c r="I2111" s="85" t="n">
        <x:v>313861.55289785634</x:v>
      </x:c>
      <x:c r="J2111" s="85" t="n">
        <x:v>0</x:v>
      </x:c>
      <x:c r="K2111" s="85" t="n">
        <x:v>259264.52909174972</x:v>
      </x:c>
      <x:c r="L2111" s="28" t="n">
        <x:v>0</x:v>
      </x:c>
      <x:c r="M2111" s="28" t="n">
        <x:v>0</x:v>
      </x:c>
      <x:c r="N2111" s="28" t="n">
        <x:v>4.656612873077393e-10</x:v>
      </x:c>
      <x:c r="O2111" s="28" t="n">
        <x:v>7.450580596923828e-9</x:v>
      </x:c>
      <x:c r="P2111" s="28" t="n">
        <x:v>0</x:v>
      </x:c>
      <x:c r="Q2111" s="62" t="b">
        <x:v>1</x:v>
      </x:c>
      <x:c r="R2111" s="28" t="n">
        <x:v>0</x:v>
      </x:c>
      <x:c r="S2111" s="28" t="str">
        <x:v>4f181e2496a329cd</x:v>
      </x:c>
    </x:row>
    <x:row r="2112" ht="21" customHeight="1">
      <x:c r="A2112" s="60" t="n">
        <x:v>0.68</x:v>
      </x:c>
      <x:c r="B2112" s="28" t="str">
        <x:v>middle_low</x:v>
      </x:c>
      <x:c r="C2112" s="60" t="n">
        <x:v>0.2</x:v>
      </x:c>
      <x:c r="D2112" s="60" t="n">
        <x:v>0.2</x:v>
      </x:c>
      <x:c r="E2112" s="62" t="b">
        <x:v>1</x:v>
      </x:c>
      <x:c r="F2112" s="62" t="b">
        <x:v>1</x:v>
      </x:c>
      <x:c r="G2112" s="85" t="n">
        <x:v>0</x:v>
      </x:c>
      <x:c r="H2112" s="85" t="n">
        <x:v>0</x:v>
      </x:c>
      <x:c r="I2112" s="85" t="n">
        <x:v>1412207.1322947969</x:v>
      </x:c>
      <x:c r="J2112" s="85" t="n">
        <x:v>1253157.2790408984</x:v>
      </x:c>
      <x:c r="K2112" s="85" t="n">
        <x:v>206427.84766206495</x:v>
      </x:c>
      <x:c r="L2112" s="28" t="n">
        <x:v>0</x:v>
      </x:c>
      <x:c r="M2112" s="28" t="n">
        <x:v>0</x:v>
      </x:c>
      <x:c r="N2112" s="28" t="n">
        <x:v>4.656612873077393e-10</x:v>
      </x:c>
      <x:c r="O2112" s="28" t="n">
        <x:v>7.450580596923828e-9</x:v>
      </x:c>
      <x:c r="P2112" s="28" t="n">
        <x:v>0</x:v>
      </x:c>
      <x:c r="Q2112" s="62" t="b">
        <x:v>1</x:v>
      </x:c>
      <x:c r="R2112" s="28" t="n">
        <x:v>0</x:v>
      </x:c>
      <x:c r="S2112" s="28" t="str">
        <x:v>d901988a80771668</x:v>
      </x:c>
    </x:row>
    <x:row r="2113" ht="21" customHeight="1">
      <x:c r="A2113" s="60" t="n">
        <x:v>0.68</x:v>
      </x:c>
      <x:c r="B2113" s="28" t="str">
        <x:v>middle_low</x:v>
      </x:c>
      <x:c r="C2113" s="60" t="n">
        <x:v>0.25</x:v>
      </x:c>
      <x:c r="D2113" s="60" t="n">
        <x:v>0.25</x:v>
      </x:c>
      <x:c r="E2113" s="62" t="b">
        <x:v>1</x:v>
      </x:c>
      <x:c r="F2113" s="62" t="b">
        <x:v>1</x:v>
      </x:c>
      <x:c r="G2113" s="85" t="n">
        <x:v>0</x:v>
      </x:c>
      <x:c r="H2113" s="85" t="n">
        <x:v>0</x:v>
      </x:c>
      <x:c r="I2113" s="85" t="n">
        <x:v>2150145.4215867263</x:v>
      </x:c>
      <x:c r="J2113" s="85" t="n">
        <x:v>2960046.598801143</x:v>
      </x:c>
      <x:c r="K2113" s="85" t="n">
        <x:v>172643.3599345209</x:v>
      </x:c>
      <x:c r="L2113" s="28" t="n">
        <x:v>0</x:v>
      </x:c>
      <x:c r="M2113" s="28" t="n">
        <x:v>0</x:v>
      </x:c>
      <x:c r="N2113" s="28" t="n">
        <x:v>4.656612873077393e-10</x:v>
      </x:c>
      <x:c r="O2113" s="28" t="n">
        <x:v>7.450580596923828e-9</x:v>
      </x:c>
      <x:c r="P2113" s="28" t="n">
        <x:v>0</x:v>
      </x:c>
      <x:c r="Q2113" s="62" t="b">
        <x:v>1</x:v>
      </x:c>
      <x:c r="R2113" s="28" t="n">
        <x:v>0</x:v>
      </x:c>
      <x:c r="S2113" s="28" t="str">
        <x:v>bd546104db9dc03c</x:v>
      </x:c>
    </x:row>
    <x:row r="2114" ht="21" customHeight="1">
      <x:c r="A2114" s="60" t="n">
        <x:v>0.68</x:v>
      </x:c>
      <x:c r="B2114" s="28" t="str">
        <x:v>middle_low</x:v>
      </x:c>
      <x:c r="C2114" s="60" t="n">
        <x:v>0.3</x:v>
      </x:c>
      <x:c r="D2114" s="60" t="n">
        <x:v>0.3</x:v>
      </x:c>
      <x:c r="E2114" s="62" t="b">
        <x:v>1</x:v>
      </x:c>
      <x:c r="F2114" s="62" t="b">
        <x:v>1</x:v>
      </x:c>
      <x:c r="G2114" s="85" t="n">
        <x:v>0</x:v>
      </x:c>
      <x:c r="H2114" s="85" t="n">
        <x:v>0</x:v>
      </x:c>
      <x:c r="I2114" s="85" t="n">
        <x:v>2903978.5595588647</x:v>
      </x:c>
      <x:c r="J2114" s="85" t="n">
        <x:v>4666935.9185613645</x:v>
      </x:c>
      <x:c r="K2114" s="85" t="n">
        <x:v>139522.80051320593</x:v>
      </x:c>
      <x:c r="L2114" s="28" t="n">
        <x:v>0</x:v>
      </x:c>
      <x:c r="M2114" s="28" t="n">
        <x:v>0</x:v>
      </x:c>
      <x:c r="N2114" s="28" t="n">
        <x:v>2.3283064365386963e-10</x:v>
      </x:c>
      <x:c r="O2114" s="28" t="n">
        <x:v>7.450580596923828e-9</x:v>
      </x:c>
      <x:c r="P2114" s="28" t="n">
        <x:v>0</x:v>
      </x:c>
      <x:c r="Q2114" s="62" t="b">
        <x:v>1</x:v>
      </x:c>
      <x:c r="R2114" s="28" t="n">
        <x:v>0</x:v>
      </x:c>
      <x:c r="S2114" s="28" t="str">
        <x:v>d023fed565778a7f</x:v>
      </x:c>
    </x:row>
    <x:row r="2115" ht="21" customHeight="1">
      <x:c r="A2115" s="60" t="n">
        <x:v>0.68</x:v>
      </x:c>
      <x:c r="B2115" s="28" t="str">
        <x:v>middle_low</x:v>
      </x:c>
      <x:c r="C2115" s="60" t="n">
        <x:v>0.35</x:v>
      </x:c>
      <x:c r="D2115" s="60" t="n">
        <x:v>0.35</x:v>
      </x:c>
      <x:c r="E2115" s="62" t="b">
        <x:v>1</x:v>
      </x:c>
      <x:c r="F2115" s="62" t="b">
        <x:v>1</x:v>
      </x:c>
      <x:c r="G2115" s="85" t="n">
        <x:v>0</x:v>
      </x:c>
      <x:c r="H2115" s="85" t="n">
        <x:v>0</x:v>
      </x:c>
      <x:c r="I2115" s="85" t="n">
        <x:v>4087468.240622114</x:v>
      </x:c>
      <x:c r="J2115" s="85" t="n">
        <x:v>5700577.278396214</x:v>
      </x:c>
      <x:c r="K2115" s="85" t="n">
        <x:v>120571.54542504139</x:v>
      </x:c>
      <x:c r="L2115" s="28" t="n">
        <x:v>5</x:v>
      </x:c>
      <x:c r="M2115" s="28" t="n">
        <x:v>0</x:v>
      </x:c>
      <x:c r="N2115" s="28" t="n">
        <x:v>4.656612873077393e-10</x:v>
      </x:c>
      <x:c r="O2115" s="28" t="n">
        <x:v>7.450580596923828e-9</x:v>
      </x:c>
      <x:c r="P2115" s="28" t="n">
        <x:v>0</x:v>
      </x:c>
      <x:c r="Q2115" s="62" t="b">
        <x:v>1</x:v>
      </x:c>
      <x:c r="R2115" s="28" t="n">
        <x:v>0</x:v>
      </x:c>
      <x:c r="S2115" s="28" t="str">
        <x:v>f954fb076a913bf6</x:v>
      </x:c>
    </x:row>
    <x:row r="2116" ht="21" customHeight="1">
      <x:c r="A2116" s="60" t="n">
        <x:v>0.68</x:v>
      </x:c>
      <x:c r="B2116" s="28" t="str">
        <x:v>middle_low</x:v>
      </x:c>
      <x:c r="C2116" s="60" t="n">
        <x:v>0.4</x:v>
      </x:c>
      <x:c r="D2116" s="60" t="n">
        <x:v>0.4</x:v>
      </x:c>
      <x:c r="E2116" s="62" t="b">
        <x:v>1</x:v>
      </x:c>
      <x:c r="F2116" s="62" t="b">
        <x:v>1</x:v>
      </x:c>
      <x:c r="G2116" s="85" t="n">
        <x:v>0</x:v>
      </x:c>
      <x:c r="H2116" s="85" t="n">
        <x:v>0</x:v>
      </x:c>
      <x:c r="I2116" s="85" t="n">
        <x:v>5112926.146530619</x:v>
      </x:c>
      <x:c r="J2116" s="85" t="n">
        <x:v>6977658.670700238</x:v>
      </x:c>
      <x:c r="K2116" s="85" t="n">
        <x:v>101638.0202744108</x:v>
      </x:c>
      <x:c r="L2116" s="28" t="n">
        <x:v>9</x:v>
      </x:c>
      <x:c r="M2116" s="28" t="n">
        <x:v>0</x:v>
      </x:c>
      <x:c r="N2116" s="28" t="n">
        <x:v>2.3283064365386963e-10</x:v>
      </x:c>
      <x:c r="O2116" s="28" t="n">
        <x:v>3.725290298461914e-9</x:v>
      </x:c>
      <x:c r="P2116" s="28" t="n">
        <x:v>0</x:v>
      </x:c>
      <x:c r="Q2116" s="62" t="b">
        <x:v>1</x:v>
      </x:c>
      <x:c r="R2116" s="28" t="n">
        <x:v>0</x:v>
      </x:c>
      <x:c r="S2116" s="28" t="str">
        <x:v>e671bd5aa619da52</x:v>
      </x:c>
    </x:row>
    <x:row r="2117" ht="21" customHeight="1">
      <x:c r="A2117" s="60" t="n">
        <x:v>0.68</x:v>
      </x:c>
      <x:c r="B2117" s="28" t="str">
        <x:v>middle_low</x:v>
      </x:c>
      <x:c r="C2117" s="60" t="n">
        <x:v>0.45</x:v>
      </x:c>
      <x:c r="D2117" s="60" t="n">
        <x:v>0.45</x:v>
      </x:c>
      <x:c r="E2117" s="62" t="b">
        <x:v>1</x:v>
      </x:c>
      <x:c r="F2117" s="62" t="b">
        <x:v>1</x:v>
      </x:c>
      <x:c r="G2117" s="85" t="n">
        <x:v>0</x:v>
      </x:c>
      <x:c r="H2117" s="85" t="n">
        <x:v>0</x:v>
      </x:c>
      <x:c r="I2117" s="85" t="n">
        <x:v>5996265.075446002</x:v>
      </x:c>
      <x:c r="J2117" s="85" t="n">
        <x:v>8483135.753866132</x:v>
      </x:c>
      <x:c r="K2117" s="85" t="n">
        <x:v>90215.39030137009</x:v>
      </x:c>
      <x:c r="L2117" s="28" t="n">
        <x:v>13</x:v>
      </x:c>
      <x:c r="M2117" s="28" t="n">
        <x:v>0</x:v>
      </x:c>
      <x:c r="N2117" s="28" t="n">
        <x:v>2.3283064365386963e-10</x:v>
      </x:c>
      <x:c r="O2117" s="28" t="n">
        <x:v>1.862645149230957e-9</x:v>
      </x:c>
      <x:c r="P2117" s="28" t="n">
        <x:v>0</x:v>
      </x:c>
      <x:c r="Q2117" s="62" t="b">
        <x:v>1</x:v>
      </x:c>
      <x:c r="R2117" s="28" t="n">
        <x:v>0</x:v>
      </x:c>
      <x:c r="S2117" s="28" t="str">
        <x:v>3b8cc079451e1d5f</x:v>
      </x:c>
    </x:row>
    <x:row r="2118" ht="21" customHeight="1">
      <x:c r="A2118" s="60" t="n">
        <x:v>0.68</x:v>
      </x:c>
      <x:c r="B2118" s="28" t="str">
        <x:v>middle_low</x:v>
      </x:c>
      <x:c r="C2118" s="60" t="n">
        <x:v>0.5</x:v>
      </x:c>
      <x:c r="D2118" s="60" t="n">
        <x:v>0.5</x:v>
      </x:c>
      <x:c r="E2118" s="62" t="b">
        <x:v>1</x:v>
      </x:c>
      <x:c r="F2118" s="62" t="b">
        <x:v>1</x:v>
      </x:c>
      <x:c r="G2118" s="85" t="n">
        <x:v>0</x:v>
      </x:c>
      <x:c r="H2118" s="85" t="n">
        <x:v>0</x:v>
      </x:c>
      <x:c r="I2118" s="85" t="n">
        <x:v>6840902.5514108585</x:v>
      </x:c>
      <x:c r="J2118" s="85" t="n">
        <x:v>10060030.528737497</x:v>
      </x:c>
      <x:c r="K2118" s="85" t="n">
        <x:v>81473.57589041108</x:v>
      </x:c>
      <x:c r="L2118" s="28" t="n">
        <x:v>17</x:v>
      </x:c>
      <x:c r="M2118" s="28" t="n">
        <x:v>0</x:v>
      </x:c>
      <x:c r="N2118" s="28" t="n">
        <x:v>4.656612873077393e-10</x:v>
      </x:c>
      <x:c r="O2118" s="28" t="n">
        <x:v>7.450580596923828e-9</x:v>
      </x:c>
      <x:c r="P2118" s="28" t="n">
        <x:v>0</x:v>
      </x:c>
      <x:c r="Q2118" s="62" t="b">
        <x:v>1</x:v>
      </x:c>
      <x:c r="R2118" s="28" t="n">
        <x:v>0</x:v>
      </x:c>
      <x:c r="S2118" s="28" t="str">
        <x:v>8854d678a76bef44</x:v>
      </x:c>
    </x:row>
    <x:row r="2119" ht="21" customHeight="1">
      <x:c r="A2119" s="60" t="n">
        <x:v>0.68</x:v>
      </x:c>
      <x:c r="B2119" s="28" t="str">
        <x:v>middle_low</x:v>
      </x:c>
      <x:c r="C2119" s="60" t="n">
        <x:v>0.55</x:v>
      </x:c>
      <x:c r="D2119" s="60" t="n">
        <x:v>0.55</x:v>
      </x:c>
      <x:c r="E2119" s="62" t="b">
        <x:v>1</x:v>
      </x:c>
      <x:c r="F2119" s="62" t="b">
        <x:v>1</x:v>
      </x:c>
      <x:c r="G2119" s="85" t="n">
        <x:v>0</x:v>
      </x:c>
      <x:c r="H2119" s="85" t="n">
        <x:v>0</x:v>
      </x:c>
      <x:c r="I2119" s="85" t="n">
        <x:v>7598579.054956154</x:v>
      </x:c>
      <x:c r="J2119" s="85" t="n">
        <x:v>11753771.205893325</x:v>
      </x:c>
      <x:c r="K2119" s="85" t="n">
        <x:v>72731.76147945254</x:v>
      </x:c>
      <x:c r="L2119" s="28" t="n">
        <x:v>22</x:v>
      </x:c>
      <x:c r="M2119" s="28" t="n">
        <x:v>0</x:v>
      </x:c>
      <x:c r="N2119" s="28" t="n">
        <x:v>4.656612873077393e-10</x:v>
      </x:c>
      <x:c r="O2119" s="28" t="n">
        <x:v>7.450580596923828e-9</x:v>
      </x:c>
      <x:c r="P2119" s="28" t="n">
        <x:v>0</x:v>
      </x:c>
      <x:c r="Q2119" s="62" t="b">
        <x:v>1</x:v>
      </x:c>
      <x:c r="R2119" s="28" t="n">
        <x:v>0</x:v>
      </x:c>
      <x:c r="S2119" s="28" t="str">
        <x:v>926f27765be63952</x:v>
      </x:c>
    </x:row>
    <x:row r="2120" ht="21" customHeight="1">
      <x:c r="A2120" s="60" t="n">
        <x:v>0.68</x:v>
      </x:c>
      <x:c r="B2120" s="28" t="str">
        <x:v>middle_low</x:v>
      </x:c>
      <x:c r="C2120" s="60" t="n">
        <x:v>0.6</x:v>
      </x:c>
      <x:c r="D2120" s="60" t="n">
        <x:v>0.6</x:v>
      </x:c>
      <x:c r="E2120" s="62" t="b">
        <x:v>1</x:v>
      </x:c>
      <x:c r="F2120" s="62" t="b">
        <x:v>0</x:v>
      </x:c>
      <x:c r="G2120" s="85" t="n">
        <x:v>120841.92032596322</x:v>
      </x:c>
      <x:c r="H2120" s="85" t="n">
        <x:v>1507513.9998866268</x:v>
      </x:c>
      <x:c r="I2120" s="85" t="n">
        <x:v>7734288.569818513</x:v>
      </x:c>
      <x:c r="J2120" s="85" t="n">
        <x:v>12263679.999999996</x:v>
      </x:c>
      <x:c r="K2120" s="85" t="n">
        <x:v>63989.94706849359</x:v>
      </x:c>
      <x:c r="L2120" s="28" t="n">
        <x:v>42</x:v>
      </x:c>
      <x:c r="M2120" s="28" t="n">
        <x:v>26</x:v>
      </x:c>
      <x:c r="N2120" s="28" t="n">
        <x:v>4.656612873077393e-10</x:v>
      </x:c>
      <x:c r="O2120" s="28" t="n">
        <x:v>3.725290298461914e-9</x:v>
      </x:c>
      <x:c r="P2120" s="28" t="n">
        <x:v>0</x:v>
      </x:c>
      <x:c r="Q2120" s="62" t="b">
        <x:v>1</x:v>
      </x:c>
      <x:c r="R2120" s="28" t="n">
        <x:v>0</x:v>
      </x:c>
      <x:c r="S2120" s="28" t="str">
        <x:v>69040c420654e97f</x:v>
      </x:c>
    </x:row>
    <x:row r="2121" ht="21" customHeight="1">
      <x:c r="A2121" s="60" t="n">
        <x:v>0.68</x:v>
      </x:c>
      <x:c r="B2121" s="28" t="str">
        <x:v>middle_low</x:v>
      </x:c>
      <x:c r="C2121" s="60" t="n">
        <x:v>0.65</x:v>
      </x:c>
      <x:c r="D2121" s="60" t="n">
        <x:v>0.65</x:v>
      </x:c>
      <x:c r="E2121" s="62" t="b">
        <x:v>1</x:v>
      </x:c>
      <x:c r="F2121" s="62" t="b">
        <x:v>0</x:v>
      </x:c>
      <x:c r="G2121" s="85" t="n">
        <x:v>268741.7409012863</x:v>
      </x:c>
      <x:c r="H2121" s="85" t="n">
        <x:v>3346559.718578596</x:v>
      </x:c>
      <x:c r="I2121" s="85" t="n">
        <x:v>7921846.525743828</x:v>
      </x:c>
      <x:c r="J2121" s="85" t="n">
        <x:v>12263679.999999996</x:v>
      </x:c>
      <x:c r="K2121" s="85" t="n">
        <x:v>55248.1326575343</x:v>
      </x:c>
      <x:c r="L2121" s="28" t="n">
        <x:v>43</x:v>
      </x:c>
      <x:c r="M2121" s="28" t="n">
        <x:v>31</x:v>
      </x:c>
      <x:c r="N2121" s="28" t="n">
        <x:v>2.3283064365386963e-10</x:v>
      </x:c>
      <x:c r="O2121" s="28" t="n">
        <x:v>1.862645149230957e-9</x:v>
      </x:c>
      <x:c r="P2121" s="28" t="n">
        <x:v>0</x:v>
      </x:c>
      <x:c r="Q2121" s="62" t="b">
        <x:v>1</x:v>
      </x:c>
      <x:c r="R2121" s="28" t="n">
        <x:v>0</x:v>
      </x:c>
      <x:c r="S2121" s="28" t="str">
        <x:v>33e4aeb09c6f888f</x:v>
      </x:c>
    </x:row>
    <x:row r="2122" ht="21" customHeight="1">
      <x:c r="A2122" s="60" t="n">
        <x:v>0.68</x:v>
      </x:c>
      <x:c r="B2122" s="28" t="str">
        <x:v>middle_low</x:v>
      </x:c>
      <x:c r="C2122" s="60" t="n">
        <x:v>0.7</x:v>
      </x:c>
      <x:c r="D2122" s="60" t="n">
        <x:v>0.7</x:v>
      </x:c>
      <x:c r="E2122" s="62" t="b">
        <x:v>1</x:v>
      </x:c>
      <x:c r="F2122" s="62" t="b">
        <x:v>0</x:v>
      </x:c>
      <x:c r="G2122" s="85" t="n">
        <x:v>433506.83015198354</x:v>
      </x:c>
      <x:c r="H2122" s="85" t="n">
        <x:v>5395393.654976091</x:v>
      </x:c>
      <x:c r="I2122" s="85" t="n">
        <x:v>7926541.022649308</x:v>
      </x:c>
      <x:c r="J2122" s="85" t="n">
        <x:v>12263679.999999996</x:v>
      </x:c>
      <x:c r="K2122" s="85" t="n">
        <x:v>46506.31824657529</x:v>
      </x:c>
      <x:c r="L2122" s="28" t="n">
        <x:v>43</x:v>
      </x:c>
      <x:c r="M2122" s="28" t="n">
        <x:v>33</x:v>
      </x:c>
      <x:c r="N2122" s="28" t="n">
        <x:v>4.656612873077393e-10</x:v>
      </x:c>
      <x:c r="O2122" s="28" t="n">
        <x:v>3.725290298461914e-9</x:v>
      </x:c>
      <x:c r="P2122" s="28" t="n">
        <x:v>0</x:v>
      </x:c>
      <x:c r="Q2122" s="62" t="b">
        <x:v>1</x:v>
      </x:c>
      <x:c r="R2122" s="28" t="n">
        <x:v>0</x:v>
      </x:c>
      <x:c r="S2122" s="28" t="str">
        <x:v>9d65ca6179793221</x:v>
      </x:c>
    </x:row>
    <x:row r="2123" ht="21" customHeight="1">
      <x:c r="A2123" s="60" t="n">
        <x:v>0.68</x:v>
      </x:c>
      <x:c r="B2123" s="28" t="str">
        <x:v>middle_low</x:v>
      </x:c>
      <x:c r="C2123" s="60" t="n">
        <x:v>0.75</x:v>
      </x:c>
      <x:c r="D2123" s="60" t="n">
        <x:v>0.75</x:v>
      </x:c>
      <x:c r="E2123" s="62" t="b">
        <x:v>1</x:v>
      </x:c>
      <x:c r="F2123" s="62" t="b">
        <x:v>0</x:v>
      </x:c>
      <x:c r="G2123" s="85" t="n">
        <x:v>600680.8316242271</x:v>
      </x:c>
      <x:c r="H2123" s="85" t="n">
        <x:v>7230363.992027083</x:v>
      </x:c>
      <x:c r="I2123" s="85" t="n">
        <x:v>8100076.642191772</x:v>
      </x:c>
      <x:c r="J2123" s="85" t="n">
        <x:v>12263679.999999996</x:v>
      </x:c>
      <x:c r="K2123" s="85" t="n">
        <x:v>43066.21430136983</x:v>
      </x:c>
      <x:c r="L2123" s="28" t="n">
        <x:v>44</x:v>
      </x:c>
      <x:c r="M2123" s="28" t="n">
        <x:v>34</x:v>
      </x:c>
      <x:c r="N2123" s="28" t="n">
        <x:v>2.3283064365386963e-10</x:v>
      </x:c>
      <x:c r="O2123" s="28" t="n">
        <x:v>3.725290298461914e-9</x:v>
      </x:c>
      <x:c r="P2123" s="28" t="n">
        <x:v>0</x:v>
      </x:c>
      <x:c r="Q2123" s="62" t="b">
        <x:v>1</x:v>
      </x:c>
      <x:c r="R2123" s="28" t="n">
        <x:v>0</x:v>
      </x:c>
      <x:c r="S2123" s="28" t="str">
        <x:v>9f8474e82b611c80</x:v>
      </x:c>
    </x:row>
    <x:row r="2124" ht="21" customHeight="1">
      <x:c r="A2124" s="60" t="n">
        <x:v>0.68</x:v>
      </x:c>
      <x:c r="B2124" s="28" t="str">
        <x:v>middle_low</x:v>
      </x:c>
      <x:c r="C2124" s="60" t="n">
        <x:v>0.8</x:v>
      </x:c>
      <x:c r="D2124" s="60" t="n">
        <x:v>0.8</x:v>
      </x:c>
      <x:c r="E2124" s="62" t="b">
        <x:v>1</x:v>
      </x:c>
      <x:c r="F2124" s="62" t="b">
        <x:v>0</x:v>
      </x:c>
      <x:c r="G2124" s="85" t="n">
        <x:v>786213.0109505876</x:v>
      </x:c>
      <x:c r="H2124" s="85" t="n">
        <x:v>9211256.446579048</x:v>
      </x:c>
      <x:c r="I2124" s="85" t="n">
        <x:v>8100076.642191772</x:v>
      </x:c>
      <x:c r="J2124" s="85" t="n">
        <x:v>12263679.999999996</x:v>
      </x:c>
      <x:c r="K2124" s="85" t="n">
        <x:v>40353.842958904206</x:v>
      </x:c>
      <x:c r="L2124" s="28" t="n">
        <x:v>44</x:v>
      </x:c>
      <x:c r="M2124" s="28" t="n">
        <x:v>35</x:v>
      </x:c>
      <x:c r="N2124" s="28" t="n">
        <x:v>4.656612873077393e-10</x:v>
      </x:c>
      <x:c r="O2124" s="28" t="n">
        <x:v>1.862645149230957e-9</x:v>
      </x:c>
      <x:c r="P2124" s="28" t="n">
        <x:v>0</x:v>
      </x:c>
      <x:c r="Q2124" s="62" t="b">
        <x:v>1</x:v>
      </x:c>
      <x:c r="R2124" s="28" t="n">
        <x:v>0</x:v>
      </x:c>
      <x:c r="S2124" s="28" t="str">
        <x:v>1023b087593dd9eb</x:v>
      </x:c>
    </x:row>
    <x:row r="2125" ht="21" customHeight="1">
      <x:c r="A2125" s="60" t="n">
        <x:v>0.68</x:v>
      </x:c>
      <x:c r="B2125" s="28" t="str">
        <x:v>middle_low</x:v>
      </x:c>
      <x:c r="C2125" s="60" t="n">
        <x:v>0.85</x:v>
      </x:c>
      <x:c r="D2125" s="60" t="n">
        <x:v>0.85</x:v>
      </x:c>
      <x:c r="E2125" s="62" t="b">
        <x:v>1</x:v>
      </x:c>
      <x:c r="F2125" s="62" t="b">
        <x:v>0</x:v>
      </x:c>
      <x:c r="G2125" s="85" t="n">
        <x:v>988352.1523398268</x:v>
      </x:c>
      <x:c r="H2125" s="85" t="n">
        <x:v>11165376.133797979</x:v>
      </x:c>
      <x:c r="I2125" s="85" t="n">
        <x:v>8100076.642191772</x:v>
      </x:c>
      <x:c r="J2125" s="85" t="n">
        <x:v>12263679.999999996</x:v>
      </x:c>
      <x:c r="K2125" s="85" t="n">
        <x:v>37641.471616438575</x:v>
      </x:c>
      <x:c r="L2125" s="28" t="n">
        <x:v>44</x:v>
      </x:c>
      <x:c r="M2125" s="28" t="n">
        <x:v>36</x:v>
      </x:c>
      <x:c r="N2125" s="28" t="n">
        <x:v>4.656612873077393e-10</x:v>
      </x:c>
      <x:c r="O2125" s="28" t="n">
        <x:v>3.725290298461914e-9</x:v>
      </x:c>
      <x:c r="P2125" s="28" t="n">
        <x:v>0</x:v>
      </x:c>
      <x:c r="Q2125" s="62" t="b">
        <x:v>1</x:v>
      </x:c>
      <x:c r="R2125" s="28" t="n">
        <x:v>0</x:v>
      </x:c>
      <x:c r="S2125" s="28" t="str">
        <x:v>ae7c06883d8c6a6b</x:v>
      </x:c>
    </x:row>
    <x:row r="2126" ht="21" customHeight="1">
      <x:c r="A2126" s="60" t="n">
        <x:v>0.68</x:v>
      </x:c>
      <x:c r="B2126" s="28" t="str">
        <x:v>middle_low</x:v>
      </x:c>
      <x:c r="C2126" s="60" t="n">
        <x:v>0.9</x:v>
      </x:c>
      <x:c r="D2126" s="60" t="n">
        <x:v>0.9</x:v>
      </x:c>
      <x:c r="E2126" s="62" t="b">
        <x:v>1</x:v>
      </x:c>
      <x:c r="F2126" s="62" t="b">
        <x:v>0</x:v>
      </x:c>
      <x:c r="G2126" s="85" t="n">
        <x:v>1268517.2431933687</x:v>
      </x:c>
      <x:c r="H2126" s="85" t="n">
        <x:v>13018394.773363523</x:v>
      </x:c>
      <x:c r="I2126" s="85" t="n">
        <x:v>8100076.642191772</x:v>
      </x:c>
      <x:c r="J2126" s="85" t="n">
        <x:v>12263679.999999996</x:v>
      </x:c>
      <x:c r="K2126" s="85" t="n">
        <x:v>34929.10027397271</x:v>
      </x:c>
      <x:c r="L2126" s="28" t="n">
        <x:v>44</x:v>
      </x:c>
      <x:c r="M2126" s="28" t="n">
        <x:v>37</x:v>
      </x:c>
      <x:c r="N2126" s="28" t="n">
        <x:v>2.3283064365386963e-10</x:v>
      </x:c>
      <x:c r="O2126" s="28" t="n">
        <x:v>3.725290298461914e-9</x:v>
      </x:c>
      <x:c r="P2126" s="28" t="n">
        <x:v>0</x:v>
      </x:c>
      <x:c r="Q2126" s="62" t="b">
        <x:v>1</x:v>
      </x:c>
      <x:c r="R2126" s="28" t="n">
        <x:v>0</x:v>
      </x:c>
      <x:c r="S2126" s="28" t="str">
        <x:v>16ee26bb2c6df4d1</x:v>
      </x:c>
    </x:row>
    <x:row r="2127" ht="21" customHeight="1">
      <x:c r="A2127" s="60" t="n">
        <x:v>0.68</x:v>
      </x:c>
      <x:c r="B2127" s="28" t="str">
        <x:v>middle_low</x:v>
      </x:c>
      <x:c r="C2127" s="60" t="n">
        <x:v>0.95</x:v>
      </x:c>
      <x:c r="D2127" s="60" t="n">
        <x:v>0.9270639118581285</x:v>
      </x:c>
      <x:c r="E2127" s="62" t="b">
        <x:v>0</x:v>
      </x:c>
      <x:c r="F2127" s="62" t="b">
        <x:v>0</x:v>
      </x:c>
      <x:c r="G2127" s="85" t="n">
        <x:v>1558556.5200171224</x:v>
      </x:c>
      <x:c r="H2127" s="85" t="n">
        <x:v>13665308.554283066</x:v>
      </x:c>
      <x:c r="I2127" s="85" t="n">
        <x:v>8285543.802739718</x:v>
      </x:c>
      <x:c r="J2127" s="85" t="n">
        <x:v>12263679.999999996</x:v>
      </x:c>
      <x:c r="K2127" s="85" t="n">
        <x:v>32216.728931507078</x:v>
      </x:c>
      <x:c r="L2127" s="28" t="n">
        <x:v>45</x:v>
      </x:c>
      <x:c r="M2127" s="28" t="n">
        <x:v>37</x:v>
      </x:c>
      <x:c r="N2127" s="28" t="n">
        <x:v>2.3283064365386963e-10</x:v>
      </x:c>
      <x:c r="O2127" s="28" t="n">
        <x:v>3.725290298461914e-9</x:v>
      </x:c>
      <x:c r="P2127" s="28" t="n">
        <x:v>0</x:v>
      </x:c>
      <x:c r="Q2127" s="62" t="b">
        <x:v>1</x:v>
      </x:c>
      <x:c r="R2127" s="28" t="n">
        <x:v>1278549.2973804846</x:v>
      </x:c>
      <x:c r="S2127" s="28" t="str">
        <x:v>4f761762159cb077</x:v>
      </x:c>
    </x:row>
    <x:row r="2128" ht="21" customHeight="1">
      <x:c r="A2128" s="60" t="n">
        <x:v>0.68</x:v>
      </x:c>
      <x:c r="B2128" s="28" t="str">
        <x:v>middle_low</x:v>
      </x:c>
      <x:c r="C2128" s="60" t="n">
        <x:v>1</x:v>
      </x:c>
      <x:c r="D2128" s="60" t="n">
        <x:v>0.9427455891708479</x:v>
      </x:c>
      <x:c r="E2128" s="62" t="b">
        <x:v>0</x:v>
      </x:c>
      <x:c r="F2128" s="62" t="b">
        <x:v>0</x:v>
      </x:c>
      <x:c r="G2128" s="85" t="n">
        <x:v>1701521.9289467006</x:v>
      </x:c>
      <x:c r="H2128" s="85" t="n">
        <x:v>14317622.33592793</x:v>
      </x:c>
      <x:c r="I2128" s="85" t="n">
        <x:v>8285543.802739718</x:v>
      </x:c>
      <x:c r="J2128" s="85" t="n">
        <x:v>12263679.999999996</x:v>
      </x:c>
      <x:c r="K2128" s="85" t="n">
        <x:v>29504.357589041218</x:v>
      </x:c>
      <x:c r="L2128" s="28" t="n">
        <x:v>45</x:v>
      </x:c>
      <x:c r="M2128" s="28" t="n">
        <x:v>38</x:v>
      </x:c>
      <x:c r="N2128" s="28" t="n">
        <x:v>2.3283064365386963e-10</x:v>
      </x:c>
      <x:c r="O2128" s="28" t="n">
        <x:v>9.313225746154785e-10</x:v>
      </x:c>
      <x:c r="P2128" s="28" t="n">
        <x:v>0</x:v>
      </x:c>
      <x:c r="Q2128" s="62" t="b">
        <x:v>1</x:v>
      </x:c>
      <x:c r="R2128" s="28" t="n">
        <x:v>3191589.877260253</x:v>
      </x:c>
      <x:c r="S2128" s="28" t="str">
        <x:v>b7d40f148d365030</x:v>
      </x:c>
    </x:row>
    <x:row r="2129" ht="21" customHeight="1">
      <x:c r="A2129" s="60" t="n">
        <x:v>0.68</x:v>
      </x:c>
      <x:c r="B2129" s="28" t="str">
        <x:v>middle_high</x:v>
      </x:c>
      <x:c r="C2129" s="60" t="n">
        <x:v>0</x:v>
      </x:c>
      <x:c r="D2129" s="60" t="n">
        <x:v>0</x:v>
      </x:c>
      <x:c r="E2129" s="62" t="b">
        <x:v>1</x:v>
      </x:c>
      <x:c r="F2129" s="62" t="b">
        <x:v>1</x:v>
      </x:c>
      <x:c r="G2129" s="85" t="n">
        <x:v>0</x:v>
      </x:c>
      <x:c r="H2129" s="85" t="n">
        <x:v>0</x:v>
      </x:c>
      <x:c r="I2129" s="85" t="n">
        <x:v>0</x:v>
      </x:c>
      <x:c r="J2129" s="85" t="n">
        <x:v>0</x:v>
      </x:c>
      <x:c r="K2129" s="85" t="n">
        <x:v>7547640.424767128</x:v>
      </x:c>
      <x:c r="L2129" s="28" t="n">
        <x:v>0</x:v>
      </x:c>
      <x:c r="M2129" s="28" t="n">
        <x:v>0</x:v>
      </x:c>
      <x:c r="N2129" s="28" t="n">
        <x:v>9.313225746154785e-10</x:v>
      </x:c>
      <x:c r="O2129" s="28" t="n">
        <x:v>0</x:v>
      </x:c>
      <x:c r="P2129" s="28" t="n">
        <x:v>0</x:v>
      </x:c>
      <x:c r="Q2129" s="62" t="b">
        <x:v>1</x:v>
      </x:c>
      <x:c r="R2129" s="28" t="n">
        <x:v>0</x:v>
      </x:c>
      <x:c r="S2129" s="28" t="str">
        <x:v>b8095e103ccdc4ca</x:v>
      </x:c>
    </x:row>
    <x:row r="2130" ht="21" customHeight="1">
      <x:c r="A2130" s="60" t="n">
        <x:v>0.68</x:v>
      </x:c>
      <x:c r="B2130" s="28" t="str">
        <x:v>middle_high</x:v>
      </x:c>
      <x:c r="C2130" s="60" t="n">
        <x:v>0.05</x:v>
      </x:c>
      <x:c r="D2130" s="60" t="n">
        <x:v>0.05</x:v>
      </x:c>
      <x:c r="E2130" s="62" t="b">
        <x:v>1</x:v>
      </x:c>
      <x:c r="F2130" s="62" t="b">
        <x:v>1</x:v>
      </x:c>
      <x:c r="G2130" s="85" t="n">
        <x:v>0</x:v>
      </x:c>
      <x:c r="H2130" s="85" t="n">
        <x:v>0</x:v>
      </x:c>
      <x:c r="I2130" s="85" t="n">
        <x:v>0</x:v>
      </x:c>
      <x:c r="J2130" s="85" t="n">
        <x:v>0</x:v>
      </x:c>
      <x:c r="K2130" s="85" t="n">
        <x:v>5044817.237804761</x:v>
      </x:c>
      <x:c r="L2130" s="28" t="n">
        <x:v>0</x:v>
      </x:c>
      <x:c r="M2130" s="28" t="n">
        <x:v>0</x:v>
      </x:c>
      <x:c r="N2130" s="28" t="n">
        <x:v>9.313225746154785e-10</x:v>
      </x:c>
      <x:c r="O2130" s="28" t="n">
        <x:v>7.450580596923828e-9</x:v>
      </x:c>
      <x:c r="P2130" s="28" t="n">
        <x:v>0</x:v>
      </x:c>
      <x:c r="Q2130" s="62" t="b">
        <x:v>1</x:v>
      </x:c>
      <x:c r="R2130" s="28" t="n">
        <x:v>0</x:v>
      </x:c>
      <x:c r="S2130" s="28" t="str">
        <x:v>69337dfd3e0bdcc4</x:v>
      </x:c>
    </x:row>
    <x:row r="2131" ht="21" customHeight="1">
      <x:c r="A2131" s="60" t="n">
        <x:v>0.68</x:v>
      </x:c>
      <x:c r="B2131" s="28" t="str">
        <x:v>middle_high</x:v>
      </x:c>
      <x:c r="C2131" s="60" t="n">
        <x:v>0.1</x:v>
      </x:c>
      <x:c r="D2131" s="60" t="n">
        <x:v>0.1</x:v>
      </x:c>
      <x:c r="E2131" s="62" t="b">
        <x:v>1</x:v>
      </x:c>
      <x:c r="F2131" s="62" t="b">
        <x:v>1</x:v>
      </x:c>
      <x:c r="G2131" s="85" t="n">
        <x:v>0</x:v>
      </x:c>
      <x:c r="H2131" s="85" t="n">
        <x:v>0</x:v>
      </x:c>
      <x:c r="I2131" s="85" t="n">
        <x:v>0</x:v>
      </x:c>
      <x:c r="J2131" s="85" t="n">
        <x:v>0</x:v>
      </x:c>
      <x:c r="K2131" s="85" t="n">
        <x:v>2541579.947236334</x:v>
      </x:c>
      <x:c r="L2131" s="28" t="n">
        <x:v>0</x:v>
      </x:c>
      <x:c r="M2131" s="28" t="n">
        <x:v>0</x:v>
      </x:c>
      <x:c r="N2131" s="28" t="n">
        <x:v>4.656612873077393e-10</x:v>
      </x:c>
      <x:c r="O2131" s="28" t="n">
        <x:v>7.450580596923828e-9</x:v>
      </x:c>
      <x:c r="P2131" s="28" t="n">
        <x:v>0</x:v>
      </x:c>
      <x:c r="Q2131" s="62" t="b">
        <x:v>1</x:v>
      </x:c>
      <x:c r="R2131" s="28" t="n">
        <x:v>0</x:v>
      </x:c>
      <x:c r="S2131" s="28" t="str">
        <x:v>f0bc84f02371e76b</x:v>
      </x:c>
    </x:row>
    <x:row r="2132" ht="21" customHeight="1">
      <x:c r="A2132" s="60" t="n">
        <x:v>0.68</x:v>
      </x:c>
      <x:c r="B2132" s="28" t="str">
        <x:v>middle_high</x:v>
      </x:c>
      <x:c r="C2132" s="60" t="n">
        <x:v>0.15</x:v>
      </x:c>
      <x:c r="D2132" s="60" t="n">
        <x:v>0.15</x:v>
      </x:c>
      <x:c r="E2132" s="62" t="b">
        <x:v>1</x:v>
      </x:c>
      <x:c r="F2132" s="62" t="b">
        <x:v>1</x:v>
      </x:c>
      <x:c r="G2132" s="85" t="n">
        <x:v>0</x:v>
      </x:c>
      <x:c r="H2132" s="85" t="n">
        <x:v>0</x:v>
      </x:c>
      <x:c r="I2132" s="85" t="n">
        <x:v>570732.2377665542</x:v>
      </x:c>
      <x:c r="J2132" s="85" t="n">
        <x:v>0</x:v>
      </x:c>
      <x:c r="K2132" s="85" t="n">
        <x:v>663398.6618271584</x:v>
      </x:c>
      <x:c r="L2132" s="28" t="n">
        <x:v>0</x:v>
      </x:c>
      <x:c r="M2132" s="28" t="n">
        <x:v>0</x:v>
      </x:c>
      <x:c r="N2132" s="28" t="n">
        <x:v>9.313225746154785e-10</x:v>
      </x:c>
      <x:c r="O2132" s="28" t="n">
        <x:v>7.450580596923828e-9</x:v>
      </x:c>
      <x:c r="P2132" s="28" t="n">
        <x:v>0</x:v>
      </x:c>
      <x:c r="Q2132" s="62" t="b">
        <x:v>1</x:v>
      </x:c>
      <x:c r="R2132" s="28" t="n">
        <x:v>0</x:v>
      </x:c>
      <x:c r="S2132" s="28" t="str">
        <x:v>d4ed464d5b2d8ed4</x:v>
      </x:c>
    </x:row>
    <x:row r="2133" ht="21" customHeight="1">
      <x:c r="A2133" s="60" t="n">
        <x:v>0.68</x:v>
      </x:c>
      <x:c r="B2133" s="28" t="str">
        <x:v>middle_high</x:v>
      </x:c>
      <x:c r="C2133" s="60" t="n">
        <x:v>0.2</x:v>
      </x:c>
      <x:c r="D2133" s="60" t="n">
        <x:v>0.2</x:v>
      </x:c>
      <x:c r="E2133" s="62" t="b">
        <x:v>1</x:v>
      </x:c>
      <x:c r="F2133" s="62" t="b">
        <x:v>1</x:v>
      </x:c>
      <x:c r="G2133" s="85" t="n">
        <x:v>0</x:v>
      </x:c>
      <x:c r="H2133" s="85" t="n">
        <x:v>0</x:v>
      </x:c>
      <x:c r="I2133" s="85" t="n">
        <x:v>2443665.6393020786</x:v>
      </x:c>
      <x:c r="J2133" s="85" t="n">
        <x:v>1253157.2790408984</x:v>
      </x:c>
      <x:c r="K2133" s="85" t="n">
        <x:v>519022.8262561105</x:v>
      </x:c>
      <x:c r="L2133" s="28" t="n">
        <x:v>0</x:v>
      </x:c>
      <x:c r="M2133" s="28" t="n">
        <x:v>0</x:v>
      </x:c>
      <x:c r="N2133" s="28" t="n">
        <x:v>4.656612873077393e-10</x:v>
      </x:c>
      <x:c r="O2133" s="28" t="n">
        <x:v>7.450580596923828e-9</x:v>
      </x:c>
      <x:c r="P2133" s="28" t="n">
        <x:v>0</x:v>
      </x:c>
      <x:c r="Q2133" s="62" t="b">
        <x:v>1</x:v>
      </x:c>
      <x:c r="R2133" s="28" t="n">
        <x:v>0</x:v>
      </x:c>
      <x:c r="S2133" s="28" t="str">
        <x:v>859ff286299ce64f</x:v>
      </x:c>
    </x:row>
    <x:row r="2134" ht="21" customHeight="1">
      <x:c r="A2134" s="60" t="n">
        <x:v>0.68</x:v>
      </x:c>
      <x:c r="B2134" s="28" t="str">
        <x:v>middle_high</x:v>
      </x:c>
      <x:c r="C2134" s="60" t="n">
        <x:v>0.25</x:v>
      </x:c>
      <x:c r="D2134" s="60" t="n">
        <x:v>0.25</x:v>
      </x:c>
      <x:c r="E2134" s="62" t="b">
        <x:v>1</x:v>
      </x:c>
      <x:c r="F2134" s="62" t="b">
        <x:v>1</x:v>
      </x:c>
      <x:c r="G2134" s="85" t="n">
        <x:v>0</x:v>
      </x:c>
      <x:c r="H2134" s="85" t="n">
        <x:v>0</x:v>
      </x:c>
      <x:c r="I2134" s="85" t="n">
        <x:v>4082391.8898763373</x:v>
      </x:c>
      <x:c r="J2134" s="85" t="n">
        <x:v>2960046.598801143</x:v>
      </x:c>
      <x:c r="K2134" s="85" t="n">
        <x:v>428059.73191602767</x:v>
      </x:c>
      <x:c r="L2134" s="28" t="n">
        <x:v>0</x:v>
      </x:c>
      <x:c r="M2134" s="28" t="n">
        <x:v>0</x:v>
      </x:c>
      <x:c r="N2134" s="28" t="n">
        <x:v>4.656612873077393e-10</x:v>
      </x:c>
      <x:c r="O2134" s="28" t="n">
        <x:v>7.450580596923828e-9</x:v>
      </x:c>
      <x:c r="P2134" s="28" t="n">
        <x:v>0</x:v>
      </x:c>
      <x:c r="Q2134" s="62" t="b">
        <x:v>1</x:v>
      </x:c>
      <x:c r="R2134" s="28" t="n">
        <x:v>0</x:v>
      </x:c>
      <x:c r="S2134" s="28" t="str">
        <x:v>b52dbf03e360f9e6</x:v>
      </x:c>
    </x:row>
    <x:row r="2135" ht="21" customHeight="1">
      <x:c r="A2135" s="60" t="n">
        <x:v>0.68</x:v>
      </x:c>
      <x:c r="B2135" s="28" t="str">
        <x:v>middle_high</x:v>
      </x:c>
      <x:c r="C2135" s="60" t="n">
        <x:v>0.3</x:v>
      </x:c>
      <x:c r="D2135" s="60" t="n">
        <x:v>0.3</x:v>
      </x:c>
      <x:c r="E2135" s="62" t="b">
        <x:v>1</x:v>
      </x:c>
      <x:c r="F2135" s="62" t="b">
        <x:v>1</x:v>
      </x:c>
      <x:c r="G2135" s="85" t="n">
        <x:v>0</x:v>
      </x:c>
      <x:c r="H2135" s="85" t="n">
        <x:v>0</x:v>
      </x:c>
      <x:c r="I2135" s="85" t="n">
        <x:v>5757512.8860653</x:v>
      </x:c>
      <x:c r="J2135" s="85" t="n">
        <x:v>4666935.9185613645</x:v>
      </x:c>
      <x:c r="K2135" s="85" t="n">
        <x:v>347648.5974630693</x:v>
      </x:c>
      <x:c r="L2135" s="28" t="n">
        <x:v>0</x:v>
      </x:c>
      <x:c r="M2135" s="28" t="n">
        <x:v>0</x:v>
      </x:c>
      <x:c r="N2135" s="28" t="n">
        <x:v>9.313225746154785e-10</x:v>
      </x:c>
      <x:c r="O2135" s="28" t="n">
        <x:v>7.450580596923828e-9</x:v>
      </x:c>
      <x:c r="P2135" s="28" t="n">
        <x:v>0</x:v>
      </x:c>
      <x:c r="Q2135" s="62" t="b">
        <x:v>1</x:v>
      </x:c>
      <x:c r="R2135" s="28" t="n">
        <x:v>0</x:v>
      </x:c>
      <x:c r="S2135" s="28" t="str">
        <x:v>9237a35073279c7a</x:v>
      </x:c>
    </x:row>
    <x:row r="2136" ht="21" customHeight="1">
      <x:c r="A2136" s="60" t="n">
        <x:v>0.68</x:v>
      </x:c>
      <x:c r="B2136" s="28" t="str">
        <x:v>middle_high</x:v>
      </x:c>
      <x:c r="C2136" s="60" t="n">
        <x:v>0.35</x:v>
      </x:c>
      <x:c r="D2136" s="60" t="n">
        <x:v>0.35</x:v>
      </x:c>
      <x:c r="E2136" s="62" t="b">
        <x:v>1</x:v>
      </x:c>
      <x:c r="F2136" s="62" t="b">
        <x:v>1</x:v>
      </x:c>
      <x:c r="G2136" s="85" t="n">
        <x:v>0</x:v>
      </x:c>
      <x:c r="H2136" s="85" t="n">
        <x:v>0</x:v>
      </x:c>
      <x:c r="I2136" s="85" t="n">
        <x:v>7570276.501448462</x:v>
      </x:c>
      <x:c r="J2136" s="85" t="n">
        <x:v>5513047.30394129</x:v>
      </x:c>
      <x:c r="K2136" s="85" t="n">
        <x:v>295482.24734161736</x:v>
      </x:c>
      <x:c r="L2136" s="28" t="n">
        <x:v>4</x:v>
      </x:c>
      <x:c r="M2136" s="28" t="n">
        <x:v>0</x:v>
      </x:c>
      <x:c r="N2136" s="28" t="n">
        <x:v>9.313225746154785e-10</x:v>
      </x:c>
      <x:c r="O2136" s="28" t="n">
        <x:v>7.450580596923828e-9</x:v>
      </x:c>
      <x:c r="P2136" s="28" t="n">
        <x:v>0</x:v>
      </x:c>
      <x:c r="Q2136" s="62" t="b">
        <x:v>1</x:v>
      </x:c>
      <x:c r="R2136" s="28" t="n">
        <x:v>0</x:v>
      </x:c>
      <x:c r="S2136" s="28" t="str">
        <x:v>367a22929db3715a</x:v>
      </x:c>
    </x:row>
    <x:row r="2137" ht="21" customHeight="1">
      <x:c r="A2137" s="60" t="n">
        <x:v>0.68</x:v>
      </x:c>
      <x:c r="B2137" s="28" t="str">
        <x:v>middle_high</x:v>
      </x:c>
      <x:c r="C2137" s="60" t="n">
        <x:v>0.4</x:v>
      </x:c>
      <x:c r="D2137" s="60" t="n">
        <x:v>0.4</x:v>
      </x:c>
      <x:c r="E2137" s="62" t="b">
        <x:v>1</x:v>
      </x:c>
      <x:c r="F2137" s="62" t="b">
        <x:v>1</x:v>
      </x:c>
      <x:c r="G2137" s="85" t="n">
        <x:v>0</x:v>
      </x:c>
      <x:c r="H2137" s="85" t="n">
        <x:v>0</x:v>
      </x:c>
      <x:c r="I2137" s="85" t="n">
        <x:v>9390836.902840143</x:v>
      </x:c>
      <x:c r="J2137" s="85" t="n">
        <x:v>6340083.247340553</x:v>
      </x:c>
      <x:c r="K2137" s="85" t="n">
        <x:v>249971.92917808154</x:v>
      </x:c>
      <x:c r="L2137" s="28" t="n">
        <x:v>9</x:v>
      </x:c>
      <x:c r="M2137" s="28" t="n">
        <x:v>0</x:v>
      </x:c>
      <x:c r="N2137" s="28" t="n">
        <x:v>4.656612873077393e-10</x:v>
      </x:c>
      <x:c r="O2137" s="28" t="n">
        <x:v>3.725290298461914e-9</x:v>
      </x:c>
      <x:c r="P2137" s="28" t="n">
        <x:v>0</x:v>
      </x:c>
      <x:c r="Q2137" s="62" t="b">
        <x:v>1</x:v>
      </x:c>
      <x:c r="R2137" s="28" t="n">
        <x:v>0</x:v>
      </x:c>
      <x:c r="S2137" s="28" t="str">
        <x:v>c1f10b557c388a09</x:v>
      </x:c>
    </x:row>
    <x:row r="2138" ht="21" customHeight="1">
      <x:c r="A2138" s="60" t="n">
        <x:v>0.68</x:v>
      </x:c>
      <x:c r="B2138" s="28" t="str">
        <x:v>middle_high</x:v>
      </x:c>
      <x:c r="C2138" s="60" t="n">
        <x:v>0.45</x:v>
      </x:c>
      <x:c r="D2138" s="60" t="n">
        <x:v>0.45</x:v>
      </x:c>
      <x:c r="E2138" s="62" t="b">
        <x:v>1</x:v>
      </x:c>
      <x:c r="F2138" s="62" t="b">
        <x:v>1</x:v>
      </x:c>
      <x:c r="G2138" s="85" t="n">
        <x:v>0</x:v>
      </x:c>
      <x:c r="H2138" s="85" t="n">
        <x:v>0</x:v>
      </x:c>
      <x:c r="I2138" s="85" t="n">
        <x:v>11100994.2121654</x:v>
      </x:c>
      <x:c r="J2138" s="85" t="n">
        <x:v>7932050.036659749</x:v>
      </x:c>
      <x:c r="K2138" s="85" t="n">
        <x:v>225227.03479452158</x:v>
      </x:c>
      <x:c r="L2138" s="28" t="n">
        <x:v>12</x:v>
      </x:c>
      <x:c r="M2138" s="28" t="n">
        <x:v>0</x:v>
      </x:c>
      <x:c r="N2138" s="28" t="n">
        <x:v>9.313225746154785e-10</x:v>
      </x:c>
      <x:c r="O2138" s="28" t="n">
        <x:v>1.862645149230957e-9</x:v>
      </x:c>
      <x:c r="P2138" s="28" t="n">
        <x:v>0</x:v>
      </x:c>
      <x:c r="Q2138" s="62" t="b">
        <x:v>1</x:v>
      </x:c>
      <x:c r="R2138" s="28" t="n">
        <x:v>0</x:v>
      </x:c>
      <x:c r="S2138" s="28" t="str">
        <x:v>74952ed4ea24f525</x:v>
      </x:c>
    </x:row>
    <x:row r="2139" ht="21" customHeight="1">
      <x:c r="A2139" s="60" t="n">
        <x:v>0.68</x:v>
      </x:c>
      <x:c r="B2139" s="28" t="str">
        <x:v>middle_high</x:v>
      </x:c>
      <x:c r="C2139" s="60" t="n">
        <x:v>0.5</x:v>
      </x:c>
      <x:c r="D2139" s="60" t="n">
        <x:v>0.5</x:v>
      </x:c>
      <x:c r="E2139" s="62" t="b">
        <x:v>1</x:v>
      </x:c>
      <x:c r="F2139" s="62" t="b">
        <x:v>1</x:v>
      </x:c>
      <x:c r="G2139" s="85" t="n">
        <x:v>0</x:v>
      </x:c>
      <x:c r="H2139" s="85" t="n">
        <x:v>0</x:v>
      </x:c>
      <x:c r="I2139" s="85" t="n">
        <x:v>12808397.418364048</x:v>
      </x:c>
      <x:c r="J2139" s="85" t="n">
        <x:v>9570645.587958675</x:v>
      </x:c>
      <x:c r="K2139" s="85" t="n">
        <x:v>201270.7364383566</x:v>
      </x:c>
      <x:c r="L2139" s="28" t="n">
        <x:v>16</x:v>
      </x:c>
      <x:c r="M2139" s="28" t="n">
        <x:v>5</x:v>
      </x:c>
      <x:c r="N2139" s="28" t="n">
        <x:v>9.313225746154785e-10</x:v>
      </x:c>
      <x:c r="O2139" s="28" t="n">
        <x:v>7.450580596923828e-9</x:v>
      </x:c>
      <x:c r="P2139" s="28" t="n">
        <x:v>0</x:v>
      </x:c>
      <x:c r="Q2139" s="62" t="b">
        <x:v>1</x:v>
      </x:c>
      <x:c r="R2139" s="28" t="n">
        <x:v>0</x:v>
      </x:c>
      <x:c r="S2139" s="28" t="str">
        <x:v>672d92466ef0e359</x:v>
      </x:c>
    </x:row>
    <x:row r="2140" ht="21" customHeight="1">
      <x:c r="A2140" s="60" t="n">
        <x:v>0.68</x:v>
      </x:c>
      <x:c r="B2140" s="28" t="str">
        <x:v>middle_high</x:v>
      </x:c>
      <x:c r="C2140" s="60" t="n">
        <x:v>0.55</x:v>
      </x:c>
      <x:c r="D2140" s="60" t="n">
        <x:v>0.55</x:v>
      </x:c>
      <x:c r="E2140" s="62" t="b">
        <x:v>1</x:v>
      </x:c>
      <x:c r="F2140" s="62" t="b">
        <x:v>1</x:v>
      </x:c>
      <x:c r="G2140" s="85" t="n">
        <x:v>0</x:v>
      </x:c>
      <x:c r="H2140" s="85" t="n">
        <x:v>0</x:v>
      </x:c>
      <x:c r="I2140" s="85" t="n">
        <x:v>14447192.378814038</x:v>
      </x:c>
      <x:c r="J2140" s="85" t="n">
        <x:v>11459471.56969703</x:v>
      </x:c>
      <x:c r="K2140" s="85" t="n">
        <x:v>177314.4380821918</x:v>
      </x:c>
      <x:c r="L2140" s="28" t="n">
        <x:v>21</x:v>
      </x:c>
      <x:c r="M2140" s="28" t="n">
        <x:v>13</x:v>
      </x:c>
      <x:c r="N2140" s="28" t="n">
        <x:v>4.656612873077393e-10</x:v>
      </x:c>
      <x:c r="O2140" s="28" t="n">
        <x:v>7.450580596923828e-9</x:v>
      </x:c>
      <x:c r="P2140" s="28" t="n">
        <x:v>0</x:v>
      </x:c>
      <x:c r="Q2140" s="62" t="b">
        <x:v>1</x:v>
      </x:c>
      <x:c r="R2140" s="28" t="n">
        <x:v>0</x:v>
      </x:c>
      <x:c r="S2140" s="28" t="str">
        <x:v>0226d9f482eb15be</x:v>
      </x:c>
    </x:row>
    <x:row r="2141" ht="21" customHeight="1">
      <x:c r="A2141" s="60" t="n">
        <x:v>0.68</x:v>
      </x:c>
      <x:c r="B2141" s="28" t="str">
        <x:v>middle_high</x:v>
      </x:c>
      <x:c r="C2141" s="60" t="n">
        <x:v>0.6</x:v>
      </x:c>
      <x:c r="D2141" s="60" t="n">
        <x:v>0.6</x:v>
      </x:c>
      <x:c r="E2141" s="62" t="b">
        <x:v>1</x:v>
      </x:c>
      <x:c r="F2141" s="62" t="b">
        <x:v>0</x:v>
      </x:c>
      <x:c r="G2141" s="85" t="n">
        <x:v>624349.5614165379</x:v>
      </x:c>
      <x:c r="H2141" s="85" t="n">
        <x:v>2002429.6382996747</x:v>
      </x:c>
      <x:c r="I2141" s="85" t="n">
        <x:v>14903653.216646452</x:v>
      </x:c>
      <x:c r="J2141" s="85" t="n">
        <x:v>12263679.999999996</x:v>
      </x:c>
      <x:c r="K2141" s="85" t="n">
        <x:v>153358.13972602776</x:v>
      </x:c>
      <x:c r="L2141" s="28" t="n">
        <x:v>42</x:v>
      </x:c>
      <x:c r="M2141" s="28" t="n">
        <x:v>37</x:v>
      </x:c>
      <x:c r="N2141" s="28" t="n">
        <x:v>4.656612873077393e-10</x:v>
      </x:c>
      <x:c r="O2141" s="28" t="n">
        <x:v>3.725290298461914e-9</x:v>
      </x:c>
      <x:c r="P2141" s="28" t="n">
        <x:v>0</x:v>
      </x:c>
      <x:c r="Q2141" s="62" t="b">
        <x:v>1</x:v>
      </x:c>
      <x:c r="R2141" s="28" t="n">
        <x:v>0</x:v>
      </x:c>
      <x:c r="S2141" s="28" t="str">
        <x:v>bb7de712a827939f</x:v>
      </x:c>
    </x:row>
    <x:row r="2142" ht="21" customHeight="1">
      <x:c r="A2142" s="60" t="n">
        <x:v>0.68</x:v>
      </x:c>
      <x:c r="B2142" s="28" t="str">
        <x:v>middle_high</x:v>
      </x:c>
      <x:c r="C2142" s="60" t="n">
        <x:v>0.65</x:v>
      </x:c>
      <x:c r="D2142" s="60" t="n">
        <x:v>0.65</x:v>
      </x:c>
      <x:c r="E2142" s="62" t="b">
        <x:v>1</x:v>
      </x:c>
      <x:c r="F2142" s="62" t="b">
        <x:v>0</x:v>
      </x:c>
      <x:c r="G2142" s="85" t="n">
        <x:v>1425091.0073552318</x:v>
      </x:c>
      <x:c r="H2142" s="85" t="n">
        <x:v>4310587.1776421545</x:v>
      </x:c>
      <x:c r="I2142" s="85" t="n">
        <x:v>15217796.85521985</x:v>
      </x:c>
      <x:c r="J2142" s="85" t="n">
        <x:v>12263679.999999996</x:v>
      </x:c>
      <x:c r="K2142" s="85" t="n">
        <x:v>135696.51665753446</x:v>
      </x:c>
      <x:c r="L2142" s="28" t="n">
        <x:v>43</x:v>
      </x:c>
      <x:c r="M2142" s="28" t="n">
        <x:v>38</x:v>
      </x:c>
      <x:c r="N2142" s="28" t="n">
        <x:v>4.656612873077393e-10</x:v>
      </x:c>
      <x:c r="O2142" s="28" t="n">
        <x:v>1.862645149230957e-9</x:v>
      </x:c>
      <x:c r="P2142" s="28" t="n">
        <x:v>0</x:v>
      </x:c>
      <x:c r="Q2142" s="62" t="b">
        <x:v>1</x:v>
      </x:c>
      <x:c r="R2142" s="28" t="n">
        <x:v>0</x:v>
      </x:c>
      <x:c r="S2142" s="28" t="str">
        <x:v>13bbf67fe16c149d</x:v>
      </x:c>
    </x:row>
    <x:row r="2143" ht="21" customHeight="1">
      <x:c r="A2143" s="60" t="n">
        <x:v>0.68</x:v>
      </x:c>
      <x:c r="B2143" s="28" t="str">
        <x:v>middle_high</x:v>
      </x:c>
      <x:c r="C2143" s="60" t="n">
        <x:v>0.7</x:v>
      </x:c>
      <x:c r="D2143" s="60" t="n">
        <x:v>0.7</x:v>
      </x:c>
      <x:c r="E2143" s="62" t="b">
        <x:v>1</x:v>
      </x:c>
      <x:c r="F2143" s="62" t="b">
        <x:v>0</x:v>
      </x:c>
      <x:c r="G2143" s="85" t="n">
        <x:v>2325434.1419141963</x:v>
      </x:c>
      <x:c r="H2143" s="85" t="n">
        <x:v>7012228.493632013</x:v>
      </x:c>
      <x:c r="I2143" s="85" t="n">
        <x:v>15230710.038628755</x:v>
      </x:c>
      <x:c r="J2143" s="85" t="n">
        <x:v>12263679.999999996</x:v>
      </x:c>
      <x:c r="K2143" s="85" t="n">
        <x:v>121327.45512328699</x:v>
      </x:c>
      <x:c r="L2143" s="28" t="n">
        <x:v>43</x:v>
      </x:c>
      <x:c r="M2143" s="28" t="n">
        <x:v>38</x:v>
      </x:c>
      <x:c r="N2143" s="28" t="n">
        <x:v>4.656612873077393e-10</x:v>
      </x:c>
      <x:c r="O2143" s="28" t="n">
        <x:v>3.725290298461914e-9</x:v>
      </x:c>
      <x:c r="P2143" s="28" t="n">
        <x:v>0</x:v>
      </x:c>
      <x:c r="Q2143" s="62" t="b">
        <x:v>1</x:v>
      </x:c>
      <x:c r="R2143" s="28" t="n">
        <x:v>0</x:v>
      </x:c>
      <x:c r="S2143" s="28" t="str">
        <x:v>431663d2091b7698</x:v>
      </x:c>
    </x:row>
    <x:row r="2144" ht="21" customHeight="1">
      <x:c r="A2144" s="60" t="n">
        <x:v>0.68</x:v>
      </x:c>
      <x:c r="B2144" s="28" t="str">
        <x:v>middle_high</x:v>
      </x:c>
      <x:c r="C2144" s="60" t="n">
        <x:v>0.75</x:v>
      </x:c>
      <x:c r="D2144" s="60" t="n">
        <x:v>0.75</x:v>
      </x:c>
      <x:c r="E2144" s="62" t="b">
        <x:v>1</x:v>
      </x:c>
      <x:c r="F2144" s="62" t="b">
        <x:v>0</x:v>
      </x:c>
      <x:c r="G2144" s="85" t="n">
        <x:v>3236722.6334581324</x:v>
      </x:c>
      <x:c r="H2144" s="85" t="n">
        <x:v>9099890.839699239</x:v>
      </x:c>
      <x:c r="I2144" s="85" t="n">
        <x:v>15531437.055999985</x:v>
      </x:c>
      <x:c r="J2144" s="85" t="n">
        <x:v>12263679.999999996</x:v>
      </x:c>
      <x:c r="K2144" s="85" t="n">
        <x:v>110152.07402739761</x:v>
      </x:c>
      <x:c r="L2144" s="28" t="n">
        <x:v>44</x:v>
      </x:c>
      <x:c r="M2144" s="28" t="n">
        <x:v>40</x:v>
      </x:c>
      <x:c r="N2144" s="28" t="n">
        <x:v>4.656612873077393e-10</x:v>
      </x:c>
      <x:c r="O2144" s="28" t="n">
        <x:v>3.725290298461914e-9</x:v>
      </x:c>
      <x:c r="P2144" s="28" t="n">
        <x:v>0</x:v>
      </x:c>
      <x:c r="Q2144" s="62" t="b">
        <x:v>1</x:v>
      </x:c>
      <x:c r="R2144" s="28" t="n">
        <x:v>0</x:v>
      </x:c>
      <x:c r="S2144" s="28" t="str">
        <x:v>6b7044efb51c262c</x:v>
      </x:c>
    </x:row>
    <x:row r="2145" ht="21" customHeight="1">
      <x:c r="A2145" s="60" t="n">
        <x:v>0.68</x:v>
      </x:c>
      <x:c r="B2145" s="28" t="str">
        <x:v>middle_high</x:v>
      </x:c>
      <x:c r="C2145" s="60" t="n">
        <x:v>0.8</x:v>
      </x:c>
      <x:c r="D2145" s="60" t="n">
        <x:v>0.8</x:v>
      </x:c>
      <x:c r="E2145" s="62" t="b">
        <x:v>1</x:v>
      </x:c>
      <x:c r="F2145" s="62" t="b">
        <x:v>0</x:v>
      </x:c>
      <x:c r="G2145" s="85" t="n">
        <x:v>4252591.787544033</x:v>
      </x:c>
      <x:c r="H2145" s="85" t="n">
        <x:v>11576949.855049806</x:v>
      </x:c>
      <x:c r="I2145" s="85" t="n">
        <x:v>15541150.747704096</x:v>
      </x:c>
      <x:c r="J2145" s="85" t="n">
        <x:v>12263679.999999996</x:v>
      </x:c>
      <x:c r="K2145" s="85" t="n">
        <x:v>102921.86465753417</x:v>
      </x:c>
      <x:c r="L2145" s="28" t="n">
        <x:v>44</x:v>
      </x:c>
      <x:c r="M2145" s="28" t="n">
        <x:v>40</x:v>
      </x:c>
      <x:c r="N2145" s="28" t="n">
        <x:v>4.656612873077393e-10</x:v>
      </x:c>
      <x:c r="O2145" s="28" t="n">
        <x:v>1.862645149230957e-9</x:v>
      </x:c>
      <x:c r="P2145" s="28" t="n">
        <x:v>0</x:v>
      </x:c>
      <x:c r="Q2145" s="62" t="b">
        <x:v>1</x:v>
      </x:c>
      <x:c r="R2145" s="28" t="n">
        <x:v>0</x:v>
      </x:c>
      <x:c r="S2145" s="28" t="str">
        <x:v>1a49379152f8d2d1</x:v>
      </x:c>
    </x:row>
    <x:row r="2146" ht="21" customHeight="1">
      <x:c r="A2146" s="60" t="n">
        <x:v>0.68</x:v>
      </x:c>
      <x:c r="B2146" s="28" t="str">
        <x:v>middle_high</x:v>
      </x:c>
      <x:c r="C2146" s="60" t="n">
        <x:v>0.85</x:v>
      </x:c>
      <x:c r="D2146" s="60" t="n">
        <x:v>0.85</x:v>
      </x:c>
      <x:c r="E2146" s="62" t="b">
        <x:v>1</x:v>
      </x:c>
      <x:c r="F2146" s="62" t="b">
        <x:v>0</x:v>
      </x:c>
      <x:c r="G2146" s="85" t="n">
        <x:v>5318314.548874809</x:v>
      </x:c>
      <x:c r="H2146" s="85" t="n">
        <x:v>14052869.312725265</x:v>
      </x:c>
      <x:c r="I2146" s="85" t="n">
        <x:v>15550864.439408205</x:v>
      </x:c>
      <x:c r="J2146" s="85" t="n">
        <x:v>12263679.999999996</x:v>
      </x:c>
      <x:c r="K2146" s="85" t="n">
        <x:v>95691.6552876712</x:v>
      </x:c>
      <x:c r="L2146" s="28" t="n">
        <x:v>44</x:v>
      </x:c>
      <x:c r="M2146" s="28" t="n">
        <x:v>40</x:v>
      </x:c>
      <x:c r="N2146" s="28" t="n">
        <x:v>4.656612873077393e-10</x:v>
      </x:c>
      <x:c r="O2146" s="28" t="n">
        <x:v>3.725290298461914e-9</x:v>
      </x:c>
      <x:c r="P2146" s="28" t="n">
        <x:v>0</x:v>
      </x:c>
      <x:c r="Q2146" s="62" t="b">
        <x:v>1</x:v>
      </x:c>
      <x:c r="R2146" s="28" t="n">
        <x:v>0</x:v>
      </x:c>
      <x:c r="S2146" s="28" t="str">
        <x:v>6e44e49ab2d95592</x:v>
      </x:c>
    </x:row>
    <x:row r="2147" ht="21" customHeight="1">
      <x:c r="A2147" s="60" t="n">
        <x:v>0.68</x:v>
      </x:c>
      <x:c r="B2147" s="28" t="str">
        <x:v>middle_high</x:v>
      </x:c>
      <x:c r="C2147" s="60" t="n">
        <x:v>0.9</x:v>
      </x:c>
      <x:c r="D2147" s="60" t="n">
        <x:v>0.9</x:v>
      </x:c>
      <x:c r="E2147" s="62" t="b">
        <x:v>1</x:v>
      </x:c>
      <x:c r="F2147" s="62" t="b">
        <x:v>0</x:v>
      </x:c>
      <x:c r="G2147" s="85" t="n">
        <x:v>6864783.138033033</x:v>
      </x:c>
      <x:c r="H2147" s="85" t="n">
        <x:v>15645437.404730015</x:v>
      </x:c>
      <x:c r="I2147" s="85" t="n">
        <x:v>15565630.012931492</x:v>
      </x:c>
      <x:c r="J2147" s="85" t="n">
        <x:v>12263679.999999996</x:v>
      </x:c>
      <x:c r="K2147" s="85" t="n">
        <x:v>88461.44591780847</x:v>
      </x:c>
      <x:c r="L2147" s="28" t="n">
        <x:v>44</x:v>
      </x:c>
      <x:c r="M2147" s="28" t="n">
        <x:v>41</x:v>
      </x:c>
      <x:c r="N2147" s="28" t="n">
        <x:v>4.656612873077393e-10</x:v>
      </x:c>
      <x:c r="O2147" s="28" t="n">
        <x:v>3.725290298461914e-9</x:v>
      </x:c>
      <x:c r="P2147" s="28" t="n">
        <x:v>0</x:v>
      </x:c>
      <x:c r="Q2147" s="62" t="b">
        <x:v>1</x:v>
      </x:c>
      <x:c r="R2147" s="28" t="n">
        <x:v>0</x:v>
      </x:c>
      <x:c r="S2147" s="28" t="str">
        <x:v>ec6f1b24962ee11a</x:v>
      </x:c>
    </x:row>
    <x:row r="2148" ht="21" customHeight="1">
      <x:c r="A2148" s="60" t="n">
        <x:v>0.68</x:v>
      </x:c>
      <x:c r="B2148" s="28" t="str">
        <x:v>middle_high</x:v>
      </x:c>
      <x:c r="C2148" s="60" t="n">
        <x:v>0.95</x:v>
      </x:c>
      <x:c r="D2148" s="60" t="n">
        <x:v>0.9270639118581285</x:v>
      </x:c>
      <x:c r="E2148" s="62" t="b">
        <x:v>0</x:v>
      </x:c>
      <x:c r="F2148" s="62" t="b">
        <x:v>0</x:v>
      </x:c>
      <x:c r="G2148" s="85" t="n">
        <x:v>7359397.591780937</x:v>
      </x:c>
      <x:c r="H2148" s="85" t="n">
        <x:v>16286919.080657575</x:v>
      </x:c>
      <x:c r="I2148" s="85" t="n">
        <x:v>15892900.65915615</x:v>
      </x:c>
      <x:c r="J2148" s="85" t="n">
        <x:v>12263679.999999996</x:v>
      </x:c>
      <x:c r="K2148" s="85" t="n">
        <x:v>81231.23654794526</x:v>
      </x:c>
      <x:c r="L2148" s="28" t="n">
        <x:v>45</x:v>
      </x:c>
      <x:c r="M2148" s="28" t="n">
        <x:v>41</x:v>
      </x:c>
      <x:c r="N2148" s="28" t="n">
        <x:v>4.656612873077393e-10</x:v>
      </x:c>
      <x:c r="O2148" s="28" t="n">
        <x:v>3.725290298461914e-9</x:v>
      </x:c>
      <x:c r="P2148" s="28" t="n">
        <x:v>0</x:v>
      </x:c>
      <x:c r="Q2148" s="62" t="b">
        <x:v>1</x:v>
      </x:c>
      <x:c r="R2148" s="28" t="n">
        <x:v>1278549.2973804846</x:v>
      </x:c>
      <x:c r="S2148" s="28" t="str">
        <x:v>2f2ac6ece91307e0</x:v>
      </x:c>
    </x:row>
    <x:row r="2149" ht="21" customHeight="1">
      <x:c r="A2149" s="60" t="n">
        <x:v>0.68</x:v>
      </x:c>
      <x:c r="B2149" s="28" t="str">
        <x:v>middle_high</x:v>
      </x:c>
      <x:c r="C2149" s="60" t="n">
        <x:v>1</x:v>
      </x:c>
      <x:c r="D2149" s="60" t="n">
        <x:v>0.9427455891708479</x:v>
      </x:c>
      <x:c r="E2149" s="62" t="b">
        <x:v>0</x:v>
      </x:c>
      <x:c r="F2149" s="62" t="b">
        <x:v>0</x:v>
      </x:c>
      <x:c r="G2149" s="85" t="n">
        <x:v>8022313.879741948</x:v>
      </x:c>
      <x:c r="H2149" s="85" t="n">
        <x:v>17015997.675197516</x:v>
      </x:c>
      <x:c r="I2149" s="85" t="n">
        <x:v>15900123.814575328</x:v>
      </x:c>
      <x:c r="J2149" s="85" t="n">
        <x:v>12263679.999999996</x:v>
      </x:c>
      <x:c r="K2149" s="85" t="n">
        <x:v>74001.02717808298</x:v>
      </x:c>
      <x:c r="L2149" s="28" t="n">
        <x:v>45</x:v>
      </x:c>
      <x:c r="M2149" s="28" t="n">
        <x:v>42</x:v>
      </x:c>
      <x:c r="N2149" s="28" t="n">
        <x:v>2.3283064365386963e-10</x:v>
      </x:c>
      <x:c r="O2149" s="28" t="n">
        <x:v>9.313225746154785e-10</x:v>
      </x:c>
      <x:c r="P2149" s="28" t="n">
        <x:v>0</x:v>
      </x:c>
      <x:c r="Q2149" s="62" t="b">
        <x:v>1</x:v>
      </x:c>
      <x:c r="R2149" s="28" t="n">
        <x:v>3191589.877260253</x:v>
      </x:c>
      <x:c r="S2149" s="28" t="str">
        <x:v>cc3e658949a1017a</x:v>
      </x:c>
    </x:row>
    <x:row r="2150" ht="21" customHeight="1">
      <x:c r="A2150" s="60" t="n">
        <x:v>0.68</x:v>
      </x:c>
      <x:c r="B2150" s="28" t="str">
        <x:v>back_flat</x:v>
      </x:c>
      <x:c r="C2150" s="60" t="n">
        <x:v>0</x:v>
      </x:c>
      <x:c r="D2150" s="60" t="n">
        <x:v>0</x:v>
      </x:c>
      <x:c r="E2150" s="62" t="b">
        <x:v>1</x:v>
      </x:c>
      <x:c r="F2150" s="62" t="b">
        <x:v>1</x:v>
      </x:c>
      <x:c r="G2150" s="85" t="n">
        <x:v>0</x:v>
      </x:c>
      <x:c r="H2150" s="85" t="n">
        <x:v>0</x:v>
      </x:c>
      <x:c r="I2150" s="85" t="n">
        <x:v>0</x:v>
      </x:c>
      <x:c r="J2150" s="85" t="n">
        <x:v>0</x:v>
      </x:c>
      <x:c r="K2150" s="85" t="n">
        <x:v>6626205.893260283</x:v>
      </x:c>
      <x:c r="L2150" s="28" t="n">
        <x:v>0</x:v>
      </x:c>
      <x:c r="M2150" s="28" t="n">
        <x:v>0</x:v>
      </x:c>
      <x:c r="N2150" s="28" t="n">
        <x:v>2.3283064365386963e-10</x:v>
      </x:c>
      <x:c r="O2150" s="28" t="n">
        <x:v>0</x:v>
      </x:c>
      <x:c r="P2150" s="28" t="n">
        <x:v>0</x:v>
      </x:c>
      <x:c r="Q2150" s="62" t="b">
        <x:v>1</x:v>
      </x:c>
      <x:c r="R2150" s="28" t="n">
        <x:v>0</x:v>
      </x:c>
      <x:c r="S2150" s="28" t="str">
        <x:v>678f1944664a5c3d</x:v>
      </x:c>
    </x:row>
    <x:row r="2151" ht="21" customHeight="1">
      <x:c r="A2151" s="60" t="n">
        <x:v>0.68</x:v>
      </x:c>
      <x:c r="B2151" s="28" t="str">
        <x:v>back_flat</x:v>
      </x:c>
      <x:c r="C2151" s="60" t="n">
        <x:v>0.05</x:v>
      </x:c>
      <x:c r="D2151" s="60" t="n">
        <x:v>0.05</x:v>
      </x:c>
      <x:c r="E2151" s="62" t="b">
        <x:v>1</x:v>
      </x:c>
      <x:c r="F2151" s="62" t="b">
        <x:v>1</x:v>
      </x:c>
      <x:c r="G2151" s="85" t="n">
        <x:v>0</x:v>
      </x:c>
      <x:c r="H2151" s="85" t="n">
        <x:v>0</x:v>
      </x:c>
      <x:c r="I2151" s="85" t="n">
        <x:v>0</x:v>
      </x:c>
      <x:c r="J2151" s="85" t="n">
        <x:v>0</x:v>
      </x:c>
      <x:c r="K2151" s="85" t="n">
        <x:v>4433888.644525984</x:v>
      </x:c>
      <x:c r="L2151" s="28" t="n">
        <x:v>0</x:v>
      </x:c>
      <x:c r="M2151" s="28" t="n">
        <x:v>0</x:v>
      </x:c>
      <x:c r="N2151" s="28" t="n">
        <x:v>4.656612873077393e-10</x:v>
      </x:c>
      <x:c r="O2151" s="28" t="n">
        <x:v>7.450580596923828e-9</x:v>
      </x:c>
      <x:c r="P2151" s="28" t="n">
        <x:v>0</x:v>
      </x:c>
      <x:c r="Q2151" s="62" t="b">
        <x:v>1</x:v>
      </x:c>
      <x:c r="R2151" s="28" t="n">
        <x:v>0</x:v>
      </x:c>
      <x:c r="S2151" s="28" t="str">
        <x:v>038738e3cc13a39b</x:v>
      </x:c>
    </x:row>
    <x:row r="2152" ht="21" customHeight="1">
      <x:c r="A2152" s="60" t="n">
        <x:v>0.68</x:v>
      </x:c>
      <x:c r="B2152" s="28" t="str">
        <x:v>back_flat</x:v>
      </x:c>
      <x:c r="C2152" s="60" t="n">
        <x:v>0.1</x:v>
      </x:c>
      <x:c r="D2152" s="60" t="n">
        <x:v>0.1</x:v>
      </x:c>
      <x:c r="E2152" s="62" t="b">
        <x:v>1</x:v>
      </x:c>
      <x:c r="F2152" s="62" t="b">
        <x:v>1</x:v>
      </x:c>
      <x:c r="G2152" s="85" t="n">
        <x:v>0</x:v>
      </x:c>
      <x:c r="H2152" s="85" t="n">
        <x:v>0</x:v>
      </x:c>
      <x:c r="I2152" s="85" t="n">
        <x:v>0</x:v>
      </x:c>
      <x:c r="J2152" s="85" t="n">
        <x:v>0</x:v>
      </x:c>
      <x:c r="K2152" s="85" t="n">
        <x:v>2241571.395791707</x:v>
      </x:c>
      <x:c r="L2152" s="28" t="n">
        <x:v>0</x:v>
      </x:c>
      <x:c r="M2152" s="28" t="n">
        <x:v>0</x:v>
      </x:c>
      <x:c r="N2152" s="28" t="n">
        <x:v>9.313225746154785e-10</x:v>
      </x:c>
      <x:c r="O2152" s="28" t="n">
        <x:v>7.450580596923828e-9</x:v>
      </x:c>
      <x:c r="P2152" s="28" t="n">
        <x:v>0</x:v>
      </x:c>
      <x:c r="Q2152" s="62" t="b">
        <x:v>1</x:v>
      </x:c>
      <x:c r="R2152" s="28" t="n">
        <x:v>0</x:v>
      </x:c>
      <x:c r="S2152" s="28" t="str">
        <x:v>16314331ef694c6c</x:v>
      </x:c>
    </x:row>
    <x:row r="2153" ht="21" customHeight="1">
      <x:c r="A2153" s="60" t="n">
        <x:v>0.68</x:v>
      </x:c>
      <x:c r="B2153" s="28" t="str">
        <x:v>back_flat</x:v>
      </x:c>
      <x:c r="C2153" s="60" t="n">
        <x:v>0.15</x:v>
      </x:c>
      <x:c r="D2153" s="60" t="n">
        <x:v>0.15</x:v>
      </x:c>
      <x:c r="E2153" s="62" t="b">
        <x:v>1</x:v>
      </x:c>
      <x:c r="F2153" s="62" t="b">
        <x:v>1</x:v>
      </x:c>
      <x:c r="G2153" s="85" t="n">
        <x:v>0</x:v>
      </x:c>
      <x:c r="H2153" s="85" t="n">
        <x:v>0</x:v>
      </x:c>
      <x:c r="I2153" s="85" t="n">
        <x:v>415627.83563691477</x:v>
      </x:c>
      <x:c r="J2153" s="85" t="n">
        <x:v>0</x:v>
      </x:c>
      <x:c r="K2153" s="85" t="n">
        <x:v>528483.1016309765</x:v>
      </x:c>
      <x:c r="L2153" s="28" t="n">
        <x:v>0</x:v>
      </x:c>
      <x:c r="M2153" s="28" t="n">
        <x:v>0</x:v>
      </x:c>
      <x:c r="N2153" s="28" t="n">
        <x:v>9.313225746154785e-10</x:v>
      </x:c>
      <x:c r="O2153" s="28" t="n">
        <x:v>7.450580596923828e-9</x:v>
      </x:c>
      <x:c r="P2153" s="28" t="n">
        <x:v>0</x:v>
      </x:c>
      <x:c r="Q2153" s="62" t="b">
        <x:v>1</x:v>
      </x:c>
      <x:c r="R2153" s="28" t="n">
        <x:v>0</x:v>
      </x:c>
      <x:c r="S2153" s="28" t="str">
        <x:v>b5e73203c06fbe87</x:v>
      </x:c>
    </x:row>
    <x:row r="2154" ht="21" customHeight="1">
      <x:c r="A2154" s="60" t="n">
        <x:v>0.68</x:v>
      </x:c>
      <x:c r="B2154" s="28" t="str">
        <x:v>back_flat</x:v>
      </x:c>
      <x:c r="C2154" s="60" t="n">
        <x:v>0.2</x:v>
      </x:c>
      <x:c r="D2154" s="60" t="n">
        <x:v>0.2</x:v>
      </x:c>
      <x:c r="E2154" s="62" t="b">
        <x:v>1</x:v>
      </x:c>
      <x:c r="F2154" s="62" t="b">
        <x:v>1</x:v>
      </x:c>
      <x:c r="G2154" s="85" t="n">
        <x:v>0</x:v>
      </x:c>
      <x:c r="H2154" s="85" t="n">
        <x:v>0</x:v>
      </x:c>
      <x:c r="I2154" s="85" t="n">
        <x:v>1831434.7254438577</x:v>
      </x:c>
      <x:c r="J2154" s="85" t="n">
        <x:v>1245718.9057329323</x:v>
      </x:c>
      <x:c r="K2154" s="85" t="n">
        <x:v>431322.70190094324</x:v>
      </x:c>
      <x:c r="L2154" s="28" t="n">
        <x:v>0</x:v>
      </x:c>
      <x:c r="M2154" s="28" t="n">
        <x:v>0</x:v>
      </x:c>
      <x:c r="N2154" s="28" t="n">
        <x:v>2.3283064365386963e-10</x:v>
      </x:c>
      <x:c r="O2154" s="28" t="n">
        <x:v>7.450580596923828e-9</x:v>
      </x:c>
      <x:c r="P2154" s="28" t="n">
        <x:v>0</x:v>
      </x:c>
      <x:c r="Q2154" s="62" t="b">
        <x:v>1</x:v>
      </x:c>
      <x:c r="R2154" s="28" t="n">
        <x:v>0</x:v>
      </x:c>
      <x:c r="S2154" s="28" t="str">
        <x:v>7486f803f01bd14b</x:v>
      </x:c>
    </x:row>
    <x:row r="2155" ht="21" customHeight="1">
      <x:c r="A2155" s="60" t="n">
        <x:v>0.68</x:v>
      </x:c>
      <x:c r="B2155" s="28" t="str">
        <x:v>back_flat</x:v>
      </x:c>
      <x:c r="C2155" s="60" t="n">
        <x:v>0.25</x:v>
      </x:c>
      <x:c r="D2155" s="60" t="n">
        <x:v>0.25</x:v>
      </x:c>
      <x:c r="E2155" s="62" t="b">
        <x:v>1</x:v>
      </x:c>
      <x:c r="F2155" s="62" t="b">
        <x:v>1</x:v>
      </x:c>
      <x:c r="G2155" s="85" t="n">
        <x:v>0</x:v>
      </x:c>
      <x:c r="H2155" s="85" t="n">
        <x:v>0</x:v>
      </x:c>
      <x:c r="I2155" s="85" t="n">
        <x:v>2931171.415755824</x:v>
      </x:c>
      <x:c r="J2155" s="85" t="n">
        <x:v>2950748.6321661975</x:v>
      </x:c>
      <x:c r="K2155" s="85" t="n">
        <x:v>360806.89748576627</x:v>
      </x:c>
      <x:c r="L2155" s="28" t="n">
        <x:v>0</x:v>
      </x:c>
      <x:c r="M2155" s="28" t="n">
        <x:v>0</x:v>
      </x:c>
      <x:c r="N2155" s="28" t="n">
        <x:v>9.313225746154785e-10</x:v>
      </x:c>
      <x:c r="O2155" s="28" t="n">
        <x:v>7.450580596923828e-9</x:v>
      </x:c>
      <x:c r="P2155" s="28" t="n">
        <x:v>0</x:v>
      </x:c>
      <x:c r="Q2155" s="62" t="b">
        <x:v>1</x:v>
      </x:c>
      <x:c r="R2155" s="28" t="n">
        <x:v>0</x:v>
      </x:c>
      <x:c r="S2155" s="28" t="str">
        <x:v>b4558552bfa5f681</x:v>
      </x:c>
    </x:row>
    <x:row r="2156" ht="21" customHeight="1">
      <x:c r="A2156" s="60" t="n">
        <x:v>0.68</x:v>
      </x:c>
      <x:c r="B2156" s="28" t="str">
        <x:v>back_flat</x:v>
      </x:c>
      <x:c r="C2156" s="60" t="n">
        <x:v>0.3</x:v>
      </x:c>
      <x:c r="D2156" s="60" t="n">
        <x:v>0.3</x:v>
      </x:c>
      <x:c r="E2156" s="62" t="b">
        <x:v>1</x:v>
      </x:c>
      <x:c r="F2156" s="62" t="b">
        <x:v>1</x:v>
      </x:c>
      <x:c r="G2156" s="85" t="n">
        <x:v>0</x:v>
      </x:c>
      <x:c r="H2156" s="85" t="n">
        <x:v>0</x:v>
      </x:c>
      <x:c r="I2156" s="85" t="n">
        <x:v>4062974.881328899</x:v>
      </x:c>
      <x:c r="J2156" s="85" t="n">
        <x:v>4655778.3585994225</x:v>
      </x:c>
      <x:c r="K2156" s="85" t="n">
        <x:v>314039.2511732616</x:v>
      </x:c>
      <x:c r="L2156" s="28" t="n">
        <x:v>0</x:v>
      </x:c>
      <x:c r="M2156" s="28" t="n">
        <x:v>0</x:v>
      </x:c>
      <x:c r="N2156" s="28" t="n">
        <x:v>4.656612873077393e-10</x:v>
      </x:c>
      <x:c r="O2156" s="28" t="n">
        <x:v>7.450580596923828e-9</x:v>
      </x:c>
      <x:c r="P2156" s="28" t="n">
        <x:v>0</x:v>
      </x:c>
      <x:c r="Q2156" s="62" t="b">
        <x:v>1</x:v>
      </x:c>
      <x:c r="R2156" s="28" t="n">
        <x:v>0</x:v>
      </x:c>
      <x:c r="S2156" s="28" t="str">
        <x:v>f6ce4928520a5129</x:v>
      </x:c>
    </x:row>
    <x:row r="2157" ht="21" customHeight="1">
      <x:c r="A2157" s="60" t="n">
        <x:v>0.68</x:v>
      </x:c>
      <x:c r="B2157" s="28" t="str">
        <x:v>back_flat</x:v>
      </x:c>
      <x:c r="C2157" s="60" t="n">
        <x:v>0.35</x:v>
      </x:c>
      <x:c r="D2157" s="60" t="n">
        <x:v>0.35</x:v>
      </x:c>
      <x:c r="E2157" s="62" t="b">
        <x:v>1</x:v>
      </x:c>
      <x:c r="F2157" s="62" t="b">
        <x:v>1</x:v>
      </x:c>
      <x:c r="G2157" s="85" t="n">
        <x:v>0</x:v>
      </x:c>
      <x:c r="H2157" s="85" t="n">
        <x:v>0</x:v>
      </x:c>
      <x:c r="I2157" s="85" t="n">
        <x:v>5294335.669628729</x:v>
      </x:c>
      <x:c r="J2157" s="85" t="n">
        <x:v>6162040.915153562</x:v>
      </x:c>
      <x:c r="K2157" s="85" t="n">
        <x:v>268744.9906062477</x:v>
      </x:c>
      <x:c r="L2157" s="28" t="n">
        <x:v>2</x:v>
      </x:c>
      <x:c r="M2157" s="28" t="n">
        <x:v>0</x:v>
      </x:c>
      <x:c r="N2157" s="28" t="n">
        <x:v>2.3283064365386963e-10</x:v>
      </x:c>
      <x:c r="O2157" s="28" t="n">
        <x:v>3.725290298461914e-9</x:v>
      </x:c>
      <x:c r="P2157" s="28" t="n">
        <x:v>0</x:v>
      </x:c>
      <x:c r="Q2157" s="62" t="b">
        <x:v>1</x:v>
      </x:c>
      <x:c r="R2157" s="28" t="n">
        <x:v>0</x:v>
      </x:c>
      <x:c r="S2157" s="28" t="str">
        <x:v>1cd33419ec950b03</x:v>
      </x:c>
    </x:row>
    <x:row r="2158" ht="21" customHeight="1">
      <x:c r="A2158" s="60" t="n">
        <x:v>0.68</x:v>
      </x:c>
      <x:c r="B2158" s="28" t="str">
        <x:v>back_flat</x:v>
      </x:c>
      <x:c r="C2158" s="60" t="n">
        <x:v>0.4</x:v>
      </x:c>
      <x:c r="D2158" s="60" t="n">
        <x:v>0.4</x:v>
      </x:c>
      <x:c r="E2158" s="62" t="b">
        <x:v>1</x:v>
      </x:c>
      <x:c r="F2158" s="62" t="b">
        <x:v>1</x:v>
      </x:c>
      <x:c r="G2158" s="85" t="n">
        <x:v>0</x:v>
      </x:c>
      <x:c r="H2158" s="85" t="n">
        <x:v>0</x:v>
      </x:c>
      <x:c r="I2158" s="85" t="n">
        <x:v>6713943.629681792</x:v>
      </x:c>
      <x:c r="J2158" s="85" t="n">
        <x:v>7225234.355093206</x:v>
      </x:c>
      <x:c r="K2158" s="85" t="n">
        <x:v>232321.7376359462</x:v>
      </x:c>
      <x:c r="L2158" s="28" t="n">
        <x:v>7</x:v>
      </x:c>
      <x:c r="M2158" s="28" t="n">
        <x:v>0</x:v>
      </x:c>
      <x:c r="N2158" s="28" t="n">
        <x:v>9.313225746154785e-10</x:v>
      </x:c>
      <x:c r="O2158" s="28" t="n">
        <x:v>7.450580596923828e-9</x:v>
      </x:c>
      <x:c r="P2158" s="28" t="n">
        <x:v>0</x:v>
      </x:c>
      <x:c r="Q2158" s="62" t="b">
        <x:v>1</x:v>
      </x:c>
      <x:c r="R2158" s="28" t="n">
        <x:v>0</x:v>
      </x:c>
      <x:c r="S2158" s="28" t="str">
        <x:v>480b6e0bc8451b0c</x:v>
      </x:c>
    </x:row>
    <x:row r="2159" ht="21" customHeight="1">
      <x:c r="A2159" s="60" t="n">
        <x:v>0.68</x:v>
      </x:c>
      <x:c r="B2159" s="28" t="str">
        <x:v>back_flat</x:v>
      </x:c>
      <x:c r="C2159" s="60" t="n">
        <x:v>0.45</x:v>
      </x:c>
      <x:c r="D2159" s="60" t="n">
        <x:v>0.45</x:v>
      </x:c>
      <x:c r="E2159" s="62" t="b">
        <x:v>1</x:v>
      </x:c>
      <x:c r="F2159" s="62" t="b">
        <x:v>1</x:v>
      </x:c>
      <x:c r="G2159" s="85" t="n">
        <x:v>0</x:v>
      </x:c>
      <x:c r="H2159" s="85" t="n">
        <x:v>0</x:v>
      </x:c>
      <x:c r="I2159" s="85" t="n">
        <x:v>8065367.77029784</x:v>
      </x:c>
      <x:c r="J2159" s="85" t="n">
        <x:v>8393216.209606197</x:v>
      </x:c>
      <x:c r="K2159" s="85" t="n">
        <x:v>206567.96825139766</x:v>
      </x:c>
      <x:c r="L2159" s="28" t="n">
        <x:v>12</x:v>
      </x:c>
      <x:c r="M2159" s="28" t="n">
        <x:v>0</x:v>
      </x:c>
      <x:c r="N2159" s="28" t="n">
        <x:v>4.656612873077393e-10</x:v>
      </x:c>
      <x:c r="O2159" s="28" t="n">
        <x:v>7.450580596923828e-9</x:v>
      </x:c>
      <x:c r="P2159" s="28" t="n">
        <x:v>0</x:v>
      </x:c>
      <x:c r="Q2159" s="62" t="b">
        <x:v>1</x:v>
      </x:c>
      <x:c r="R2159" s="28" t="n">
        <x:v>0</x:v>
      </x:c>
      <x:c r="S2159" s="28" t="str">
        <x:v>64664459c90570fa</x:v>
      </x:c>
    </x:row>
    <x:row r="2160" ht="21" customHeight="1">
      <x:c r="A2160" s="60" t="n">
        <x:v>0.68</x:v>
      </x:c>
      <x:c r="B2160" s="28" t="str">
        <x:v>back_flat</x:v>
      </x:c>
      <x:c r="C2160" s="60" t="n">
        <x:v>0.5</x:v>
      </x:c>
      <x:c r="D2160" s="60" t="n">
        <x:v>0.5</x:v>
      </x:c>
      <x:c r="E2160" s="62" t="b">
        <x:v>1</x:v>
      </x:c>
      <x:c r="F2160" s="62" t="b">
        <x:v>1</x:v>
      </x:c>
      <x:c r="G2160" s="85" t="n">
        <x:v>0</x:v>
      </x:c>
      <x:c r="H2160" s="85" t="n">
        <x:v>0</x:v>
      </x:c>
      <x:c r="I2160" s="85" t="n">
        <x:v>9214099.99157175</x:v>
      </x:c>
      <x:c r="J2160" s="85" t="n">
        <x:v>10062905.636709077</x:v>
      </x:c>
      <x:c r="K2160" s="85" t="n">
        <x:v>180814.19886684953</x:v>
      </x:c>
      <x:c r="L2160" s="28" t="n">
        <x:v>15</x:v>
      </x:c>
      <x:c r="M2160" s="28" t="n">
        <x:v>3</x:v>
      </x:c>
      <x:c r="N2160" s="28" t="n">
        <x:v>9.313225746154785e-10</x:v>
      </x:c>
      <x:c r="O2160" s="28" t="n">
        <x:v>1.862645149230957e-9</x:v>
      </x:c>
      <x:c r="P2160" s="28" t="n">
        <x:v>0</x:v>
      </x:c>
      <x:c r="Q2160" s="62" t="b">
        <x:v>1</x:v>
      </x:c>
      <x:c r="R2160" s="28" t="n">
        <x:v>0</x:v>
      </x:c>
      <x:c r="S2160" s="28" t="str">
        <x:v>1fc910588b8fe5e3</x:v>
      </x:c>
    </x:row>
    <x:row r="2161" ht="21" customHeight="1">
      <x:c r="A2161" s="60" t="n">
        <x:v>0.68</x:v>
      </x:c>
      <x:c r="B2161" s="28" t="str">
        <x:v>back_flat</x:v>
      </x:c>
      <x:c r="C2161" s="60" t="n">
        <x:v>0.55</x:v>
      </x:c>
      <x:c r="D2161" s="60" t="n">
        <x:v>0.55</x:v>
      </x:c>
      <x:c r="E2161" s="62" t="b">
        <x:v>1</x:v>
      </x:c>
      <x:c r="F2161" s="62" t="b">
        <x:v>1</x:v>
      </x:c>
      <x:c r="G2161" s="85" t="n">
        <x:v>0</x:v>
      </x:c>
      <x:c r="H2161" s="85" t="n">
        <x:v>0</x:v>
      </x:c>
      <x:c r="I2161" s="85" t="n">
        <x:v>10303866.816222832</x:v>
      </x:c>
      <x:c r="J2161" s="85" t="n">
        <x:v>11850329.947350997</x:v>
      </x:c>
      <x:c r="K2161" s="85" t="n">
        <x:v>163327.4363150694</x:v>
      </x:c>
      <x:c r="L2161" s="28" t="n">
        <x:v>20</x:v>
      </x:c>
      <x:c r="M2161" s="28" t="n">
        <x:v>9</x:v>
      </x:c>
      <x:c r="N2161" s="28" t="n">
        <x:v>4.656612873077393e-10</x:v>
      </x:c>
      <x:c r="O2161" s="28" t="n">
        <x:v>7.450580596923828e-9</x:v>
      </x:c>
      <x:c r="P2161" s="28" t="n">
        <x:v>0</x:v>
      </x:c>
      <x:c r="Q2161" s="62" t="b">
        <x:v>1</x:v>
      </x:c>
      <x:c r="R2161" s="28" t="n">
        <x:v>0</x:v>
      </x:c>
      <x:c r="S2161" s="28" t="str">
        <x:v>cba68e52a9e1fd00</x:v>
      </x:c>
    </x:row>
    <x:row r="2162" ht="21" customHeight="1">
      <x:c r="A2162" s="60" t="n">
        <x:v>0.68</x:v>
      </x:c>
      <x:c r="B2162" s="28" t="str">
        <x:v>back_flat</x:v>
      </x:c>
      <x:c r="C2162" s="60" t="n">
        <x:v>0.6</x:v>
      </x:c>
      <x:c r="D2162" s="60" t="n">
        <x:v>0.6</x:v>
      </x:c>
      <x:c r="E2162" s="62" t="b">
        <x:v>1</x:v>
      </x:c>
      <x:c r="F2162" s="62" t="b">
        <x:v>0</x:v>
      </x:c>
      <x:c r="G2162" s="85" t="n">
        <x:v>350746.2754153152</x:v>
      </x:c>
      <x:c r="H2162" s="85" t="n">
        <x:v>1883968.7971243765</x:v>
      </x:c>
      <x:c r="I2162" s="85" t="n">
        <x:v>10480601.347910132</x:v>
      </x:c>
      <x:c r="J2162" s="85" t="n">
        <x:v>12263679.999999996</x:v>
      </x:c>
      <x:c r="K2162" s="85" t="n">
        <x:v>151584.31961643882</x:v>
      </x:c>
      <x:c r="L2162" s="28" t="n">
        <x:v>40</x:v>
      </x:c>
      <x:c r="M2162" s="28" t="n">
        <x:v>32</x:v>
      </x:c>
      <x:c r="N2162" s="28" t="n">
        <x:v>4.656612873077393e-10</x:v>
      </x:c>
      <x:c r="O2162" s="28" t="n">
        <x:v>7.450580596923828e-9</x:v>
      </x:c>
      <x:c r="P2162" s="28" t="n">
        <x:v>0</x:v>
      </x:c>
      <x:c r="Q2162" s="62" t="b">
        <x:v>1</x:v>
      </x:c>
      <x:c r="R2162" s="28" t="n">
        <x:v>0</x:v>
      </x:c>
      <x:c r="S2162" s="28" t="str">
        <x:v>69226ab5bdc9b82f</x:v>
      </x:c>
    </x:row>
    <x:row r="2163" ht="21" customHeight="1">
      <x:c r="A2163" s="60" t="n">
        <x:v>0.68</x:v>
      </x:c>
      <x:c r="B2163" s="28" t="str">
        <x:v>back_flat</x:v>
      </x:c>
      <x:c r="C2163" s="60" t="n">
        <x:v>0.65</x:v>
      </x:c>
      <x:c r="D2163" s="60" t="n">
        <x:v>0.65</x:v>
      </x:c>
      <x:c r="E2163" s="62" t="b">
        <x:v>1</x:v>
      </x:c>
      <x:c r="F2163" s="62" t="b">
        <x:v>0</x:v>
      </x:c>
      <x:c r="G2163" s="85" t="n">
        <x:v>727943.473019606</x:v>
      </x:c>
      <x:c r="H2163" s="85" t="n">
        <x:v>3913881.513675008</x:v>
      </x:c>
      <x:c r="I2163" s="85" t="n">
        <x:v>10726757.337941092</x:v>
      </x:c>
      <x:c r="J2163" s="85" t="n">
        <x:v>12263679.999999996</x:v>
      </x:c>
      <x:c r="K2163" s="85" t="n">
        <x:v>139841.20291780846</x:v>
      </x:c>
      <x:c r="L2163" s="28" t="n">
        <x:v>41</x:v>
      </x:c>
      <x:c r="M2163" s="28" t="n">
        <x:v>34</x:v>
      </x:c>
      <x:c r="N2163" s="28" t="n">
        <x:v>4.656612873077393e-10</x:v>
      </x:c>
      <x:c r="O2163" s="28" t="n">
        <x:v>7.450580596923828e-9</x:v>
      </x:c>
      <x:c r="P2163" s="28" t="n">
        <x:v>0</x:v>
      </x:c>
      <x:c r="Q2163" s="62" t="b">
        <x:v>1</x:v>
      </x:c>
      <x:c r="R2163" s="28" t="n">
        <x:v>0</x:v>
      </x:c>
      <x:c r="S2163" s="28" t="str">
        <x:v>df53d55978e5f0fa</x:v>
      </x:c>
    </x:row>
    <x:row r="2164" ht="21" customHeight="1">
      <x:c r="A2164" s="60" t="n">
        <x:v>0.68</x:v>
      </x:c>
      <x:c r="B2164" s="28" t="str">
        <x:v>back_flat</x:v>
      </x:c>
      <x:c r="C2164" s="60" t="n">
        <x:v>0.7</x:v>
      </x:c>
      <x:c r="D2164" s="60" t="n">
        <x:v>0.7</x:v>
      </x:c>
      <x:c r="E2164" s="62" t="b">
        <x:v>1</x:v>
      </x:c>
      <x:c r="F2164" s="62" t="b">
        <x:v>0</x:v>
      </x:c>
      <x:c r="G2164" s="85" t="n">
        <x:v>1151446.1903173677</x:v>
      </x:c>
      <x:c r="H2164" s="85" t="n">
        <x:v>5837897.887887714</x:v>
      </x:c>
      <x:c r="I2164" s="85" t="n">
        <x:v>10968094.568923391</x:v>
      </x:c>
      <x:c r="J2164" s="85" t="n">
        <x:v>12263679.999999996</x:v>
      </x:c>
      <x:c r="K2164" s="85" t="n">
        <x:v>128098.08621917867</x:v>
      </x:c>
      <x:c r="L2164" s="28" t="n">
        <x:v>42</x:v>
      </x:c>
      <x:c r="M2164" s="28" t="n">
        <x:v>34</x:v>
      </x:c>
      <x:c r="N2164" s="28" t="n">
        <x:v>4.656612873077393e-10</x:v>
      </x:c>
      <x:c r="O2164" s="28" t="n">
        <x:v>3.725290298461914e-9</x:v>
      </x:c>
      <x:c r="P2164" s="28" t="n">
        <x:v>0</x:v>
      </x:c>
      <x:c r="Q2164" s="62" t="b">
        <x:v>1</x:v>
      </x:c>
      <x:c r="R2164" s="28" t="n">
        <x:v>0</x:v>
      </x:c>
      <x:c r="S2164" s="28" t="str">
        <x:v>80a28511951e5ceb</x:v>
      </x:c>
    </x:row>
    <x:row r="2165" ht="21" customHeight="1">
      <x:c r="A2165" s="60" t="n">
        <x:v>0.68</x:v>
      </x:c>
      <x:c r="B2165" s="28" t="str">
        <x:v>back_flat</x:v>
      </x:c>
      <x:c r="C2165" s="60" t="n">
        <x:v>0.75</x:v>
      </x:c>
      <x:c r="D2165" s="60" t="n">
        <x:v>0.75</x:v>
      </x:c>
      <x:c r="E2165" s="62" t="b">
        <x:v>1</x:v>
      </x:c>
      <x:c r="F2165" s="62" t="b">
        <x:v>0</x:v>
      </x:c>
      <x:c r="G2165" s="85" t="n">
        <x:v>1600544.9582948354</x:v>
      </x:c>
      <x:c r="H2165" s="85" t="n">
        <x:v>8053792.6530485945</x:v>
      </x:c>
      <x:c r="I2165" s="85" t="n">
        <x:v>10982402.28749424</x:v>
      </x:c>
      <x:c r="J2165" s="85" t="n">
        <x:v>12263679.999999996</x:v>
      </x:c>
      <x:c r="K2165" s="85" t="n">
        <x:v>116354.96952054856</x:v>
      </x:c>
      <x:c r="L2165" s="28" t="n">
        <x:v>42</x:v>
      </x:c>
      <x:c r="M2165" s="28" t="n">
        <x:v>36</x:v>
      </x:c>
      <x:c r="N2165" s="28" t="n">
        <x:v>4.656612873077393e-10</x:v>
      </x:c>
      <x:c r="O2165" s="28" t="n">
        <x:v>7.450580596923828e-9</x:v>
      </x:c>
      <x:c r="P2165" s="28" t="n">
        <x:v>0</x:v>
      </x:c>
      <x:c r="Q2165" s="62" t="b">
        <x:v>1</x:v>
      </x:c>
      <x:c r="R2165" s="28" t="n">
        <x:v>0</x:v>
      </x:c>
      <x:c r="S2165" s="28" t="str">
        <x:v>53b9eb9af2ee26b7</x:v>
      </x:c>
    </x:row>
    <x:row r="2166" ht="21" customHeight="1">
      <x:c r="A2166" s="60" t="n">
        <x:v>0.68</x:v>
      </x:c>
      <x:c r="B2166" s="28" t="str">
        <x:v>back_flat</x:v>
      </x:c>
      <x:c r="C2166" s="60" t="n">
        <x:v>0.8</x:v>
      </x:c>
      <x:c r="D2166" s="60" t="n">
        <x:v>0.8</x:v>
      </x:c>
      <x:c r="E2166" s="62" t="b">
        <x:v>1</x:v>
      </x:c>
      <x:c r="F2166" s="62" t="b">
        <x:v>0</x:v>
      </x:c>
      <x:c r="G2166" s="85" t="n">
        <x:v>2178877.1913945638</x:v>
      </x:c>
      <x:c r="H2166" s="85" t="n">
        <x:v>10105486.765616931</x:v>
      </x:c>
      <x:c r="I2166" s="85" t="n">
        <x:v>10996710.00606509</x:v>
      </x:c>
      <x:c r="J2166" s="85" t="n">
        <x:v>12263679.999999996</x:v>
      </x:c>
      <x:c r="K2166" s="85" t="n">
        <x:v>104611.85282191852</x:v>
      </x:c>
      <x:c r="L2166" s="28" t="n">
        <x:v>42</x:v>
      </x:c>
      <x:c r="M2166" s="28" t="n">
        <x:v>36</x:v>
      </x:c>
      <x:c r="N2166" s="28" t="n">
        <x:v>4.656612873077393e-10</x:v>
      </x:c>
      <x:c r="O2166" s="28" t="n">
        <x:v>3.725290298461914e-9</x:v>
      </x:c>
      <x:c r="P2166" s="28" t="n">
        <x:v>0</x:v>
      </x:c>
      <x:c r="Q2166" s="62" t="b">
        <x:v>1</x:v>
      </x:c>
      <x:c r="R2166" s="28" t="n">
        <x:v>0</x:v>
      </x:c>
      <x:c r="S2166" s="28" t="str">
        <x:v>2898864063128c20</x:v>
      </x:c>
    </x:row>
    <x:row r="2167" ht="21" customHeight="1">
      <x:c r="A2167" s="60" t="n">
        <x:v>0.68</x:v>
      </x:c>
      <x:c r="B2167" s="28" t="str">
        <x:v>back_flat</x:v>
      </x:c>
      <x:c r="C2167" s="60" t="n">
        <x:v>0.85</x:v>
      </x:c>
      <x:c r="D2167" s="60" t="n">
        <x:v>0.85</x:v>
      </x:c>
      <x:c r="E2167" s="62" t="b">
        <x:v>1</x:v>
      </x:c>
      <x:c r="F2167" s="62" t="b">
        <x:v>0</x:v>
      </x:c>
      <x:c r="G2167" s="85" t="n">
        <x:v>2859818.888697688</x:v>
      </x:c>
      <x:c r="H2167" s="85" t="n">
        <x:v>11771308.308145246</x:v>
      </x:c>
      <x:c r="I2167" s="85" t="n">
        <x:v>11237372.517354788</x:v>
      </x:c>
      <x:c r="J2167" s="85" t="n">
        <x:v>12263679.999999996</x:v>
      </x:c>
      <x:c r="K2167" s="85" t="n">
        <x:v>92868.73612328795</x:v>
      </x:c>
      <x:c r="L2167" s="28" t="n">
        <x:v>43</x:v>
      </x:c>
      <x:c r="M2167" s="28" t="n">
        <x:v>36</x:v>
      </x:c>
      <x:c r="N2167" s="28" t="n">
        <x:v>4.656612873077393e-10</x:v>
      </x:c>
      <x:c r="O2167" s="28" t="n">
        <x:v>9.313225746154785e-10</x:v>
      </x:c>
      <x:c r="P2167" s="28" t="n">
        <x:v>0</x:v>
      </x:c>
      <x:c r="Q2167" s="62" t="b">
        <x:v>1</x:v>
      </x:c>
      <x:c r="R2167" s="28" t="n">
        <x:v>0</x:v>
      </x:c>
      <x:c r="S2167" s="28" t="str">
        <x:v>46544e9f3fdd7c18</x:v>
      </x:c>
    </x:row>
    <x:row r="2168" ht="21" customHeight="1">
      <x:c r="A2168" s="60" t="n">
        <x:v>0.68</x:v>
      </x:c>
      <x:c r="B2168" s="28" t="str">
        <x:v>back_flat</x:v>
      </x:c>
      <x:c r="C2168" s="60" t="n">
        <x:v>0.9</x:v>
      </x:c>
      <x:c r="D2168" s="60" t="n">
        <x:v>0.880265491166173</x:v>
      </x:c>
      <x:c r="E2168" s="62" t="b">
        <x:v>0</x:v>
      </x:c>
      <x:c r="F2168" s="62" t="b">
        <x:v>0</x:v>
      </x:c>
      <x:c r="G2168" s="85" t="n">
        <x:v>3347079.7802067813</x:v>
      </x:c>
      <x:c r="H2168" s="85" t="n">
        <x:v>12672545.950121105</x:v>
      </x:c>
      <x:c r="I2168" s="85" t="n">
        <x:v>11243771.244309582</x:v>
      </x:c>
      <x:c r="J2168" s="85" t="n">
        <x:v>12263679.999999996</x:v>
      </x:c>
      <x:c r="K2168" s="85" t="n">
        <x:v>84592.44156164418</x:v>
      </x:c>
      <x:c r="L2168" s="28" t="n">
        <x:v>43</x:v>
      </x:c>
      <x:c r="M2168" s="28" t="n">
        <x:v>37</x:v>
      </x:c>
      <x:c r="N2168" s="28" t="n">
        <x:v>2.3283064365386963e-10</x:v>
      </x:c>
      <x:c r="O2168" s="28" t="n">
        <x:v>3.725290298461914e-9</x:v>
      </x:c>
      <x:c r="P2168" s="28" t="n">
        <x:v>0</x:v>
      </x:c>
      <x:c r="Q2168" s="62" t="b">
        <x:v>1</x:v>
      </x:c>
      <x:c r="R2168" s="28" t="n">
        <x:v>1100080.4604328498</x:v>
      </x:c>
      <x:c r="S2168" s="28" t="str">
        <x:v>8acfbba815d54e91</x:v>
      </x:c>
    </x:row>
    <x:row r="2169" ht="21" customHeight="1">
      <x:c r="A2169" s="60" t="n">
        <x:v>0.68</x:v>
      </x:c>
      <x:c r="B2169" s="28" t="str">
        <x:v>back_flat</x:v>
      </x:c>
      <x:c r="C2169" s="60" t="n">
        <x:v>0.95</x:v>
      </x:c>
      <x:c r="D2169" s="60" t="n">
        <x:v>0.8954794051096439</x:v>
      </x:c>
      <x:c r="E2169" s="62" t="b">
        <x:v>0</x:v>
      </x:c>
      <x:c r="F2169" s="62" t="b">
        <x:v>0</x:v>
      </x:c>
      <x:c r="G2169" s="85" t="n">
        <x:v>3592034.358268552</x:v>
      </x:c>
      <x:c r="H2169" s="85" t="n">
        <x:v>13449816.81588647</x:v>
      </x:c>
      <x:c r="I2169" s="85" t="n">
        <x:v>11250169.971264377</x:v>
      </x:c>
      <x:c r="J2169" s="85" t="n">
        <x:v>12263679.999999996</x:v>
      </x:c>
      <x:c r="K2169" s="85" t="n">
        <x:v>77539.23784931509</x:v>
      </x:c>
      <x:c r="L2169" s="28" t="n">
        <x:v>43</x:v>
      </x:c>
      <x:c r="M2169" s="28" t="n">
        <x:v>38</x:v>
      </x:c>
      <x:c r="N2169" s="28" t="n">
        <x:v>2.3283064365386963e-10</x:v>
      </x:c>
      <x:c r="O2169" s="28" t="n">
        <x:v>3.725290298461914e-9</x:v>
      </x:c>
      <x:c r="P2169" s="28" t="n">
        <x:v>0</x:v>
      </x:c>
      <x:c r="Q2169" s="62" t="b">
        <x:v>1</x:v>
      </x:c>
      <x:c r="R2169" s="28" t="n">
        <x:v>3039196.041568011</x:v>
      </x:c>
      <x:c r="S2169" s="28" t="str">
        <x:v>70c4905e822b3151</x:v>
      </x:c>
    </x:row>
    <x:row r="2170" ht="21" customHeight="1">
      <x:c r="A2170" s="60" t="n">
        <x:v>0.68</x:v>
      </x:c>
      <x:c r="B2170" s="28" t="str">
        <x:v>back_flat</x:v>
      </x:c>
      <x:c r="C2170" s="60" t="n">
        <x:v>1</x:v>
      </x:c>
      <x:c r="D2170" s="60" t="n">
        <x:v>0.9093341115290656</x:v>
      </x:c>
      <x:c r="E2170" s="62" t="b">
        <x:v>0</x:v>
      </x:c>
      <x:c r="F2170" s="62" t="b">
        <x:v>0</x:v>
      </x:c>
      <x:c r="G2170" s="85" t="n">
        <x:v>3799614.505070896</x:v>
      </x:c>
      <x:c r="H2170" s="85" t="n">
        <x:v>13806188.969367236</x:v>
      </x:c>
      <x:c r="I2170" s="85" t="n">
        <x:v>11475108.576438349</x:v>
      </x:c>
      <x:c r="J2170" s="85" t="n">
        <x:v>12263679.999999996</x:v>
      </x:c>
      <x:c r="K2170" s="85" t="n">
        <x:v>73559.78690410953</x:v>
      </x:c>
      <x:c r="L2170" s="28" t="n">
        <x:v>44</x:v>
      </x:c>
      <x:c r="M2170" s="28" t="n">
        <x:v>38</x:v>
      </x:c>
      <x:c r="N2170" s="28" t="n">
        <x:v>2.3283064365386963e-10</x:v>
      </x:c>
      <x:c r="O2170" s="28" t="n">
        <x:v>3.725290298461914e-9</x:v>
      </x:c>
      <x:c r="P2170" s="28" t="n">
        <x:v>0</x:v>
      </x:c>
      <x:c r="Q2170" s="62" t="b">
        <x:v>1</x:v>
      </x:c>
      <x:c r="R2170" s="28" t="n">
        <x:v>5054079.286923766</x:v>
      </x:c>
      <x:c r="S2170" s="28" t="str">
        <x:v>3f9fc9baaf90a773</x:v>
      </x:c>
    </x:row>
    <x:row r="2171" ht="21" customHeight="1">
      <x:c r="A2171" s="60" t="n">
        <x:v>0.68</x:v>
      </x:c>
      <x:c r="B2171" s="28" t="str">
        <x:v>back_low</x:v>
      </x:c>
      <x:c r="C2171" s="60" t="n">
        <x:v>0</x:v>
      </x:c>
      <x:c r="D2171" s="60" t="n">
        <x:v>0</x:v>
      </x:c>
      <x:c r="E2171" s="62" t="b">
        <x:v>1</x:v>
      </x:c>
      <x:c r="F2171" s="62" t="b">
        <x:v>1</x:v>
      </x:c>
      <x:c r="G2171" s="85" t="n">
        <x:v>0</x:v>
      </x:c>
      <x:c r="H2171" s="85" t="n">
        <x:v>0</x:v>
      </x:c>
      <x:c r="I2171" s="85" t="n">
        <x:v>0</x:v>
      </x:c>
      <x:c r="J2171" s="85" t="n">
        <x:v>0</x:v>
      </x:c>
      <x:c r="K2171" s="85" t="n">
        <x:v>5858343.783671239</x:v>
      </x:c>
      <x:c r="L2171" s="28" t="n">
        <x:v>0</x:v>
      </x:c>
      <x:c r="M2171" s="28" t="n">
        <x:v>0</x:v>
      </x:c>
      <x:c r="N2171" s="28" t="n">
        <x:v>4.656612873077393e-10</x:v>
      </x:c>
      <x:c r="O2171" s="28" t="n">
        <x:v>0</x:v>
      </x:c>
      <x:c r="P2171" s="28" t="n">
        <x:v>0</x:v>
      </x:c>
      <x:c r="Q2171" s="62" t="b">
        <x:v>1</x:v>
      </x:c>
      <x:c r="R2171" s="28" t="n">
        <x:v>0</x:v>
      </x:c>
      <x:c r="S2171" s="28" t="str">
        <x:v>05d0da7e84c021c4</x:v>
      </x:c>
    </x:row>
    <x:row r="2172" ht="21" customHeight="1">
      <x:c r="A2172" s="60" t="n">
        <x:v>0.68</x:v>
      </x:c>
      <x:c r="B2172" s="28" t="str">
        <x:v>back_low</x:v>
      </x:c>
      <x:c r="C2172" s="60" t="n">
        <x:v>0.05</x:v>
      </x:c>
      <x:c r="D2172" s="60" t="n">
        <x:v>0.05</x:v>
      </x:c>
      <x:c r="E2172" s="62" t="b">
        <x:v>1</x:v>
      </x:c>
      <x:c r="F2172" s="62" t="b">
        <x:v>1</x:v>
      </x:c>
      <x:c r="G2172" s="85" t="n">
        <x:v>0</x:v>
      </x:c>
      <x:c r="H2172" s="85" t="n">
        <x:v>0</x:v>
      </x:c>
      <x:c r="I2172" s="85" t="n">
        <x:v>0</x:v>
      </x:c>
      <x:c r="J2172" s="85" t="n">
        <x:v>0</x:v>
      </x:c>
      <x:c r="K2172" s="85" t="n">
        <x:v>3875999.655002438</x:v>
      </x:c>
      <x:c r="L2172" s="28" t="n">
        <x:v>0</x:v>
      </x:c>
      <x:c r="M2172" s="28" t="n">
        <x:v>0</x:v>
      </x:c>
      <x:c r="N2172" s="28" t="n">
        <x:v>9.313225746154785e-10</x:v>
      </x:c>
      <x:c r="O2172" s="28" t="n">
        <x:v>7.450580596923828e-9</x:v>
      </x:c>
      <x:c r="P2172" s="28" t="n">
        <x:v>0</x:v>
      </x:c>
      <x:c r="Q2172" s="62" t="b">
        <x:v>1</x:v>
      </x:c>
      <x:c r="R2172" s="28" t="n">
        <x:v>0</x:v>
      </x:c>
      <x:c r="S2172" s="28" t="str">
        <x:v>0ba3f33e058e86e4</x:v>
      </x:c>
    </x:row>
    <x:row r="2173" ht="21" customHeight="1">
      <x:c r="A2173" s="60" t="n">
        <x:v>0.68</x:v>
      </x:c>
      <x:c r="B2173" s="28" t="str">
        <x:v>back_low</x:v>
      </x:c>
      <x:c r="C2173" s="60" t="n">
        <x:v>0.1</x:v>
      </x:c>
      <x:c r="D2173" s="60" t="n">
        <x:v>0.1</x:v>
      </x:c>
      <x:c r="E2173" s="62" t="b">
        <x:v>1</x:v>
      </x:c>
      <x:c r="F2173" s="62" t="b">
        <x:v>1</x:v>
      </x:c>
      <x:c r="G2173" s="85" t="n">
        <x:v>0</x:v>
      </x:c>
      <x:c r="H2173" s="85" t="n">
        <x:v>0</x:v>
      </x:c>
      <x:c r="I2173" s="85" t="n">
        <x:v>0</x:v>
      </x:c>
      <x:c r="J2173" s="85" t="n">
        <x:v>0</x:v>
      </x:c>
      <x:c r="K2173" s="85" t="n">
        <x:v>1893655.5263336543</x:v>
      </x:c>
      <x:c r="L2173" s="28" t="n">
        <x:v>0</x:v>
      </x:c>
      <x:c r="M2173" s="28" t="n">
        <x:v>0</x:v>
      </x:c>
      <x:c r="N2173" s="28" t="n">
        <x:v>4.656612873077393e-10</x:v>
      </x:c>
      <x:c r="O2173" s="28" t="n">
        <x:v>7.450580596923828e-9</x:v>
      </x:c>
      <x:c r="P2173" s="28" t="n">
        <x:v>0</x:v>
      </x:c>
      <x:c r="Q2173" s="62" t="b">
        <x:v>1</x:v>
      </x:c>
      <x:c r="R2173" s="28" t="n">
        <x:v>0</x:v>
      </x:c>
      <x:c r="S2173" s="28" t="str">
        <x:v>6155d9f19f48b5f5</x:v>
      </x:c>
    </x:row>
    <x:row r="2174" ht="21" customHeight="1">
      <x:c r="A2174" s="60" t="n">
        <x:v>0.68</x:v>
      </x:c>
      <x:c r="B2174" s="28" t="str">
        <x:v>back_low</x:v>
      </x:c>
      <x:c r="C2174" s="60" t="n">
        <x:v>0.15</x:v>
      </x:c>
      <x:c r="D2174" s="60" t="n">
        <x:v>0.15</x:v>
      </x:c>
      <x:c r="E2174" s="62" t="b">
        <x:v>1</x:v>
      </x:c>
      <x:c r="F2174" s="62" t="b">
        <x:v>1</x:v>
      </x:c>
      <x:c r="G2174" s="85" t="n">
        <x:v>0</x:v>
      </x:c>
      <x:c r="H2174" s="85" t="n">
        <x:v>0</x:v>
      </x:c>
      <x:c r="I2174" s="85" t="n">
        <x:v>300979.8731008914</x:v>
      </x:c>
      <x:c r="J2174" s="85" t="n">
        <x:v>0</x:v>
      </x:c>
      <x:c r="K2174" s="85" t="n">
        <x:v>307285.6452168238</x:v>
      </x:c>
      <x:c r="L2174" s="28" t="n">
        <x:v>0</x:v>
      </x:c>
      <x:c r="M2174" s="28" t="n">
        <x:v>0</x:v>
      </x:c>
      <x:c r="N2174" s="28" t="n">
        <x:v>4.656612873077393e-10</x:v>
      </x:c>
      <x:c r="O2174" s="28" t="n">
        <x:v>7.450580596923828e-9</x:v>
      </x:c>
      <x:c r="P2174" s="28" t="n">
        <x:v>0</x:v>
      </x:c>
      <x:c r="Q2174" s="62" t="b">
        <x:v>1</x:v>
      </x:c>
      <x:c r="R2174" s="28" t="n">
        <x:v>0</x:v>
      </x:c>
      <x:c r="S2174" s="28" t="str">
        <x:v>0b2e42f39ce9f6d6</x:v>
      </x:c>
    </x:row>
    <x:row r="2175" ht="21" customHeight="1">
      <x:c r="A2175" s="60" t="n">
        <x:v>0.68</x:v>
      </x:c>
      <x:c r="B2175" s="28" t="str">
        <x:v>back_low</x:v>
      </x:c>
      <x:c r="C2175" s="60" t="n">
        <x:v>0.2</x:v>
      </x:c>
      <x:c r="D2175" s="60" t="n">
        <x:v>0.2</x:v>
      </x:c>
      <x:c r="E2175" s="62" t="b">
        <x:v>1</x:v>
      </x:c>
      <x:c r="F2175" s="62" t="b">
        <x:v>1</x:v>
      </x:c>
      <x:c r="G2175" s="85" t="n">
        <x:v>0</x:v>
      </x:c>
      <x:c r="H2175" s="85" t="n">
        <x:v>0</x:v>
      </x:c>
      <x:c r="I2175" s="85" t="n">
        <x:v>1385979.602713264</x:v>
      </x:c>
      <x:c r="J2175" s="85" t="n">
        <x:v>1245718.9057329323</x:v>
      </x:c>
      <x:c r="K2175" s="85" t="n">
        <x:v>253015.88209148488</x:v>
      </x:c>
      <x:c r="L2175" s="28" t="n">
        <x:v>0</x:v>
      </x:c>
      <x:c r="M2175" s="28" t="n">
        <x:v>0</x:v>
      </x:c>
      <x:c r="N2175" s="28" t="n">
        <x:v>2.3283064365386963e-10</x:v>
      </x:c>
      <x:c r="O2175" s="28" t="n">
        <x:v>7.450580596923828e-9</x:v>
      </x:c>
      <x:c r="P2175" s="28" t="n">
        <x:v>0</x:v>
      </x:c>
      <x:c r="Q2175" s="62" t="b">
        <x:v>1</x:v>
      </x:c>
      <x:c r="R2175" s="28" t="n">
        <x:v>0</x:v>
      </x:c>
      <x:c r="S2175" s="28" t="str">
        <x:v>db730a6568ab428a</x:v>
      </x:c>
    </x:row>
    <x:row r="2176" ht="21" customHeight="1">
      <x:c r="A2176" s="60" t="n">
        <x:v>0.68</x:v>
      </x:c>
      <x:c r="B2176" s="28" t="str">
        <x:v>back_low</x:v>
      </x:c>
      <x:c r="C2176" s="60" t="n">
        <x:v>0.25</x:v>
      </x:c>
      <x:c r="D2176" s="60" t="n">
        <x:v>0.25</x:v>
      </x:c>
      <x:c r="E2176" s="62" t="b">
        <x:v>1</x:v>
      </x:c>
      <x:c r="F2176" s="62" t="b">
        <x:v>1</x:v>
      </x:c>
      <x:c r="G2176" s="85" t="n">
        <x:v>0</x:v>
      </x:c>
      <x:c r="H2176" s="85" t="n">
        <x:v>0</x:v>
      </x:c>
      <x:c r="I2176" s="85" t="n">
        <x:v>2110323.1178137125</x:v>
      </x:c>
      <x:c r="J2176" s="85" t="n">
        <x:v>2950748.6321661975</x:v>
      </x:c>
      <x:c r="K2176" s="85" t="n">
        <x:v>213599.07135408162</x:v>
      </x:c>
      <x:c r="L2176" s="28" t="n">
        <x:v>0</x:v>
      </x:c>
      <x:c r="M2176" s="28" t="n">
        <x:v>0</x:v>
      </x:c>
      <x:c r="N2176" s="28" t="n">
        <x:v>4.656612873077393e-10</x:v>
      </x:c>
      <x:c r="O2176" s="28" t="n">
        <x:v>7.450580596923828e-9</x:v>
      </x:c>
      <x:c r="P2176" s="28" t="n">
        <x:v>0</x:v>
      </x:c>
      <x:c r="Q2176" s="62" t="b">
        <x:v>1</x:v>
      </x:c>
      <x:c r="R2176" s="28" t="n">
        <x:v>0</x:v>
      </x:c>
      <x:c r="S2176" s="28" t="str">
        <x:v>f9ba1210cc7b2441</x:v>
      </x:c>
    </x:row>
    <x:row r="2177" ht="21" customHeight="1">
      <x:c r="A2177" s="60" t="n">
        <x:v>0.68</x:v>
      </x:c>
      <x:c r="B2177" s="28" t="str">
        <x:v>back_low</x:v>
      </x:c>
      <x:c r="C2177" s="60" t="n">
        <x:v>0.3</x:v>
      </x:c>
      <x:c r="D2177" s="60" t="n">
        <x:v>0.3</x:v>
      </x:c>
      <x:c r="E2177" s="62" t="b">
        <x:v>1</x:v>
      </x:c>
      <x:c r="F2177" s="62" t="b">
        <x:v>1</x:v>
      </x:c>
      <x:c r="G2177" s="85" t="n">
        <x:v>0</x:v>
      </x:c>
      <x:c r="H2177" s="85" t="n">
        <x:v>0</x:v>
      </x:c>
      <x:c r="I2177" s="85" t="n">
        <x:v>2837501.7844567103</x:v>
      </x:c>
      <x:c r="J2177" s="85" t="n">
        <x:v>4655778.3585994225</x:v>
      </x:c>
      <x:c r="K2177" s="85" t="n">
        <x:v>186742.02646709626</x:v>
      </x:c>
      <x:c r="L2177" s="28" t="n">
        <x:v>0</x:v>
      </x:c>
      <x:c r="M2177" s="28" t="n">
        <x:v>0</x:v>
      </x:c>
      <x:c r="N2177" s="28" t="n">
        <x:v>4.656612873077393e-10</x:v>
      </x:c>
      <x:c r="O2177" s="28" t="n">
        <x:v>7.450580596923828e-9</x:v>
      </x:c>
      <x:c r="P2177" s="28" t="n">
        <x:v>0</x:v>
      </x:c>
      <x:c r="Q2177" s="62" t="b">
        <x:v>1</x:v>
      </x:c>
      <x:c r="R2177" s="28" t="n">
        <x:v>0</x:v>
      </x:c>
      <x:c r="S2177" s="28" t="str">
        <x:v>46afc0f086d98905</x:v>
      </x:c>
    </x:row>
    <x:row r="2178" ht="21" customHeight="1">
      <x:c r="A2178" s="60" t="n">
        <x:v>0.68</x:v>
      </x:c>
      <x:c r="B2178" s="28" t="str">
        <x:v>back_low</x:v>
      </x:c>
      <x:c r="C2178" s="60" t="n">
        <x:v>0.35</x:v>
      </x:c>
      <x:c r="D2178" s="60" t="n">
        <x:v>0.35</x:v>
      </x:c>
      <x:c r="E2178" s="62" t="b">
        <x:v>1</x:v>
      </x:c>
      <x:c r="F2178" s="62" t="b">
        <x:v>1</x:v>
      </x:c>
      <x:c r="G2178" s="85" t="n">
        <x:v>0</x:v>
      </x:c>
      <x:c r="H2178" s="85" t="n">
        <x:v>0</x:v>
      </x:c>
      <x:c r="I2178" s="85" t="n">
        <x:v>3681983.9011704074</x:v>
      </x:c>
      <x:c r="J2178" s="85" t="n">
        <x:v>6195176.586680527</x:v>
      </x:c>
      <x:c r="K2178" s="85" t="n">
        <x:v>161491.33803809635</x:v>
      </x:c>
      <x:c r="L2178" s="28" t="n">
        <x:v>2</x:v>
      </x:c>
      <x:c r="M2178" s="28" t="n">
        <x:v>0</x:v>
      </x:c>
      <x:c r="N2178" s="28" t="n">
        <x:v>9.313225746154785e-10</x:v>
      </x:c>
      <x:c r="O2178" s="28" t="n">
        <x:v>3.725290298461914e-9</x:v>
      </x:c>
      <x:c r="P2178" s="28" t="n">
        <x:v>0</x:v>
      </x:c>
      <x:c r="Q2178" s="62" t="b">
        <x:v>1</x:v>
      </x:c>
      <x:c r="R2178" s="28" t="n">
        <x:v>0</x:v>
      </x:c>
      <x:c r="S2178" s="28" t="str">
        <x:v>88e3df479f110a66</x:v>
      </x:c>
    </x:row>
    <x:row r="2179" ht="21" customHeight="1">
      <x:c r="A2179" s="60" t="n">
        <x:v>0.68</x:v>
      </x:c>
      <x:c r="B2179" s="28" t="str">
        <x:v>back_low</x:v>
      </x:c>
      <x:c r="C2179" s="60" t="n">
        <x:v>0.4</x:v>
      </x:c>
      <x:c r="D2179" s="60" t="n">
        <x:v>0.4</x:v>
      </x:c>
      <x:c r="E2179" s="62" t="b">
        <x:v>1</x:v>
      </x:c>
      <x:c r="F2179" s="62" t="b">
        <x:v>1</x:v>
      </x:c>
      <x:c r="G2179" s="85" t="n">
        <x:v>0</x:v>
      </x:c>
      <x:c r="H2179" s="85" t="n">
        <x:v>0</x:v>
      </x:c>
      <x:c r="I2179" s="85" t="n">
        <x:v>4778631.328033331</x:v>
      </x:c>
      <x:c r="J2179" s="85" t="n">
        <x:v>7328091.679340868</x:v>
      </x:c>
      <x:c r="K2179" s="85" t="n">
        <x:v>138483.96082224685</x:v>
      </x:c>
      <x:c r="L2179" s="28" t="n">
        <x:v>8</x:v>
      </x:c>
      <x:c r="M2179" s="28" t="n">
        <x:v>0</x:v>
      </x:c>
      <x:c r="N2179" s="28" t="n">
        <x:v>9.313225746154785e-10</x:v>
      </x:c>
      <x:c r="O2179" s="28" t="n">
        <x:v>7.450580596923828e-9</x:v>
      </x:c>
      <x:c r="P2179" s="28" t="n">
        <x:v>0</x:v>
      </x:c>
      <x:c r="Q2179" s="62" t="b">
        <x:v>1</x:v>
      </x:c>
      <x:c r="R2179" s="28" t="n">
        <x:v>0</x:v>
      </x:c>
      <x:c r="S2179" s="28" t="str">
        <x:v>f4c4bfb782a7ab0b</x:v>
      </x:c>
    </x:row>
    <x:row r="2180" ht="21" customHeight="1">
      <x:c r="A2180" s="60" t="n">
        <x:v>0.68</x:v>
      </x:c>
      <x:c r="B2180" s="28" t="str">
        <x:v>back_low</x:v>
      </x:c>
      <x:c r="C2180" s="60" t="n">
        <x:v>0.45</x:v>
      </x:c>
      <x:c r="D2180" s="60" t="n">
        <x:v>0.45</x:v>
      </x:c>
      <x:c r="E2180" s="62" t="b">
        <x:v>1</x:v>
      </x:c>
      <x:c r="F2180" s="62" t="b">
        <x:v>1</x:v>
      </x:c>
      <x:c r="G2180" s="85" t="n">
        <x:v>0</x:v>
      </x:c>
      <x:c r="H2180" s="85" t="n">
        <x:v>0</x:v>
      </x:c>
      <x:c r="I2180" s="85" t="n">
        <x:v>5757236.238153498</x:v>
      </x:c>
      <x:c r="J2180" s="85" t="n">
        <x:v>8640747.820296016</x:v>
      </x:c>
      <x:c r="K2180" s="85" t="n">
        <x:v>124156.17824009659</x:v>
      </x:c>
      <x:c r="L2180" s="28" t="n">
        <x:v>12</x:v>
      </x:c>
      <x:c r="M2180" s="28" t="n">
        <x:v>0</x:v>
      </x:c>
      <x:c r="N2180" s="28" t="n">
        <x:v>9.313225746154785e-10</x:v>
      </x:c>
      <x:c r="O2180" s="28" t="n">
        <x:v>7.450580596923828e-9</x:v>
      </x:c>
      <x:c r="P2180" s="28" t="n">
        <x:v>0</x:v>
      </x:c>
      <x:c r="Q2180" s="62" t="b">
        <x:v>1</x:v>
      </x:c>
      <x:c r="R2180" s="28" t="n">
        <x:v>0</x:v>
      </x:c>
      <x:c r="S2180" s="28" t="str">
        <x:v>36e68f2faa3eafa5</x:v>
      </x:c>
    </x:row>
    <x:row r="2181" ht="21" customHeight="1">
      <x:c r="A2181" s="60" t="n">
        <x:v>0.68</x:v>
      </x:c>
      <x:c r="B2181" s="28" t="str">
        <x:v>back_low</x:v>
      </x:c>
      <x:c r="C2181" s="60" t="n">
        <x:v>0.5</x:v>
      </x:c>
      <x:c r="D2181" s="60" t="n">
        <x:v>0.5</x:v>
      </x:c>
      <x:c r="E2181" s="62" t="b">
        <x:v>1</x:v>
      </x:c>
      <x:c r="F2181" s="62" t="b">
        <x:v>1</x:v>
      </x:c>
      <x:c r="G2181" s="85" t="n">
        <x:v>0</x:v>
      </x:c>
      <x:c r="H2181" s="85" t="n">
        <x:v>0</x:v>
      </x:c>
      <x:c r="I2181" s="85" t="n">
        <x:v>6546449.173278914</x:v>
      </x:c>
      <x:c r="J2181" s="85" t="n">
        <x:v>10255363.280939449</x:v>
      </x:c>
      <x:c r="K2181" s="85" t="n">
        <x:v>109828.3956579455</x:v>
      </x:c>
      <x:c r="L2181" s="28" t="n">
        <x:v>15</x:v>
      </x:c>
      <x:c r="M2181" s="28" t="n">
        <x:v>0</x:v>
      </x:c>
      <x:c r="N2181" s="28" t="n">
        <x:v>9.313225746154785e-10</x:v>
      </x:c>
      <x:c r="O2181" s="28" t="n">
        <x:v>1.862645149230957e-9</x:v>
      </x:c>
      <x:c r="P2181" s="28" t="n">
        <x:v>0</x:v>
      </x:c>
      <x:c r="Q2181" s="62" t="b">
        <x:v>1</x:v>
      </x:c>
      <x:c r="R2181" s="28" t="n">
        <x:v>0</x:v>
      </x:c>
      <x:c r="S2181" s="28" t="str">
        <x:v>cec5f82bd476394b</x:v>
      </x:c>
    </x:row>
    <x:row r="2182" ht="21" customHeight="1">
      <x:c r="A2182" s="60" t="n">
        <x:v>0.68</x:v>
      </x:c>
      <x:c r="B2182" s="28" t="str">
        <x:v>back_low</x:v>
      </x:c>
      <x:c r="C2182" s="60" t="n">
        <x:v>0.55</x:v>
      </x:c>
      <x:c r="D2182" s="60" t="n">
        <x:v>0.55</x:v>
      </x:c>
      <x:c r="E2182" s="62" t="b">
        <x:v>1</x:v>
      </x:c>
      <x:c r="F2182" s="62" t="b">
        <x:v>1</x:v>
      </x:c>
      <x:c r="G2182" s="85" t="n">
        <x:v>0</x:v>
      </x:c>
      <x:c r="H2182" s="85" t="n">
        <x:v>0</x:v>
      </x:c>
      <x:c r="I2182" s="85" t="n">
        <x:v>7277315.100672054</x:v>
      </x:c>
      <x:c r="J2182" s="85" t="n">
        <x:v>11938869.53450562</x:v>
      </x:c>
      <x:c r="K2182" s="85" t="n">
        <x:v>96771.75110958936</x:v>
      </x:c>
      <x:c r="L2182" s="28" t="n">
        <x:v>20</x:v>
      </x:c>
      <x:c r="M2182" s="28" t="n">
        <x:v>0</x:v>
      </x:c>
      <x:c r="N2182" s="28" t="n">
        <x:v>4.656612873077393e-10</x:v>
      </x:c>
      <x:c r="O2182" s="28" t="n">
        <x:v>7.450580596923828e-9</x:v>
      </x:c>
      <x:c r="P2182" s="28" t="n">
        <x:v>0</x:v>
      </x:c>
      <x:c r="Q2182" s="62" t="b">
        <x:v>1</x:v>
      </x:c>
      <x:c r="R2182" s="28" t="n">
        <x:v>0</x:v>
      </x:c>
      <x:c r="S2182" s="28" t="str">
        <x:v>c1059da2efeada72</x:v>
      </x:c>
    </x:row>
    <x:row r="2183" ht="21" customHeight="1">
      <x:c r="A2183" s="60" t="n">
        <x:v>0.68</x:v>
      </x:c>
      <x:c r="B2183" s="28" t="str">
        <x:v>back_low</x:v>
      </x:c>
      <x:c r="C2183" s="60" t="n">
        <x:v>0.6</x:v>
      </x:c>
      <x:c r="D2183" s="60" t="n">
        <x:v>0.6</x:v>
      </x:c>
      <x:c r="E2183" s="62" t="b">
        <x:v>1</x:v>
      </x:c>
      <x:c r="F2183" s="62" t="b">
        <x:v>0</x:v>
      </x:c>
      <x:c r="G2183" s="85" t="n">
        <x:v>133555.57537587988</x:v>
      </x:c>
      <x:c r="H2183" s="85" t="n">
        <x:v>1665244.3845000274</x:v>
      </x:c>
      <x:c r="I2183" s="85" t="n">
        <x:v>7371903.354019719</x:v>
      </x:c>
      <x:c r="J2183" s="85" t="n">
        <x:v>12263679.999999996</x:v>
      </x:c>
      <x:c r="K2183" s="85" t="n">
        <x:v>90215.39030137009</x:v>
      </x:c>
      <x:c r="L2183" s="28" t="n">
        <x:v>40</x:v>
      </x:c>
      <x:c r="M2183" s="28" t="n">
        <x:v>30</x:v>
      </x:c>
      <x:c r="N2183" s="28" t="n">
        <x:v>4.656612873077393e-10</x:v>
      </x:c>
      <x:c r="O2183" s="28" t="n">
        <x:v>7.450580596923828e-9</x:v>
      </x:c>
      <x:c r="P2183" s="28" t="n">
        <x:v>0</x:v>
      </x:c>
      <x:c r="Q2183" s="62" t="b">
        <x:v>1</x:v>
      </x:c>
      <x:c r="R2183" s="28" t="n">
        <x:v>0</x:v>
      </x:c>
      <x:c r="S2183" s="28" t="str">
        <x:v>9683b5d3b13bfd35</x:v>
      </x:c>
    </x:row>
    <x:row r="2184" ht="21" customHeight="1">
      <x:c r="A2184" s="60" t="n">
        <x:v>0.68</x:v>
      </x:c>
      <x:c r="B2184" s="28" t="str">
        <x:v>back_low</x:v>
      </x:c>
      <x:c r="C2184" s="60" t="n">
        <x:v>0.65</x:v>
      </x:c>
      <x:c r="D2184" s="60" t="n">
        <x:v>0.65</x:v>
      </x:c>
      <x:c r="E2184" s="62" t="b">
        <x:v>1</x:v>
      </x:c>
      <x:c r="F2184" s="62" t="b">
        <x:v>0</x:v>
      </x:c>
      <x:c r="G2184" s="85" t="n">
        <x:v>278997.48556299426</x:v>
      </x:c>
      <x:c r="H2184" s="85" t="n">
        <x:v>3473681.353768488</x:v>
      </x:c>
      <x:c r="I2184" s="85" t="n">
        <x:v>7558876.538337856</x:v>
      </x:c>
      <x:c r="J2184" s="85" t="n">
        <x:v>12263679.999999996</x:v>
      </x:c>
      <x:c r="K2184" s="85" t="n">
        <x:v>83659.02949315123</x:v>
      </x:c>
      <x:c r="L2184" s="28" t="n">
        <x:v>41</x:v>
      </x:c>
      <x:c r="M2184" s="28" t="n">
        <x:v>31</x:v>
      </x:c>
      <x:c r="N2184" s="28" t="n">
        <x:v>4.656612873077393e-10</x:v>
      </x:c>
      <x:c r="O2184" s="28" t="n">
        <x:v>7.450580596923828e-9</x:v>
      </x:c>
      <x:c r="P2184" s="28" t="n">
        <x:v>0</x:v>
      </x:c>
      <x:c r="Q2184" s="62" t="b">
        <x:v>1</x:v>
      </x:c>
      <x:c r="R2184" s="28" t="n">
        <x:v>0</x:v>
      </x:c>
      <x:c r="S2184" s="28" t="str">
        <x:v>6c911ae97950501d</x:v>
      </x:c>
    </x:row>
    <x:row r="2185" ht="21" customHeight="1">
      <x:c r="A2185" s="60" t="n">
        <x:v>0.68</x:v>
      </x:c>
      <x:c r="B2185" s="28" t="str">
        <x:v>back_low</x:v>
      </x:c>
      <x:c r="C2185" s="60" t="n">
        <x:v>0.7</x:v>
      </x:c>
      <x:c r="D2185" s="60" t="n">
        <x:v>0.7</x:v>
      </x:c>
      <x:c r="E2185" s="62" t="b">
        <x:v>1</x:v>
      </x:c>
      <x:c r="F2185" s="62" t="b">
        <x:v>0</x:v>
      </x:c>
      <x:c r="G2185" s="85" t="n">
        <x:v>425523.3462669899</x:v>
      </x:c>
      <x:c r="H2185" s="85" t="n">
        <x:v>5295601.656827505</x:v>
      </x:c>
      <x:c r="I2185" s="85" t="n">
        <x:v>7733174.215890403</x:v>
      </x:c>
      <x:c r="J2185" s="85" t="n">
        <x:v>12263679.999999996</x:v>
      </x:c>
      <x:c r="K2185" s="85" t="n">
        <x:v>77102.66868493185</x:v>
      </x:c>
      <x:c r="L2185" s="28" t="n">
        <x:v>42</x:v>
      </x:c>
      <x:c r="M2185" s="28" t="n">
        <x:v>32</x:v>
      </x:c>
      <x:c r="N2185" s="28" t="n">
        <x:v>4.656612873077393e-10</x:v>
      </x:c>
      <x:c r="O2185" s="28" t="n">
        <x:v>3.725290298461914e-9</x:v>
      </x:c>
      <x:c r="P2185" s="28" t="n">
        <x:v>0</x:v>
      </x:c>
      <x:c r="Q2185" s="62" t="b">
        <x:v>1</x:v>
      </x:c>
      <x:c r="R2185" s="28" t="n">
        <x:v>0</x:v>
      </x:c>
      <x:c r="S2185" s="28" t="str">
        <x:v>ea7f7fbb32afe953</x:v>
      </x:c>
    </x:row>
    <x:row r="2186" ht="21" customHeight="1">
      <x:c r="A2186" s="60" t="n">
        <x:v>0.68</x:v>
      </x:c>
      <x:c r="B2186" s="28" t="str">
        <x:v>back_low</x:v>
      </x:c>
      <x:c r="C2186" s="60" t="n">
        <x:v>0.75</x:v>
      </x:c>
      <x:c r="D2186" s="60" t="n">
        <x:v>0.75</x:v>
      </x:c>
      <x:c r="E2186" s="62" t="b">
        <x:v>1</x:v>
      </x:c>
      <x:c r="F2186" s="62" t="b">
        <x:v>0</x:v>
      </x:c>
      <x:c r="G2186" s="85" t="n">
        <x:v>619963.5453048031</x:v>
      </x:c>
      <x:c r="H2186" s="85" t="n">
        <x:v>7269652.464572055</x:v>
      </x:c>
      <x:c r="I2186" s="85" t="n">
        <x:v>7733174.215890403</x:v>
      </x:c>
      <x:c r="J2186" s="85" t="n">
        <x:v>12263679.999999996</x:v>
      </x:c>
      <x:c r="K2186" s="85" t="n">
        <x:v>70546.30787671251</x:v>
      </x:c>
      <x:c r="L2186" s="28" t="n">
        <x:v>42</x:v>
      </x:c>
      <x:c r="M2186" s="28" t="n">
        <x:v>32</x:v>
      </x:c>
      <x:c r="N2186" s="28" t="n">
        <x:v>4.656612873077393e-10</x:v>
      </x:c>
      <x:c r="O2186" s="28" t="n">
        <x:v>7.450580596923828e-9</x:v>
      </x:c>
      <x:c r="P2186" s="28" t="n">
        <x:v>0</x:v>
      </x:c>
      <x:c r="Q2186" s="62" t="b">
        <x:v>1</x:v>
      </x:c>
      <x:c r="R2186" s="28" t="n">
        <x:v>0</x:v>
      </x:c>
      <x:c r="S2186" s="28" t="str">
        <x:v>7aae8c0688ba8971</x:v>
      </x:c>
    </x:row>
    <x:row r="2187" ht="21" customHeight="1">
      <x:c r="A2187" s="60" t="n">
        <x:v>0.68</x:v>
      </x:c>
      <x:c r="B2187" s="28" t="str">
        <x:v>back_low</x:v>
      </x:c>
      <x:c r="C2187" s="60" t="n">
        <x:v>0.8</x:v>
      </x:c>
      <x:c r="D2187" s="60" t="n">
        <x:v>0.8</x:v>
      </x:c>
      <x:c r="E2187" s="62" t="b">
        <x:v>1</x:v>
      </x:c>
      <x:c r="F2187" s="62" t="b">
        <x:v>0</x:v>
      </x:c>
      <x:c r="G2187" s="85" t="n">
        <x:v>787203.0426797415</x:v>
      </x:c>
      <x:c r="H2187" s="85" t="n">
        <x:v>9216090.426477188</x:v>
      </x:c>
      <x:c r="I2187" s="85" t="n">
        <x:v>7736362.059418513</x:v>
      </x:c>
      <x:c r="J2187" s="85" t="n">
        <x:v>12263679.999999996</x:v>
      </x:c>
      <x:c r="K2187" s="85" t="n">
        <x:v>63989.94706849359</x:v>
      </x:c>
      <x:c r="L2187" s="28" t="n">
        <x:v>42</x:v>
      </x:c>
      <x:c r="M2187" s="28" t="n">
        <x:v>33</x:v>
      </x:c>
      <x:c r="N2187" s="28" t="n">
        <x:v>4.656612873077393e-10</x:v>
      </x:c>
      <x:c r="O2187" s="28" t="n">
        <x:v>3.725290298461914e-9</x:v>
      </x:c>
      <x:c r="P2187" s="28" t="n">
        <x:v>0</x:v>
      </x:c>
      <x:c r="Q2187" s="62" t="b">
        <x:v>1</x:v>
      </x:c>
      <x:c r="R2187" s="28" t="n">
        <x:v>0</x:v>
      </x:c>
      <x:c r="S2187" s="28" t="str">
        <x:v>e4739363f260b751</x:v>
      </x:c>
    </x:row>
    <x:row r="2188" ht="21" customHeight="1">
      <x:c r="A2188" s="60" t="n">
        <x:v>0.68</x:v>
      </x:c>
      <x:c r="B2188" s="28" t="str">
        <x:v>back_low</x:v>
      </x:c>
      <x:c r="C2188" s="60" t="n">
        <x:v>0.85</x:v>
      </x:c>
      <x:c r="D2188" s="60" t="n">
        <x:v>0.85</x:v>
      </x:c>
      <x:c r="E2188" s="62" t="b">
        <x:v>1</x:v>
      </x:c>
      <x:c r="F2188" s="62" t="b">
        <x:v>0</x:v>
      </x:c>
      <x:c r="G2188" s="85" t="n">
        <x:v>1036909.3117386785</x:v>
      </x:c>
      <x:c r="H2188" s="85" t="n">
        <x:v>10854438.270611761</x:v>
      </x:c>
      <x:c r="I2188" s="85" t="n">
        <x:v>7921417.917115061</x:v>
      </x:c>
      <x:c r="J2188" s="85" t="n">
        <x:v>12263679.999999996</x:v>
      </x:c>
      <x:c r="K2188" s="85" t="n">
        <x:v>57433.58626027379</x:v>
      </x:c>
      <x:c r="L2188" s="28" t="n">
        <x:v>43</x:v>
      </x:c>
      <x:c r="M2188" s="28" t="n">
        <x:v>34</x:v>
      </x:c>
      <x:c r="N2188" s="28" t="n">
        <x:v>4.656612873077393e-10</x:v>
      </x:c>
      <x:c r="O2188" s="28" t="n">
        <x:v>9.313225746154785e-10</x:v>
      </x:c>
      <x:c r="P2188" s="28" t="n">
        <x:v>0</x:v>
      </x:c>
      <x:c r="Q2188" s="62" t="b">
        <x:v>1</x:v>
      </x:c>
      <x:c r="R2188" s="28" t="n">
        <x:v>0</x:v>
      </x:c>
      <x:c r="S2188" s="28" t="str">
        <x:v>556702c6e820400b</x:v>
      </x:c>
    </x:row>
    <x:row r="2189" ht="21" customHeight="1">
      <x:c r="A2189" s="60" t="n">
        <x:v>0.68</x:v>
      </x:c>
      <x:c r="B2189" s="28" t="str">
        <x:v>back_low</x:v>
      </x:c>
      <x:c r="C2189" s="60" t="n">
        <x:v>0.9</x:v>
      </x:c>
      <x:c r="D2189" s="60" t="n">
        <x:v>0.880265491166173</x:v>
      </x:c>
      <x:c r="E2189" s="62" t="b">
        <x:v>0</x:v>
      </x:c>
      <x:c r="F2189" s="62" t="b">
        <x:v>0</x:v>
      </x:c>
      <x:c r="G2189" s="85" t="n">
        <x:v>1347610.7677218944</x:v>
      </x:c>
      <x:c r="H2189" s="85" t="n">
        <x:v>11815751.764839208</x:v>
      </x:c>
      <x:c r="I2189" s="85" t="n">
        <x:v>7924982.614241088</x:v>
      </x:c>
      <x:c r="J2189" s="85" t="n">
        <x:v>12263679.999999996</x:v>
      </x:c>
      <x:c r="K2189" s="85" t="n">
        <x:v>50877.22545205476</x:v>
      </x:c>
      <x:c r="L2189" s="28" t="n">
        <x:v>43</x:v>
      </x:c>
      <x:c r="M2189" s="28" t="n">
        <x:v>34</x:v>
      </x:c>
      <x:c r="N2189" s="28" t="n">
        <x:v>5.820766091346741e-11</x:v>
      </x:c>
      <x:c r="O2189" s="28" t="n">
        <x:v>3.725290298461914e-9</x:v>
      </x:c>
      <x:c r="P2189" s="28" t="n">
        <x:v>0</x:v>
      </x:c>
      <x:c r="Q2189" s="62" t="b">
        <x:v>1</x:v>
      </x:c>
      <x:c r="R2189" s="28" t="n">
        <x:v>1100080.4604328498</x:v>
      </x:c>
      <x:c r="S2189" s="28" t="str">
        <x:v>de5725ce4eb3def0</x:v>
      </x:c>
    </x:row>
    <x:row r="2190" ht="21" customHeight="1">
      <x:c r="A2190" s="60" t="n">
        <x:v>0.68</x:v>
      </x:c>
      <x:c r="B2190" s="28" t="str">
        <x:v>back_low</x:v>
      </x:c>
      <x:c r="C2190" s="60" t="n">
        <x:v>0.95</x:v>
      </x:c>
      <x:c r="D2190" s="60" t="n">
        <x:v>0.8954794051096439</x:v>
      </x:c>
      <x:c r="E2190" s="62" t="b">
        <x:v>0</x:v>
      </x:c>
      <x:c r="F2190" s="62" t="b">
        <x:v>0</x:v>
      </x:c>
      <x:c r="G2190" s="85" t="n">
        <x:v>1426546.4343325025</x:v>
      </x:c>
      <x:c r="H2190" s="85" t="n">
        <x:v>12507853.864646364</x:v>
      </x:c>
      <x:c r="I2190" s="85" t="n">
        <x:v>7928547.311367116</x:v>
      </x:c>
      <x:c r="J2190" s="85" t="n">
        <x:v>12263679.999999996</x:v>
      </x:c>
      <x:c r="K2190" s="85" t="n">
        <x:v>45100.492808219475</x:v>
      </x:c>
      <x:c r="L2190" s="28" t="n">
        <x:v>43</x:v>
      </x:c>
      <x:c r="M2190" s="28" t="n">
        <x:v>35</x:v>
      </x:c>
      <x:c r="N2190" s="28" t="n">
        <x:v>4.656612873077393e-10</x:v>
      </x:c>
      <x:c r="O2190" s="28" t="n">
        <x:v>3.725290298461914e-9</x:v>
      </x:c>
      <x:c r="P2190" s="28" t="n">
        <x:v>0</x:v>
      </x:c>
      <x:c r="Q2190" s="62" t="b">
        <x:v>1</x:v>
      </x:c>
      <x:c r="R2190" s="28" t="n">
        <x:v>3039196.041568011</x:v>
      </x:c>
      <x:c r="S2190" s="28" t="str">
        <x:v>9758032b861c70d2</x:v>
      </x:c>
    </x:row>
    <x:row r="2191" ht="21" customHeight="1">
      <x:c r="A2191" s="60" t="n">
        <x:v>0.68</x:v>
      </x:c>
      <x:c r="B2191" s="28" t="str">
        <x:v>back_low</x:v>
      </x:c>
      <x:c r="C2191" s="60" t="n">
        <x:v>1</x:v>
      </x:c>
      <x:c r="D2191" s="60" t="n">
        <x:v>0.9093341115290656</x:v>
      </x:c>
      <x:c r="E2191" s="62" t="b">
        <x:v>0</x:v>
      </x:c>
      <x:c r="F2191" s="62" t="b">
        <x:v>0</x:v>
      </x:c>
      <x:c r="G2191" s="85" t="n">
        <x:v>1531304.3869907397</x:v>
      </x:c>
      <x:c r="H2191" s="85" t="n">
        <x:v>12885310.216280978</x:v>
      </x:c>
      <x:c r="I2191" s="85" t="n">
        <x:v>8100076.642191772</x:v>
      </x:c>
      <x:c r="J2191" s="85" t="n">
        <x:v>12263679.999999996</x:v>
      </x:c>
      <x:c r="K2191" s="85" t="n">
        <x:v>43066.21430136983</x:v>
      </x:c>
      <x:c r="L2191" s="28" t="n">
        <x:v>44</x:v>
      </x:c>
      <x:c r="M2191" s="28" t="n">
        <x:v>36</x:v>
      </x:c>
      <x:c r="N2191" s="28" t="n">
        <x:v>2.3283064365386963e-10</x:v>
      </x:c>
      <x:c r="O2191" s="28" t="n">
        <x:v>3.725290298461914e-9</x:v>
      </x:c>
      <x:c r="P2191" s="28" t="n">
        <x:v>0</x:v>
      </x:c>
      <x:c r="Q2191" s="62" t="b">
        <x:v>1</x:v>
      </x:c>
      <x:c r="R2191" s="28" t="n">
        <x:v>5054079.286923766</x:v>
      </x:c>
      <x:c r="S2191" s="28" t="str">
        <x:v>981b6d26e2a00f54</x:v>
      </x:c>
    </x:row>
    <x:row r="2192" ht="21" customHeight="1">
      <x:c r="A2192" s="60" t="n">
        <x:v>0.68</x:v>
      </x:c>
      <x:c r="B2192" s="28" t="str">
        <x:v>back_high</x:v>
      </x:c>
      <x:c r="C2192" s="60" t="n">
        <x:v>0</x:v>
      </x:c>
      <x:c r="D2192" s="60" t="n">
        <x:v>0</x:v>
      </x:c>
      <x:c r="E2192" s="62" t="b">
        <x:v>1</x:v>
      </x:c>
      <x:c r="F2192" s="62" t="b">
        <x:v>1</x:v>
      </x:c>
      <x:c r="G2192" s="85" t="n">
        <x:v>0</x:v>
      </x:c>
      <x:c r="H2192" s="85" t="n">
        <x:v>0</x:v>
      </x:c>
      <x:c r="I2192" s="85" t="n">
        <x:v>0</x:v>
      </x:c>
      <x:c r="J2192" s="85" t="n">
        <x:v>0</x:v>
      </x:c>
      <x:c r="K2192" s="85" t="n">
        <x:v>7547640.424767128</x:v>
      </x:c>
      <x:c r="L2192" s="28" t="n">
        <x:v>0</x:v>
      </x:c>
      <x:c r="M2192" s="28" t="n">
        <x:v>0</x:v>
      </x:c>
      <x:c r="N2192" s="28" t="n">
        <x:v>9.313225746154785e-10</x:v>
      </x:c>
      <x:c r="O2192" s="28" t="n">
        <x:v>0</x:v>
      </x:c>
      <x:c r="P2192" s="28" t="n">
        <x:v>0</x:v>
      </x:c>
      <x:c r="Q2192" s="62" t="b">
        <x:v>1</x:v>
      </x:c>
      <x:c r="R2192" s="28" t="n">
        <x:v>0</x:v>
      </x:c>
      <x:c r="S2192" s="28" t="str">
        <x:v>c2097498eaf6cd99</x:v>
      </x:c>
    </x:row>
    <x:row r="2193" ht="21" customHeight="1">
      <x:c r="A2193" s="60" t="n">
        <x:v>0.68</x:v>
      </x:c>
      <x:c r="B2193" s="28" t="str">
        <x:v>back_high</x:v>
      </x:c>
      <x:c r="C2193" s="60" t="n">
        <x:v>0.05</x:v>
      </x:c>
      <x:c r="D2193" s="60" t="n">
        <x:v>0.05</x:v>
      </x:c>
      <x:c r="E2193" s="62" t="b">
        <x:v>1</x:v>
      </x:c>
      <x:c r="F2193" s="62" t="b">
        <x:v>1</x:v>
      </x:c>
      <x:c r="G2193" s="85" t="n">
        <x:v>0</x:v>
      </x:c>
      <x:c r="H2193" s="85" t="n">
        <x:v>0</x:v>
      </x:c>
      <x:c r="I2193" s="85" t="n">
        <x:v>0</x:v>
      </x:c>
      <x:c r="J2193" s="85" t="n">
        <x:v>0</x:v>
      </x:c>
      <x:c r="K2193" s="85" t="n">
        <x:v>5103355.43195424</x:v>
      </x:c>
      <x:c r="L2193" s="28" t="n">
        <x:v>0</x:v>
      </x:c>
      <x:c r="M2193" s="28" t="n">
        <x:v>0</x:v>
      </x:c>
      <x:c r="N2193" s="28" t="n">
        <x:v>4.656612873077393e-10</x:v>
      </x:c>
      <x:c r="O2193" s="28" t="n">
        <x:v>7.450580596923828e-9</x:v>
      </x:c>
      <x:c r="P2193" s="28" t="n">
        <x:v>0</x:v>
      </x:c>
      <x:c r="Q2193" s="62" t="b">
        <x:v>1</x:v>
      </x:c>
      <x:c r="R2193" s="28" t="n">
        <x:v>0</x:v>
      </x:c>
      <x:c r="S2193" s="28" t="str">
        <x:v>6b1a1dfa538b9f5c</x:v>
      </x:c>
    </x:row>
    <x:row r="2194" ht="21" customHeight="1">
      <x:c r="A2194" s="60" t="n">
        <x:v>0.68</x:v>
      </x:c>
      <x:c r="B2194" s="28" t="str">
        <x:v>back_high</x:v>
      </x:c>
      <x:c r="C2194" s="60" t="n">
        <x:v>0.1</x:v>
      </x:c>
      <x:c r="D2194" s="60" t="n">
        <x:v>0.1</x:v>
      </x:c>
      <x:c r="E2194" s="62" t="b">
        <x:v>1</x:v>
      </x:c>
      <x:c r="F2194" s="62" t="b">
        <x:v>1</x:v>
      </x:c>
      <x:c r="G2194" s="85" t="n">
        <x:v>0</x:v>
      </x:c>
      <x:c r="H2194" s="85" t="n">
        <x:v>0</x:v>
      </x:c>
      <x:c r="I2194" s="85" t="n">
        <x:v>0</x:v>
      </x:c>
      <x:c r="J2194" s="85" t="n">
        <x:v>0</x:v>
      </x:c>
      <x:c r="K2194" s="85" t="n">
        <x:v>2659070.4391413694</x:v>
      </x:c>
      <x:c r="L2194" s="28" t="n">
        <x:v>0</x:v>
      </x:c>
      <x:c r="M2194" s="28" t="n">
        <x:v>0</x:v>
      </x:c>
      <x:c r="N2194" s="28" t="n">
        <x:v>9.313225746154785e-10</x:v>
      </x:c>
      <x:c r="O2194" s="28" t="n">
        <x:v>7.450580596923828e-9</x:v>
      </x:c>
      <x:c r="P2194" s="28" t="n">
        <x:v>0</x:v>
      </x:c>
      <x:c r="Q2194" s="62" t="b">
        <x:v>1</x:v>
      </x:c>
      <x:c r="R2194" s="28" t="n">
        <x:v>0</x:v>
      </x:c>
      <x:c r="S2194" s="28" t="str">
        <x:v>820afd03acdd36f0</x:v>
      </x:c>
    </x:row>
    <x:row r="2195" ht="21" customHeight="1">
      <x:c r="A2195" s="60" t="n">
        <x:v>0.68</x:v>
      </x:c>
      <x:c r="B2195" s="28" t="str">
        <x:v>back_high</x:v>
      </x:c>
      <x:c r="C2195" s="60" t="n">
        <x:v>0.15</x:v>
      </x:c>
      <x:c r="D2195" s="60" t="n">
        <x:v>0.15</x:v>
      </x:c>
      <x:c r="E2195" s="62" t="b">
        <x:v>1</x:v>
      </x:c>
      <x:c r="F2195" s="62" t="b">
        <x:v>1</x:v>
      </x:c>
      <x:c r="G2195" s="85" t="n">
        <x:v>0</x:v>
      </x:c>
      <x:c r="H2195" s="85" t="n">
        <x:v>0</x:v>
      </x:c>
      <x:c r="I2195" s="85" t="n">
        <x:v>553205.3906801422</x:v>
      </x:c>
      <x:c r="J2195" s="85" t="n">
        <x:v>0</x:v>
      </x:c>
      <x:c r="K2195" s="85" t="n">
        <x:v>793920.0493279574</x:v>
      </x:c>
      <x:c r="L2195" s="28" t="n">
        <x:v>0</x:v>
      </x:c>
      <x:c r="M2195" s="28" t="n">
        <x:v>0</x:v>
      </x:c>
      <x:c r="N2195" s="28" t="n">
        <x:v>9.313225746154785e-10</x:v>
      </x:c>
      <x:c r="O2195" s="28" t="n">
        <x:v>7.450580596923828e-9</x:v>
      </x:c>
      <x:c r="P2195" s="28" t="n">
        <x:v>0</x:v>
      </x:c>
      <x:c r="Q2195" s="62" t="b">
        <x:v>1</x:v>
      </x:c>
      <x:c r="R2195" s="28" t="n">
        <x:v>0</x:v>
      </x:c>
      <x:c r="S2195" s="28" t="str">
        <x:v>390f7b53010c05e6</x:v>
      </x:c>
    </x:row>
    <x:row r="2196" ht="21" customHeight="1">
      <x:c r="A2196" s="60" t="n">
        <x:v>0.68</x:v>
      </x:c>
      <x:c r="B2196" s="28" t="str">
        <x:v>back_high</x:v>
      </x:c>
      <x:c r="C2196" s="60" t="n">
        <x:v>0.2</x:v>
      </x:c>
      <x:c r="D2196" s="60" t="n">
        <x:v>0.2</x:v>
      </x:c>
      <x:c r="E2196" s="62" t="b">
        <x:v>1</x:v>
      </x:c>
      <x:c r="F2196" s="62" t="b">
        <x:v>1</x:v>
      </x:c>
      <x:c r="G2196" s="85" t="n">
        <x:v>0</x:v>
      </x:c>
      <x:c r="H2196" s="85" t="n">
        <x:v>0</x:v>
      </x:c>
      <x:c r="I2196" s="85" t="n">
        <x:v>2365980.8727205703</x:v>
      </x:c>
      <x:c r="J2196" s="85" t="n">
        <x:v>1245718.9057329323</x:v>
      </x:c>
      <x:c r="K2196" s="85" t="n">
        <x:v>645290.8856722937</x:v>
      </x:c>
      <x:c r="L2196" s="28" t="n">
        <x:v>0</x:v>
      </x:c>
      <x:c r="M2196" s="28" t="n">
        <x:v>0</x:v>
      </x:c>
      <x:c r="N2196" s="28" t="n">
        <x:v>9.313225746154785e-10</x:v>
      </x:c>
      <x:c r="O2196" s="28" t="n">
        <x:v>7.450580596923828e-9</x:v>
      </x:c>
      <x:c r="P2196" s="28" t="n">
        <x:v>0</x:v>
      </x:c>
      <x:c r="Q2196" s="62" t="b">
        <x:v>1</x:v>
      </x:c>
      <x:c r="R2196" s="28" t="n">
        <x:v>0</x:v>
      </x:c>
      <x:c r="S2196" s="28" t="str">
        <x:v>10cdf7a4ab2e44e5</x:v>
      </x:c>
    </x:row>
    <x:row r="2197" ht="21" customHeight="1">
      <x:c r="A2197" s="60" t="n">
        <x:v>0.68</x:v>
      </x:c>
      <x:c r="B2197" s="28" t="str">
        <x:v>back_high</x:v>
      </x:c>
      <x:c r="C2197" s="60" t="n">
        <x:v>0.25</x:v>
      </x:c>
      <x:c r="D2197" s="60" t="n">
        <x:v>0.25</x:v>
      </x:c>
      <x:c r="E2197" s="62" t="b">
        <x:v>1</x:v>
      </x:c>
      <x:c r="F2197" s="62" t="b">
        <x:v>1</x:v>
      </x:c>
      <x:c r="G2197" s="85" t="n">
        <x:v>0</x:v>
      </x:c>
      <x:c r="H2197" s="85" t="n">
        <x:v>0</x:v>
      </x:c>
      <x:c r="I2197" s="85" t="n">
        <x:v>3934879.383860895</x:v>
      </x:c>
      <x:c r="J2197" s="85" t="n">
        <x:v>2950748.6321661975</x:v>
      </x:c>
      <x:c r="K2197" s="85" t="n">
        <x:v>537456.2888437877</x:v>
      </x:c>
      <x:c r="L2197" s="28" t="n">
        <x:v>0</x:v>
      </x:c>
      <x:c r="M2197" s="28" t="n">
        <x:v>0</x:v>
      </x:c>
      <x:c r="N2197" s="28" t="n">
        <x:v>9.313225746154785e-10</x:v>
      </x:c>
      <x:c r="O2197" s="28" t="n">
        <x:v>7.450580596923828e-9</x:v>
      </x:c>
      <x:c r="P2197" s="28" t="n">
        <x:v>0</x:v>
      </x:c>
      <x:c r="Q2197" s="62" t="b">
        <x:v>1</x:v>
      </x:c>
      <x:c r="R2197" s="28" t="n">
        <x:v>0</x:v>
      </x:c>
      <x:c r="S2197" s="28" t="str">
        <x:v>90e955d16cd87a4a</x:v>
      </x:c>
    </x:row>
    <x:row r="2198" ht="21" customHeight="1">
      <x:c r="A2198" s="60" t="n">
        <x:v>0.68</x:v>
      </x:c>
      <x:c r="B2198" s="28" t="str">
        <x:v>back_high</x:v>
      </x:c>
      <x:c r="C2198" s="60" t="n">
        <x:v>0.3</x:v>
      </x:c>
      <x:c r="D2198" s="60" t="n">
        <x:v>0.3</x:v>
      </x:c>
      <x:c r="E2198" s="62" t="b">
        <x:v>1</x:v>
      </x:c>
      <x:c r="F2198" s="62" t="b">
        <x:v>1</x:v>
      </x:c>
      <x:c r="G2198" s="85" t="n">
        <x:v>0</x:v>
      </x:c>
      <x:c r="H2198" s="85" t="n">
        <x:v>0</x:v>
      </x:c>
      <x:c r="I2198" s="85" t="n">
        <x:v>5533723.177160352</x:v>
      </x:c>
      <x:c r="J2198" s="85" t="n">
        <x:v>4655778.3585994225</x:v>
      </x:c>
      <x:c r="K2198" s="85" t="n">
        <x:v>466795.92082066</x:v>
      </x:c>
      <x:c r="L2198" s="28" t="n">
        <x:v>0</x:v>
      </x:c>
      <x:c r="M2198" s="28" t="n">
        <x:v>0</x:v>
      </x:c>
      <x:c r="N2198" s="28" t="n">
        <x:v>4.656612873077393e-10</x:v>
      </x:c>
      <x:c r="O2198" s="28" t="n">
        <x:v>7.450580596923828e-9</x:v>
      </x:c>
      <x:c r="P2198" s="28" t="n">
        <x:v>0</x:v>
      </x:c>
      <x:c r="Q2198" s="62" t="b">
        <x:v>1</x:v>
      </x:c>
      <x:c r="R2198" s="28" t="n">
        <x:v>0</x:v>
      </x:c>
      <x:c r="S2198" s="28" t="str">
        <x:v>1301b93f78e1521c</x:v>
      </x:c>
    </x:row>
    <x:row r="2199" ht="21" customHeight="1">
      <x:c r="A2199" s="60" t="n">
        <x:v>0.68</x:v>
      </x:c>
      <x:c r="B2199" s="28" t="str">
        <x:v>back_high</x:v>
      </x:c>
      <x:c r="C2199" s="60" t="n">
        <x:v>0.35</x:v>
      </x:c>
      <x:c r="D2199" s="60" t="n">
        <x:v>0.35</x:v>
      </x:c>
      <x:c r="E2199" s="62" t="b">
        <x:v>1</x:v>
      </x:c>
      <x:c r="F2199" s="62" t="b">
        <x:v>1</x:v>
      </x:c>
      <x:c r="G2199" s="85" t="n">
        <x:v>0</x:v>
      </x:c>
      <x:c r="H2199" s="85" t="n">
        <x:v>0</x:v>
      </x:c>
      <x:c r="I2199" s="85" t="n">
        <x:v>7224820.297754331</x:v>
      </x:c>
      <x:c r="J2199" s="85" t="n">
        <x:v>6121971.043797924</x:v>
      </x:c>
      <x:c r="K2199" s="85" t="n">
        <x:v>397449.3736880291</x:v>
      </x:c>
      <x:c r="L2199" s="28" t="n">
        <x:v>2</x:v>
      </x:c>
      <x:c r="M2199" s="28" t="n">
        <x:v>0</x:v>
      </x:c>
      <x:c r="N2199" s="28" t="n">
        <x:v>4.656612873077393e-10</x:v>
      </x:c>
      <x:c r="O2199" s="28" t="n">
        <x:v>3.725290298461914e-9</x:v>
      </x:c>
      <x:c r="P2199" s="28" t="n">
        <x:v>0</x:v>
      </x:c>
      <x:c r="Q2199" s="62" t="b">
        <x:v>1</x:v>
      </x:c>
      <x:c r="R2199" s="28" t="n">
        <x:v>0</x:v>
      </x:c>
      <x:c r="S2199" s="28" t="str">
        <x:v>5c9258e3fa2aa733</x:v>
      </x:c>
    </x:row>
    <x:row r="2200" ht="21" customHeight="1">
      <x:c r="A2200" s="60" t="n">
        <x:v>0.68</x:v>
      </x:c>
      <x:c r="B2200" s="28" t="str">
        <x:v>back_high</x:v>
      </x:c>
      <x:c r="C2200" s="60" t="n">
        <x:v>0.4</x:v>
      </x:c>
      <x:c r="D2200" s="60" t="n">
        <x:v>0.4</x:v>
      </x:c>
      <x:c r="E2200" s="62" t="b">
        <x:v>1</x:v>
      </x:c>
      <x:c r="F2200" s="62" t="b">
        <x:v>1</x:v>
      </x:c>
      <x:c r="G2200" s="85" t="n">
        <x:v>0</x:v>
      </x:c>
      <x:c r="H2200" s="85" t="n">
        <x:v>0</x:v>
      </x:c>
      <x:c r="I2200" s="85" t="n">
        <x:v>8998995.921168275</x:v>
      </x:c>
      <x:c r="J2200" s="85" t="n">
        <x:v>7024570.282290117</x:v>
      </x:c>
      <x:c r="K2200" s="85" t="n">
        <x:v>344927.06981238414</x:v>
      </x:c>
      <x:c r="L2200" s="28" t="n">
        <x:v>7</x:v>
      </x:c>
      <x:c r="M2200" s="28" t="n">
        <x:v>0</x:v>
      </x:c>
      <x:c r="N2200" s="28" t="n">
        <x:v>2.3283064365386963e-10</x:v>
      </x:c>
      <x:c r="O2200" s="28" t="n">
        <x:v>7.450580596923828e-9</x:v>
      </x:c>
      <x:c r="P2200" s="28" t="n">
        <x:v>0</x:v>
      </x:c>
      <x:c r="Q2200" s="62" t="b">
        <x:v>1</x:v>
      </x:c>
      <x:c r="R2200" s="28" t="n">
        <x:v>0</x:v>
      </x:c>
      <x:c r="S2200" s="28" t="str">
        <x:v>7f8712eb6d687647</x:v>
      </x:c>
    </x:row>
    <x:row r="2201" ht="21" customHeight="1">
      <x:c r="A2201" s="60" t="n">
        <x:v>0.68</x:v>
      </x:c>
      <x:c r="B2201" s="28" t="str">
        <x:v>back_high</x:v>
      </x:c>
      <x:c r="C2201" s="60" t="n">
        <x:v>0.45</x:v>
      </x:c>
      <x:c r="D2201" s="60" t="n">
        <x:v>0.45</x:v>
      </x:c>
      <x:c r="E2201" s="62" t="b">
        <x:v>1</x:v>
      </x:c>
      <x:c r="F2201" s="62" t="b">
        <x:v>1</x:v>
      </x:c>
      <x:c r="G2201" s="85" t="n">
        <x:v>0</x:v>
      </x:c>
      <x:c r="H2201" s="85" t="n">
        <x:v>0</x:v>
      </x:c>
      <x:c r="I2201" s="85" t="n">
        <x:v>10693918.900560822</x:v>
      </x:c>
      <x:c r="J2201" s="85" t="n">
        <x:v>8125143.95575374</x:v>
      </x:c>
      <x:c r="K2201" s="85" t="n">
        <x:v>305462.11626495956</x:v>
      </x:c>
      <x:c r="L2201" s="28" t="n">
        <x:v>11</x:v>
      </x:c>
      <x:c r="M2201" s="28" t="n">
        <x:v>1</x:v>
      </x:c>
      <x:c r="N2201" s="28" t="n">
        <x:v>2.3283064365386963e-10</x:v>
      </x:c>
      <x:c r="O2201" s="28" t="n">
        <x:v>7.450580596923828e-9</x:v>
      </x:c>
      <x:c r="P2201" s="28" t="n">
        <x:v>0</x:v>
      </x:c>
      <x:c r="Q2201" s="62" t="b">
        <x:v>1</x:v>
      </x:c>
      <x:c r="R2201" s="28" t="n">
        <x:v>0</x:v>
      </x:c>
      <x:c r="S2201" s="28" t="str">
        <x:v>72bb8f3c8696eb50</x:v>
      </x:c>
    </x:row>
    <x:row r="2202" ht="21" customHeight="1">
      <x:c r="A2202" s="60" t="n">
        <x:v>0.68</x:v>
      </x:c>
      <x:c r="B2202" s="28" t="str">
        <x:v>back_high</x:v>
      </x:c>
      <x:c r="C2202" s="60" t="n">
        <x:v>0.5</x:v>
      </x:c>
      <x:c r="D2202" s="60" t="n">
        <x:v>0.5</x:v>
      </x:c>
      <x:c r="E2202" s="62" t="b">
        <x:v>1</x:v>
      </x:c>
      <x:c r="F2202" s="62" t="b">
        <x:v>1</x:v>
      </x:c>
      <x:c r="G2202" s="85" t="n">
        <x:v>0</x:v>
      </x:c>
      <x:c r="H2202" s="85" t="n">
        <x:v>0</x:v>
      </x:c>
      <x:c r="I2202" s="85" t="n">
        <x:v>12313493.199605742</x:v>
      </x:c>
      <x:c r="J2202" s="85" t="n">
        <x:v>9822806.842978219</x:v>
      </x:c>
      <x:c r="K2202" s="85" t="n">
        <x:v>267176.5312191789</x:v>
      </x:c>
      <x:c r="L2202" s="28" t="n">
        <x:v>14</x:v>
      </x:c>
      <x:c r="M2202" s="28" t="n">
        <x:v>5</x:v>
      </x:c>
      <x:c r="N2202" s="28" t="n">
        <x:v>4.656612873077393e-10</x:v>
      </x:c>
      <x:c r="O2202" s="28" t="n">
        <x:v>1.862645149230957e-9</x:v>
      </x:c>
      <x:c r="P2202" s="28" t="n">
        <x:v>0</x:v>
      </x:c>
      <x:c r="Q2202" s="62" t="b">
        <x:v>1</x:v>
      </x:c>
      <x:c r="R2202" s="28" t="n">
        <x:v>0</x:v>
      </x:c>
      <x:c r="S2202" s="28" t="str">
        <x:v>ba8b939d6d8344ca</x:v>
      </x:c>
    </x:row>
    <x:row r="2203" ht="21" customHeight="1">
      <x:c r="A2203" s="60" t="n">
        <x:v>0.68</x:v>
      </x:c>
      <x:c r="B2203" s="28" t="str">
        <x:v>back_high</x:v>
      </x:c>
      <x:c r="C2203" s="60" t="n">
        <x:v>0.55</x:v>
      </x:c>
      <x:c r="D2203" s="60" t="n">
        <x:v>0.55</x:v>
      </x:c>
      <x:c r="E2203" s="62" t="b">
        <x:v>1</x:v>
      </x:c>
      <x:c r="F2203" s="62" t="b">
        <x:v>1</x:v>
      </x:c>
      <x:c r="G2203" s="85" t="n">
        <x:v>0</x:v>
      </x:c>
      <x:c r="H2203" s="85" t="n">
        <x:v>0</x:v>
      </x:c>
      <x:c r="I2203" s="85" t="n">
        <x:v>13880092.475676164</x:v>
      </x:c>
      <x:c r="J2203" s="85" t="n">
        <x:v>11691752.115877552</x:v>
      </x:c>
      <x:c r="K2203" s="85" t="n">
        <x:v>243194.258561643</x:v>
      </x:c>
      <x:c r="L2203" s="28" t="n">
        <x:v>20</x:v>
      </x:c>
      <x:c r="M2203" s="28" t="n">
        <x:v>10</x:v>
      </x:c>
      <x:c r="N2203" s="28" t="n">
        <x:v>4.656612873077393e-10</x:v>
      </x:c>
      <x:c r="O2203" s="28" t="n">
        <x:v>7.450580596923828e-9</x:v>
      </x:c>
      <x:c r="P2203" s="28" t="n">
        <x:v>0</x:v>
      </x:c>
      <x:c r="Q2203" s="62" t="b">
        <x:v>1</x:v>
      </x:c>
      <x:c r="R2203" s="28" t="n">
        <x:v>0</x:v>
      </x:c>
      <x:c r="S2203" s="28" t="str">
        <x:v>c29fad84736967e4</x:v>
      </x:c>
    </x:row>
    <x:row r="2204" ht="21" customHeight="1">
      <x:c r="A2204" s="60" t="n">
        <x:v>0.68</x:v>
      </x:c>
      <x:c r="B2204" s="28" t="str">
        <x:v>back_high</x:v>
      </x:c>
      <x:c r="C2204" s="60" t="n">
        <x:v>0.6</x:v>
      </x:c>
      <x:c r="D2204" s="60" t="n">
        <x:v>0.6</x:v>
      </x:c>
      <x:c r="E2204" s="62" t="b">
        <x:v>1</x:v>
      </x:c>
      <x:c r="F2204" s="62" t="b">
        <x:v>0</x:v>
      </x:c>
      <x:c r="G2204" s="85" t="n">
        <x:v>667296.8211997005</x:v>
      </x:c>
      <x:c r="H2204" s="85" t="n">
        <x:v>2143198.211182104</x:v>
      </x:c>
      <x:c r="I2204" s="85" t="n">
        <x:v>14217081.901268262</x:v>
      </x:c>
      <x:c r="J2204" s="85" t="n">
        <x:v>12263679.999999996</x:v>
      </x:c>
      <x:c r="K2204" s="85" t="n">
        <x:v>225227.03479452158</x:v>
      </x:c>
      <x:c r="L2204" s="28" t="n">
        <x:v>40</x:v>
      </x:c>
      <x:c r="M2204" s="28" t="n">
        <x:v>34</x:v>
      </x:c>
      <x:c r="N2204" s="28" t="n">
        <x:v>4.656612873077393e-10</x:v>
      </x:c>
      <x:c r="O2204" s="28" t="n">
        <x:v>7.450580596923828e-9</x:v>
      </x:c>
      <x:c r="P2204" s="28" t="n">
        <x:v>0</x:v>
      </x:c>
      <x:c r="Q2204" s="62" t="b">
        <x:v>1</x:v>
      </x:c>
      <x:c r="R2204" s="28" t="n">
        <x:v>0</x:v>
      </x:c>
      <x:c r="S2204" s="28" t="str">
        <x:v>94ed9f25477e4e73</x:v>
      </x:c>
    </x:row>
    <x:row r="2205" ht="21" customHeight="1">
      <x:c r="A2205" s="60" t="n">
        <x:v>0.68</x:v>
      </x:c>
      <x:c r="B2205" s="28" t="str">
        <x:v>back_high</x:v>
      </x:c>
      <x:c r="C2205" s="60" t="n">
        <x:v>0.65</x:v>
      </x:c>
      <x:c r="D2205" s="60" t="n">
        <x:v>0.65</x:v>
      </x:c>
      <x:c r="E2205" s="62" t="b">
        <x:v>1</x:v>
      </x:c>
      <x:c r="F2205" s="62" t="b">
        <x:v>0</x:v>
      </x:c>
      <x:c r="G2205" s="85" t="n">
        <x:v>1431151.9125781746</x:v>
      </x:c>
      <x:c r="H2205" s="85" t="n">
        <x:v>4325555.560455837</x:v>
      </x:c>
      <x:c r="I2205" s="85" t="n">
        <x:v>14545863.594603412</x:v>
      </x:c>
      <x:c r="J2205" s="85" t="n">
        <x:v>12263679.999999996</x:v>
      </x:c>
      <x:c r="K2205" s="85" t="n">
        <x:v>207259.81102739827</x:v>
      </x:c>
      <x:c r="L2205" s="28" t="n">
        <x:v>41</x:v>
      </x:c>
      <x:c r="M2205" s="28" t="n">
        <x:v>35</x:v>
      </x:c>
      <x:c r="N2205" s="28" t="n">
        <x:v>9.313225746154785e-10</x:v>
      </x:c>
      <x:c r="O2205" s="28" t="n">
        <x:v>7.450580596923828e-9</x:v>
      </x:c>
      <x:c r="P2205" s="28" t="n">
        <x:v>0</x:v>
      </x:c>
      <x:c r="Q2205" s="62" t="b">
        <x:v>1</x:v>
      </x:c>
      <x:c r="R2205" s="28" t="n">
        <x:v>0</x:v>
      </x:c>
      <x:c r="S2205" s="28" t="str">
        <x:v>48e36f56d0242fc2</x:v>
      </x:c>
    </x:row>
    <x:row r="2206" ht="21" customHeight="1">
      <x:c r="A2206" s="60" t="n">
        <x:v>0.68</x:v>
      </x:c>
      <x:c r="B2206" s="28" t="str">
        <x:v>back_high</x:v>
      </x:c>
      <x:c r="C2206" s="60" t="n">
        <x:v>0.7</x:v>
      </x:c>
      <x:c r="D2206" s="60" t="n">
        <x:v>0.7</x:v>
      </x:c>
      <x:c r="E2206" s="62" t="b">
        <x:v>1</x:v>
      </x:c>
      <x:c r="F2206" s="62" t="b">
        <x:v>0</x:v>
      </x:c>
      <x:c r="G2206" s="85" t="n">
        <x:v>2146495.5830351976</x:v>
      </x:c>
      <x:c r="H2206" s="85" t="n">
        <x:v>6470798.385031244</x:v>
      </x:c>
      <x:c r="I2206" s="85" t="n">
        <x:v>14865537.950710507</x:v>
      </x:c>
      <x:c r="J2206" s="85" t="n">
        <x:v>12263679.999999996</x:v>
      </x:c>
      <x:c r="K2206" s="85" t="n">
        <x:v>189292.5872602741</x:v>
      </x:c>
      <x:c r="L2206" s="28" t="n">
        <x:v>42</x:v>
      </x:c>
      <x:c r="M2206" s="28" t="n">
        <x:v>36</x:v>
      </x:c>
      <x:c r="N2206" s="28" t="n">
        <x:v>4.656612873077393e-10</x:v>
      </x:c>
      <x:c r="O2206" s="28" t="n">
        <x:v>3.725290298461914e-9</x:v>
      </x:c>
      <x:c r="P2206" s="28" t="n">
        <x:v>0</x:v>
      </x:c>
      <x:c r="Q2206" s="62" t="b">
        <x:v>1</x:v>
      </x:c>
      <x:c r="R2206" s="28" t="n">
        <x:v>0</x:v>
      </x:c>
      <x:c r="S2206" s="28" t="str">
        <x:v>4c88efbdebbcb571</x:v>
      </x:c>
    </x:row>
    <x:row r="2207" ht="21" customHeight="1">
      <x:c r="A2207" s="60" t="n">
        <x:v>0.68</x:v>
      </x:c>
      <x:c r="B2207" s="28" t="str">
        <x:v>back_high</x:v>
      </x:c>
      <x:c r="C2207" s="60" t="n">
        <x:v>0.75</x:v>
      </x:c>
      <x:c r="D2207" s="60" t="n">
        <x:v>0.75</x:v>
      </x:c>
      <x:c r="E2207" s="62" t="b">
        <x:v>1</x:v>
      </x:c>
      <x:c r="F2207" s="62" t="b">
        <x:v>0</x:v>
      </x:c>
      <x:c r="G2207" s="85" t="n">
        <x:v>3183476.992240682</x:v>
      </x:c>
      <x:c r="H2207" s="85" t="n">
        <x:v>8852284.906534217</x:v>
      </x:c>
      <x:c r="I2207" s="85" t="n">
        <x:v>14887332.746375741</x:v>
      </x:c>
      <x:c r="J2207" s="85" t="n">
        <x:v>12263679.999999996</x:v>
      </x:c>
      <x:c r="K2207" s="85" t="n">
        <x:v>171325.36349315106</x:v>
      </x:c>
      <x:c r="L2207" s="28" t="n">
        <x:v>42</x:v>
      </x:c>
      <x:c r="M2207" s="28" t="n">
        <x:v>37</x:v>
      </x:c>
      <x:c r="N2207" s="28" t="n">
        <x:v>4.656612873077393e-10</x:v>
      </x:c>
      <x:c r="O2207" s="28" t="n">
        <x:v>7.450580596923828e-9</x:v>
      </x:c>
      <x:c r="P2207" s="28" t="n">
        <x:v>0</x:v>
      </x:c>
      <x:c r="Q2207" s="62" t="b">
        <x:v>1</x:v>
      </x:c>
      <x:c r="R2207" s="28" t="n">
        <x:v>0</x:v>
      </x:c>
      <x:c r="S2207" s="28" t="str">
        <x:v>3ec78bee0887a7ee</x:v>
      </x:c>
    </x:row>
    <x:row r="2208" ht="21" customHeight="1">
      <x:c r="A2208" s="60" t="n">
        <x:v>0.68</x:v>
      </x:c>
      <x:c r="B2208" s="28" t="str">
        <x:v>back_high</x:v>
      </x:c>
      <x:c r="C2208" s="60" t="n">
        <x:v>0.8</x:v>
      </x:c>
      <x:c r="D2208" s="60" t="n">
        <x:v>0.8</x:v>
      </x:c>
      <x:c r="E2208" s="62" t="b">
        <x:v>1</x:v>
      </x:c>
      <x:c r="F2208" s="62" t="b">
        <x:v>0</x:v>
      </x:c>
      <x:c r="G2208" s="85" t="n">
        <x:v>4195992.634464393</x:v>
      </x:c>
      <x:c r="H2208" s="85" t="n">
        <x:v>11214754.366466379</x:v>
      </x:c>
      <x:c r="I2208" s="85" t="n">
        <x:v>14909127.542040974</x:v>
      </x:c>
      <x:c r="J2208" s="85" t="n">
        <x:v>12263679.999999996</x:v>
      </x:c>
      <x:c r="K2208" s="85" t="n">
        <x:v>153358.13972602776</x:v>
      </x:c>
      <x:c r="L2208" s="28" t="n">
        <x:v>42</x:v>
      </x:c>
      <x:c r="M2208" s="28" t="n">
        <x:v>38</x:v>
      </x:c>
      <x:c r="N2208" s="28" t="n">
        <x:v>4.656612873077393e-10</x:v>
      </x:c>
      <x:c r="O2208" s="28" t="n">
        <x:v>3.725290298461914e-9</x:v>
      </x:c>
      <x:c r="P2208" s="28" t="n">
        <x:v>0</x:v>
      </x:c>
      <x:c r="Q2208" s="62" t="b">
        <x:v>1</x:v>
      </x:c>
      <x:c r="R2208" s="28" t="n">
        <x:v>0</x:v>
      </x:c>
      <x:c r="S2208" s="28" t="str">
        <x:v>3dfcdeafa39f8f22</x:v>
      </x:c>
    </x:row>
    <x:row r="2209" ht="21" customHeight="1">
      <x:c r="A2209" s="60" t="n">
        <x:v>0.68</x:v>
      </x:c>
      <x:c r="B2209" s="28" t="str">
        <x:v>back_high</x:v>
      </x:c>
      <x:c r="C2209" s="60" t="n">
        <x:v>0.85</x:v>
      </x:c>
      <x:c r="D2209" s="60" t="n">
        <x:v>0.85</x:v>
      </x:c>
      <x:c r="E2209" s="62" t="b">
        <x:v>1</x:v>
      </x:c>
      <x:c r="F2209" s="62" t="b">
        <x:v>0</x:v>
      </x:c>
      <x:c r="G2209" s="85" t="n">
        <x:v>5488158.130114124</x:v>
      </x:c>
      <x:c r="H2209" s="85" t="n">
        <x:v>12637664.719544739</x:v>
      </x:c>
      <x:c r="I2209" s="85" t="n">
        <x:v>15216518.037642453</x:v>
      </x:c>
      <x:c r="J2209" s="85" t="n">
        <x:v>12263679.999999996</x:v>
      </x:c>
      <x:c r="K2209" s="85" t="n">
        <x:v>139288.7820410963</x:v>
      </x:c>
      <x:c r="L2209" s="28" t="n">
        <x:v>43</x:v>
      </x:c>
      <x:c r="M2209" s="28" t="n">
        <x:v>38</x:v>
      </x:c>
      <x:c r="N2209" s="28" t="n">
        <x:v>4.656612873077393e-10</x:v>
      </x:c>
      <x:c r="O2209" s="28" t="n">
        <x:v>9.313225746154785e-10</x:v>
      </x:c>
      <x:c r="P2209" s="28" t="n">
        <x:v>0</x:v>
      </x:c>
      <x:c r="Q2209" s="62" t="b">
        <x:v>1</x:v>
      </x:c>
      <x:c r="R2209" s="28" t="n">
        <x:v>0</x:v>
      </x:c>
      <x:c r="S2209" s="28" t="str">
        <x:v>9ee675d77d9e938c</x:v>
      </x:c>
    </x:row>
    <x:row r="2210" ht="21" customHeight="1">
      <x:c r="A2210" s="60" t="n">
        <x:v>0.68</x:v>
      </x:c>
      <x:c r="B2210" s="28" t="str">
        <x:v>back_high</x:v>
      </x:c>
      <x:c r="C2210" s="60" t="n">
        <x:v>0.9</x:v>
      </x:c>
      <x:c r="D2210" s="60" t="n">
        <x:v>0.880265491166173</x:v>
      </x:c>
      <x:c r="E2210" s="62" t="b">
        <x:v>0</x:v>
      </x:c>
      <x:c r="F2210" s="62" t="b">
        <x:v>0</x:v>
      </x:c>
      <x:c r="G2210" s="85" t="n">
        <x:v>6104125.8939004075</x:v>
      </x:c>
      <x:c r="H2210" s="85" t="n">
        <x:v>13741756.51790278</x:v>
      </x:c>
      <x:c r="I2210" s="85" t="n">
        <x:v>15226317.600391768</x:v>
      </x:c>
      <x:c r="J2210" s="85" t="n">
        <x:v>12263679.999999996</x:v>
      </x:c>
      <x:c r="K2210" s="85" t="n">
        <x:v>128511.98589041094</x:v>
      </x:c>
      <x:c r="L2210" s="28" t="n">
        <x:v>43</x:v>
      </x:c>
      <x:c r="M2210" s="28" t="n">
        <x:v>39</x:v>
      </x:c>
      <x:c r="N2210" s="28" t="n">
        <x:v>4.656612873077393e-10</x:v>
      </x:c>
      <x:c r="O2210" s="28" t="n">
        <x:v>3.725290298461914e-9</x:v>
      </x:c>
      <x:c r="P2210" s="28" t="n">
        <x:v>0</x:v>
      </x:c>
      <x:c r="Q2210" s="62" t="b">
        <x:v>1</x:v>
      </x:c>
      <x:c r="R2210" s="28" t="n">
        <x:v>1100080.4604328498</x:v>
      </x:c>
      <x:c r="S2210" s="28" t="str">
        <x:v>fcbae1d2802ca587</x:v>
      </x:c>
    </x:row>
    <x:row r="2211" ht="21" customHeight="1">
      <x:c r="A2211" s="60" t="n">
        <x:v>0.68</x:v>
      </x:c>
      <x:c r="B2211" s="28" t="str">
        <x:v>back_high</x:v>
      </x:c>
      <x:c r="C2211" s="60" t="n">
        <x:v>0.95</x:v>
      </x:c>
      <x:c r="D2211" s="60" t="n">
        <x:v>0.8954794051096439</x:v>
      </x:c>
      <x:c r="E2211" s="62" t="b">
        <x:v>0</x:v>
      </x:c>
      <x:c r="F2211" s="62" t="b">
        <x:v>0</x:v>
      </x:c>
      <x:c r="G2211" s="85" t="n">
        <x:v>6633168.11523463</x:v>
      </x:c>
      <x:c r="H2211" s="85" t="n">
        <x:v>14567572.421790002</x:v>
      </x:c>
      <x:c r="I2211" s="85" t="n">
        <x:v>15236117.163141083</x:v>
      </x:c>
      <x:c r="J2211" s="85" t="n">
        <x:v>12263679.999999996</x:v>
      </x:c>
      <x:c r="K2211" s="85" t="n">
        <x:v>117735.18973972605</x:v>
      </x:c>
      <x:c r="L2211" s="28" t="n">
        <x:v>43</x:v>
      </x:c>
      <x:c r="M2211" s="28" t="n">
        <x:v>40</x:v>
      </x:c>
      <x:c r="N2211" s="28" t="n">
        <x:v>4.656612873077393e-10</x:v>
      </x:c>
      <x:c r="O2211" s="28" t="n">
        <x:v>3.725290298461914e-9</x:v>
      </x:c>
      <x:c r="P2211" s="28" t="n">
        <x:v>0</x:v>
      </x:c>
      <x:c r="Q2211" s="62" t="b">
        <x:v>1</x:v>
      </x:c>
      <x:c r="R2211" s="28" t="n">
        <x:v>3039196.041568011</x:v>
      </x:c>
      <x:c r="S2211" s="28" t="str">
        <x:v>212d5a616ca91c6e</x:v>
      </x:c>
    </x:row>
    <x:row r="2212" ht="21" customHeight="1">
      <x:c r="A2212" s="60" t="n">
        <x:v>0.68</x:v>
      </x:c>
      <x:c r="B2212" s="28" t="str">
        <x:v>back_high</x:v>
      </x:c>
      <x:c r="C2212" s="60" t="n">
        <x:v>1</x:v>
      </x:c>
      <x:c r="D2212" s="60" t="n">
        <x:v>0.9093341115290656</x:v>
      </x:c>
      <x:c r="E2212" s="62" t="b">
        <x:v>0</x:v>
      </x:c>
      <x:c r="F2212" s="62" t="b">
        <x:v>0</x:v>
      </x:c>
      <x:c r="G2212" s="85" t="n">
        <x:v>6921335.344800433</x:v>
      </x:c>
      <x:c r="H2212" s="85" t="n">
        <x:v>14953578.156125523</x:v>
      </x:c>
      <x:c r="I2212" s="85" t="n">
        <x:v>15531437.055999985</x:v>
      </x:c>
      <x:c r="J2212" s="85" t="n">
        <x:v>12263679.999999996</x:v>
      </x:c>
      <x:c r="K2212" s="85" t="n">
        <x:v>110152.07402739761</x:v>
      </x:c>
      <x:c r="L2212" s="28" t="n">
        <x:v>44</x:v>
      </x:c>
      <x:c r="M2212" s="28" t="n">
        <x:v>40</x:v>
      </x:c>
      <x:c r="N2212" s="28" t="n">
        <x:v>4.656612873077393e-10</x:v>
      </x:c>
      <x:c r="O2212" s="28" t="n">
        <x:v>3.725290298461914e-9</x:v>
      </x:c>
      <x:c r="P2212" s="28" t="n">
        <x:v>0</x:v>
      </x:c>
      <x:c r="Q2212" s="62" t="b">
        <x:v>1</x:v>
      </x:c>
      <x:c r="R2212" s="28" t="n">
        <x:v>5054079.286923766</x:v>
      </x:c>
      <x:c r="S2212" s="28" t="str">
        <x:v>933adfba24488f1b</x:v>
      </x:c>
    </x:row>
    <x:row r="2213" ht="21" customHeight="1">
      <x:c r="A2213" s="60" t="n">
        <x:v>0.68</x:v>
      </x:c>
      <x:c r="B2213" s="28" t="str">
        <x:v>level_flat</x:v>
      </x:c>
      <x:c r="C2213" s="60" t="n">
        <x:v>0</x:v>
      </x:c>
      <x:c r="D2213" s="60" t="n">
        <x:v>0</x:v>
      </x:c>
      <x:c r="E2213" s="62" t="b">
        <x:v>1</x:v>
      </x:c>
      <x:c r="F2213" s="62" t="b">
        <x:v>1</x:v>
      </x:c>
      <x:c r="G2213" s="85" t="n">
        <x:v>0</x:v>
      </x:c>
      <x:c r="H2213" s="85" t="n">
        <x:v>0</x:v>
      </x:c>
      <x:c r="I2213" s="85" t="n">
        <x:v>0</x:v>
      </x:c>
      <x:c r="J2213" s="85" t="n">
        <x:v>0</x:v>
      </x:c>
      <x:c r="K2213" s="85" t="n">
        <x:v>6626205.893260283</x:v>
      </x:c>
      <x:c r="L2213" s="28" t="n">
        <x:v>0</x:v>
      </x:c>
      <x:c r="M2213" s="28" t="n">
        <x:v>0</x:v>
      </x:c>
      <x:c r="N2213" s="28" t="n">
        <x:v>2.3283064365386963e-10</x:v>
      </x:c>
      <x:c r="O2213" s="28" t="n">
        <x:v>0</x:v>
      </x:c>
      <x:c r="P2213" s="28" t="n">
        <x:v>0</x:v>
      </x:c>
      <x:c r="Q2213" s="62" t="b">
        <x:v>1</x:v>
      </x:c>
      <x:c r="R2213" s="28" t="n">
        <x:v>0</x:v>
      </x:c>
      <x:c r="S2213" s="28" t="str">
        <x:v>fe979662cef5c337</x:v>
      </x:c>
    </x:row>
    <x:row r="2214" ht="21" customHeight="1">
      <x:c r="A2214" s="60" t="n">
        <x:v>0.68</x:v>
      </x:c>
      <x:c r="B2214" s="28" t="str">
        <x:v>level_flat</x:v>
      </x:c>
      <x:c r="C2214" s="60" t="n">
        <x:v>0.05</x:v>
      </x:c>
      <x:c r="D2214" s="60" t="n">
        <x:v>0.05</x:v>
      </x:c>
      <x:c r="E2214" s="62" t="b">
        <x:v>1</x:v>
      </x:c>
      <x:c r="F2214" s="62" t="b">
        <x:v>1</x:v>
      </x:c>
      <x:c r="G2214" s="85" t="n">
        <x:v>0</x:v>
      </x:c>
      <x:c r="H2214" s="85" t="n">
        <x:v>0</x:v>
      </x:c>
      <x:c r="I2214" s="85" t="n">
        <x:v>0</x:v>
      </x:c>
      <x:c r="J2214" s="85" t="n">
        <x:v>0</x:v>
      </x:c>
      <x:c r="K2214" s="85" t="n">
        <x:v>4402230.704847259</x:v>
      </x:c>
      <x:c r="L2214" s="28" t="n">
        <x:v>0</x:v>
      </x:c>
      <x:c r="M2214" s="28" t="n">
        <x:v>0</x:v>
      </x:c>
      <x:c r="N2214" s="28" t="n">
        <x:v>2.3283064365386963e-10</x:v>
      </x:c>
      <x:c r="O2214" s="28" t="n">
        <x:v>7.450580596923828e-9</x:v>
      </x:c>
      <x:c r="P2214" s="28" t="n">
        <x:v>0</x:v>
      </x:c>
      <x:c r="Q2214" s="62" t="b">
        <x:v>1</x:v>
      </x:c>
      <x:c r="R2214" s="28" t="n">
        <x:v>0</x:v>
      </x:c>
      <x:c r="S2214" s="28" t="str">
        <x:v>d9674a7a737f0610</x:v>
      </x:c>
    </x:row>
    <x:row r="2215" ht="21" customHeight="1">
      <x:c r="A2215" s="60" t="n">
        <x:v>0.68</x:v>
      </x:c>
      <x:c r="B2215" s="28" t="str">
        <x:v>level_flat</x:v>
      </x:c>
      <x:c r="C2215" s="60" t="n">
        <x:v>0.1</x:v>
      </x:c>
      <x:c r="D2215" s="60" t="n">
        <x:v>0.1</x:v>
      </x:c>
      <x:c r="E2215" s="62" t="b">
        <x:v>1</x:v>
      </x:c>
      <x:c r="F2215" s="62" t="b">
        <x:v>1</x:v>
      </x:c>
      <x:c r="G2215" s="85" t="n">
        <x:v>0</x:v>
      </x:c>
      <x:c r="H2215" s="85" t="n">
        <x:v>0</x:v>
      </x:c>
      <x:c r="I2215" s="85" t="n">
        <x:v>0</x:v>
      </x:c>
      <x:c r="J2215" s="85" t="n">
        <x:v>0</x:v>
      </x:c>
      <x:c r="K2215" s="85" t="n">
        <x:v>2178141.027351682</x:v>
      </x:c>
      <x:c r="L2215" s="28" t="n">
        <x:v>0</x:v>
      </x:c>
      <x:c r="M2215" s="28" t="n">
        <x:v>0</x:v>
      </x:c>
      <x:c r="N2215" s="28" t="n">
        <x:v>4.656612873077393e-10</x:v>
      </x:c>
      <x:c r="O2215" s="28" t="n">
        <x:v>7.450580596923828e-9</x:v>
      </x:c>
      <x:c r="P2215" s="28" t="n">
        <x:v>0</x:v>
      </x:c>
      <x:c r="Q2215" s="62" t="b">
        <x:v>1</x:v>
      </x:c>
      <x:c r="R2215" s="28" t="n">
        <x:v>0</x:v>
      </x:c>
      <x:c r="S2215" s="28" t="str">
        <x:v>2d684d1669059f9b</x:v>
      </x:c>
    </x:row>
    <x:row r="2216" ht="21" customHeight="1">
      <x:c r="A2216" s="60" t="n">
        <x:v>0.68</x:v>
      </x:c>
      <x:c r="B2216" s="28" t="str">
        <x:v>level_flat</x:v>
      </x:c>
      <x:c r="C2216" s="60" t="n">
        <x:v>0.15</x:v>
      </x:c>
      <x:c r="D2216" s="60" t="n">
        <x:v>0.15</x:v>
      </x:c>
      <x:c r="E2216" s="62" t="b">
        <x:v>1</x:v>
      </x:c>
      <x:c r="F2216" s="62" t="b">
        <x:v>1</x:v>
      </x:c>
      <x:c r="G2216" s="85" t="n">
        <x:v>0</x:v>
      </x:c>
      <x:c r="H2216" s="85" t="n">
        <x:v>0</x:v>
      </x:c>
      <x:c r="I2216" s="85" t="n">
        <x:v>416808.8902689099</x:v>
      </x:c>
      <x:c r="J2216" s="85" t="n">
        <x:v>0</x:v>
      </x:c>
      <x:c r="K2216" s="85" t="n">
        <x:v>441170.87375017675</x:v>
      </x:c>
      <x:c r="L2216" s="28" t="n">
        <x:v>0</x:v>
      </x:c>
      <x:c r="M2216" s="28" t="n">
        <x:v>0</x:v>
      </x:c>
      <x:c r="N2216" s="28" t="n">
        <x:v>4.656612873077393e-10</x:v>
      </x:c>
      <x:c r="O2216" s="28" t="n">
        <x:v>7.450580596923828e-9</x:v>
      </x:c>
      <x:c r="P2216" s="28" t="n">
        <x:v>0</x:v>
      </x:c>
      <x:c r="Q2216" s="62" t="b">
        <x:v>1</x:v>
      </x:c>
      <x:c r="R2216" s="28" t="n">
        <x:v>0</x:v>
      </x:c>
      <x:c r="S2216" s="28" t="str">
        <x:v>42ae74b5f1d9cf21</x:v>
      </x:c>
    </x:row>
    <x:row r="2217" ht="21" customHeight="1">
      <x:c r="A2217" s="60" t="n">
        <x:v>0.68</x:v>
      </x:c>
      <x:c r="B2217" s="28" t="str">
        <x:v>level_flat</x:v>
      </x:c>
      <x:c r="C2217" s="60" t="n">
        <x:v>0.2</x:v>
      </x:c>
      <x:c r="D2217" s="60" t="n">
        <x:v>0.2</x:v>
      </x:c>
      <x:c r="E2217" s="62" t="b">
        <x:v>1</x:v>
      </x:c>
      <x:c r="F2217" s="62" t="b">
        <x:v>1</x:v>
      </x:c>
      <x:c r="G2217" s="85" t="n">
        <x:v>0</x:v>
      </x:c>
      <x:c r="H2217" s="85" t="n">
        <x:v>0</x:v>
      </x:c>
      <x:c r="I2217" s="85" t="n">
        <x:v>1841417.587291649</x:v>
      </x:c>
      <x:c r="J2217" s="85" t="n">
        <x:v>1248509.682169294</x:v>
      </x:c>
      <x:c r="K2217" s="85" t="n">
        <x:v>330431.077575004</x:v>
      </x:c>
      <x:c r="L2217" s="28" t="n">
        <x:v>0</x:v>
      </x:c>
      <x:c r="M2217" s="28" t="n">
        <x:v>0</x:v>
      </x:c>
      <x:c r="N2217" s="28" t="n">
        <x:v>9.313225746154785e-10</x:v>
      </x:c>
      <x:c r="O2217" s="28" t="n">
        <x:v>7.450580596923828e-9</x:v>
      </x:c>
      <x:c r="P2217" s="28" t="n">
        <x:v>0</x:v>
      </x:c>
      <x:c r="Q2217" s="62" t="b">
        <x:v>1</x:v>
      </x:c>
      <x:c r="R2217" s="28" t="n">
        <x:v>0</x:v>
      </x:c>
      <x:c r="S2217" s="28" t="str">
        <x:v>74b5999f34606a65</x:v>
      </x:c>
    </x:row>
    <x:row r="2218" ht="21" customHeight="1">
      <x:c r="A2218" s="60" t="n">
        <x:v>0.68</x:v>
      </x:c>
      <x:c r="B2218" s="28" t="str">
        <x:v>level_flat</x:v>
      </x:c>
      <x:c r="C2218" s="60" t="n">
        <x:v>0.25</x:v>
      </x:c>
      <x:c r="D2218" s="60" t="n">
        <x:v>0.25</x:v>
      </x:c>
      <x:c r="E2218" s="62" t="b">
        <x:v>1</x:v>
      </x:c>
      <x:c r="F2218" s="62" t="b">
        <x:v>1</x:v>
      </x:c>
      <x:c r="G2218" s="85" t="n">
        <x:v>0</x:v>
      </x:c>
      <x:c r="H2218" s="85" t="n">
        <x:v>0</x:v>
      </x:c>
      <x:c r="I2218" s="85" t="n">
        <x:v>2963583.900281523</x:v>
      </x:c>
      <x:c r="J2218" s="85" t="n">
        <x:v>2954237.1027116217</x:v>
      </x:c>
      <x:c r="K2218" s="85" t="n">
        <x:v>257338.97691643922</x:v>
      </x:c>
      <x:c r="L2218" s="28" t="n">
        <x:v>0</x:v>
      </x:c>
      <x:c r="M2218" s="28" t="n">
        <x:v>0</x:v>
      </x:c>
      <x:c r="N2218" s="28" t="n">
        <x:v>4.656612873077393e-10</x:v>
      </x:c>
      <x:c r="O2218" s="28" t="n">
        <x:v>7.450580596923828e-9</x:v>
      </x:c>
      <x:c r="P2218" s="28" t="n">
        <x:v>0</x:v>
      </x:c>
      <x:c r="Q2218" s="62" t="b">
        <x:v>1</x:v>
      </x:c>
      <x:c r="R2218" s="28" t="n">
        <x:v>0</x:v>
      </x:c>
      <x:c r="S2218" s="28" t="str">
        <x:v>f4c200a37e8f565c</x:v>
      </x:c>
    </x:row>
    <x:row r="2219" ht="21" customHeight="1">
      <x:c r="A2219" s="60" t="n">
        <x:v>0.68</x:v>
      </x:c>
      <x:c r="B2219" s="28" t="str">
        <x:v>level_flat</x:v>
      </x:c>
      <x:c r="C2219" s="60" t="n">
        <x:v>0.3</x:v>
      </x:c>
      <x:c r="D2219" s="60" t="n">
        <x:v>0.3</x:v>
      </x:c>
      <x:c r="E2219" s="62" t="b">
        <x:v>1</x:v>
      </x:c>
      <x:c r="F2219" s="62" t="b">
        <x:v>1</x:v>
      </x:c>
      <x:c r="G2219" s="85" t="n">
        <x:v>0</x:v>
      </x:c>
      <x:c r="H2219" s="85" t="n">
        <x:v>0</x:v>
      </x:c>
      <x:c r="I2219" s="85" t="n">
        <x:v>4118768.4294120325</x:v>
      </x:c>
      <x:c r="J2219" s="85" t="n">
        <x:v>4659964.523253943</x:v>
      </x:c>
      <x:c r="K2219" s="85" t="n">
        <x:v>198754.46866137025</x:v>
      </x:c>
      <x:c r="L2219" s="28" t="n">
        <x:v>0</x:v>
      </x:c>
      <x:c r="M2219" s="28" t="n">
        <x:v>0</x:v>
      </x:c>
      <x:c r="N2219" s="28" t="n">
        <x:v>4.656612873077393e-10</x:v>
      </x:c>
      <x:c r="O2219" s="28" t="n">
        <x:v>7.450580596923828e-9</x:v>
      </x:c>
      <x:c r="P2219" s="28" t="n">
        <x:v>0</x:v>
      </x:c>
      <x:c r="Q2219" s="62" t="b">
        <x:v>1</x:v>
      </x:c>
      <x:c r="R2219" s="28" t="n">
        <x:v>0</x:v>
      </x:c>
      <x:c r="S2219" s="28" t="str">
        <x:v>c576db9551f8be02</x:v>
      </x:c>
    </x:row>
    <x:row r="2220" ht="21" customHeight="1">
      <x:c r="A2220" s="60" t="n">
        <x:v>0.68</x:v>
      </x:c>
      <x:c r="B2220" s="28" t="str">
        <x:v>level_flat</x:v>
      </x:c>
      <x:c r="C2220" s="60" t="n">
        <x:v>0.35</x:v>
      </x:c>
      <x:c r="D2220" s="60" t="n">
        <x:v>0.35</x:v>
      </x:c>
      <x:c r="E2220" s="62" t="b">
        <x:v>1</x:v>
      </x:c>
      <x:c r="F2220" s="62" t="b">
        <x:v>1</x:v>
      </x:c>
      <x:c r="G2220" s="85" t="n">
        <x:v>0</x:v>
      </x:c>
      <x:c r="H2220" s="85" t="n">
        <x:v>0</x:v>
      </x:c>
      <x:c r="I2220" s="85" t="n">
        <x:v>5351709.214152272</x:v>
      </x:c>
      <x:c r="J2220" s="85" t="n">
        <x:v>6203532.445016342</x:v>
      </x:c>
      <x:c r="K2220" s="85" t="n">
        <x:v>158821.56465287754</x:v>
      </x:c>
      <x:c r="L2220" s="28" t="n">
        <x:v>1</x:v>
      </x:c>
      <x:c r="M2220" s="28" t="n">
        <x:v>0</x:v>
      </x:c>
      <x:c r="N2220" s="28" t="n">
        <x:v>2.3283064365386963e-10</x:v>
      </x:c>
      <x:c r="O2220" s="28" t="n">
        <x:v>7.450580596923828e-9</x:v>
      </x:c>
      <x:c r="P2220" s="28" t="n">
        <x:v>0</x:v>
      </x:c>
      <x:c r="Q2220" s="62" t="b">
        <x:v>1</x:v>
      </x:c>
      <x:c r="R2220" s="28" t="n">
        <x:v>0</x:v>
      </x:c>
      <x:c r="S2220" s="28" t="str">
        <x:v>bebb1a31cd22ddff</x:v>
      </x:c>
    </x:row>
    <x:row r="2221" ht="21" customHeight="1">
      <x:c r="A2221" s="60" t="n">
        <x:v>0.68</x:v>
      </x:c>
      <x:c r="B2221" s="28" t="str">
        <x:v>level_flat</x:v>
      </x:c>
      <x:c r="C2221" s="60" t="n">
        <x:v>0.4</x:v>
      </x:c>
      <x:c r="D2221" s="60" t="n">
        <x:v>0.4</x:v>
      </x:c>
      <x:c r="E2221" s="62" t="b">
        <x:v>1</x:v>
      </x:c>
      <x:c r="F2221" s="62" t="b">
        <x:v>1</x:v>
      </x:c>
      <x:c r="G2221" s="85" t="n">
        <x:v>0</x:v>
      </x:c>
      <x:c r="H2221" s="85" t="n">
        <x:v>0</x:v>
      </x:c>
      <x:c r="I2221" s="85" t="n">
        <x:v>6976653.1145084705</x:v>
      </x:c>
      <x:c r="J2221" s="85" t="n">
        <x:v>6856320.023555729</x:v>
      </x:c>
      <x:c r="K2221" s="85" t="n">
        <x:v>135926.83068493227</x:v>
      </x:c>
      <x:c r="L2221" s="28" t="n">
        <x:v>9</x:v>
      </x:c>
      <x:c r="M2221" s="28" t="n">
        <x:v>0</x:v>
      </x:c>
      <x:c r="N2221" s="28" t="n">
        <x:v>9.313225746154785e-10</x:v>
      </x:c>
      <x:c r="O2221" s="28" t="n">
        <x:v>7.450580596923828e-9</x:v>
      </x:c>
      <x:c r="P2221" s="28" t="n">
        <x:v>0</x:v>
      </x:c>
      <x:c r="Q2221" s="62" t="b">
        <x:v>1</x:v>
      </x:c>
      <x:c r="R2221" s="28" t="n">
        <x:v>0</x:v>
      </x:c>
      <x:c r="S2221" s="28" t="str">
        <x:v>39ee16097a7a8886</x:v>
      </x:c>
    </x:row>
    <x:row r="2222" ht="21" customHeight="1">
      <x:c r="A2222" s="60" t="n">
        <x:v>0.68</x:v>
      </x:c>
      <x:c r="B2222" s="28" t="str">
        <x:v>level_flat</x:v>
      </x:c>
      <x:c r="C2222" s="60" t="n">
        <x:v>0.45</x:v>
      </x:c>
      <x:c r="D2222" s="60" t="n">
        <x:v>0.45</x:v>
      </x:c>
      <x:c r="E2222" s="62" t="b">
        <x:v>1</x:v>
      </x:c>
      <x:c r="F2222" s="62" t="b">
        <x:v>1</x:v>
      </x:c>
      <x:c r="G2222" s="85" t="n">
        <x:v>0</x:v>
      </x:c>
      <x:c r="H2222" s="85" t="n">
        <x:v>0</x:v>
      </x:c>
      <x:c r="I2222" s="85" t="n">
        <x:v>8336354.771565297</x:v>
      </x:c>
      <x:c r="J2222" s="85" t="n">
        <x:v>8058363.549000258</x:v>
      </x:c>
      <x:c r="K2222" s="85" t="n">
        <x:v>116354.96952054856</x:v>
      </x:c>
      <x:c r="L2222" s="28" t="n">
        <x:v>13</x:v>
      </x:c>
      <x:c r="M2222" s="28" t="n">
        <x:v>0</x:v>
      </x:c>
      <x:c r="N2222" s="28" t="n">
        <x:v>4.656612873077393e-10</x:v>
      </x:c>
      <x:c r="O2222" s="28" t="n">
        <x:v>3.725290298461914e-9</x:v>
      </x:c>
      <x:c r="P2222" s="28" t="n">
        <x:v>0</x:v>
      </x:c>
      <x:c r="Q2222" s="62" t="b">
        <x:v>1</x:v>
      </x:c>
      <x:c r="R2222" s="28" t="n">
        <x:v>0</x:v>
      </x:c>
      <x:c r="S2222" s="28" t="str">
        <x:v>08829a85d7e128ef</x:v>
      </x:c>
    </x:row>
    <x:row r="2223" ht="21" customHeight="1">
      <x:c r="A2223" s="60" t="n">
        <x:v>0.68</x:v>
      </x:c>
      <x:c r="B2223" s="28" t="str">
        <x:v>level_flat</x:v>
      </x:c>
      <x:c r="C2223" s="60" t="n">
        <x:v>0.5</x:v>
      </x:c>
      <x:c r="D2223" s="60" t="n">
        <x:v>0.5</x:v>
      </x:c>
      <x:c r="E2223" s="62" t="b">
        <x:v>1</x:v>
      </x:c>
      <x:c r="F2223" s="62" t="b">
        <x:v>1</x:v>
      </x:c>
      <x:c r="G2223" s="85" t="n">
        <x:v>0</x:v>
      </x:c>
      <x:c r="H2223" s="85" t="n">
        <x:v>0</x:v>
      </x:c>
      <x:c r="I2223" s="85" t="n">
        <x:v>9535156.437360428</x:v>
      </x:c>
      <x:c r="J2223" s="85" t="n">
        <x:v>9720406.266175197</x:v>
      </x:c>
      <x:c r="K2223" s="85" t="n">
        <x:v>96783.10835616494</x:v>
      </x:c>
      <x:c r="L2223" s="28" t="n">
        <x:v>16</x:v>
      </x:c>
      <x:c r="M2223" s="28" t="n">
        <x:v>1</x:v>
      </x:c>
      <x:c r="N2223" s="28" t="n">
        <x:v>2.3283064365386963e-10</x:v>
      </x:c>
      <x:c r="O2223" s="28" t="n">
        <x:v>3.725290298461914e-9</x:v>
      </x:c>
      <x:c r="P2223" s="28" t="n">
        <x:v>0</x:v>
      </x:c>
      <x:c r="Q2223" s="62" t="b">
        <x:v>1</x:v>
      </x:c>
      <x:c r="R2223" s="28" t="n">
        <x:v>0</x:v>
      </x:c>
      <x:c r="S2223" s="28" t="str">
        <x:v>15eb860a25ad7735</x:v>
      </x:c>
    </x:row>
    <x:row r="2224" ht="21" customHeight="1">
      <x:c r="A2224" s="60" t="n">
        <x:v>0.68</x:v>
      </x:c>
      <x:c r="B2224" s="28" t="str">
        <x:v>level_flat</x:v>
      </x:c>
      <x:c r="C2224" s="60" t="n">
        <x:v>0.55</x:v>
      </x:c>
      <x:c r="D2224" s="60" t="n">
        <x:v>0.55</x:v>
      </x:c>
      <x:c r="E2224" s="62" t="b">
        <x:v>1</x:v>
      </x:c>
      <x:c r="F2224" s="62" t="b">
        <x:v>1</x:v>
      </x:c>
      <x:c r="G2224" s="85" t="n">
        <x:v>0</x:v>
      </x:c>
      <x:c r="H2224" s="85" t="n">
        <x:v>0</x:v>
      </x:c>
      <x:c r="I2224" s="85" t="n">
        <x:v>10689652.071573658</x:v>
      </x:c>
      <x:c r="J2224" s="85" t="n">
        <x:v>11473052.658516146</x:v>
      </x:c>
      <x:c r="K2224" s="85" t="n">
        <x:v>82241.37365753423</x:v>
      </x:c>
      <x:c r="L2224" s="28" t="n">
        <x:v>21</x:v>
      </x:c>
      <x:c r="M2224" s="28" t="n">
        <x:v>9</x:v>
      </x:c>
      <x:c r="N2224" s="28" t="n">
        <x:v>4.656612873077393e-10</x:v>
      </x:c>
      <x:c r="O2224" s="28" t="n">
        <x:v>3.725290298461914e-9</x:v>
      </x:c>
      <x:c r="P2224" s="28" t="n">
        <x:v>0</x:v>
      </x:c>
      <x:c r="Q2224" s="62" t="b">
        <x:v>1</x:v>
      </x:c>
      <x:c r="R2224" s="28" t="n">
        <x:v>0</x:v>
      </x:c>
      <x:c r="S2224" s="28" t="str">
        <x:v>3f316880fb2d4ad3</x:v>
      </x:c>
    </x:row>
    <x:row r="2225" ht="21" customHeight="1">
      <x:c r="A2225" s="60" t="n">
        <x:v>0.68</x:v>
      </x:c>
      <x:c r="B2225" s="28" t="str">
        <x:v>level_flat</x:v>
      </x:c>
      <x:c r="C2225" s="60" t="n">
        <x:v>0.6</x:v>
      </x:c>
      <x:c r="D2225" s="60" t="n">
        <x:v>0.6</x:v>
      </x:c>
      <x:c r="E2225" s="62" t="b">
        <x:v>1</x:v>
      </x:c>
      <x:c r="F2225" s="62" t="b">
        <x:v>0</x:v>
      </x:c>
      <x:c r="G2225" s="85" t="n">
        <x:v>227380.82220360593</x:v>
      </x:c>
      <x:c r="H2225" s="85" t="n">
        <x:v>1216568.1427213952</x:v>
      </x:c>
      <x:c r="I2225" s="85" t="n">
        <x:v>11244404.005205473</x:v>
      </x:c>
      <x:c r="J2225" s="85" t="n">
        <x:v>12263679.999999996</x:v>
      </x:c>
      <x:c r="K2225" s="85" t="n">
        <x:v>73559.78690410953</x:v>
      </x:c>
      <x:c r="L2225" s="28" t="n">
        <x:v>43</x:v>
      </x:c>
      <x:c r="M2225" s="28" t="n">
        <x:v>32</x:v>
      </x:c>
      <x:c r="N2225" s="28" t="n">
        <x:v>4.656612873077393e-10</x:v>
      </x:c>
      <x:c r="O2225" s="28" t="n">
        <x:v>7.450580596923828e-9</x:v>
      </x:c>
      <x:c r="P2225" s="28" t="n">
        <x:v>0</x:v>
      </x:c>
      <x:c r="Q2225" s="62" t="b">
        <x:v>1</x:v>
      </x:c>
      <x:c r="R2225" s="28" t="n">
        <x:v>0</x:v>
      </x:c>
      <x:c r="S2225" s="28" t="str">
        <x:v>3ec375cb4945b909</x:v>
      </x:c>
    </x:row>
    <x:row r="2226" ht="21" customHeight="1">
      <x:c r="A2226" s="60" t="n">
        <x:v>0.68</x:v>
      </x:c>
      <x:c r="B2226" s="28" t="str">
        <x:v>level_flat</x:v>
      </x:c>
      <x:c r="C2226" s="60" t="n">
        <x:v>0.65</x:v>
      </x:c>
      <x:c r="D2226" s="60" t="n">
        <x:v>0.65</x:v>
      </x:c>
      <x:c r="E2226" s="62" t="b">
        <x:v>1</x:v>
      </x:c>
      <x:c r="F2226" s="62" t="b">
        <x:v>0</x:v>
      </x:c>
      <x:c r="G2226" s="85" t="n">
        <x:v>670837.4146675653</x:v>
      </x:c>
      <x:c r="H2226" s="85" t="n">
        <x:v>3615568.6635842323</x:v>
      </x:c>
      <x:c r="I2226" s="85" t="n">
        <x:v>11255697.073602732</x:v>
      </x:c>
      <x:c r="J2226" s="85" t="n">
        <x:v>12263679.999999996</x:v>
      </x:c>
      <x:c r="K2226" s="85" t="n">
        <x:v>67602.36930137011</x:v>
      </x:c>
      <x:c r="L2226" s="28" t="n">
        <x:v>43</x:v>
      </x:c>
      <x:c r="M2226" s="28" t="n">
        <x:v>34</x:v>
      </x:c>
      <x:c r="N2226" s="28" t="n">
        <x:v>4.656612873077393e-10</x:v>
      </x:c>
      <x:c r="O2226" s="28" t="n">
        <x:v>3.725290298461914e-9</x:v>
      </x:c>
      <x:c r="P2226" s="28" t="n">
        <x:v>0</x:v>
      </x:c>
      <x:c r="Q2226" s="62" t="b">
        <x:v>1</x:v>
      </x:c>
      <x:c r="R2226" s="28" t="n">
        <x:v>0</x:v>
      </x:c>
      <x:c r="S2226" s="28" t="str">
        <x:v>c65b6909dd679e05</x:v>
      </x:c>
    </x:row>
    <x:row r="2227" ht="21" customHeight="1">
      <x:c r="A2227" s="60" t="n">
        <x:v>0.68</x:v>
      </x:c>
      <x:c r="B2227" s="28" t="str">
        <x:v>level_flat</x:v>
      </x:c>
      <x:c r="C2227" s="60" t="n">
        <x:v>0.7</x:v>
      </x:c>
      <x:c r="D2227" s="60" t="n">
        <x:v>0.7</x:v>
      </x:c>
      <x:c r="E2227" s="62" t="b">
        <x:v>1</x:v>
      </x:c>
      <x:c r="F2227" s="62" t="b">
        <x:v>0</x:v>
      </x:c>
      <x:c r="G2227" s="85" t="n">
        <x:v>1107618.0851531336</x:v>
      </x:c>
      <x:c r="H2227" s="85" t="n">
        <x:v>5618477.532780819</x:v>
      </x:c>
      <x:c r="I2227" s="85" t="n">
        <x:v>11484725.414575337</x:v>
      </x:c>
      <x:c r="J2227" s="85" t="n">
        <x:v>12263679.999999996</x:v>
      </x:c>
      <x:c r="K2227" s="85" t="n">
        <x:v>61644.951698630335</x:v>
      </x:c>
      <x:c r="L2227" s="28" t="n">
        <x:v>44</x:v>
      </x:c>
      <x:c r="M2227" s="28" t="n">
        <x:v>35</x:v>
      </x:c>
      <x:c r="N2227" s="28" t="n">
        <x:v>2.3283064365386963e-10</x:v>
      </x:c>
      <x:c r="O2227" s="28" t="n">
        <x:v>3.725290298461914e-9</x:v>
      </x:c>
      <x:c r="P2227" s="28" t="n">
        <x:v>0</x:v>
      </x:c>
      <x:c r="Q2227" s="62" t="b">
        <x:v>1</x:v>
      </x:c>
      <x:c r="R2227" s="28" t="n">
        <x:v>0</x:v>
      </x:c>
      <x:c r="S2227" s="28" t="str">
        <x:v>48e3662ea0df1b2a</x:v>
      </x:c>
    </x:row>
    <x:row r="2228" ht="21" customHeight="1">
      <x:c r="A2228" s="60" t="n">
        <x:v>0.68</x:v>
      </x:c>
      <x:c r="B2228" s="28" t="str">
        <x:v>level_flat</x:v>
      </x:c>
      <x:c r="C2228" s="60" t="n">
        <x:v>0.75</x:v>
      </x:c>
      <x:c r="D2228" s="60" t="n">
        <x:v>0.75</x:v>
      </x:c>
      <x:c r="E2228" s="62" t="b">
        <x:v>1</x:v>
      </x:c>
      <x:c r="F2228" s="62" t="b">
        <x:v>0</x:v>
      </x:c>
      <x:c r="G2228" s="85" t="n">
        <x:v>1559074.9204976573</x:v>
      </x:c>
      <x:c r="H2228" s="85" t="n">
        <x:v>7893270.101777417</x:v>
      </x:c>
      <x:c r="I2228" s="85" t="n">
        <x:v>11493672.395671226</x:v>
      </x:c>
      <x:c r="J2228" s="85" t="n">
        <x:v>12263679.999999996</x:v>
      </x:c>
      <x:c r="K2228" s="85" t="n">
        <x:v>55687.53409589056</x:v>
      </x:c>
      <x:c r="L2228" s="28" t="n">
        <x:v>44</x:v>
      </x:c>
      <x:c r="M2228" s="28" t="n">
        <x:v>36</x:v>
      </x:c>
      <x:c r="N2228" s="28" t="n">
        <x:v>4.656612873077393e-10</x:v>
      </x:c>
      <x:c r="O2228" s="28" t="n">
        <x:v>3.725290298461914e-9</x:v>
      </x:c>
      <x:c r="P2228" s="28" t="n">
        <x:v>0</x:v>
      </x:c>
      <x:c r="Q2228" s="62" t="b">
        <x:v>1</x:v>
      </x:c>
      <x:c r="R2228" s="28" t="n">
        <x:v>0</x:v>
      </x:c>
      <x:c r="S2228" s="28" t="str">
        <x:v>32c55a986edf2096</x:v>
      </x:c>
    </x:row>
    <x:row r="2229" ht="21" customHeight="1">
      <x:c r="A2229" s="60" t="n">
        <x:v>0.68</x:v>
      </x:c>
      <x:c r="B2229" s="28" t="str">
        <x:v>level_flat</x:v>
      </x:c>
      <x:c r="C2229" s="60" t="n">
        <x:v>0.8</x:v>
      </x:c>
      <x:c r="D2229" s="60" t="n">
        <x:v>0.8</x:v>
      </x:c>
      <x:c r="E2229" s="62" t="b">
        <x:v>1</x:v>
      </x:c>
      <x:c r="F2229" s="62" t="b">
        <x:v>0</x:v>
      </x:c>
      <x:c r="G2229" s="85" t="n">
        <x:v>2072020.8585219781</x:v>
      </x:c>
      <x:c r="H2229" s="85" t="n">
        <x:v>9723038.250403136</x:v>
      </x:c>
      <x:c r="I2229" s="85" t="n">
        <x:v>11744729.412383555</x:v>
      </x:c>
      <x:c r="J2229" s="85" t="n">
        <x:v>12263679.999999996</x:v>
      </x:c>
      <x:c r="K2229" s="85" t="n">
        <x:v>49730.116493151014</x:v>
      </x:c>
      <x:c r="L2229" s="28" t="n">
        <x:v>45</x:v>
      </x:c>
      <x:c r="M2229" s="28" t="n">
        <x:v>37</x:v>
      </x:c>
      <x:c r="N2229" s="28" t="n">
        <x:v>4.656612873077393e-10</x:v>
      </x:c>
      <x:c r="O2229" s="28" t="n">
        <x:v>3.725290298461914e-9</x:v>
      </x:c>
      <x:c r="P2229" s="28" t="n">
        <x:v>0</x:v>
      </x:c>
      <x:c r="Q2229" s="62" t="b">
        <x:v>1</x:v>
      </x:c>
      <x:c r="R2229" s="28" t="n">
        <x:v>0</x:v>
      </x:c>
      <x:c r="S2229" s="28" t="str">
        <x:v>f66b2e9bf1e38397</x:v>
      </x:c>
    </x:row>
    <x:row r="2230" ht="21" customHeight="1">
      <x:c r="A2230" s="60" t="n">
        <x:v>0.68</x:v>
      </x:c>
      <x:c r="B2230" s="28" t="str">
        <x:v>level_flat</x:v>
      </x:c>
      <x:c r="C2230" s="60" t="n">
        <x:v>0.85</x:v>
      </x:c>
      <x:c r="D2230" s="60" t="n">
        <x:v>0.85</x:v>
      </x:c>
      <x:c r="E2230" s="62" t="b">
        <x:v>1</x:v>
      </x:c>
      <x:c r="F2230" s="62" t="b">
        <x:v>0</x:v>
      </x:c>
      <x:c r="G2230" s="85" t="n">
        <x:v>2642777.8319324786</x:v>
      </x:c>
      <x:c r="H2230" s="85" t="n">
        <x:v>11831984.566493915</x:v>
      </x:c>
      <x:c r="I2230" s="85" t="n">
        <x:v>11750632.713369856</x:v>
      </x:c>
      <x:c r="J2230" s="85" t="n">
        <x:v>12263679.999999996</x:v>
      </x:c>
      <x:c r="K2230" s="85" t="n">
        <x:v>43772.6988904117</x:v>
      </x:c>
      <x:c r="L2230" s="28" t="n">
        <x:v>45</x:v>
      </x:c>
      <x:c r="M2230" s="28" t="n">
        <x:v>38</x:v>
      </x:c>
      <x:c r="N2230" s="28" t="n">
        <x:v>2.3283064365386963e-10</x:v>
      </x:c>
      <x:c r="O2230" s="28" t="n">
        <x:v>3.725290298461914e-9</x:v>
      </x:c>
      <x:c r="P2230" s="28" t="n">
        <x:v>0</x:v>
      </x:c>
      <x:c r="Q2230" s="62" t="b">
        <x:v>1</x:v>
      </x:c>
      <x:c r="R2230" s="28" t="n">
        <x:v>0</x:v>
      </x:c>
      <x:c r="S2230" s="28" t="str">
        <x:v>ff3b601af5d11c25</x:v>
      </x:c>
    </x:row>
    <x:row r="2231" ht="21" customHeight="1">
      <x:c r="A2231" s="60" t="n">
        <x:v>0.68</x:v>
      </x:c>
      <x:c r="B2231" s="28" t="str">
        <x:v>level_flat</x:v>
      </x:c>
      <x:c r="C2231" s="60" t="n">
        <x:v>0.9</x:v>
      </x:c>
      <x:c r="D2231" s="60" t="n">
        <x:v>0.8949513562027351</x:v>
      </x:c>
      <x:c r="E2231" s="62" t="b">
        <x:v>0</x:v>
      </x:c>
      <x:c r="F2231" s="62" t="b">
        <x:v>0</x:v>
      </x:c>
      <x:c r="G2231" s="85" t="n">
        <x:v>3480647.417781161</x:v>
      </x:c>
      <x:c r="H2231" s="85" t="n">
        <x:v>13178253.054750055</x:v>
      </x:c>
      <x:c r="I2231" s="85" t="n">
        <x:v>11756536.014356157</x:v>
      </x:c>
      <x:c r="J2231" s="85" t="n">
        <x:v>12263679.999999996</x:v>
      </x:c>
      <x:c r="K2231" s="85" t="n">
        <x:v>37815.28128767146</x:v>
      </x:c>
      <x:c r="L2231" s="28" t="n">
        <x:v>45</x:v>
      </x:c>
      <x:c r="M2231" s="28" t="n">
        <x:v>38</x:v>
      </x:c>
      <x:c r="N2231" s="28" t="n">
        <x:v>4.656612873077393e-10</x:v>
      </x:c>
      <x:c r="O2231" s="28" t="n">
        <x:v>3.725290298461914e-9</x:v>
      </x:c>
      <x:c r="P2231" s="28" t="n">
        <x:v>0</x:v>
      </x:c>
      <x:c r="Q2231" s="62" t="b">
        <x:v>1</x:v>
      </x:c>
      <x:c r="R2231" s="28" t="n">
        <x:v>281431.5998347327</x:v>
      </x:c>
      <x:c r="S2231" s="28" t="str">
        <x:v>bdbe7f1a6230250b</x:v>
      </x:c>
    </x:row>
    <x:row r="2232" ht="21" customHeight="1">
      <x:c r="A2232" s="60" t="n">
        <x:v>0.68</x:v>
      </x:c>
      <x:c r="B2232" s="28" t="str">
        <x:v>level_flat</x:v>
      </x:c>
      <x:c r="C2232" s="60" t="n">
        <x:v>0.95</x:v>
      </x:c>
      <x:c r="D2232" s="60" t="n">
        <x:v>0.9109811515371262</x:v>
      </x:c>
      <x:c r="E2232" s="62" t="b">
        <x:v>0</x:v>
      </x:c>
      <x:c r="F2232" s="62" t="b">
        <x:v>0</x:v>
      </x:c>
      <x:c r="G2232" s="85" t="n">
        <x:v>3716760.503827461</x:v>
      </x:c>
      <x:c r="H2232" s="85" t="n">
        <x:v>14072212.60421791</x:v>
      </x:c>
      <x:c r="I2232" s="85" t="n">
        <x:v>11762439.31534246</x:v>
      </x:c>
      <x:c r="J2232" s="85" t="n">
        <x:v>12263679.999999996</x:v>
      </x:c>
      <x:c r="K2232" s="85" t="n">
        <x:v>31857.86368493192</x:v>
      </x:c>
      <x:c r="L2232" s="28" t="n">
        <x:v>45</x:v>
      </x:c>
      <x:c r="M2232" s="28" t="n">
        <x:v>40</x:v>
      </x:c>
      <x:c r="N2232" s="28" t="n">
        <x:v>4.656612873077393e-10</x:v>
      </x:c>
      <x:c r="O2232" s="28" t="n">
        <x:v>3.725290298461914e-9</x:v>
      </x:c>
      <x:c r="P2232" s="28" t="n">
        <x:v>0</x:v>
      </x:c>
      <x:c r="Q2232" s="62" t="b">
        <x:v>1</x:v>
      </x:c>
      <x:c r="R2232" s="28" t="n">
        <x:v>2175066.688714437</x:v>
      </x:c>
      <x:c r="S2232" s="28" t="str">
        <x:v>a4d96c3d5c82898f</x:v>
      </x:c>
    </x:row>
    <x:row r="2233" ht="21" customHeight="1">
      <x:c r="A2233" s="60" t="n">
        <x:v>0.68</x:v>
      </x:c>
      <x:c r="B2233" s="28" t="str">
        <x:v>level_flat</x:v>
      </x:c>
      <x:c r="C2233" s="60" t="n">
        <x:v>1</x:v>
      </x:c>
      <x:c r="D2233" s="60" t="n">
        <x:v>0.9258453085724337</x:v>
      </x:c>
      <x:c r="E2233" s="62" t="b">
        <x:v>0</x:v>
      </x:c>
      <x:c r="F2233" s="62" t="b">
        <x:v>0</x:v>
      </x:c>
      <x:c r="G2233" s="85" t="n">
        <x:v>4055468.0170006054</x:v>
      </x:c>
      <x:c r="H2233" s="85" t="n">
        <x:v>14735852.210062724</x:v>
      </x:c>
      <x:c r="I2233" s="85" t="n">
        <x:v>11768342.616328761</x:v>
      </x:c>
      <x:c r="J2233" s="85" t="n">
        <x:v>12263679.999999996</x:v>
      </x:c>
      <x:c r="K2233" s="85" t="n">
        <x:v>25900.44608219191</x:v>
      </x:c>
      <x:c r="L2233" s="28" t="n">
        <x:v>45</x:v>
      </x:c>
      <x:c r="M2233" s="28" t="n">
        <x:v>40</x:v>
      </x:c>
      <x:c r="N2233" s="28" t="n">
        <x:v>4.656612873077393e-10</x:v>
      </x:c>
      <x:c r="O2233" s="28" t="n">
        <x:v>1.862645149230957e-9</x:v>
      </x:c>
      <x:c r="P2233" s="28" t="n">
        <x:v>0</x:v>
      </x:c>
      <x:c r="Q2233" s="62" t="b">
        <x:v>1</x:v>
      </x:c>
      <x:c r="R2233" s="28" t="n">
        <x:v>4133679.1189382523</x:v>
      </x:c>
      <x:c r="S2233" s="28" t="str">
        <x:v>293b07c0dc6fb4d0</x:v>
      </x:c>
    </x:row>
    <x:row r="2234" ht="21" customHeight="1">
      <x:c r="A2234" s="60" t="n">
        <x:v>0.68</x:v>
      </x:c>
      <x:c r="B2234" s="28" t="str">
        <x:v>level_low</x:v>
      </x:c>
      <x:c r="C2234" s="60" t="n">
        <x:v>0</x:v>
      </x:c>
      <x:c r="D2234" s="60" t="n">
        <x:v>0</x:v>
      </x:c>
      <x:c r="E2234" s="62" t="b">
        <x:v>1</x:v>
      </x:c>
      <x:c r="F2234" s="62" t="b">
        <x:v>1</x:v>
      </x:c>
      <x:c r="G2234" s="85" t="n">
        <x:v>0</x:v>
      </x:c>
      <x:c r="H2234" s="85" t="n">
        <x:v>0</x:v>
      </x:c>
      <x:c r="I2234" s="85" t="n">
        <x:v>0</x:v>
      </x:c>
      <x:c r="J2234" s="85" t="n">
        <x:v>0</x:v>
      </x:c>
      <x:c r="K2234" s="85" t="n">
        <x:v>5858343.783671239</x:v>
      </x:c>
      <x:c r="L2234" s="28" t="n">
        <x:v>0</x:v>
      </x:c>
      <x:c r="M2234" s="28" t="n">
        <x:v>0</x:v>
      </x:c>
      <x:c r="N2234" s="28" t="n">
        <x:v>4.656612873077393e-10</x:v>
      </x:c>
      <x:c r="O2234" s="28" t="n">
        <x:v>0</x:v>
      </x:c>
      <x:c r="P2234" s="28" t="n">
        <x:v>0</x:v>
      </x:c>
      <x:c r="Q2234" s="62" t="b">
        <x:v>1</x:v>
      </x:c>
      <x:c r="R2234" s="28" t="n">
        <x:v>0</x:v>
      </x:c>
      <x:c r="S2234" s="28" t="str">
        <x:v>7c1590e56dad7040</x:v>
      </x:c>
    </x:row>
    <x:row r="2235" ht="21" customHeight="1">
      <x:c r="A2235" s="60" t="n">
        <x:v>0.68</x:v>
      </x:c>
      <x:c r="B2235" s="28" t="str">
        <x:v>level_low</x:v>
      </x:c>
      <x:c r="C2235" s="60" t="n">
        <x:v>0.05</x:v>
      </x:c>
      <x:c r="D2235" s="60" t="n">
        <x:v>0.05</x:v>
      </x:c>
      <x:c r="E2235" s="62" t="b">
        <x:v>1</x:v>
      </x:c>
      <x:c r="F2235" s="62" t="b">
        <x:v>1</x:v>
      </x:c>
      <x:c r="G2235" s="85" t="n">
        <x:v>0</x:v>
      </x:c>
      <x:c r="H2235" s="85" t="n">
        <x:v>0</x:v>
      </x:c>
      <x:c r="I2235" s="85" t="n">
        <x:v>0</x:v>
      </x:c>
      <x:c r="J2235" s="85" t="n">
        <x:v>0</x:v>
      </x:c>
      <x:c r="K2235" s="85" t="n">
        <x:v>3857355.574068621</x:v>
      </x:c>
      <x:c r="L2235" s="28" t="n">
        <x:v>0</x:v>
      </x:c>
      <x:c r="M2235" s="28" t="n">
        <x:v>0</x:v>
      </x:c>
      <x:c r="N2235" s="28" t="n">
        <x:v>4.656612873077393e-10</x:v>
      </x:c>
      <x:c r="O2235" s="28" t="n">
        <x:v>7.450580596923828e-9</x:v>
      </x:c>
      <x:c r="P2235" s="28" t="n">
        <x:v>0</x:v>
      </x:c>
      <x:c r="Q2235" s="62" t="b">
        <x:v>1</x:v>
      </x:c>
      <x:c r="R2235" s="28" t="n">
        <x:v>0</x:v>
      </x:c>
      <x:c r="S2235" s="28" t="str">
        <x:v>e09079f3ee1207f1</x:v>
      </x:c>
    </x:row>
    <x:row r="2236" ht="21" customHeight="1">
      <x:c r="A2236" s="60" t="n">
        <x:v>0.68</x:v>
      </x:c>
      <x:c r="B2236" s="28" t="str">
        <x:v>level_low</x:v>
      </x:c>
      <x:c r="C2236" s="60" t="n">
        <x:v>0.1</x:v>
      </x:c>
      <x:c r="D2236" s="60" t="n">
        <x:v>0.1</x:v>
      </x:c>
      <x:c r="E2236" s="62" t="b">
        <x:v>1</x:v>
      </x:c>
      <x:c r="F2236" s="62" t="b">
        <x:v>1</x:v>
      </x:c>
      <x:c r="G2236" s="85" t="n">
        <x:v>0</x:v>
      </x:c>
      <x:c r="H2236" s="85" t="n">
        <x:v>0</x:v>
      </x:c>
      <x:c r="I2236" s="85" t="n">
        <x:v>0</x:v>
      </x:c>
      <x:c r="J2236" s="85" t="n">
        <x:v>0</x:v>
      </x:c>
      <x:c r="K2236" s="85" t="n">
        <x:v>1856286.5486430249</x:v>
      </x:c>
      <x:c r="L2236" s="28" t="n">
        <x:v>0</x:v>
      </x:c>
      <x:c r="M2236" s="28" t="n">
        <x:v>0</x:v>
      </x:c>
      <x:c r="N2236" s="28" t="n">
        <x:v>4.656612873077393e-10</x:v>
      </x:c>
      <x:c r="O2236" s="28" t="n">
        <x:v>7.450580596923828e-9</x:v>
      </x:c>
      <x:c r="P2236" s="28" t="n">
        <x:v>0</x:v>
      </x:c>
      <x:c r="Q2236" s="62" t="b">
        <x:v>1</x:v>
      </x:c>
      <x:c r="R2236" s="28" t="n">
        <x:v>0</x:v>
      </x:c>
      <x:c r="S2236" s="28" t="str">
        <x:v>d0051f18b754349e</x:v>
      </x:c>
    </x:row>
    <x:row r="2237" ht="21" customHeight="1">
      <x:c r="A2237" s="60" t="n">
        <x:v>0.68</x:v>
      </x:c>
      <x:c r="B2237" s="28" t="str">
        <x:v>level_low</x:v>
      </x:c>
      <x:c r="C2237" s="60" t="n">
        <x:v>0.15</x:v>
      </x:c>
      <x:c r="D2237" s="60" t="n">
        <x:v>0.15</x:v>
      </x:c>
      <x:c r="E2237" s="62" t="b">
        <x:v>1</x:v>
      </x:c>
      <x:c r="F2237" s="62" t="b">
        <x:v>1</x:v>
      </x:c>
      <x:c r="G2237" s="85" t="n">
        <x:v>0</x:v>
      </x:c>
      <x:c r="H2237" s="85" t="n">
        <x:v>0</x:v>
      </x:c>
      <x:c r="I2237" s="85" t="n">
        <x:v>303780.3823576327</x:v>
      </x:c>
      <x:c r="J2237" s="85" t="n">
        <x:v>0</x:v>
      </x:c>
      <x:c r="K2237" s="85" t="n">
        <x:v>257866.0764964957</x:v>
      </x:c>
      <x:c r="L2237" s="28" t="n">
        <x:v>0</x:v>
      </x:c>
      <x:c r="M2237" s="28" t="n">
        <x:v>0</x:v>
      </x:c>
      <x:c r="N2237" s="28" t="n">
        <x:v>9.313225746154785e-10</x:v>
      </x:c>
      <x:c r="O2237" s="28" t="n">
        <x:v>7.450580596923828e-9</x:v>
      </x:c>
      <x:c r="P2237" s="28" t="n">
        <x:v>0</x:v>
      </x:c>
      <x:c r="Q2237" s="62" t="b">
        <x:v>1</x:v>
      </x:c>
      <x:c r="R2237" s="28" t="n">
        <x:v>0</x:v>
      </x:c>
      <x:c r="S2237" s="28" t="str">
        <x:v>edc3d2a1cdcae8c9</x:v>
      </x:c>
    </x:row>
    <x:row r="2238" ht="21" customHeight="1">
      <x:c r="A2238" s="60" t="n">
        <x:v>0.68</x:v>
      </x:c>
      <x:c r="B2238" s="28" t="str">
        <x:v>level_low</x:v>
      </x:c>
      <x:c r="C2238" s="60" t="n">
        <x:v>0.2</x:v>
      </x:c>
      <x:c r="D2238" s="60" t="n">
        <x:v>0.2</x:v>
      </x:c>
      <x:c r="E2238" s="62" t="b">
        <x:v>1</x:v>
      </x:c>
      <x:c r="F2238" s="62" t="b">
        <x:v>1</x:v>
      </x:c>
      <x:c r="G2238" s="85" t="n">
        <x:v>0</x:v>
      </x:c>
      <x:c r="H2238" s="85" t="n">
        <x:v>0</x:v>
      </x:c>
      <x:c r="I2238" s="85" t="n">
        <x:v>1393793.5342805774</x:v>
      </x:c>
      <x:c r="J2238" s="85" t="n">
        <x:v>1248509.682169294</x:v>
      </x:c>
      <x:c r="K2238" s="85" t="n">
        <x:v>196372.61010625568</x:v>
      </x:c>
      <x:c r="L2238" s="28" t="n">
        <x:v>0</x:v>
      </x:c>
      <x:c r="M2238" s="28" t="n">
        <x:v>0</x:v>
      </x:c>
      <x:c r="N2238" s="28" t="n">
        <x:v>4.656612873077393e-10</x:v>
      </x:c>
      <x:c r="O2238" s="28" t="n">
        <x:v>7.450580596923828e-9</x:v>
      </x:c>
      <x:c r="P2238" s="28" t="n">
        <x:v>0</x:v>
      </x:c>
      <x:c r="Q2238" s="62" t="b">
        <x:v>1</x:v>
      </x:c>
      <x:c r="R2238" s="28" t="n">
        <x:v>0</x:v>
      </x:c>
      <x:c r="S2238" s="28" t="str">
        <x:v>eea8501fb43454ee</x:v>
      </x:c>
    </x:row>
    <x:row r="2239" ht="21" customHeight="1">
      <x:c r="A2239" s="60" t="n">
        <x:v>0.68</x:v>
      </x:c>
      <x:c r="B2239" s="28" t="str">
        <x:v>level_low</x:v>
      </x:c>
      <x:c r="C2239" s="60" t="n">
        <x:v>0.25</x:v>
      </x:c>
      <x:c r="D2239" s="60" t="n">
        <x:v>0.25</x:v>
      </x:c>
      <x:c r="E2239" s="62" t="b">
        <x:v>1</x:v>
      </x:c>
      <x:c r="F2239" s="62" t="b">
        <x:v>1</x:v>
      </x:c>
      <x:c r="G2239" s="85" t="n">
        <x:v>0</x:v>
      </x:c>
      <x:c r="H2239" s="85" t="n">
        <x:v>0</x:v>
      </x:c>
      <x:c r="I2239" s="85" t="n">
        <x:v>2119727.2229466145</x:v>
      </x:c>
      <x:c r="J2239" s="85" t="n">
        <x:v>2954237.1027116217</x:v>
      </x:c>
      <x:c r="K2239" s="85" t="n">
        <x:v>155175.01100034275</x:v>
      </x:c>
      <x:c r="L2239" s="28" t="n">
        <x:v>0</x:v>
      </x:c>
      <x:c r="M2239" s="28" t="n">
        <x:v>0</x:v>
      </x:c>
      <x:c r="N2239" s="28" t="n">
        <x:v>4.656612873077393e-10</x:v>
      </x:c>
      <x:c r="O2239" s="28" t="n">
        <x:v>7.450580596923828e-9</x:v>
      </x:c>
      <x:c r="P2239" s="28" t="n">
        <x:v>0</x:v>
      </x:c>
      <x:c r="Q2239" s="62" t="b">
        <x:v>1</x:v>
      </x:c>
      <x:c r="R2239" s="28" t="n">
        <x:v>0</x:v>
      </x:c>
      <x:c r="S2239" s="28" t="str">
        <x:v>1b51dbd7fa489e0c</x:v>
      </x:c>
    </x:row>
    <x:row r="2240" ht="21" customHeight="1">
      <x:c r="A2240" s="60" t="n">
        <x:v>0.68</x:v>
      </x:c>
      <x:c r="B2240" s="28" t="str">
        <x:v>level_low</x:v>
      </x:c>
      <x:c r="C2240" s="60" t="n">
        <x:v>0.3</x:v>
      </x:c>
      <x:c r="D2240" s="60" t="n">
        <x:v>0.3</x:v>
      </x:c>
      <x:c r="E2240" s="62" t="b">
        <x:v>1</x:v>
      </x:c>
      <x:c r="F2240" s="62" t="b">
        <x:v>1</x:v>
      </x:c>
      <x:c r="G2240" s="85" t="n">
        <x:v>0</x:v>
      </x:c>
      <x:c r="H2240" s="85" t="n">
        <x:v>0</x:v>
      </x:c>
      <x:c r="I2240" s="85" t="n">
        <x:v>2863730.580656971</x:v>
      </x:c>
      <x:c r="J2240" s="85" t="n">
        <x:v>4659964.523253943</x:v>
      </x:c>
      <x:c r="K2240" s="85" t="n">
        <x:v>120039.49319219234</x:v>
      </x:c>
      <x:c r="L2240" s="28" t="n">
        <x:v>0</x:v>
      </x:c>
      <x:c r="M2240" s="28" t="n">
        <x:v>0</x:v>
      </x:c>
      <x:c r="N2240" s="28" t="n">
        <x:v>4.656612873077393e-10</x:v>
      </x:c>
      <x:c r="O2240" s="28" t="n">
        <x:v>7.450580596923828e-9</x:v>
      </x:c>
      <x:c r="P2240" s="28" t="n">
        <x:v>0</x:v>
      </x:c>
      <x:c r="Q2240" s="62" t="b">
        <x:v>1</x:v>
      </x:c>
      <x:c r="R2240" s="28" t="n">
        <x:v>0</x:v>
      </x:c>
      <x:c r="S2240" s="28" t="str">
        <x:v>1169756d26d2fa5f</x:v>
      </x:c>
    </x:row>
    <x:row r="2241" ht="21" customHeight="1">
      <x:c r="A2241" s="60" t="n">
        <x:v>0.68</x:v>
      </x:c>
      <x:c r="B2241" s="28" t="str">
        <x:v>level_low</x:v>
      </x:c>
      <x:c r="C2241" s="60" t="n">
        <x:v>0.35</x:v>
      </x:c>
      <x:c r="D2241" s="60" t="n">
        <x:v>0.35</x:v>
      </x:c>
      <x:c r="E2241" s="62" t="b">
        <x:v>1</x:v>
      </x:c>
      <x:c r="F2241" s="62" t="b">
        <x:v>1</x:v>
      </x:c>
      <x:c r="G2241" s="85" t="n">
        <x:v>0</x:v>
      </x:c>
      <x:c r="H2241" s="85" t="n">
        <x:v>0</x:v>
      </x:c>
      <x:c r="I2241" s="85" t="n">
        <x:v>3697368.065018528</x:v>
      </x:c>
      <x:c r="J2241" s="85" t="n">
        <x:v>6236838.342953752</x:v>
      </x:c>
      <x:c r="K2241" s="85" t="n">
        <x:v>97861.70514431564</x:v>
      </x:c>
      <x:c r="L2241" s="28" t="n">
        <x:v>1</x:v>
      </x:c>
      <x:c r="M2241" s="28" t="n">
        <x:v>0</x:v>
      </x:c>
      <x:c r="N2241" s="28" t="n">
        <x:v>9.313225746154785e-10</x:v>
      </x:c>
      <x:c r="O2241" s="28" t="n">
        <x:v>7.450580596923828e-9</x:v>
      </x:c>
      <x:c r="P2241" s="28" t="n">
        <x:v>0</x:v>
      </x:c>
      <x:c r="Q2241" s="62" t="b">
        <x:v>1</x:v>
      </x:c>
      <x:c r="R2241" s="28" t="n">
        <x:v>0</x:v>
      </x:c>
      <x:c r="S2241" s="28" t="str">
        <x:v>aa63741825882af0</x:v>
      </x:c>
    </x:row>
    <x:row r="2242" ht="21" customHeight="1">
      <x:c r="A2242" s="60" t="n">
        <x:v>0.68</x:v>
      </x:c>
      <x:c r="B2242" s="28" t="str">
        <x:v>level_low</x:v>
      </x:c>
      <x:c r="C2242" s="60" t="n">
        <x:v>0.4</x:v>
      </x:c>
      <x:c r="D2242" s="60" t="n">
        <x:v>0.4</x:v>
      </x:c>
      <x:c r="E2242" s="62" t="b">
        <x:v>1</x:v>
      </x:c>
      <x:c r="F2242" s="62" t="b">
        <x:v>1</x:v>
      </x:c>
      <x:c r="G2242" s="85" t="n">
        <x:v>0</x:v>
      </x:c>
      <x:c r="H2242" s="85" t="n">
        <x:v>0</x:v>
      </x:c>
      <x:c r="I2242" s="85" t="n">
        <x:v>4974871.430781245</x:v>
      </x:c>
      <x:c r="J2242" s="85" t="n">
        <x:v>7107199.597149567</x:v>
      </x:c>
      <x:c r="K2242" s="85" t="n">
        <x:v>81473.57589041108</x:v>
      </x:c>
      <x:c r="L2242" s="28" t="n">
        <x:v>9</x:v>
      </x:c>
      <x:c r="M2242" s="28" t="n">
        <x:v>0</x:v>
      </x:c>
      <x:c r="N2242" s="28" t="n">
        <x:v>9.313225746154785e-10</x:v>
      </x:c>
      <x:c r="O2242" s="28" t="n">
        <x:v>7.450580596923828e-9</x:v>
      </x:c>
      <x:c r="P2242" s="28" t="n">
        <x:v>0</x:v>
      </x:c>
      <x:c r="Q2242" s="62" t="b">
        <x:v>1</x:v>
      </x:c>
      <x:c r="R2242" s="28" t="n">
        <x:v>0</x:v>
      </x:c>
      <x:c r="S2242" s="28" t="str">
        <x:v>fb58fbaf32b5c6d7</x:v>
      </x:c>
    </x:row>
    <x:row r="2243" ht="21" customHeight="1">
      <x:c r="A2243" s="60" t="n">
        <x:v>0.68</x:v>
      </x:c>
      <x:c r="B2243" s="28" t="str">
        <x:v>level_low</x:v>
      </x:c>
      <x:c r="C2243" s="60" t="n">
        <x:v>0.45</x:v>
      </x:c>
      <x:c r="D2243" s="60" t="n">
        <x:v>0.45</x:v>
      </x:c>
      <x:c r="E2243" s="62" t="b">
        <x:v>1</x:v>
      </x:c>
      <x:c r="F2243" s="62" t="b">
        <x:v>1</x:v>
      </x:c>
      <x:c r="G2243" s="85" t="n">
        <x:v>0</x:v>
      </x:c>
      <x:c r="H2243" s="85" t="n">
        <x:v>0</x:v>
      </x:c>
      <x:c r="I2243" s="85" t="n">
        <x:v>6011584.170048264</x:v>
      </x:c>
      <x:c r="J2243" s="85" t="n">
        <x:v>8350270.087117438</x:v>
      </x:c>
      <x:c r="K2243" s="85" t="n">
        <x:v>70546.30787671251</x:v>
      </x:c>
      <x:c r="L2243" s="28" t="n">
        <x:v>14</x:v>
      </x:c>
      <x:c r="M2243" s="28" t="n">
        <x:v>0</x:v>
      </x:c>
      <x:c r="N2243" s="28" t="n">
        <x:v>9.313225746154785e-10</x:v>
      </x:c>
      <x:c r="O2243" s="28" t="n">
        <x:v>3.725290298461914e-9</x:v>
      </x:c>
      <x:c r="P2243" s="28" t="n">
        <x:v>0</x:v>
      </x:c>
      <x:c r="Q2243" s="62" t="b">
        <x:v>1</x:v>
      </x:c>
      <x:c r="R2243" s="28" t="n">
        <x:v>0</x:v>
      </x:c>
      <x:c r="S2243" s="28" t="str">
        <x:v>90f27af96105f1c7</x:v>
      </x:c>
    </x:row>
    <x:row r="2244" ht="21" customHeight="1">
      <x:c r="A2244" s="60" t="n">
        <x:v>0.68</x:v>
      </x:c>
      <x:c r="B2244" s="28" t="str">
        <x:v>level_low</x:v>
      </x:c>
      <x:c r="C2244" s="60" t="n">
        <x:v>0.5</x:v>
      </x:c>
      <x:c r="D2244" s="60" t="n">
        <x:v>0.5</x:v>
      </x:c>
      <x:c r="E2244" s="62" t="b">
        <x:v>1</x:v>
      </x:c>
      <x:c r="F2244" s="62" t="b">
        <x:v>1</x:v>
      </x:c>
      <x:c r="G2244" s="85" t="n">
        <x:v>0</x:v>
      </x:c>
      <x:c r="H2244" s="85" t="n">
        <x:v>0</x:v>
      </x:c>
      <x:c r="I2244" s="85" t="n">
        <x:v>6816448.504134118</x:v>
      </x:c>
      <x:c r="J2244" s="85" t="n">
        <x:v>9974199.217400674</x:v>
      </x:c>
      <x:c r="K2244" s="85" t="n">
        <x:v>59619.03986301382</x:v>
      </x:c>
      <x:c r="L2244" s="28" t="n">
        <x:v>17</x:v>
      </x:c>
      <x:c r="M2244" s="28" t="n">
        <x:v>0</x:v>
      </x:c>
      <x:c r="N2244" s="28" t="n">
        <x:v>2.3283064365386963e-10</x:v>
      </x:c>
      <x:c r="O2244" s="28" t="n">
        <x:v>3.725290298461914e-9</x:v>
      </x:c>
      <x:c r="P2244" s="28" t="n">
        <x:v>0</x:v>
      </x:c>
      <x:c r="Q2244" s="62" t="b">
        <x:v>1</x:v>
      </x:c>
      <x:c r="R2244" s="28" t="n">
        <x:v>0</x:v>
      </x:c>
      <x:c r="S2244" s="28" t="str">
        <x:v>4cc68833e2188d10</x:v>
      </x:c>
    </x:row>
    <x:row r="2245" ht="21" customHeight="1">
      <x:c r="A2245" s="60" t="n">
        <x:v>0.68</x:v>
      </x:c>
      <x:c r="B2245" s="28" t="str">
        <x:v>level_low</x:v>
      </x:c>
      <x:c r="C2245" s="60" t="n">
        <x:v>0.55</x:v>
      </x:c>
      <x:c r="D2245" s="60" t="n">
        <x:v>0.55</x:v>
      </x:c>
      <x:c r="E2245" s="62" t="b">
        <x:v>1</x:v>
      </x:c>
      <x:c r="F2245" s="62" t="b">
        <x:v>1</x:v>
      </x:c>
      <x:c r="G2245" s="85" t="n">
        <x:v>0</x:v>
      </x:c>
      <x:c r="H2245" s="85" t="n">
        <x:v>0</x:v>
      </x:c>
      <x:c r="I2245" s="85" t="n">
        <x:v>7576784.478337862</x:v>
      </x:c>
      <x:c r="J2245" s="85" t="n">
        <x:v>11662144.576359898</x:v>
      </x:c>
      <x:c r="K2245" s="85" t="n">
        <x:v>48691.77184931544</x:v>
      </x:c>
      <x:c r="L2245" s="28" t="n">
        <x:v>22</x:v>
      </x:c>
      <x:c r="M2245" s="28" t="n">
        <x:v>0</x:v>
      </x:c>
      <x:c r="N2245" s="28" t="n">
        <x:v>4.656612873077393e-10</x:v>
      </x:c>
      <x:c r="O2245" s="28" t="n">
        <x:v>3.725290298461914e-9</x:v>
      </x:c>
      <x:c r="P2245" s="28" t="n">
        <x:v>0</x:v>
      </x:c>
      <x:c r="Q2245" s="62" t="b">
        <x:v>1</x:v>
      </x:c>
      <x:c r="R2245" s="28" t="n">
        <x:v>0</x:v>
      </x:c>
      <x:c r="S2245" s="28" t="str">
        <x:v>8ea6a20e9c628d5c</x:v>
      </x:c>
    </x:row>
    <x:row r="2246" ht="21" customHeight="1">
      <x:c r="A2246" s="60" t="n">
        <x:v>0.68</x:v>
      </x:c>
      <x:c r="B2246" s="28" t="str">
        <x:v>level_low</x:v>
      </x:c>
      <x:c r="C2246" s="60" t="n">
        <x:v>0.6</x:v>
      </x:c>
      <x:c r="D2246" s="60" t="n">
        <x:v>0.6</x:v>
      </x:c>
      <x:c r="E2246" s="62" t="b">
        <x:v>1</x:v>
      </x:c>
      <x:c r="F2246" s="62" t="b">
        <x:v>0</x:v>
      </x:c>
      <x:c r="G2246" s="85" t="n">
        <x:v>96236.5053295344</x:v>
      </x:c>
      <x:c r="H2246" s="85" t="n">
        <x:v>1201233.9405214998</x:v>
      </x:c>
      <x:c r="I2246" s="85" t="n">
        <x:v>7925100.096986294</x:v>
      </x:c>
      <x:c r="J2246" s="85" t="n">
        <x:v>12263679.999999996</x:v>
      </x:c>
      <x:c r="K2246" s="85" t="n">
        <x:v>43066.21430136983</x:v>
      </x:c>
      <x:c r="L2246" s="28" t="n">
        <x:v>43</x:v>
      </x:c>
      <x:c r="M2246" s="28" t="n">
        <x:v>27</x:v>
      </x:c>
      <x:c r="N2246" s="28" t="n">
        <x:v>4.656612873077393e-10</x:v>
      </x:c>
      <x:c r="O2246" s="28" t="n">
        <x:v>7.450580596923828e-9</x:v>
      </x:c>
      <x:c r="P2246" s="28" t="n">
        <x:v>0</x:v>
      </x:c>
      <x:c r="Q2246" s="62" t="b">
        <x:v>1</x:v>
      </x:c>
      <x:c r="R2246" s="28" t="n">
        <x:v>0</x:v>
      </x:c>
      <x:c r="S2246" s="28" t="str">
        <x:v>dd287b095542dc7f</x:v>
      </x:c>
    </x:row>
    <x:row r="2247" ht="21" customHeight="1">
      <x:c r="A2247" s="60" t="n">
        <x:v>0.68</x:v>
      </x:c>
      <x:c r="B2247" s="28" t="str">
        <x:v>level_low</x:v>
      </x:c>
      <x:c r="C2247" s="60" t="n">
        <x:v>0.65</x:v>
      </x:c>
      <x:c r="D2247" s="60" t="n">
        <x:v>0.65</x:v>
      </x:c>
      <x:c r="E2247" s="62" t="b">
        <x:v>1</x:v>
      </x:c>
      <x:c r="F2247" s="62" t="b">
        <x:v>0</x:v>
      </x:c>
      <x:c r="G2247" s="85" t="n">
        <x:v>260356.58238681438</x:v>
      </x:c>
      <x:c r="H2247" s="85" t="n">
        <x:v>3242026.8901140774</x:v>
      </x:c>
      <x:c r="I2247" s="85" t="n">
        <x:v>7930456.932904102</x:v>
      </x:c>
      <x:c r="J2247" s="85" t="n">
        <x:v>12263679.999999996</x:v>
      </x:c>
      <x:c r="K2247" s="85" t="n">
        <x:v>39675.75012328752</x:v>
      </x:c>
      <x:c r="L2247" s="28" t="n">
        <x:v>43</x:v>
      </x:c>
      <x:c r="M2247" s="28" t="n">
        <x:v>31</x:v>
      </x:c>
      <x:c r="N2247" s="28" t="n">
        <x:v>4.656612873077393e-10</x:v>
      </x:c>
      <x:c r="O2247" s="28" t="n">
        <x:v>3.725290298461914e-9</x:v>
      </x:c>
      <x:c r="P2247" s="28" t="n">
        <x:v>0</x:v>
      </x:c>
      <x:c r="Q2247" s="62" t="b">
        <x:v>1</x:v>
      </x:c>
      <x:c r="R2247" s="28" t="n">
        <x:v>0</x:v>
      </x:c>
      <x:c r="S2247" s="28" t="str">
        <x:v>a0983d66aeef1280</x:v>
      </x:c>
    </x:row>
    <x:row r="2248" ht="21" customHeight="1">
      <x:c r="A2248" s="60" t="n">
        <x:v>0.68</x:v>
      </x:c>
      <x:c r="B2248" s="28" t="str">
        <x:v>level_low</x:v>
      </x:c>
      <x:c r="C2248" s="60" t="n">
        <x:v>0.7</x:v>
      </x:c>
      <x:c r="D2248" s="60" t="n">
        <x:v>0.7</x:v>
      </x:c>
      <x:c r="E2248" s="62" t="b">
        <x:v>1</x:v>
      </x:c>
      <x:c r="F2248" s="62" t="b">
        <x:v>0</x:v>
      </x:c>
      <x:c r="G2248" s="85" t="n">
        <x:v>409255.1353711835</x:v>
      </x:c>
      <x:c r="H2248" s="85" t="n">
        <x:v>5093478.272282923</x:v>
      </x:c>
      <x:c r="I2248" s="85" t="n">
        <x:v>8100076.642191772</x:v>
      </x:c>
      <x:c r="J2248" s="85" t="n">
        <x:v>12263679.999999996</x:v>
      </x:c>
      <x:c r="K2248" s="85" t="n">
        <x:v>36285.285945205615</x:v>
      </x:c>
      <x:c r="L2248" s="28" t="n">
        <x:v>44</x:v>
      </x:c>
      <x:c r="M2248" s="28" t="n">
        <x:v>32</x:v>
      </x:c>
      <x:c r="N2248" s="28" t="n">
        <x:v>4.656612873077393e-10</x:v>
      </x:c>
      <x:c r="O2248" s="28" t="n">
        <x:v>3.725290298461914e-9</x:v>
      </x:c>
      <x:c r="P2248" s="28" t="n">
        <x:v>0</x:v>
      </x:c>
      <x:c r="Q2248" s="62" t="b">
        <x:v>1</x:v>
      </x:c>
      <x:c r="R2248" s="28" t="n">
        <x:v>0</x:v>
      </x:c>
      <x:c r="S2248" s="28" t="str">
        <x:v>8cfc95bfa0b97c5d</x:v>
      </x:c>
    </x:row>
    <x:row r="2249" ht="21" customHeight="1">
      <x:c r="A2249" s="60" t="n">
        <x:v>0.68</x:v>
      </x:c>
      <x:c r="B2249" s="28" t="str">
        <x:v>level_low</x:v>
      </x:c>
      <x:c r="C2249" s="60" t="n">
        <x:v>0.75</x:v>
      </x:c>
      <x:c r="D2249" s="60" t="n">
        <x:v>0.75</x:v>
      </x:c>
      <x:c r="E2249" s="62" t="b">
        <x:v>1</x:v>
      </x:c>
      <x:c r="F2249" s="62" t="b">
        <x:v>0</x:v>
      </x:c>
      <x:c r="G2249" s="85" t="n">
        <x:v>602621.1016516077</x:v>
      </x:c>
      <x:c r="H2249" s="85" t="n">
        <x:v>7109801.318541089</x:v>
      </x:c>
      <x:c r="I2249" s="85" t="n">
        <x:v>8100076.642191772</x:v>
      </x:c>
      <x:c r="J2249" s="85" t="n">
        <x:v>12263679.999999996</x:v>
      </x:c>
      <x:c r="K2249" s="85" t="n">
        <x:v>32894.82176712324</x:v>
      </x:c>
      <x:c r="L2249" s="28" t="n">
        <x:v>44</x:v>
      </x:c>
      <x:c r="M2249" s="28" t="n">
        <x:v>32</x:v>
      </x:c>
      <x:c r="N2249" s="28" t="n">
        <x:v>4.656612873077393e-10</x:v>
      </x:c>
      <x:c r="O2249" s="28" t="n">
        <x:v>3.725290298461914e-9</x:v>
      </x:c>
      <x:c r="P2249" s="28" t="n">
        <x:v>0</x:v>
      </x:c>
      <x:c r="Q2249" s="62" t="b">
        <x:v>1</x:v>
      </x:c>
      <x:c r="R2249" s="28" t="n">
        <x:v>0</x:v>
      </x:c>
      <x:c r="S2249" s="28" t="str">
        <x:v>11f1b009e147df47</x:v>
      </x:c>
    </x:row>
    <x:row r="2250" ht="21" customHeight="1">
      <x:c r="A2250" s="60" t="n">
        <x:v>0.68</x:v>
      </x:c>
      <x:c r="B2250" s="28" t="str">
        <x:v>level_low</x:v>
      </x:c>
      <x:c r="C2250" s="60" t="n">
        <x:v>0.8</x:v>
      </x:c>
      <x:c r="D2250" s="60" t="n">
        <x:v>0.8</x:v>
      </x:c>
      <x:c r="E2250" s="62" t="b">
        <x:v>1</x:v>
      </x:c>
      <x:c r="F2250" s="62" t="b">
        <x:v>0</x:v>
      </x:c>
      <x:c r="G2250" s="85" t="n">
        <x:v>757589.6625542258</x:v>
      </x:c>
      <x:c r="H2250" s="85" t="n">
        <x:v>8873178.69356934</x:v>
      </x:c>
      <x:c r="I2250" s="85" t="n">
        <x:v>8285543.802739718</x:v>
      </x:c>
      <x:c r="J2250" s="85" t="n">
        <x:v>12263679.999999996</x:v>
      </x:c>
      <x:c r="K2250" s="85" t="n">
        <x:v>29504.357589041218</x:v>
      </x:c>
      <x:c r="L2250" s="28" t="n">
        <x:v>45</x:v>
      </x:c>
      <x:c r="M2250" s="28" t="n">
        <x:v>34</x:v>
      </x:c>
      <x:c r="N2250" s="28" t="n">
        <x:v>2.3283064365386963e-10</x:v>
      </x:c>
      <x:c r="O2250" s="28" t="n">
        <x:v>3.725290298461914e-9</x:v>
      </x:c>
      <x:c r="P2250" s="28" t="n">
        <x:v>0</x:v>
      </x:c>
      <x:c r="Q2250" s="62" t="b">
        <x:v>1</x:v>
      </x:c>
      <x:c r="R2250" s="28" t="n">
        <x:v>0</x:v>
      </x:c>
      <x:c r="S2250" s="28" t="str">
        <x:v>7cdeca506c6027f4</x:v>
      </x:c>
    </x:row>
    <x:row r="2251" ht="21" customHeight="1">
      <x:c r="A2251" s="60" t="n">
        <x:v>0.68</x:v>
      </x:c>
      <x:c r="B2251" s="28" t="str">
        <x:v>level_low</x:v>
      </x:c>
      <x:c r="C2251" s="60" t="n">
        <x:v>0.85</x:v>
      </x:c>
      <x:c r="D2251" s="60" t="n">
        <x:v>0.85</x:v>
      </x:c>
      <x:c r="E2251" s="62" t="b">
        <x:v>1</x:v>
      </x:c>
      <x:c r="F2251" s="62" t="b">
        <x:v>0</x:v>
      </x:c>
      <x:c r="G2251" s="85" t="n">
        <x:v>994373.5898404329</x:v>
      </x:c>
      <x:c r="H2251" s="85" t="n">
        <x:v>10785800.744752165</x:v>
      </x:c>
      <x:c r="I2251" s="85" t="n">
        <x:v>8285543.802739718</x:v>
      </x:c>
      <x:c r="J2251" s="85" t="n">
        <x:v>12263679.999999996</x:v>
      </x:c>
      <x:c r="K2251" s="85" t="n">
        <x:v>26113.893410959194</x:v>
      </x:c>
      <x:c r="L2251" s="28" t="n">
        <x:v>45</x:v>
      </x:c>
      <x:c r="M2251" s="28" t="n">
        <x:v>34</x:v>
      </x:c>
      <x:c r="N2251" s="28" t="n">
        <x:v>4.656612873077393e-10</x:v>
      </x:c>
      <x:c r="O2251" s="28" t="n">
        <x:v>3.725290298461914e-9</x:v>
      </x:c>
      <x:c r="P2251" s="28" t="n">
        <x:v>0</x:v>
      </x:c>
      <x:c r="Q2251" s="62" t="b">
        <x:v>1</x:v>
      </x:c>
      <x:c r="R2251" s="28" t="n">
        <x:v>0</x:v>
      </x:c>
      <x:c r="S2251" s="28" t="str">
        <x:v>b5c408c7a0fdd14b</x:v>
      </x:c>
    </x:row>
    <x:row r="2252" ht="21" customHeight="1">
      <x:c r="A2252" s="60" t="n">
        <x:v>0.68</x:v>
      </x:c>
      <x:c r="B2252" s="28" t="str">
        <x:v>level_low</x:v>
      </x:c>
      <x:c r="C2252" s="60" t="n">
        <x:v>0.9</x:v>
      </x:c>
      <x:c r="D2252" s="60" t="n">
        <x:v>0.8949513562027351</x:v>
      </x:c>
      <x:c r="E2252" s="62" t="b">
        <x:v>0</x:v>
      </x:c>
      <x:c r="F2252" s="62" t="b">
        <x:v>0</x:v>
      </x:c>
      <x:c r="G2252" s="85" t="n">
        <x:v>1395740.110573798</x:v>
      </x:c>
      <x:c r="H2252" s="85" t="n">
        <x:v>12237746.291273782</x:v>
      </x:c>
      <x:c r="I2252" s="85" t="n">
        <x:v>8288497.9403835535</x:v>
      </x:c>
      <x:c r="J2252" s="85" t="n">
        <x:v>12263679.999999996</x:v>
      </x:c>
      <x:c r="K2252" s="85" t="n">
        <x:v>22723.42923287694</x:v>
      </x:c>
      <x:c r="L2252" s="28" t="n">
        <x:v>45</x:v>
      </x:c>
      <x:c r="M2252" s="28" t="n">
        <x:v>36</x:v>
      </x:c>
      <x:c r="N2252" s="28" t="n">
        <x:v>4.656612873077393e-10</x:v>
      </x:c>
      <x:c r="O2252" s="28" t="n">
        <x:v>3.725290298461914e-9</x:v>
      </x:c>
      <x:c r="P2252" s="28" t="n">
        <x:v>0</x:v>
      </x:c>
      <x:c r="Q2252" s="62" t="b">
        <x:v>1</x:v>
      </x:c>
      <x:c r="R2252" s="28" t="n">
        <x:v>281431.5998347327</x:v>
      </x:c>
      <x:c r="S2252" s="28" t="str">
        <x:v>e0003f71a17cffa1</x:v>
      </x:c>
    </x:row>
    <x:row r="2253" ht="21" customHeight="1">
      <x:c r="A2253" s="60" t="n">
        <x:v>0.68</x:v>
      </x:c>
      <x:c r="B2253" s="28" t="str">
        <x:v>level_low</x:v>
      </x:c>
      <x:c r="C2253" s="60" t="n">
        <x:v>0.95</x:v>
      </x:c>
      <x:c r="D2253" s="60" t="n">
        <x:v>0.9109811515371262</x:v>
      </x:c>
      <x:c r="E2253" s="62" t="b">
        <x:v>0</x:v>
      </x:c>
      <x:c r="F2253" s="62" t="b">
        <x:v>0</x:v>
      </x:c>
      <x:c r="G2253" s="85" t="n">
        <x:v>1480794.514024797</x:v>
      </x:c>
      <x:c r="H2253" s="85" t="n">
        <x:v>12983497.024167066</x:v>
      </x:c>
      <x:c r="I2253" s="85" t="n">
        <x:v>8291796.538630129</x:v>
      </x:c>
      <x:c r="J2253" s="85" t="n">
        <x:v>12263679.999999996</x:v>
      </x:c>
      <x:c r="K2253" s="85" t="n">
        <x:v>19332.96505479451</x:v>
      </x:c>
      <x:c r="L2253" s="28" t="n">
        <x:v>45</x:v>
      </x:c>
      <x:c r="M2253" s="28" t="n">
        <x:v>36</x:v>
      </x:c>
      <x:c r="N2253" s="28" t="n">
        <x:v>2.3283064365386963e-10</x:v>
      </x:c>
      <x:c r="O2253" s="28" t="n">
        <x:v>3.725290298461914e-9</x:v>
      </x:c>
      <x:c r="P2253" s="28" t="n">
        <x:v>0</x:v>
      </x:c>
      <x:c r="Q2253" s="62" t="b">
        <x:v>1</x:v>
      </x:c>
      <x:c r="R2253" s="28" t="n">
        <x:v>2175066.688714437</x:v>
      </x:c>
      <x:c r="S2253" s="28" t="str">
        <x:v>9f2b51e973329026</x:v>
      </x:c>
    </x:row>
    <x:row r="2254" ht="21" customHeight="1">
      <x:c r="A2254" s="60" t="n">
        <x:v>0.68</x:v>
      </x:c>
      <x:c r="B2254" s="28" t="str">
        <x:v>level_low</x:v>
      </x:c>
      <x:c r="C2254" s="60" t="n">
        <x:v>1</x:v>
      </x:c>
      <x:c r="D2254" s="60" t="n">
        <x:v>0.9258453085724337</x:v>
      </x:c>
      <x:c r="E2254" s="62" t="b">
        <x:v>0</x:v>
      </x:c>
      <x:c r="F2254" s="62" t="b">
        <x:v>0</x:v>
      </x:c>
      <x:c r="G2254" s="85" t="n">
        <x:v>1616810.713255277</x:v>
      </x:c>
      <x:c r="H2254" s="85" t="n">
        <x:v>13604811.543863708</x:v>
      </x:c>
      <x:c r="I2254" s="85" t="n">
        <x:v>8295095.136876704</x:v>
      </x:c>
      <x:c r="J2254" s="85" t="n">
        <x:v>12263679.999999996</x:v>
      </x:c>
      <x:c r="K2254" s="85" t="n">
        <x:v>15942.500876712369</x:v>
      </x:c>
      <x:c r="L2254" s="28" t="n">
        <x:v>45</x:v>
      </x:c>
      <x:c r="M2254" s="28" t="n">
        <x:v>37</x:v>
      </x:c>
      <x:c r="N2254" s="28" t="n">
        <x:v>2.3283064365386963e-10</x:v>
      </x:c>
      <x:c r="O2254" s="28" t="n">
        <x:v>1.862645149230957e-9</x:v>
      </x:c>
      <x:c r="P2254" s="28" t="n">
        <x:v>0</x:v>
      </x:c>
      <x:c r="Q2254" s="62" t="b">
        <x:v>1</x:v>
      </x:c>
      <x:c r="R2254" s="28" t="n">
        <x:v>4133679.1189382523</x:v>
      </x:c>
      <x:c r="S2254" s="28" t="str">
        <x:v>cfe23e7806cc7a37</x:v>
      </x:c>
    </x:row>
    <x:row r="2255" ht="21" customHeight="1">
      <x:c r="A2255" s="60" t="n">
        <x:v>0.68</x:v>
      </x:c>
      <x:c r="B2255" s="28" t="str">
        <x:v>level_high</x:v>
      </x:c>
      <x:c r="C2255" s="60" t="n">
        <x:v>0</x:v>
      </x:c>
      <x:c r="D2255" s="60" t="n">
        <x:v>0</x:v>
      </x:c>
      <x:c r="E2255" s="62" t="b">
        <x:v>1</x:v>
      </x:c>
      <x:c r="F2255" s="62" t="b">
        <x:v>1</x:v>
      </x:c>
      <x:c r="G2255" s="85" t="n">
        <x:v>0</x:v>
      </x:c>
      <x:c r="H2255" s="85" t="n">
        <x:v>0</x:v>
      </x:c>
      <x:c r="I2255" s="85" t="n">
        <x:v>0</x:v>
      </x:c>
      <x:c r="J2255" s="85" t="n">
        <x:v>0</x:v>
      </x:c>
      <x:c r="K2255" s="85" t="n">
        <x:v>7547640.424767128</x:v>
      </x:c>
      <x:c r="L2255" s="28" t="n">
        <x:v>0</x:v>
      </x:c>
      <x:c r="M2255" s="28" t="n">
        <x:v>0</x:v>
      </x:c>
      <x:c r="N2255" s="28" t="n">
        <x:v>9.313225746154785e-10</x:v>
      </x:c>
      <x:c r="O2255" s="28" t="n">
        <x:v>0</x:v>
      </x:c>
      <x:c r="P2255" s="28" t="n">
        <x:v>0</x:v>
      </x:c>
      <x:c r="Q2255" s="62" t="b">
        <x:v>1</x:v>
      </x:c>
      <x:c r="R2255" s="28" t="n">
        <x:v>0</x:v>
      </x:c>
      <x:c r="S2255" s="28" t="str">
        <x:v>34b774acbe925a1e</x:v>
      </x:c>
    </x:row>
    <x:row r="2256" ht="21" customHeight="1">
      <x:c r="A2256" s="60" t="n">
        <x:v>0.68</x:v>
      </x:c>
      <x:c r="B2256" s="28" t="str">
        <x:v>level_high</x:v>
      </x:c>
      <x:c r="C2256" s="60" t="n">
        <x:v>0.05</x:v>
      </x:c>
      <x:c r="D2256" s="60" t="n">
        <x:v>0.05</x:v>
      </x:c>
      <x:c r="E2256" s="62" t="b">
        <x:v>1</x:v>
      </x:c>
      <x:c r="F2256" s="62" t="b">
        <x:v>1</x:v>
      </x:c>
      <x:c r="G2256" s="85" t="n">
        <x:v>0</x:v>
      </x:c>
      <x:c r="H2256" s="85" t="n">
        <x:v>0</x:v>
      </x:c>
      <x:c r="I2256" s="85" t="n">
        <x:v>0</x:v>
      </x:c>
      <x:c r="J2256" s="85" t="n">
        <x:v>0</x:v>
      </x:c>
      <x:c r="K2256" s="85" t="n">
        <x:v>5056080.861781624</x:v>
      </x:c>
      <x:c r="L2256" s="28" t="n">
        <x:v>0</x:v>
      </x:c>
      <x:c r="M2256" s="28" t="n">
        <x:v>0</x:v>
      </x:c>
      <x:c r="N2256" s="28" t="n">
        <x:v>9.313225746154785e-10</x:v>
      </x:c>
      <x:c r="O2256" s="28" t="n">
        <x:v>7.450580596923828e-9</x:v>
      </x:c>
      <x:c r="P2256" s="28" t="n">
        <x:v>0</x:v>
      </x:c>
      <x:c r="Q2256" s="62" t="b">
        <x:v>1</x:v>
      </x:c>
      <x:c r="R2256" s="28" t="n">
        <x:v>0</x:v>
      </x:c>
      <x:c r="S2256" s="28" t="str">
        <x:v>132e442699cc7955</x:v>
      </x:c>
    </x:row>
    <x:row r="2257" ht="21" customHeight="1">
      <x:c r="A2257" s="60" t="n">
        <x:v>0.68</x:v>
      </x:c>
      <x:c r="B2257" s="28" t="str">
        <x:v>level_high</x:v>
      </x:c>
      <x:c r="C2257" s="60" t="n">
        <x:v>0.1</x:v>
      </x:c>
      <x:c r="D2257" s="60" t="n">
        <x:v>0.1</x:v>
      </x:c>
      <x:c r="E2257" s="62" t="b">
        <x:v>1</x:v>
      </x:c>
      <x:c r="F2257" s="62" t="b">
        <x:v>1</x:v>
      </x:c>
      <x:c r="G2257" s="85" t="n">
        <x:v>0</x:v>
      </x:c>
      <x:c r="H2257" s="85" t="n">
        <x:v>0</x:v>
      </x:c>
      <x:c r="I2257" s="85" t="n">
        <x:v>0</x:v>
      </x:c>
      <x:c r="J2257" s="85" t="n">
        <x:v>0</x:v>
      </x:c>
      <x:c r="K2257" s="85" t="n">
        <x:v>2564366.40180207</x:v>
      </x:c>
      <x:c r="L2257" s="28" t="n">
        <x:v>0</x:v>
      </x:c>
      <x:c r="M2257" s="28" t="n">
        <x:v>0</x:v>
      </x:c>
      <x:c r="N2257" s="28" t="n">
        <x:v>9.313225746154785e-10</x:v>
      </x:c>
      <x:c r="O2257" s="28" t="n">
        <x:v>7.450580596923828e-9</x:v>
      </x:c>
      <x:c r="P2257" s="28" t="n">
        <x:v>0</x:v>
      </x:c>
      <x:c r="Q2257" s="62" t="b">
        <x:v>1</x:v>
      </x:c>
      <x:c r="R2257" s="28" t="n">
        <x:v>0</x:v>
      </x:c>
      <x:c r="S2257" s="28" t="str">
        <x:v>85c3521fb97776a5</x:v>
      </x:c>
    </x:row>
    <x:row r="2258" ht="21" customHeight="1">
      <x:c r="A2258" s="60" t="n">
        <x:v>0.68</x:v>
      </x:c>
      <x:c r="B2258" s="28" t="str">
        <x:v>level_high</x:v>
      </x:c>
      <x:c r="C2258" s="60" t="n">
        <x:v>0.15</x:v>
      </x:c>
      <x:c r="D2258" s="60" t="n">
        <x:v>0.15</x:v>
      </x:c>
      <x:c r="E2258" s="62" t="b">
        <x:v>1</x:v>
      </x:c>
      <x:c r="F2258" s="62" t="b">
        <x:v>1</x:v>
      </x:c>
      <x:c r="G2258" s="85" t="n">
        <x:v>0</x:v>
      </x:c>
      <x:c r="H2258" s="85" t="n">
        <x:v>0</x:v>
      </x:c>
      <x:c r="I2258" s="85" t="n">
        <x:v>552443.0997624418</x:v>
      </x:c>
      <x:c r="J2258" s="85" t="n">
        <x:v>0</x:v>
      </x:c>
      <x:c r="K2258" s="85" t="n">
        <x:v>661136.6304545933</x:v>
      </x:c>
      <x:c r="L2258" s="28" t="n">
        <x:v>0</x:v>
      </x:c>
      <x:c r="M2258" s="28" t="n">
        <x:v>0</x:v>
      </x:c>
      <x:c r="N2258" s="28" t="n">
        <x:v>9.313225746154785e-10</x:v>
      </x:c>
      <x:c r="O2258" s="28" t="n">
        <x:v>7.450580596923828e-9</x:v>
      </x:c>
      <x:c r="P2258" s="28" t="n">
        <x:v>0</x:v>
      </x:c>
      <x:c r="Q2258" s="62" t="b">
        <x:v>1</x:v>
      </x:c>
      <x:c r="R2258" s="28" t="n">
        <x:v>0</x:v>
      </x:c>
      <x:c r="S2258" s="28" t="str">
        <x:v>1219d9be8ebaf450</x:v>
      </x:c>
    </x:row>
    <x:row r="2259" ht="21" customHeight="1">
      <x:c r="A2259" s="60" t="n">
        <x:v>0.68</x:v>
      </x:c>
      <x:c r="B2259" s="28" t="str">
        <x:v>level_high</x:v>
      </x:c>
      <x:c r="C2259" s="60" t="n">
        <x:v>0.2</x:v>
      </x:c>
      <x:c r="D2259" s="60" t="n">
        <x:v>0.2</x:v>
      </x:c>
      <x:c r="E2259" s="62" t="b">
        <x:v>1</x:v>
      </x:c>
      <x:c r="F2259" s="62" t="b">
        <x:v>1</x:v>
      </x:c>
      <x:c r="G2259" s="85" t="n">
        <x:v>0</x:v>
      </x:c>
      <x:c r="H2259" s="85" t="n">
        <x:v>0</x:v>
      </x:c>
      <x:c r="I2259" s="85" t="n">
        <x:v>2378566.4509049314</x:v>
      </x:c>
      <x:c r="J2259" s="85" t="n">
        <x:v>1248509.682169294</x:v>
      </x:c>
      <x:c r="K2259" s="85" t="n">
        <x:v>491301.2385374997</x:v>
      </x:c>
      <x:c r="L2259" s="28" t="n">
        <x:v>0</x:v>
      </x:c>
      <x:c r="M2259" s="28" t="n">
        <x:v>0</x:v>
      </x:c>
      <x:c r="N2259" s="28" t="n">
        <x:v>9.313225746154785e-10</x:v>
      </x:c>
      <x:c r="O2259" s="28" t="n">
        <x:v>7.450580596923828e-9</x:v>
      </x:c>
      <x:c r="P2259" s="28" t="n">
        <x:v>0</x:v>
      </x:c>
      <x:c r="Q2259" s="62" t="b">
        <x:v>1</x:v>
      </x:c>
      <x:c r="R2259" s="28" t="n">
        <x:v>0</x:v>
      </x:c>
      <x:c r="S2259" s="28" t="str">
        <x:v>58690435d2c89442</x:v>
      </x:c>
    </x:row>
    <x:row r="2260" ht="21" customHeight="1">
      <x:c r="A2260" s="60" t="n">
        <x:v>0.68</x:v>
      </x:c>
      <x:c r="B2260" s="28" t="str">
        <x:v>level_high</x:v>
      </x:c>
      <x:c r="C2260" s="60" t="n">
        <x:v>0.25</x:v>
      </x:c>
      <x:c r="D2260" s="60" t="n">
        <x:v>0.25</x:v>
      </x:c>
      <x:c r="E2260" s="62" t="b">
        <x:v>1</x:v>
      </x:c>
      <x:c r="F2260" s="62" t="b">
        <x:v>1</x:v>
      </x:c>
      <x:c r="G2260" s="85" t="n">
        <x:v>0</x:v>
      </x:c>
      <x:c r="H2260" s="85" t="n">
        <x:v>0</x:v>
      </x:c>
      <x:c r="I2260" s="85" t="n">
        <x:v>3979958.053617175</x:v>
      </x:c>
      <x:c r="J2260" s="85" t="n">
        <x:v>2954237.1027116217</x:v>
      </x:c>
      <x:c r="K2260" s="85" t="n">
        <x:v>379935.7360157536</x:v>
      </x:c>
      <x:c r="L2260" s="28" t="n">
        <x:v>0</x:v>
      </x:c>
      <x:c r="M2260" s="28" t="n">
        <x:v>0</x:v>
      </x:c>
      <x:c r="N2260" s="28" t="n">
        <x:v>4.656612873077393e-10</x:v>
      </x:c>
      <x:c r="O2260" s="28" t="n">
        <x:v>7.450580596923828e-9</x:v>
      </x:c>
      <x:c r="P2260" s="28" t="n">
        <x:v>0</x:v>
      </x:c>
      <x:c r="Q2260" s="62" t="b">
        <x:v>1</x:v>
      </x:c>
      <x:c r="R2260" s="28" t="n">
        <x:v>0</x:v>
      </x:c>
      <x:c r="S2260" s="28" t="str">
        <x:v>c5c056adcd08b84d</x:v>
      </x:c>
    </x:row>
    <x:row r="2261" ht="21" customHeight="1">
      <x:c r="A2261" s="60" t="n">
        <x:v>0.68</x:v>
      </x:c>
      <x:c r="B2261" s="28" t="str">
        <x:v>level_high</x:v>
      </x:c>
      <x:c r="C2261" s="60" t="n">
        <x:v>0.3</x:v>
      </x:c>
      <x:c r="D2261" s="60" t="n">
        <x:v>0.3</x:v>
      </x:c>
      <x:c r="E2261" s="62" t="b">
        <x:v>1</x:v>
      </x:c>
      <x:c r="F2261" s="62" t="b">
        <x:v>1</x:v>
      </x:c>
      <x:c r="G2261" s="85" t="n">
        <x:v>0</x:v>
      </x:c>
      <x:c r="H2261" s="85" t="n">
        <x:v>0</x:v>
      </x:c>
      <x:c r="I2261" s="85" t="n">
        <x:v>5632554.036314908</x:v>
      </x:c>
      <x:c r="J2261" s="85" t="n">
        <x:v>4659964.523253943</x:v>
      </x:c>
      <x:c r="K2261" s="85" t="n">
        <x:v>293212.4392243847</x:v>
      </x:c>
      <x:c r="L2261" s="28" t="n">
        <x:v>0</x:v>
      </x:c>
      <x:c r="M2261" s="28" t="n">
        <x:v>0</x:v>
      </x:c>
      <x:c r="N2261" s="28" t="n">
        <x:v>4.656612873077393e-10</x:v>
      </x:c>
      <x:c r="O2261" s="28" t="n">
        <x:v>7.450580596923828e-9</x:v>
      </x:c>
      <x:c r="P2261" s="28" t="n">
        <x:v>0</x:v>
      </x:c>
      <x:c r="Q2261" s="62" t="b">
        <x:v>1</x:v>
      </x:c>
      <x:c r="R2261" s="28" t="n">
        <x:v>0</x:v>
      </x:c>
      <x:c r="S2261" s="28" t="str">
        <x:v>a0a2ace77f861145</x:v>
      </x:c>
    </x:row>
    <x:row r="2262" ht="21" customHeight="1">
      <x:c r="A2262" s="60" t="n">
        <x:v>0.68</x:v>
      </x:c>
      <x:c r="B2262" s="28" t="str">
        <x:v>level_high</x:v>
      </x:c>
      <x:c r="C2262" s="60" t="n">
        <x:v>0.35</x:v>
      </x:c>
      <x:c r="D2262" s="60" t="n">
        <x:v>0.35</x:v>
      </x:c>
      <x:c r="E2262" s="62" t="b">
        <x:v>1</x:v>
      </x:c>
      <x:c r="F2262" s="62" t="b">
        <x:v>1</x:v>
      </x:c>
      <x:c r="G2262" s="85" t="n">
        <x:v>0</x:v>
      </x:c>
      <x:c r="H2262" s="85" t="n">
        <x:v>0</x:v>
      </x:c>
      <x:c r="I2262" s="85" t="n">
        <x:v>7335177.601435984</x:v>
      </x:c>
      <x:c r="J2262" s="85" t="n">
        <x:v>6163565.367491449</x:v>
      </x:c>
      <x:c r="K2262" s="85" t="n">
        <x:v>231973.39606315142</x:v>
      </x:c>
      <x:c r="L2262" s="28" t="n">
        <x:v>1</x:v>
      </x:c>
      <x:c r="M2262" s="28" t="n">
        <x:v>0</x:v>
      </x:c>
      <x:c r="N2262" s="28" t="n">
        <x:v>2.3283064365386963e-10</x:v>
      </x:c>
      <x:c r="O2262" s="28" t="n">
        <x:v>7.450580596923828e-9</x:v>
      </x:c>
      <x:c r="P2262" s="28" t="n">
        <x:v>0</x:v>
      </x:c>
      <x:c r="Q2262" s="62" t="b">
        <x:v>1</x:v>
      </x:c>
      <x:c r="R2262" s="28" t="n">
        <x:v>0</x:v>
      </x:c>
      <x:c r="S2262" s="28" t="str">
        <x:v>9528ee2e9e246a3c</x:v>
      </x:c>
    </x:row>
    <x:row r="2263" ht="21" customHeight="1">
      <x:c r="A2263" s="60" t="n">
        <x:v>0.68</x:v>
      </x:c>
      <x:c r="B2263" s="28" t="str">
        <x:v>level_high</x:v>
      </x:c>
      <x:c r="C2263" s="60" t="n">
        <x:v>0.4</x:v>
      </x:c>
      <x:c r="D2263" s="60" t="n">
        <x:v>0.4</x:v>
      </x:c>
      <x:c r="E2263" s="62" t="b">
        <x:v>1</x:v>
      </x:c>
      <x:c r="F2263" s="62" t="b">
        <x:v>1</x:v>
      </x:c>
      <x:c r="G2263" s="85" t="n">
        <x:v>0</x:v>
      </x:c>
      <x:c r="H2263" s="85" t="n">
        <x:v>0</x:v>
      </x:c>
      <x:c r="I2263" s="85" t="n">
        <x:v>9225570.178529838</x:v>
      </x:c>
      <x:c r="J2263" s="85" t="n">
        <x:v>6647079.802774883</x:v>
      </x:c>
      <x:c r="K2263" s="85" t="n">
        <x:v>201270.7364383566</x:v>
      </x:c>
      <x:c r="L2263" s="28" t="n">
        <x:v>8</x:v>
      </x:c>
      <x:c r="M2263" s="28" t="n">
        <x:v>0</x:v>
      </x:c>
      <x:c r="N2263" s="28" t="n">
        <x:v>4.656612873077393e-10</x:v>
      </x:c>
      <x:c r="O2263" s="28" t="n">
        <x:v>7.450580596923828e-9</x:v>
      </x:c>
      <x:c r="P2263" s="28" t="n">
        <x:v>0</x:v>
      </x:c>
      <x:c r="Q2263" s="62" t="b">
        <x:v>1</x:v>
      </x:c>
      <x:c r="R2263" s="28" t="n">
        <x:v>0</x:v>
      </x:c>
      <x:c r="S2263" s="28" t="str">
        <x:v>400df65aa2f7b391</x:v>
      </x:c>
    </x:row>
    <x:row r="2264" ht="21" customHeight="1">
      <x:c r="A2264" s="60" t="n">
        <x:v>0.68</x:v>
      </x:c>
      <x:c r="B2264" s="28" t="str">
        <x:v>level_high</x:v>
      </x:c>
      <x:c r="C2264" s="60" t="n">
        <x:v>0.45</x:v>
      </x:c>
      <x:c r="D2264" s="60" t="n">
        <x:v>0.45</x:v>
      </x:c>
      <x:c r="E2264" s="62" t="b">
        <x:v>1</x:v>
      </x:c>
      <x:c r="F2264" s="62" t="b">
        <x:v>1</x:v>
      </x:c>
      <x:c r="G2264" s="85" t="n">
        <x:v>0</x:v>
      </x:c>
      <x:c r="H2264" s="85" t="n">
        <x:v>0</x:v>
      </x:c>
      <x:c r="I2264" s="85" t="n">
        <x:v>11004066.88603501</x:v>
      </x:c>
      <x:c r="J2264" s="85" t="n">
        <x:v>7601700.33113038</x:v>
      </x:c>
      <x:c r="K2264" s="85" t="n">
        <x:v>171325.36349315106</x:v>
      </x:c>
      <x:c r="L2264" s="28" t="n">
        <x:v>13</x:v>
      </x:c>
      <x:c r="M2264" s="28" t="n">
        <x:v>0</x:v>
      </x:c>
      <x:c r="N2264" s="28" t="n">
        <x:v>4.656612873077393e-10</x:v>
      </x:c>
      <x:c r="O2264" s="28" t="n">
        <x:v>3.725290298461914e-9</x:v>
      </x:c>
      <x:c r="P2264" s="28" t="n">
        <x:v>0</x:v>
      </x:c>
      <x:c r="Q2264" s="62" t="b">
        <x:v>1</x:v>
      </x:c>
      <x:c r="R2264" s="28" t="n">
        <x:v>0</x:v>
      </x:c>
      <x:c r="S2264" s="28" t="str">
        <x:v>e9a0386bddda64f2</x:v>
      </x:c>
    </x:row>
    <x:row r="2265" ht="21" customHeight="1">
      <x:c r="A2265" s="60" t="n">
        <x:v>0.68</x:v>
      </x:c>
      <x:c r="B2265" s="28" t="str">
        <x:v>level_high</x:v>
      </x:c>
      <x:c r="C2265" s="60" t="n">
        <x:v>0.5</x:v>
      </x:c>
      <x:c r="D2265" s="60" t="n">
        <x:v>0.5</x:v>
      </x:c>
      <x:c r="E2265" s="62" t="b">
        <x:v>1</x:v>
      </x:c>
      <x:c r="F2265" s="62" t="b">
        <x:v>1</x:v>
      </x:c>
      <x:c r="G2265" s="85" t="n">
        <x:v>0</x:v>
      </x:c>
      <x:c r="H2265" s="85" t="n">
        <x:v>0</x:v>
      </x:c>
      <x:c r="I2265" s="85" t="n">
        <x:v>12676289.251500813</x:v>
      </x:c>
      <x:c r="J2265" s="85" t="n">
        <x:v>9313188.741094144</x:v>
      </x:c>
      <x:c r="K2265" s="85" t="n">
        <x:v>142881.04742465724</x:v>
      </x:c>
      <x:c r="L2265" s="28" t="n">
        <x:v>16</x:v>
      </x:c>
      <x:c r="M2265" s="28" t="n">
        <x:v>4</x:v>
      </x:c>
      <x:c r="N2265" s="28" t="n">
        <x:v>4.656612873077393e-10</x:v>
      </x:c>
      <x:c r="O2265" s="28" t="n">
        <x:v>3.725290298461914e-9</x:v>
      </x:c>
      <x:c r="P2265" s="28" t="n">
        <x:v>0</x:v>
      </x:c>
      <x:c r="Q2265" s="62" t="b">
        <x:v>1</x:v>
      </x:c>
      <x:c r="R2265" s="28" t="n">
        <x:v>0</x:v>
      </x:c>
      <x:c r="S2265" s="28" t="str">
        <x:v>77f136ba0554f9de</x:v>
      </x:c>
    </x:row>
    <x:row r="2266" ht="21" customHeight="1">
      <x:c r="A2266" s="60" t="n">
        <x:v>0.68</x:v>
      </x:c>
      <x:c r="B2266" s="28" t="str">
        <x:v>level_high</x:v>
      </x:c>
      <x:c r="C2266" s="60" t="n">
        <x:v>0.55</x:v>
      </x:c>
      <x:c r="D2266" s="60" t="n">
        <x:v>0.55</x:v>
      </x:c>
      <x:c r="E2266" s="62" t="b">
        <x:v>1</x:v>
      </x:c>
      <x:c r="F2266" s="62" t="b">
        <x:v>1</x:v>
      </x:c>
      <x:c r="G2266" s="85" t="n">
        <x:v>0</x:v>
      </x:c>
      <x:c r="H2266" s="85" t="n">
        <x:v>0</x:v>
      </x:c>
      <x:c r="I2266" s="85" t="n">
        <x:v>14300736.20217004</x:v>
      </x:c>
      <x:c r="J2266" s="85" t="n">
        <x:v>11190115.229782846</x:v>
      </x:c>
      <x:c r="K2266" s="85" t="n">
        <x:v>124919.72050684909</x:v>
      </x:c>
      <x:c r="L2266" s="28" t="n">
        <x:v>20</x:v>
      </x:c>
      <x:c r="M2266" s="28" t="n">
        <x:v>10</x:v>
      </x:c>
      <x:c r="N2266" s="28" t="n">
        <x:v>2.3283064365386963e-10</x:v>
      </x:c>
      <x:c r="O2266" s="28" t="n">
        <x:v>3.725290298461914e-9</x:v>
      </x:c>
      <x:c r="P2266" s="28" t="n">
        <x:v>0</x:v>
      </x:c>
      <x:c r="Q2266" s="62" t="b">
        <x:v>1</x:v>
      </x:c>
      <x:c r="R2266" s="28" t="n">
        <x:v>0</x:v>
      </x:c>
      <x:c r="S2266" s="28" t="str">
        <x:v>2b0fd9449939d6d8</x:v>
      </x:c>
    </x:row>
    <x:row r="2267" ht="21" customHeight="1">
      <x:c r="A2267" s="60" t="n">
        <x:v>0.68</x:v>
      </x:c>
      <x:c r="B2267" s="28" t="str">
        <x:v>level_high</x:v>
      </x:c>
      <x:c r="C2267" s="60" t="n">
        <x:v>0.6</x:v>
      </x:c>
      <x:c r="D2267" s="60" t="n">
        <x:v>0.6</x:v>
      </x:c>
      <x:c r="E2267" s="62" t="b">
        <x:v>1</x:v>
      </x:c>
      <x:c r="F2267" s="62" t="b">
        <x:v>0</x:v>
      </x:c>
      <x:c r="G2267" s="85" t="n">
        <x:v>360666.54196546215</x:v>
      </x:c>
      <x:c r="H2267" s="85" t="n">
        <x:v>1149852.05444194</x:v>
      </x:c>
      <x:c r="I2267" s="85" t="n">
        <x:v>15233858.853534233</x:v>
      </x:c>
      <x:c r="J2267" s="85" t="n">
        <x:v>12263679.999999996</x:v>
      </x:c>
      <x:c r="K2267" s="85" t="n">
        <x:v>110152.07402739761</x:v>
      </x:c>
      <x:c r="L2267" s="28" t="n">
        <x:v>43</x:v>
      </x:c>
      <x:c r="M2267" s="28" t="n">
        <x:v>34</x:v>
      </x:c>
      <x:c r="N2267" s="28" t="n">
        <x:v>4.656612873077393e-10</x:v>
      </x:c>
      <x:c r="O2267" s="28" t="n">
        <x:v>7.450580596923828e-9</x:v>
      </x:c>
      <x:c r="P2267" s="28" t="n">
        <x:v>0</x:v>
      </x:c>
      <x:c r="Q2267" s="62" t="b">
        <x:v>1</x:v>
      </x:c>
      <x:c r="R2267" s="28" t="n">
        <x:v>0</x:v>
      </x:c>
      <x:c r="S2267" s="28" t="str">
        <x:v>70f813ee98f3f385</x:v>
      </x:c>
    </x:row>
    <x:row r="2268" ht="21" customHeight="1">
      <x:c r="A2268" s="60" t="n">
        <x:v>0.68</x:v>
      </x:c>
      <x:c r="B2268" s="28" t="str">
        <x:v>level_high</x:v>
      </x:c>
      <x:c r="C2268" s="60" t="n">
        <x:v>0.65</x:v>
      </x:c>
      <x:c r="D2268" s="60" t="n">
        <x:v>0.65</x:v>
      </x:c>
      <x:c r="E2268" s="62" t="b">
        <x:v>1</x:v>
      </x:c>
      <x:c r="F2268" s="62" t="b">
        <x:v>0</x:v>
      </x:c>
      <x:c r="G2268" s="85" t="n">
        <x:v>1307365.0424447423</x:v>
      </x:c>
      <x:c r="H2268" s="85" t="n">
        <x:v>3955021.591186748</x:v>
      </x:c>
      <x:c r="I2268" s="85" t="n">
        <x:v>15260804.57017807</x:v>
      </x:c>
      <x:c r="J2268" s="85" t="n">
        <x:v>12263679.999999996</x:v>
      </x:c>
      <x:c r="K2268" s="85" t="n">
        <x:v>101114.3123150685</x:v>
      </x:c>
      <x:c r="L2268" s="28" t="n">
        <x:v>43</x:v>
      </x:c>
      <x:c r="M2268" s="28" t="n">
        <x:v>36</x:v>
      </x:c>
      <x:c r="N2268" s="28" t="n">
        <x:v>4.656612873077393e-10</x:v>
      </x:c>
      <x:c r="O2268" s="28" t="n">
        <x:v>3.725290298461914e-9</x:v>
      </x:c>
      <x:c r="P2268" s="28" t="n">
        <x:v>0</x:v>
      </x:c>
      <x:c r="Q2268" s="62" t="b">
        <x:v>1</x:v>
      </x:c>
      <x:c r="R2268" s="28" t="n">
        <x:v>0</x:v>
      </x:c>
      <x:c r="S2268" s="28" t="str">
        <x:v>b45bcec2bf991b24</x:v>
      </x:c>
    </x:row>
    <x:row r="2269" ht="21" customHeight="1">
      <x:c r="A2269" s="60" t="n">
        <x:v>0.68</x:v>
      </x:c>
      <x:c r="B2269" s="28" t="str">
        <x:v>level_high</x:v>
      </x:c>
      <x:c r="C2269" s="60" t="n">
        <x:v>0.7</x:v>
      </x:c>
      <x:c r="D2269" s="60" t="n">
        <x:v>0.7</x:v>
      </x:c>
      <x:c r="E2269" s="62" t="b">
        <x:v>1</x:v>
      </x:c>
      <x:c r="F2269" s="62" t="b">
        <x:v>0</x:v>
      </x:c>
      <x:c r="G2269" s="85" t="n">
        <x:v>2055090.184737753</x:v>
      </x:c>
      <x:c r="H2269" s="85" t="n">
        <x:v>6197732.888739966</x:v>
      </x:c>
      <x:c r="I2269" s="85" t="n">
        <x:v>15557161.589369848</x:v>
      </x:c>
      <x:c r="J2269" s="85" t="n">
        <x:v>12263679.999999996</x:v>
      </x:c>
      <x:c r="K2269" s="85" t="n">
        <x:v>92076.55060273982</x:v>
      </x:c>
      <x:c r="L2269" s="28" t="n">
        <x:v>44</x:v>
      </x:c>
      <x:c r="M2269" s="28" t="n">
        <x:v>37</x:v>
      </x:c>
      <x:c r="N2269" s="28" t="n">
        <x:v>4.656612873077393e-10</x:v>
      </x:c>
      <x:c r="O2269" s="28" t="n">
        <x:v>3.725290298461914e-9</x:v>
      </x:c>
      <x:c r="P2269" s="28" t="n">
        <x:v>0</x:v>
      </x:c>
      <x:c r="Q2269" s="62" t="b">
        <x:v>1</x:v>
      </x:c>
      <x:c r="R2269" s="28" t="n">
        <x:v>0</x:v>
      </x:c>
      <x:c r="S2269" s="28" t="str">
        <x:v>0e6eaeb25d2f5d88</x:v>
      </x:c>
    </x:row>
    <x:row r="2270" ht="21" customHeight="1">
      <x:c r="A2270" s="60" t="n">
        <x:v>0.68</x:v>
      </x:c>
      <x:c r="B2270" s="28" t="str">
        <x:v>level_high</x:v>
      </x:c>
      <x:c r="C2270" s="60" t="n">
        <x:v>0.75</x:v>
      </x:c>
      <x:c r="D2270" s="60" t="n">
        <x:v>0.75</x:v>
      </x:c>
      <x:c r="E2270" s="62" t="b">
        <x:v>1</x:v>
      </x:c>
      <x:c r="F2270" s="62" t="b">
        <x:v>0</x:v>
      </x:c>
      <x:c r="G2270" s="85" t="n">
        <x:v>3119592.238471443</x:v>
      </x:c>
      <x:c r="H2270" s="85" t="n">
        <x:v>8716307.349201651</x:v>
      </x:c>
      <x:c r="I2270" s="85" t="n">
        <x:v>15578332.648273958</x:v>
      </x:c>
      <x:c r="J2270" s="85" t="n">
        <x:v>12263679.999999996</x:v>
      </x:c>
      <x:c r="K2270" s="85" t="n">
        <x:v>83038.78889041071</x:v>
      </x:c>
      <x:c r="L2270" s="28" t="n">
        <x:v>44</x:v>
      </x:c>
      <x:c r="M2270" s="28" t="n">
        <x:v>38</x:v>
      </x:c>
      <x:c r="N2270" s="28" t="n">
        <x:v>4.656612873077393e-10</x:v>
      </x:c>
      <x:c r="O2270" s="28" t="n">
        <x:v>3.725290298461914e-9</x:v>
      </x:c>
      <x:c r="P2270" s="28" t="n">
        <x:v>0</x:v>
      </x:c>
      <x:c r="Q2270" s="62" t="b">
        <x:v>1</x:v>
      </x:c>
      <x:c r="R2270" s="28" t="n">
        <x:v>0</x:v>
      </x:c>
      <x:c r="S2270" s="28" t="str">
        <x:v>7ac3803c9ab055a8</x:v>
      </x:c>
    </x:row>
    <x:row r="2271" ht="21" customHeight="1">
      <x:c r="A2271" s="60" t="n">
        <x:v>0.68</x:v>
      </x:c>
      <x:c r="B2271" s="28" t="str">
        <x:v>level_high</x:v>
      </x:c>
      <x:c r="C2271" s="60" t="n">
        <x:v>0.8</x:v>
      </x:c>
      <x:c r="D2271" s="60" t="n">
        <x:v>0.8</x:v>
      </x:c>
      <x:c r="E2271" s="62" t="b">
        <x:v>1</x:v>
      </x:c>
      <x:c r="F2271" s="62" t="b">
        <x:v>0</x:v>
      </x:c>
      <x:c r="G2271" s="85" t="n">
        <x:v>3955192.9261341845</x:v>
      </x:c>
      <x:c r="H2271" s="85" t="n">
        <x:v>10700635.7232162</x:v>
      </x:c>
      <x:c r="I2271" s="85" t="n">
        <x:v>15900123.814575328</x:v>
      </x:c>
      <x:c r="J2271" s="85" t="n">
        <x:v>12263679.999999996</x:v>
      </x:c>
      <x:c r="K2271" s="85" t="n">
        <x:v>74001.02717808298</x:v>
      </x:c>
      <x:c r="L2271" s="28" t="n">
        <x:v>45</x:v>
      </x:c>
      <x:c r="M2271" s="28" t="n">
        <x:v>40</x:v>
      </x:c>
      <x:c r="N2271" s="28" t="n">
        <x:v>4.656612873077393e-10</x:v>
      </x:c>
      <x:c r="O2271" s="28" t="n">
        <x:v>3.725290298461914e-9</x:v>
      </x:c>
      <x:c r="P2271" s="28" t="n">
        <x:v>0</x:v>
      </x:c>
      <x:c r="Q2271" s="62" t="b">
        <x:v>1</x:v>
      </x:c>
      <x:c r="R2271" s="28" t="n">
        <x:v>0</x:v>
      </x:c>
      <x:c r="S2271" s="28" t="str">
        <x:v>c36938beba7836f5</x:v>
      </x:c>
    </x:row>
    <x:row r="2272" ht="21" customHeight="1">
      <x:c r="A2272" s="60" t="n">
        <x:v>0.68</x:v>
      </x:c>
      <x:c r="B2272" s="28" t="str">
        <x:v>level_high</x:v>
      </x:c>
      <x:c r="C2272" s="60" t="n">
        <x:v>0.85</x:v>
      </x:c>
      <x:c r="D2272" s="60" t="n">
        <x:v>0.85</x:v>
      </x:c>
      <x:c r="E2272" s="62" t="b">
        <x:v>1</x:v>
      </x:c>
      <x:c r="F2272" s="62" t="b">
        <x:v>0</x:v>
      </x:c>
      <x:c r="G2272" s="85" t="n">
        <x:v>5250523.089161597</x:v>
      </x:c>
      <x:c r="H2272" s="85" t="n">
        <x:v>13034633.434273433</x:v>
      </x:c>
      <x:c r="I2272" s="85" t="n">
        <x:v>15909152.7588493</x:v>
      </x:c>
      <x:c r="J2272" s="85" t="n">
        <x:v>12263679.999999996</x:v>
      </x:c>
      <x:c r="K2272" s="85" t="n">
        <x:v>64963.26546575362</x:v>
      </x:c>
      <x:c r="L2272" s="28" t="n">
        <x:v>45</x:v>
      </x:c>
      <x:c r="M2272" s="28" t="n">
        <x:v>40</x:v>
      </x:c>
      <x:c r="N2272" s="28" t="n">
        <x:v>4.656612873077393e-10</x:v>
      </x:c>
      <x:c r="O2272" s="28" t="n">
        <x:v>3.725290298461914e-9</x:v>
      </x:c>
      <x:c r="P2272" s="28" t="n">
        <x:v>0</x:v>
      </x:c>
      <x:c r="Q2272" s="62" t="b">
        <x:v>1</x:v>
      </x:c>
      <x:c r="R2272" s="28" t="n">
        <x:v>0</x:v>
      </x:c>
      <x:c r="S2272" s="28" t="str">
        <x:v>6b0b09fc24026a5c</x:v>
      </x:c>
    </x:row>
    <x:row r="2273" ht="21" customHeight="1">
      <x:c r="A2273" s="60" t="n">
        <x:v>0.68</x:v>
      </x:c>
      <x:c r="B2273" s="28" t="str">
        <x:v>level_high</x:v>
      </x:c>
      <x:c r="C2273" s="60" t="n">
        <x:v>0.9</x:v>
      </x:c>
      <x:c r="D2273" s="60" t="n">
        <x:v>0.8949513562027351</x:v>
      </x:c>
      <x:c r="E2273" s="62" t="b">
        <x:v>0</x:v>
      </x:c>
      <x:c r="F2273" s="62" t="b">
        <x:v>0</x:v>
      </x:c>
      <x:c r="G2273" s="85" t="n">
        <x:v>6378953.528443144</x:v>
      </x:c>
      <x:c r="H2273" s="85" t="n">
        <x:v>14360455.165984606</x:v>
      </x:c>
      <x:c r="I2273" s="85" t="n">
        <x:v>15918181.703123273</x:v>
      </x:c>
      <x:c r="J2273" s="85" t="n">
        <x:v>12263679.999999996</x:v>
      </x:c>
      <x:c r="K2273" s="85" t="n">
        <x:v>55925.503753424724</x:v>
      </x:c>
      <x:c r="L2273" s="28" t="n">
        <x:v>45</x:v>
      </x:c>
      <x:c r="M2273" s="28" t="n">
        <x:v>40</x:v>
      </x:c>
      <x:c r="N2273" s="28" t="n">
        <x:v>4.656612873077393e-10</x:v>
      </x:c>
      <x:c r="O2273" s="28" t="n">
        <x:v>3.725290298461914e-9</x:v>
      </x:c>
      <x:c r="P2273" s="28" t="n">
        <x:v>0</x:v>
      </x:c>
      <x:c r="Q2273" s="62" t="b">
        <x:v>1</x:v>
      </x:c>
      <x:c r="R2273" s="28" t="n">
        <x:v>281431.5998347327</x:v>
      </x:c>
      <x:c r="S2273" s="28" t="str">
        <x:v>ae11bc9879c96c8b</x:v>
      </x:c>
    </x:row>
    <x:row r="2274" ht="21" customHeight="1">
      <x:c r="A2274" s="60" t="n">
        <x:v>0.68</x:v>
      </x:c>
      <x:c r="B2274" s="28" t="str">
        <x:v>level_high</x:v>
      </x:c>
      <x:c r="C2274" s="60" t="n">
        <x:v>0.95</x:v>
      </x:c>
      <x:c r="D2274" s="60" t="n">
        <x:v>0.9109811515371262</x:v>
      </x:c>
      <x:c r="E2274" s="62" t="b">
        <x:v>0</x:v>
      </x:c>
      <x:c r="F2274" s="62" t="b">
        <x:v>0</x:v>
      </x:c>
      <x:c r="G2274" s="85" t="n">
        <x:v>6920307.284057538</x:v>
      </x:c>
      <x:c r="H2274" s="85" t="n">
        <x:v>15364688.587834572</x:v>
      </x:c>
      <x:c r="I2274" s="85" t="n">
        <x:v>15927210.647397246</x:v>
      </x:c>
      <x:c r="J2274" s="85" t="n">
        <x:v>12263679.999999996</x:v>
      </x:c>
      <x:c r="K2274" s="85" t="n">
        <x:v>46887.74204109583</x:v>
      </x:c>
      <x:c r="L2274" s="28" t="n">
        <x:v>45</x:v>
      </x:c>
      <x:c r="M2274" s="28" t="n">
        <x:v>41</x:v>
      </x:c>
      <x:c r="N2274" s="28" t="n">
        <x:v>2.3283064365386963e-10</x:v>
      </x:c>
      <x:c r="O2274" s="28" t="n">
        <x:v>3.725290298461914e-9</x:v>
      </x:c>
      <x:c r="P2274" s="28" t="n">
        <x:v>0</x:v>
      </x:c>
      <x:c r="Q2274" s="62" t="b">
        <x:v>1</x:v>
      </x:c>
      <x:c r="R2274" s="28" t="n">
        <x:v>2175066.688714437</x:v>
      </x:c>
      <x:c r="S2274" s="28" t="str">
        <x:v>2c6bec38f18e0eb0</x:v>
      </x:c>
    </x:row>
    <x:row r="2275" ht="21" customHeight="1">
      <x:c r="A2275" s="60" t="n">
        <x:v>0.68</x:v>
      </x:c>
      <x:c r="B2275" s="28" t="str">
        <x:v>level_high</x:v>
      </x:c>
      <x:c r="C2275" s="60" t="n">
        <x:v>1</x:v>
      </x:c>
      <x:c r="D2275" s="60" t="n">
        <x:v>0.9258453085724337</x:v>
      </x:c>
      <x:c r="E2275" s="62" t="b">
        <x:v>0</x:v>
      </x:c>
      <x:c r="F2275" s="62" t="b">
        <x:v>0</x:v>
      </x:c>
      <x:c r="G2275" s="85" t="n">
        <x:v>7489379.061448298</x:v>
      </x:c>
      <x:c r="H2275" s="85" t="n">
        <x:v>16180839.326091975</x:v>
      </x:c>
      <x:c r="I2275" s="85" t="n">
        <x:v>15936239.59167122</x:v>
      </x:c>
      <x:c r="J2275" s="85" t="n">
        <x:v>12263679.999999996</x:v>
      </x:c>
      <x:c r="K2275" s="85" t="n">
        <x:v>41142.62958904115</x:v>
      </x:c>
      <x:c r="L2275" s="28" t="n">
        <x:v>45</x:v>
      </x:c>
      <x:c r="M2275" s="28" t="n">
        <x:v>42</x:v>
      </x:c>
      <x:c r="N2275" s="28" t="n">
        <x:v>2.3283064365386963e-10</x:v>
      </x:c>
      <x:c r="O2275" s="28" t="n">
        <x:v>1.862645149230957e-9</x:v>
      </x:c>
      <x:c r="P2275" s="28" t="n">
        <x:v>0</x:v>
      </x:c>
      <x:c r="Q2275" s="62" t="b">
        <x:v>1</x:v>
      </x:c>
      <x:c r="R2275" s="28" t="n">
        <x:v>4133679.1189382523</x:v>
      </x:c>
      <x:c r="S2275" s="28" t="str">
        <x:v>4ac61a261c4c4833</x:v>
      </x:c>
    </x:row>
    <x:row r="2276" ht="21" customHeight="1">
      <x:c r="A2276" s="60" t="n">
        <x:v>0.69</x:v>
      </x:c>
      <x:c r="B2276" s="28" t="str">
        <x:v>front_flat</x:v>
      </x:c>
      <x:c r="C2276" s="60" t="n">
        <x:v>0</x:v>
      </x:c>
      <x:c r="D2276" s="60" t="n">
        <x:v>0</x:v>
      </x:c>
      <x:c r="E2276" s="62" t="b">
        <x:v>1</x:v>
      </x:c>
      <x:c r="F2276" s="62" t="b">
        <x:v>1</x:v>
      </x:c>
      <x:c r="G2276" s="85" t="n">
        <x:v>0</x:v>
      </x:c>
      <x:c r="H2276" s="85" t="n">
        <x:v>0</x:v>
      </x:c>
      <x:c r="I2276" s="85" t="n">
        <x:v>0</x:v>
      </x:c>
      <x:c r="J2276" s="85" t="n">
        <x:v>0</x:v>
      </x:c>
      <x:c r="K2276" s="85" t="n">
        <x:v>6769096.855671233</x:v>
      </x:c>
      <x:c r="L2276" s="28" t="n">
        <x:v>0</x:v>
      </x:c>
      <x:c r="M2276" s="28" t="n">
        <x:v>0</x:v>
      </x:c>
      <x:c r="N2276" s="28" t="n">
        <x:v>9.313225746154785e-10</x:v>
      </x:c>
      <x:c r="O2276" s="28" t="n">
        <x:v>0</x:v>
      </x:c>
      <x:c r="P2276" s="28" t="n">
        <x:v>0</x:v>
      </x:c>
      <x:c r="Q2276" s="62" t="b">
        <x:v>1</x:v>
      </x:c>
      <x:c r="R2276" s="28" t="n">
        <x:v>0</x:v>
      </x:c>
      <x:c r="S2276" s="28" t="str">
        <x:v>902cb1a08fe8aae4</x:v>
      </x:c>
    </x:row>
    <x:row r="2277" ht="21" customHeight="1">
      <x:c r="A2277" s="60" t="n">
        <x:v>0.69</x:v>
      </x:c>
      <x:c r="B2277" s="28" t="str">
        <x:v>front_flat</x:v>
      </x:c>
      <x:c r="C2277" s="60" t="n">
        <x:v>0.05</x:v>
      </x:c>
      <x:c r="D2277" s="60" t="n">
        <x:v>0.05</x:v>
      </x:c>
      <x:c r="E2277" s="62" t="b">
        <x:v>1</x:v>
      </x:c>
      <x:c r="F2277" s="62" t="b">
        <x:v>1</x:v>
      </x:c>
      <x:c r="G2277" s="85" t="n">
        <x:v>0</x:v>
      </x:c>
      <x:c r="H2277" s="85" t="n">
        <x:v>0</x:v>
      </x:c>
      <x:c r="I2277" s="85" t="n">
        <x:v>0</x:v>
      </x:c>
      <x:c r="J2277" s="85" t="n">
        <x:v>0</x:v>
      </x:c>
      <x:c r="K2277" s="85" t="n">
        <x:v>4476732.580201263</x:v>
      </x:c>
      <x:c r="L2277" s="28" t="n">
        <x:v>0</x:v>
      </x:c>
      <x:c r="M2277" s="28" t="n">
        <x:v>0</x:v>
      </x:c>
      <x:c r="N2277" s="28" t="n">
        <x:v>9.313225746154785e-10</x:v>
      </x:c>
      <x:c r="O2277" s="28" t="n">
        <x:v>7.450580596923828e-9</x:v>
      </x:c>
      <x:c r="P2277" s="28" t="n">
        <x:v>0</x:v>
      </x:c>
      <x:c r="Q2277" s="62" t="b">
        <x:v>1</x:v>
      </x:c>
      <x:c r="R2277" s="28" t="n">
        <x:v>0</x:v>
      </x:c>
      <x:c r="S2277" s="28" t="str">
        <x:v>4430dffdc5101d71</x:v>
      </x:c>
    </x:row>
    <x:row r="2278" ht="21" customHeight="1">
      <x:c r="A2278" s="60" t="n">
        <x:v>0.69</x:v>
      </x:c>
      <x:c r="B2278" s="28" t="str">
        <x:v>front_flat</x:v>
      </x:c>
      <x:c r="C2278" s="60" t="n">
        <x:v>0.1</x:v>
      </x:c>
      <x:c r="D2278" s="60" t="n">
        <x:v>0.1</x:v>
      </x:c>
      <x:c r="E2278" s="62" t="b">
        <x:v>1</x:v>
      </x:c>
      <x:c r="F2278" s="62" t="b">
        <x:v>1</x:v>
      </x:c>
      <x:c r="G2278" s="85" t="n">
        <x:v>0</x:v>
      </x:c>
      <x:c r="H2278" s="85" t="n">
        <x:v>0</x:v>
      </x:c>
      <x:c r="I2278" s="85" t="n">
        <x:v>0</x:v>
      </x:c>
      <x:c r="J2278" s="85" t="n">
        <x:v>0</x:v>
      </x:c>
      <x:c r="K2278" s="85" t="n">
        <x:v>2183913.3966992237</x:v>
      </x:c>
      <x:c r="L2278" s="28" t="n">
        <x:v>0</x:v>
      </x:c>
      <x:c r="M2278" s="28" t="n">
        <x:v>0</x:v>
      </x:c>
      <x:c r="N2278" s="28" t="n">
        <x:v>9.313225746154785e-10</x:v>
      </x:c>
      <x:c r="O2278" s="28" t="n">
        <x:v>7.450580596923828e-9</x:v>
      </x:c>
      <x:c r="P2278" s="28" t="n">
        <x:v>0</x:v>
      </x:c>
      <x:c r="Q2278" s="62" t="b">
        <x:v>1</x:v>
      </x:c>
      <x:c r="R2278" s="28" t="n">
        <x:v>0</x:v>
      </x:c>
      <x:c r="S2278" s="28" t="str">
        <x:v>6aea1af384b436e4</x:v>
      </x:c>
    </x:row>
    <x:row r="2279" ht="21" customHeight="1">
      <x:c r="A2279" s="60" t="n">
        <x:v>0.69</x:v>
      </x:c>
      <x:c r="B2279" s="28" t="str">
        <x:v>front_flat</x:v>
      </x:c>
      <x:c r="C2279" s="60" t="n">
        <x:v>0.15</x:v>
      </x:c>
      <x:c r="D2279" s="60" t="n">
        <x:v>0.15</x:v>
      </x:c>
      <x:c r="E2279" s="62" t="b">
        <x:v>1</x:v>
      </x:c>
      <x:c r="F2279" s="62" t="b">
        <x:v>1</x:v>
      </x:c>
      <x:c r="G2279" s="85" t="n">
        <x:v>0</x:v>
      </x:c>
      <x:c r="H2279" s="85" t="n">
        <x:v>0</x:v>
      </x:c>
      <x:c r="I2279" s="85" t="n">
        <x:v>354804.2452178609</x:v>
      </x:c>
      <x:c r="J2279" s="85" t="n">
        <x:v>0</x:v>
      </x:c>
      <x:c r="K2279" s="85" t="n">
        <x:v>319067.1700493614</x:v>
      </x:c>
      <x:c r="L2279" s="28" t="n">
        <x:v>0</x:v>
      </x:c>
      <x:c r="M2279" s="28" t="n">
        <x:v>0</x:v>
      </x:c>
      <x:c r="N2279" s="28" t="n">
        <x:v>4.656612873077393e-10</x:v>
      </x:c>
      <x:c r="O2279" s="28" t="n">
        <x:v>7.450580596923828e-9</x:v>
      </x:c>
      <x:c r="P2279" s="28" t="n">
        <x:v>0</x:v>
      </x:c>
      <x:c r="Q2279" s="62" t="b">
        <x:v>1</x:v>
      </x:c>
      <x:c r="R2279" s="28" t="n">
        <x:v>0</x:v>
      </x:c>
      <x:c r="S2279" s="28" t="str">
        <x:v>33496b50b5046b5d</x:v>
      </x:c>
    </x:row>
    <x:row r="2280" ht="21" customHeight="1">
      <x:c r="A2280" s="60" t="n">
        <x:v>0.69</x:v>
      </x:c>
      <x:c r="B2280" s="28" t="str">
        <x:v>front_flat</x:v>
      </x:c>
      <x:c r="C2280" s="60" t="n">
        <x:v>0.2</x:v>
      </x:c>
      <x:c r="D2280" s="60" t="n">
        <x:v>0.2</x:v>
      </x:c>
      <x:c r="E2280" s="62" t="b">
        <x:v>1</x:v>
      </x:c>
      <x:c r="F2280" s="62" t="b">
        <x:v>1</x:v>
      </x:c>
      <x:c r="G2280" s="85" t="n">
        <x:v>0</x:v>
      </x:c>
      <x:c r="H2280" s="85" t="n">
        <x:v>0</x:v>
      </x:c>
      <x:c r="I2280" s="85" t="n">
        <x:v>1785937.67176425</x:v>
      </x:c>
      <x:c r="J2280" s="85" t="n">
        <x:v>1254093.4388721122</x:v>
      </x:c>
      <x:c r="K2280" s="85" t="n">
        <x:v>185792.2182521095</x:v>
      </x:c>
      <x:c r="L2280" s="28" t="n">
        <x:v>0</x:v>
      </x:c>
      <x:c r="M2280" s="28" t="n">
        <x:v>0</x:v>
      </x:c>
      <x:c r="N2280" s="28" t="n">
        <x:v>4.656612873077393e-10</x:v>
      </x:c>
      <x:c r="O2280" s="28" t="n">
        <x:v>7.450580596923828e-9</x:v>
      </x:c>
      <x:c r="P2280" s="28" t="n">
        <x:v>0</x:v>
      </x:c>
      <x:c r="Q2280" s="62" t="b">
        <x:v>1</x:v>
      </x:c>
      <x:c r="R2280" s="28" t="n">
        <x:v>0</x:v>
      </x:c>
      <x:c r="S2280" s="28" t="str">
        <x:v>8955ba058fc1e4e5</x:v>
      </x:c>
    </x:row>
    <x:row r="2281" ht="21" customHeight="1">
      <x:c r="A2281" s="60" t="n">
        <x:v>0.69</x:v>
      </x:c>
      <x:c r="B2281" s="28" t="str">
        <x:v>front_flat</x:v>
      </x:c>
      <x:c r="C2281" s="60" t="n">
        <x:v>0.25</x:v>
      </x:c>
      <x:c r="D2281" s="60" t="n">
        <x:v>0.25</x:v>
      </x:c>
      <x:c r="E2281" s="62" t="b">
        <x:v>1</x:v>
      </x:c>
      <x:c r="F2281" s="62" t="b">
        <x:v>1</x:v>
      </x:c>
      <x:c r="G2281" s="85" t="n">
        <x:v>0</x:v>
      </x:c>
      <x:c r="H2281" s="85" t="n">
        <x:v>0</x:v>
      </x:c>
      <x:c r="I2281" s="85" t="n">
        <x:v>2962688.5076140086</x:v>
      </x:c>
      <x:c r="J2281" s="85" t="n">
        <x:v>2961216.7985901413</x:v>
      </x:c>
      <x:c r="K2281" s="85" t="n">
        <x:v>124531.11364726053</x:v>
      </x:c>
      <x:c r="L2281" s="28" t="n">
        <x:v>0</x:v>
      </x:c>
      <x:c r="M2281" s="28" t="n">
        <x:v>0</x:v>
      </x:c>
      <x:c r="N2281" s="28" t="n">
        <x:v>9.313225746154785e-10</x:v>
      </x:c>
      <x:c r="O2281" s="28" t="n">
        <x:v>3.725290298461914e-9</x:v>
      </x:c>
      <x:c r="P2281" s="28" t="n">
        <x:v>0</x:v>
      </x:c>
      <x:c r="Q2281" s="62" t="b">
        <x:v>1</x:v>
      </x:c>
      <x:c r="R2281" s="28" t="n">
        <x:v>0</x:v>
      </x:c>
      <x:c r="S2281" s="28" t="str">
        <x:v>16684977cfb02aa5</x:v>
      </x:c>
    </x:row>
    <x:row r="2282" ht="21" customHeight="1">
      <x:c r="A2282" s="60" t="n">
        <x:v>0.69</x:v>
      </x:c>
      <x:c r="B2282" s="28" t="str">
        <x:v>front_flat</x:v>
      </x:c>
      <x:c r="C2282" s="60" t="n">
        <x:v>0.3</x:v>
      </x:c>
      <x:c r="D2282" s="60" t="n">
        <x:v>0.3</x:v>
      </x:c>
      <x:c r="E2282" s="62" t="b">
        <x:v>1</x:v>
      </x:c>
      <x:c r="F2282" s="62" t="b">
        <x:v>1</x:v>
      </x:c>
      <x:c r="G2282" s="85" t="n">
        <x:v>0</x:v>
      </x:c>
      <x:c r="H2282" s="85" t="n">
        <x:v>0</x:v>
      </x:c>
      <x:c r="I2282" s="85" t="n">
        <x:v>4203974.270647039</x:v>
      </x:c>
      <x:c r="J2282" s="85" t="n">
        <x:v>4668340.158308177</x:v>
      </x:c>
      <x:c r="K2282" s="85" t="n">
        <x:v>91106.95358219242</x:v>
      </x:c>
      <x:c r="L2282" s="28" t="n">
        <x:v>0</x:v>
      </x:c>
      <x:c r="M2282" s="28" t="n">
        <x:v>0</x:v>
      </x:c>
      <x:c r="N2282" s="28" t="n">
        <x:v>4.656612873077393e-10</x:v>
      </x:c>
      <x:c r="O2282" s="28" t="n">
        <x:v>7.450580596923828e-9</x:v>
      </x:c>
      <x:c r="P2282" s="28" t="n">
        <x:v>0</x:v>
      </x:c>
      <x:c r="Q2282" s="62" t="b">
        <x:v>1</x:v>
      </x:c>
      <x:c r="R2282" s="28" t="n">
        <x:v>0</x:v>
      </x:c>
      <x:c r="S2282" s="28" t="str">
        <x:v>90ab2ac771f00261</x:v>
      </x:c>
    </x:row>
    <x:row r="2283" ht="21" customHeight="1">
      <x:c r="A2283" s="60" t="n">
        <x:v>0.69</x:v>
      </x:c>
      <x:c r="B2283" s="28" t="str">
        <x:v>front_flat</x:v>
      </x:c>
      <x:c r="C2283" s="60" t="n">
        <x:v>0.35</x:v>
      </x:c>
      <x:c r="D2283" s="60" t="n">
        <x:v>0.35</x:v>
      </x:c>
      <x:c r="E2283" s="62" t="b">
        <x:v>1</x:v>
      </x:c>
      <x:c r="F2283" s="62" t="b">
        <x:v>1</x:v>
      </x:c>
      <x:c r="G2283" s="85" t="n">
        <x:v>0</x:v>
      </x:c>
      <x:c r="H2283" s="85" t="n">
        <x:v>0</x:v>
      </x:c>
      <x:c r="I2283" s="85" t="n">
        <x:v>5814099.869818278</x:v>
      </x:c>
      <x:c r="J2283" s="85" t="n">
        <x:v>5330969.046392772</x:v>
      </x:c>
      <x:c r="K2283" s="85" t="n">
        <x:v>75063.64303767105</x:v>
      </x:c>
      <x:c r="L2283" s="28" t="n">
        <x:v>5</x:v>
      </x:c>
      <x:c r="M2283" s="28" t="n">
        <x:v>0</x:v>
      </x:c>
      <x:c r="N2283" s="28" t="n">
        <x:v>9.313225746154785e-10</x:v>
      </x:c>
      <x:c r="O2283" s="28" t="n">
        <x:v>7.450580596923828e-9</x:v>
      </x:c>
      <x:c r="P2283" s="28" t="n">
        <x:v>0</x:v>
      </x:c>
      <x:c r="Q2283" s="62" t="b">
        <x:v>1</x:v>
      </x:c>
      <x:c r="R2283" s="28" t="n">
        <x:v>0</x:v>
      </x:c>
      <x:c r="S2283" s="28" t="str">
        <x:v>ab7f5cfc165144e1</x:v>
      </x:c>
    </x:row>
    <x:row r="2284" ht="21" customHeight="1">
      <x:c r="A2284" s="60" t="n">
        <x:v>0.69</x:v>
      </x:c>
      <x:c r="B2284" s="28" t="str">
        <x:v>front_flat</x:v>
      </x:c>
      <x:c r="C2284" s="60" t="n">
        <x:v>0.4</x:v>
      </x:c>
      <x:c r="D2284" s="60" t="n">
        <x:v>0.4</x:v>
      </x:c>
      <x:c r="E2284" s="62" t="b">
        <x:v>1</x:v>
      </x:c>
      <x:c r="F2284" s="62" t="b">
        <x:v>1</x:v>
      </x:c>
      <x:c r="G2284" s="85" t="n">
        <x:v>0</x:v>
      </x:c>
      <x:c r="H2284" s="85" t="n">
        <x:v>0</x:v>
      </x:c>
      <x:c r="I2284" s="85" t="n">
        <x:v>7589538.380013571</x:v>
      </x:c>
      <x:c r="J2284" s="85" t="n">
        <x:v>5704911.1140787015</x:v>
      </x:c>
      <x:c r="K2284" s="85" t="n">
        <x:v>63446.67871232882</x:v>
      </x:c>
      <x:c r="L2284" s="28" t="n">
        <x:v>13</x:v>
      </x:c>
      <x:c r="M2284" s="28" t="n">
        <x:v>0</x:v>
      </x:c>
      <x:c r="N2284" s="28" t="n">
        <x:v>2.3283064365386963e-10</x:v>
      </x:c>
      <x:c r="O2284" s="28" t="n">
        <x:v>7.450580596923828e-9</x:v>
      </x:c>
      <x:c r="P2284" s="28" t="n">
        <x:v>0</x:v>
      </x:c>
      <x:c r="Q2284" s="62" t="b">
        <x:v>1</x:v>
      </x:c>
      <x:c r="R2284" s="28" t="n">
        <x:v>0</x:v>
      </x:c>
      <x:c r="S2284" s="28" t="str">
        <x:v>aa38668ab921bd19</x:v>
      </x:c>
    </x:row>
    <x:row r="2285" ht="21" customHeight="1">
      <x:c r="A2285" s="60" t="n">
        <x:v>0.69</x:v>
      </x:c>
      <x:c r="B2285" s="28" t="str">
        <x:v>front_flat</x:v>
      </x:c>
      <x:c r="C2285" s="60" t="n">
        <x:v>0.45</x:v>
      </x:c>
      <x:c r="D2285" s="60" t="n">
        <x:v>0.45</x:v>
      </x:c>
      <x:c r="E2285" s="62" t="b">
        <x:v>1</x:v>
      </x:c>
      <x:c r="F2285" s="62" t="b">
        <x:v>1</x:v>
      </x:c>
      <x:c r="G2285" s="85" t="n">
        <x:v>0</x:v>
      </x:c>
      <x:c r="H2285" s="85" t="n">
        <x:v>0</x:v>
      </x:c>
      <x:c r="I2285" s="85" t="n">
        <x:v>8910410.532571554</x:v>
      </x:c>
      <x:c r="J2285" s="85" t="n">
        <x:v>7366389.9287653295</x:v>
      </x:c>
      <x:c r="K2285" s="85" t="n">
        <x:v>51829.71438698602</x:v>
      </x:c>
      <x:c r="L2285" s="28" t="n">
        <x:v>17</x:v>
      </x:c>
      <x:c r="M2285" s="28" t="n">
        <x:v>0</x:v>
      </x:c>
      <x:c r="N2285" s="28" t="n">
        <x:v>4.656612873077393e-10</x:v>
      </x:c>
      <x:c r="O2285" s="28" t="n">
        <x:v>3.725290298461914e-9</x:v>
      </x:c>
      <x:c r="P2285" s="28" t="n">
        <x:v>0</x:v>
      </x:c>
      <x:c r="Q2285" s="62" t="b">
        <x:v>1</x:v>
      </x:c>
      <x:c r="R2285" s="28" t="n">
        <x:v>0</x:v>
      </x:c>
      <x:c r="S2285" s="28" t="str">
        <x:v>f05e09ea0ef55c7e</x:v>
      </x:c>
    </x:row>
    <x:row r="2286" ht="21" customHeight="1">
      <x:c r="A2286" s="60" t="n">
        <x:v>0.69</x:v>
      </x:c>
      <x:c r="B2286" s="28" t="str">
        <x:v>front_flat</x:v>
      </x:c>
      <x:c r="C2286" s="60" t="n">
        <x:v>0.5</x:v>
      </x:c>
      <x:c r="D2286" s="60" t="n">
        <x:v>0.5</x:v>
      </x:c>
      <x:c r="E2286" s="62" t="b">
        <x:v>1</x:v>
      </x:c>
      <x:c r="F2286" s="62" t="b">
        <x:v>1</x:v>
      </x:c>
      <x:c r="G2286" s="85" t="n">
        <x:v>0</x:v>
      </x:c>
      <x:c r="H2286" s="85" t="n">
        <x:v>0</x:v>
      </x:c>
      <x:c r="I2286" s="85" t="n">
        <x:v>10181855.11404222</x:v>
      </x:c>
      <x:c r="J2286" s="85" t="n">
        <x:v>9047576.192239858</x:v>
      </x:c>
      <x:c r="K2286" s="85" t="n">
        <x:v>40212.75006164392</x:v>
      </x:c>
      <x:c r="L2286" s="28" t="n">
        <x:v>21</x:v>
      </x:c>
      <x:c r="M2286" s="28" t="n">
        <x:v>0</x:v>
      </x:c>
      <x:c r="N2286" s="28" t="n">
        <x:v>4.656612873077393e-10</x:v>
      </x:c>
      <x:c r="O2286" s="28" t="n">
        <x:v>7.450580596923828e-9</x:v>
      </x:c>
      <x:c r="P2286" s="28" t="n">
        <x:v>0</x:v>
      </x:c>
      <x:c r="Q2286" s="62" t="b">
        <x:v>1</x:v>
      </x:c>
      <x:c r="R2286" s="28" t="n">
        <x:v>0</x:v>
      </x:c>
      <x:c r="S2286" s="28" t="str">
        <x:v>7c3d0ba4d5e837a2</x:v>
      </x:c>
    </x:row>
    <x:row r="2287" ht="21" customHeight="1">
      <x:c r="A2287" s="60" t="n">
        <x:v>0.69</x:v>
      </x:c>
      <x:c r="B2287" s="28" t="str">
        <x:v>front_flat</x:v>
      </x:c>
      <x:c r="C2287" s="60" t="n">
        <x:v>0.55</x:v>
      </x:c>
      <x:c r="D2287" s="60" t="n">
        <x:v>0.55</x:v>
      </x:c>
      <x:c r="E2287" s="62" t="b">
        <x:v>1</x:v>
      </x:c>
      <x:c r="F2287" s="62" t="b">
        <x:v>1</x:v>
      </x:c>
      <x:c r="G2287" s="85" t="n">
        <x:v>0</x:v>
      </x:c>
      <x:c r="H2287" s="85" t="n">
        <x:v>0</x:v>
      </x:c>
      <x:c r="I2287" s="85" t="n">
        <x:v>11261952.482904535</x:v>
      </x:c>
      <x:c r="J2287" s="85" t="n">
        <x:v>11198504.223708771</x:v>
      </x:c>
      <x:c r="K2287" s="85" t="n">
        <x:v>28595.78573630088</x:v>
      </x:c>
      <x:c r="L2287" s="28" t="n">
        <x:v>26</x:v>
      </x:c>
      <x:c r="M2287" s="28" t="n">
        <x:v>8</x:v>
      </x:c>
      <x:c r="N2287" s="28" t="n">
        <x:v>4.656612873077393e-10</x:v>
      </x:c>
      <x:c r="O2287" s="28" t="n">
        <x:v>3.725290298461914e-9</x:v>
      </x:c>
      <x:c r="P2287" s="28" t="n">
        <x:v>0</x:v>
      </x:c>
      <x:c r="Q2287" s="62" t="b">
        <x:v>1</x:v>
      </x:c>
      <x:c r="R2287" s="28" t="n">
        <x:v>0</x:v>
      </x:c>
      <x:c r="S2287" s="28" t="str">
        <x:v>181ab28ac14f2395</x:v>
      </x:c>
    </x:row>
    <x:row r="2288" ht="21" customHeight="1">
      <x:c r="A2288" s="60" t="n">
        <x:v>0.69</x:v>
      </x:c>
      <x:c r="B2288" s="28" t="str">
        <x:v>front_flat</x:v>
      </x:c>
      <x:c r="C2288" s="60" t="n">
        <x:v>0.6</x:v>
      </x:c>
      <x:c r="D2288" s="60" t="n">
        <x:v>0.6</x:v>
      </x:c>
      <x:c r="E2288" s="62" t="b">
        <x:v>1</x:v>
      </x:c>
      <x:c r="F2288" s="62" t="b">
        <x:v>0</x:v>
      </x:c>
      <x:c r="G2288" s="85" t="n">
        <x:v>366637.0514169571</x:v>
      </x:c>
      <x:c r="H2288" s="85" t="n">
        <x:v>1967993.9319143568</x:v>
      </x:c>
      <x:c r="I2288" s="85" t="n">
        <x:v>11455117.098082189</x:v>
      </x:c>
      <x:c r="J2288" s="85" t="n">
        <x:v>11706240.000000002</x:v>
      </x:c>
      <x:c r="K2288" s="85" t="n">
        <x:v>23770.160136986648</x:v>
      </x:c>
      <x:c r="L2288" s="28" t="n">
        <x:v>46</x:v>
      </x:c>
      <x:c r="M2288" s="28" t="n">
        <x:v>34</x:v>
      </x:c>
      <x:c r="N2288" s="28" t="n">
        <x:v>4.656612873077393e-10</x:v>
      </x:c>
      <x:c r="O2288" s="28" t="n">
        <x:v>3.725290298461914e-9</x:v>
      </x:c>
      <x:c r="P2288" s="28" t="n">
        <x:v>0</x:v>
      </x:c>
      <x:c r="Q2288" s="62" t="b">
        <x:v>1</x:v>
      </x:c>
      <x:c r="R2288" s="28" t="n">
        <x:v>0</x:v>
      </x:c>
      <x:c r="S2288" s="28" t="str">
        <x:v>a4e8734e181fdf71</x:v>
      </x:c>
    </x:row>
    <x:row r="2289" ht="21" customHeight="1">
      <x:c r="A2289" s="60" t="n">
        <x:v>0.69</x:v>
      </x:c>
      <x:c r="B2289" s="28" t="str">
        <x:v>front_flat</x:v>
      </x:c>
      <x:c r="C2289" s="60" t="n">
        <x:v>0.65</x:v>
      </x:c>
      <x:c r="D2289" s="60" t="n">
        <x:v>0.65</x:v>
      </x:c>
      <x:c r="E2289" s="62" t="b">
        <x:v>1</x:v>
      </x:c>
      <x:c r="F2289" s="62" t="b">
        <x:v>0</x:v>
      </x:c>
      <x:c r="G2289" s="85" t="n">
        <x:v>832336.3670025156</x:v>
      </x:c>
      <x:c r="H2289" s="85" t="n">
        <x:v>4487111.731931968</x:v>
      </x:c>
      <x:c r="I2289" s="85" t="n">
        <x:v>11455117.098082189</x:v>
      </x:c>
      <x:c r="J2289" s="85" t="n">
        <x:v>11706240.000000002</x:v>
      </x:c>
      <x:c r="K2289" s="85" t="n">
        <x:v>19860.080239726005</x:v>
      </x:c>
      <x:c r="L2289" s="28" t="n">
        <x:v>46</x:v>
      </x:c>
      <x:c r="M2289" s="28" t="n">
        <x:v>38</x:v>
      </x:c>
      <x:c r="N2289" s="28" t="n">
        <x:v>2.3283064365386963e-10</x:v>
      </x:c>
      <x:c r="O2289" s="28" t="n">
        <x:v>3.725290298461914e-9</x:v>
      </x:c>
      <x:c r="P2289" s="28" t="n">
        <x:v>0</x:v>
      </x:c>
      <x:c r="Q2289" s="62" t="b">
        <x:v>1</x:v>
      </x:c>
      <x:c r="R2289" s="28" t="n">
        <x:v>0</x:v>
      </x:c>
      <x:c r="S2289" s="28" t="str">
        <x:v>3885395f40414517</x:v>
      </x:c>
    </x:row>
    <x:row r="2290" ht="21" customHeight="1">
      <x:c r="A2290" s="60" t="n">
        <x:v>0.69</x:v>
      </x:c>
      <x:c r="B2290" s="28" t="str">
        <x:v>front_flat</x:v>
      </x:c>
      <x:c r="C2290" s="60" t="n">
        <x:v>0.7</x:v>
      </x:c>
      <x:c r="D2290" s="60" t="n">
        <x:v>0.7</x:v>
      </x:c>
      <x:c r="E2290" s="62" t="b">
        <x:v>1</x:v>
      </x:c>
      <x:c r="F2290" s="62" t="b">
        <x:v>0</x:v>
      </x:c>
      <x:c r="G2290" s="85" t="n">
        <x:v>1355341.5545761408</x:v>
      </x:c>
      <x:c r="H2290" s="85" t="n">
        <x:v>6874046.047047461</x:v>
      </x:c>
      <x:c r="I2290" s="85" t="n">
        <x:v>11457898.266135613</x:v>
      </x:c>
      <x:c r="J2290" s="85" t="n">
        <x:v>11706240.000000002</x:v>
      </x:c>
      <x:c r="K2290" s="85" t="n">
        <x:v>15950.000342465828</x:v>
      </x:c>
      <x:c r="L2290" s="28" t="n">
        <x:v>46</x:v>
      </x:c>
      <x:c r="M2290" s="28" t="n">
        <x:v>40</x:v>
      </x:c>
      <x:c r="N2290" s="28" t="n">
        <x:v>4.656612873077393e-10</x:v>
      </x:c>
      <x:c r="O2290" s="28" t="n">
        <x:v>1.862645149230957e-9</x:v>
      </x:c>
      <x:c r="P2290" s="28" t="n">
        <x:v>0</x:v>
      </x:c>
      <x:c r="Q2290" s="62" t="b">
        <x:v>1</x:v>
      </x:c>
      <x:c r="R2290" s="28" t="n">
        <x:v>0</x:v>
      </x:c>
      <x:c r="S2290" s="28" t="str">
        <x:v>03203d450379e848</x:v>
      </x:c>
    </x:row>
    <x:row r="2291" ht="21" customHeight="1">
      <x:c r="A2291" s="60" t="n">
        <x:v>0.69</x:v>
      </x:c>
      <x:c r="B2291" s="28" t="str">
        <x:v>front_flat</x:v>
      </x:c>
      <x:c r="C2291" s="60" t="n">
        <x:v>0.75</x:v>
      </x:c>
      <x:c r="D2291" s="60" t="n">
        <x:v>0.75</x:v>
      </x:c>
      <x:c r="E2291" s="62" t="b">
        <x:v>1</x:v>
      </x:c>
      <x:c r="F2291" s="62" t="b">
        <x:v>0</x:v>
      </x:c>
      <x:c r="G2291" s="85" t="n">
        <x:v>1762752.0113877303</x:v>
      </x:c>
      <x:c r="H2291" s="85" t="n">
        <x:v>8926611.150040448</x:v>
      </x:c>
      <x:c r="I2291" s="85" t="n">
        <x:v>11703193.170410955</x:v>
      </x:c>
      <x:c r="J2291" s="85" t="n">
        <x:v>11706240.000000002</x:v>
      </x:c>
      <x:c r="K2291" s="85" t="n">
        <x:v>12039.920445205651</x:v>
      </x:c>
      <x:c r="L2291" s="28" t="n">
        <x:v>47</x:v>
      </x:c>
      <x:c r="M2291" s="28" t="n">
        <x:v>42</x:v>
      </x:c>
      <x:c r="N2291" s="28" t="n">
        <x:v>2.3283064365386963e-10</x:v>
      </x:c>
      <x:c r="O2291" s="28" t="n">
        <x:v>3.725290298461914e-9</x:v>
      </x:c>
      <x:c r="P2291" s="28" t="n">
        <x:v>0</x:v>
      </x:c>
      <x:c r="Q2291" s="62" t="b">
        <x:v>1</x:v>
      </x:c>
      <x:c r="R2291" s="28" t="n">
        <x:v>0</x:v>
      </x:c>
      <x:c r="S2291" s="28" t="str">
        <x:v>e0de07e0eff2a805</x:v>
      </x:c>
    </x:row>
    <x:row r="2292" ht="21" customHeight="1">
      <x:c r="A2292" s="60" t="n">
        <x:v>0.69</x:v>
      </x:c>
      <x:c r="B2292" s="28" t="str">
        <x:v>front_flat</x:v>
      </x:c>
      <x:c r="C2292" s="60" t="n">
        <x:v>0.8</x:v>
      </x:c>
      <x:c r="D2292" s="60" t="n">
        <x:v>0.8</x:v>
      </x:c>
      <x:c r="E2292" s="62" t="b">
        <x:v>1</x:v>
      </x:c>
      <x:c r="F2292" s="62" t="b">
        <x:v>0</x:v>
      </x:c>
      <x:c r="G2292" s="85" t="n">
        <x:v>2341068.7409045896</x:v>
      </x:c>
      <x:c r="H2292" s="85" t="n">
        <x:v>11223322.140134433</x:v>
      </x:c>
      <x:c r="I2292" s="85" t="n">
        <x:v>11703193.170410955</x:v>
      </x:c>
      <x:c r="J2292" s="85" t="n">
        <x:v>11706240.000000002</x:v>
      </x:c>
      <x:c r="K2292" s="85" t="n">
        <x:v>8129.840547945241</x:v>
      </x:c>
      <x:c r="L2292" s="28" t="n">
        <x:v>47</x:v>
      </x:c>
      <x:c r="M2292" s="28" t="n">
        <x:v>44</x:v>
      </x:c>
      <x:c r="N2292" s="28" t="n">
        <x:v>4.656612873077393e-10</x:v>
      </x:c>
      <x:c r="O2292" s="28" t="n">
        <x:v>3.725290298461914e-9</x:v>
      </x:c>
      <x:c r="P2292" s="28" t="n">
        <x:v>0</x:v>
      </x:c>
      <x:c r="Q2292" s="62" t="b">
        <x:v>1</x:v>
      </x:c>
      <x:c r="R2292" s="28" t="n">
        <x:v>0</x:v>
      </x:c>
      <x:c r="S2292" s="28" t="str">
        <x:v>4c709a63833c1743</x:v>
      </x:c>
    </x:row>
    <x:row r="2293" ht="21" customHeight="1">
      <x:c r="A2293" s="60" t="n">
        <x:v>0.69</x:v>
      </x:c>
      <x:c r="B2293" s="28" t="str">
        <x:v>front_flat</x:v>
      </x:c>
      <x:c r="C2293" s="60" t="n">
        <x:v>0.85</x:v>
      </x:c>
      <x:c r="D2293" s="60" t="n">
        <x:v>0.85</x:v>
      </x:c>
      <x:c r="E2293" s="62" t="b">
        <x:v>1</x:v>
      </x:c>
      <x:c r="F2293" s="62" t="b">
        <x:v>0</x:v>
      </x:c>
      <x:c r="G2293" s="85" t="n">
        <x:v>2925410.319632296</x:v>
      </x:c>
      <x:c r="H2293" s="85" t="n">
        <x:v>13438419.180110665</x:v>
      </x:c>
      <x:c r="I2293" s="85" t="n">
        <x:v>11703193.170410955</x:v>
      </x:c>
      <x:c r="J2293" s="85" t="n">
        <x:v>11706240.000000002</x:v>
      </x:c>
      <x:c r="K2293" s="85" t="n">
        <x:v>4219.760650684948</x:v>
      </x:c>
      <x:c r="L2293" s="28" t="n">
        <x:v>47</x:v>
      </x:c>
      <x:c r="M2293" s="28" t="n">
        <x:v>44</x:v>
      </x:c>
      <x:c r="N2293" s="28" t="n">
        <x:v>2.3283064365386963e-10</x:v>
      </x:c>
      <x:c r="O2293" s="28" t="n">
        <x:v>1.862645149230957e-9</x:v>
      </x:c>
      <x:c r="P2293" s="28" t="n">
        <x:v>0</x:v>
      </x:c>
      <x:c r="Q2293" s="62" t="b">
        <x:v>1</x:v>
      </x:c>
      <x:c r="R2293" s="28" t="n">
        <x:v>0</x:v>
      </x:c>
      <x:c r="S2293" s="28" t="str">
        <x:v>5e783a7bde1ed17e</x:v>
      </x:c>
    </x:row>
    <x:row r="2294" ht="21" customHeight="1">
      <x:c r="A2294" s="60" t="n">
        <x:v>0.69</x:v>
      </x:c>
      <x:c r="B2294" s="28" t="str">
        <x:v>front_flat</x:v>
      </x:c>
      <x:c r="C2294" s="60" t="n">
        <x:v>0.9</x:v>
      </x:c>
      <x:c r="D2294" s="60" t="n">
        <x:v>0.9</x:v>
      </x:c>
      <x:c r="E2294" s="62" t="b">
        <x:v>1</x:v>
      </x:c>
      <x:c r="F2294" s="62" t="b">
        <x:v>0</x:v>
      </x:c>
      <x:c r="G2294" s="85" t="n">
        <x:v>3596721.9529980076</x:v>
      </x:c>
      <x:c r="H2294" s="85" t="n">
        <x:v>15638701.541716605</x:v>
      </x:c>
      <x:c r="I2294" s="85" t="n">
        <x:v>11703193.170410955</x:v>
      </x:c>
      <x:c r="J2294" s="85" t="n">
        <x:v>11706240.000000002</x:v>
      </x:c>
      <x:c r="K2294" s="85" t="n">
        <x:v>309.68075342477096</x:v>
      </x:c>
      <x:c r="L2294" s="28" t="n">
        <x:v>47</x:v>
      </x:c>
      <x:c r="M2294" s="28" t="n">
        <x:v>45</x:v>
      </x:c>
      <x:c r="N2294" s="28" t="n">
        <x:v>2.3283064365386963e-10</x:v>
      </x:c>
      <x:c r="O2294" s="28" t="n">
        <x:v>3.725290298461914e-9</x:v>
      </x:c>
      <x:c r="P2294" s="28" t="n">
        <x:v>0</x:v>
      </x:c>
      <x:c r="Q2294" s="62" t="b">
        <x:v>1</x:v>
      </x:c>
      <x:c r="R2294" s="28" t="n">
        <x:v>0</x:v>
      </x:c>
      <x:c r="S2294" s="28" t="str">
        <x:v>58a9e1de1a663ed5</x:v>
      </x:c>
    </x:row>
    <x:row r="2295" ht="21" customHeight="1">
      <x:c r="A2295" s="60" t="n">
        <x:v>0.69</x:v>
      </x:c>
      <x:c r="B2295" s="28" t="str">
        <x:v>front_flat</x:v>
      </x:c>
      <x:c r="C2295" s="60" t="n">
        <x:v>0.95</x:v>
      </x:c>
      <x:c r="D2295" s="60" t="n">
        <x:v>0.9427119459478259</x:v>
      </x:c>
      <x:c r="E2295" s="62" t="b">
        <x:v>0</x:v>
      </x:c>
      <x:c r="F2295" s="62" t="b">
        <x:v>0</x:v>
      </x:c>
      <x:c r="G2295" s="85" t="n">
        <x:v>4453874.3297674535</x:v>
      </x:c>
      <x:c r="H2295" s="85" t="n">
        <x:v>16863036.081128594</x:v>
      </x:c>
      <x:c r="I2295" s="85" t="n">
        <x:v>11703193.170410955</x:v>
      </x:c>
      <x:c r="J2295" s="85" t="n">
        <x:v>11706240.000000002</x:v>
      </x:c>
      <x:c r="K2295" s="85" t="n">
        <x:v>0</x:v>
      </x:c>
      <x:c r="L2295" s="28" t="n">
        <x:v>47</x:v>
      </x:c>
      <x:c r="M2295" s="28" t="n">
        <x:v>45</x:v>
      </x:c>
      <x:c r="N2295" s="28" t="n">
        <x:v>2.3283064365386963e-10</x:v>
      </x:c>
      <x:c r="O2295" s="28" t="n">
        <x:v>1.862645149230957e-9</x:v>
      </x:c>
      <x:c r="P2295" s="28" t="n">
        <x:v>0</x:v>
      </x:c>
      <x:c r="Q2295" s="62" t="b">
        <x:v>1</x:v>
      </x:c>
      <x:c r="R2295" s="28" t="n">
        <x:v>406265.28508438915</x:v>
      </x:c>
      <x:c r="S2295" s="28" t="str">
        <x:v>3e0d80cc9f69a0ff</x:v>
      </x:c>
    </x:row>
    <x:row r="2296" ht="21" customHeight="1">
      <x:c r="A2296" s="60" t="n">
        <x:v>0.69</x:v>
      </x:c>
      <x:c r="B2296" s="28" t="str">
        <x:v>front_flat</x:v>
      </x:c>
      <x:c r="C2296" s="60" t="n">
        <x:v>1</x:v>
      </x:c>
      <x:c r="D2296" s="60" t="n">
        <x:v>0.9596721012870685</x:v>
      </x:c>
      <x:c r="E2296" s="62" t="b">
        <x:v>0</x:v>
      </x:c>
      <x:c r="F2296" s="62" t="b">
        <x:v>0</x:v>
      </x:c>
      <x:c r="G2296" s="85" t="n">
        <x:v>4864362.282703927</x:v>
      </x:c>
      <x:c r="H2296" s="85" t="n">
        <x:v>17675031.190886535</x:v>
      </x:c>
      <x:c r="I2296" s="85" t="n">
        <x:v>11703193.170410955</x:v>
      </x:c>
      <x:c r="J2296" s="85" t="n">
        <x:v>11706240.000000002</x:v>
      </x:c>
      <x:c r="K2296" s="85" t="n">
        <x:v>0</x:v>
      </x:c>
      <x:c r="L2296" s="28" t="n">
        <x:v>47</x:v>
      </x:c>
      <x:c r="M2296" s="28" t="n">
        <x:v>45</x:v>
      </x:c>
      <x:c r="N2296" s="28" t="n">
        <x:v>2.3283064365386963e-10</x:v>
      </x:c>
      <x:c r="O2296" s="28" t="n">
        <x:v>1.862645149230957e-9</x:v>
      </x:c>
      <x:c r="P2296" s="28" t="n">
        <x:v>0</x:v>
      </x:c>
      <x:c r="Q2296" s="62" t="b">
        <x:v>1</x:v>
      </x:c>
      <x:c r="R2296" s="28" t="n">
        <x:v>2248038.3858536556</x:v>
      </x:c>
      <x:c r="S2296" s="28" t="str">
        <x:v>1e0055ec9c536075</x:v>
      </x:c>
    </x:row>
    <x:row r="2297" ht="21" customHeight="1">
      <x:c r="A2297" s="60" t="n">
        <x:v>0.69</x:v>
      </x:c>
      <x:c r="B2297" s="28" t="str">
        <x:v>front_low</x:v>
      </x:c>
      <x:c r="C2297" s="60" t="n">
        <x:v>0</x:v>
      </x:c>
      <x:c r="D2297" s="60" t="n">
        <x:v>0</x:v>
      </x:c>
      <x:c r="E2297" s="62" t="b">
        <x:v>1</x:v>
      </x:c>
      <x:c r="F2297" s="62" t="b">
        <x:v>1</x:v>
      </x:c>
      <x:c r="G2297" s="85" t="n">
        <x:v>0</x:v>
      </x:c>
      <x:c r="H2297" s="85" t="n">
        <x:v>0</x:v>
      </x:c>
      <x:c r="I2297" s="85" t="n">
        <x:v>0</x:v>
      </x:c>
      <x:c r="J2297" s="85" t="n">
        <x:v>0</x:v>
      </x:c>
      <x:c r="K2297" s="85" t="n">
        <x:v>6001234.7460821895</x:v>
      </x:c>
      <x:c r="L2297" s="28" t="n">
        <x:v>0</x:v>
      </x:c>
      <x:c r="M2297" s="28" t="n">
        <x:v>0</x:v>
      </x:c>
      <x:c r="N2297" s="28" t="n">
        <x:v>9.313225746154785e-10</x:v>
      </x:c>
      <x:c r="O2297" s="28" t="n">
        <x:v>0</x:v>
      </x:c>
      <x:c r="P2297" s="28" t="n">
        <x:v>0</x:v>
      </x:c>
      <x:c r="Q2297" s="62" t="b">
        <x:v>1</x:v>
      </x:c>
      <x:c r="R2297" s="28" t="n">
        <x:v>0</x:v>
      </x:c>
      <x:c r="S2297" s="28" t="str">
        <x:v>fb4d343ed97245f6</x:v>
      </x:c>
    </x:row>
    <x:row r="2298" ht="21" customHeight="1">
      <x:c r="A2298" s="60" t="n">
        <x:v>0.69</x:v>
      </x:c>
      <x:c r="B2298" s="28" t="str">
        <x:v>front_low</x:v>
      </x:c>
      <x:c r="C2298" s="60" t="n">
        <x:v>0.05</x:v>
      </x:c>
      <x:c r="D2298" s="60" t="n">
        <x:v>0.05</x:v>
      </x:c>
      <x:c r="E2298" s="62" t="b">
        <x:v>1</x:v>
      </x:c>
      <x:c r="F2298" s="62" t="b">
        <x:v>1</x:v>
      </x:c>
      <x:c r="G2298" s="85" t="n">
        <x:v>0</x:v>
      </x:c>
      <x:c r="H2298" s="85" t="n">
        <x:v>0</x:v>
      </x:c>
      <x:c r="I2298" s="85" t="n">
        <x:v>0</x:v>
      </x:c>
      <x:c r="J2298" s="85" t="n">
        <x:v>0</x:v>
      </x:c>
      <x:c r="K2298" s="85" t="n">
        <x:v>3959984.414965866</x:v>
      </x:c>
      <x:c r="L2298" s="28" t="n">
        <x:v>0</x:v>
      </x:c>
      <x:c r="M2298" s="28" t="n">
        <x:v>0</x:v>
      </x:c>
      <x:c r="N2298" s="28" t="n">
        <x:v>9.313225746154785e-10</x:v>
      </x:c>
      <x:c r="O2298" s="28" t="n">
        <x:v>7.450580596923828e-9</x:v>
      </x:c>
      <x:c r="P2298" s="28" t="n">
        <x:v>0</x:v>
      </x:c>
      <x:c r="Q2298" s="62" t="b">
        <x:v>1</x:v>
      </x:c>
      <x:c r="R2298" s="28" t="n">
        <x:v>0</x:v>
      </x:c>
      <x:c r="S2298" s="28" t="str">
        <x:v>fd49299ed509fa0e</x:v>
      </x:c>
    </x:row>
    <x:row r="2299" ht="21" customHeight="1">
      <x:c r="A2299" s="60" t="n">
        <x:v>0.69</x:v>
      </x:c>
      <x:c r="B2299" s="28" t="str">
        <x:v>front_low</x:v>
      </x:c>
      <x:c r="C2299" s="60" t="n">
        <x:v>0.1</x:v>
      </x:c>
      <x:c r="D2299" s="60" t="n">
        <x:v>0.1</x:v>
      </x:c>
      <x:c r="E2299" s="62" t="b">
        <x:v>1</x:v>
      </x:c>
      <x:c r="F2299" s="62" t="b">
        <x:v>1</x:v>
      </x:c>
      <x:c r="G2299" s="85" t="n">
        <x:v>0</x:v>
      </x:c>
      <x:c r="H2299" s="85" t="n">
        <x:v>0</x:v>
      </x:c>
      <x:c r="I2299" s="85" t="n">
        <x:v>0</x:v>
      </x:c>
      <x:c r="J2299" s="85" t="n">
        <x:v>0</x:v>
      </x:c>
      <x:c r="K2299" s="85" t="n">
        <x:v>1918412.972297492</x:v>
      </x:c>
      <x:c r="L2299" s="28" t="n">
        <x:v>0</x:v>
      </x:c>
      <x:c r="M2299" s="28" t="n">
        <x:v>0</x:v>
      </x:c>
      <x:c r="N2299" s="28" t="n">
        <x:v>9.313225746154785e-10</x:v>
      </x:c>
      <x:c r="O2299" s="28" t="n">
        <x:v>7.450580596923828e-9</x:v>
      </x:c>
      <x:c r="P2299" s="28" t="n">
        <x:v>0</x:v>
      </x:c>
      <x:c r="Q2299" s="62" t="b">
        <x:v>1</x:v>
      </x:c>
      <x:c r="R2299" s="28" t="n">
        <x:v>0</x:v>
      </x:c>
      <x:c r="S2299" s="28" t="str">
        <x:v>166aef8deee1d6b9</x:v>
      </x:c>
    </x:row>
    <x:row r="2300" ht="21" customHeight="1">
      <x:c r="A2300" s="60" t="n">
        <x:v>0.69</x:v>
      </x:c>
      <x:c r="B2300" s="28" t="str">
        <x:v>front_low</x:v>
      </x:c>
      <x:c r="C2300" s="60" t="n">
        <x:v>0.15</x:v>
      </x:c>
      <x:c r="D2300" s="60" t="n">
        <x:v>0.15</x:v>
      </x:c>
      <x:c r="E2300" s="62" t="b">
        <x:v>1</x:v>
      </x:c>
      <x:c r="F2300" s="62" t="b">
        <x:v>1</x:v>
      </x:c>
      <x:c r="G2300" s="85" t="n">
        <x:v>0</x:v>
      </x:c>
      <x:c r="H2300" s="85" t="n">
        <x:v>0</x:v>
      </x:c>
      <x:c r="I2300" s="85" t="n">
        <x:v>245762.02158929757</x:v>
      </x:c>
      <x:c r="J2300" s="85" t="n">
        <x:v>0</x:v>
      </x:c>
      <x:c r="K2300" s="85" t="n">
        <x:v>218369.32709975462</x:v>
      </x:c>
      <x:c r="L2300" s="28" t="n">
        <x:v>0</x:v>
      </x:c>
      <x:c r="M2300" s="28" t="n">
        <x:v>0</x:v>
      </x:c>
      <x:c r="N2300" s="28" t="n">
        <x:v>4.656612873077393e-10</x:v>
      </x:c>
      <x:c r="O2300" s="28" t="n">
        <x:v>7.450580596923828e-9</x:v>
      </x:c>
      <x:c r="P2300" s="28" t="n">
        <x:v>0</x:v>
      </x:c>
      <x:c r="Q2300" s="62" t="b">
        <x:v>1</x:v>
      </x:c>
      <x:c r="R2300" s="28" t="n">
        <x:v>0</x:v>
      </x:c>
      <x:c r="S2300" s="28" t="str">
        <x:v>d45b1d628f986123</x:v>
      </x:c>
    </x:row>
    <x:row r="2301" ht="21" customHeight="1">
      <x:c r="A2301" s="60" t="n">
        <x:v>0.69</x:v>
      </x:c>
      <x:c r="B2301" s="28" t="str">
        <x:v>front_low</x:v>
      </x:c>
      <x:c r="C2301" s="60" t="n">
        <x:v>0.2</x:v>
      </x:c>
      <x:c r="D2301" s="60" t="n">
        <x:v>0.2</x:v>
      </x:c>
      <x:c r="E2301" s="62" t="b">
        <x:v>1</x:v>
      </x:c>
      <x:c r="F2301" s="62" t="b">
        <x:v>1</x:v>
      </x:c>
      <x:c r="G2301" s="85" t="n">
        <x:v>0</x:v>
      </x:c>
      <x:c r="H2301" s="85" t="n">
        <x:v>0</x:v>
      </x:c>
      <x:c r="I2301" s="85" t="n">
        <x:v>1328444.705181017</x:v>
      </x:c>
      <x:c r="J2301" s="85" t="n">
        <x:v>1254093.4388721122</x:v>
      </x:c>
      <x:c r="K2301" s="85" t="n">
        <x:v>135625.57601204098</x:v>
      </x:c>
      <x:c r="L2301" s="28" t="n">
        <x:v>0</x:v>
      </x:c>
      <x:c r="M2301" s="28" t="n">
        <x:v>0</x:v>
      </x:c>
      <x:c r="N2301" s="28" t="n">
        <x:v>4.656612873077393e-10</x:v>
      </x:c>
      <x:c r="O2301" s="28" t="n">
        <x:v>7.450580596923828e-9</x:v>
      </x:c>
      <x:c r="P2301" s="28" t="n">
        <x:v>0</x:v>
      </x:c>
      <x:c r="Q2301" s="62" t="b">
        <x:v>1</x:v>
      </x:c>
      <x:c r="R2301" s="28" t="n">
        <x:v>0</x:v>
      </x:c>
      <x:c r="S2301" s="28" t="str">
        <x:v>6cf6b98a7252f5b6</x:v>
      </x:c>
    </x:row>
    <x:row r="2302" ht="21" customHeight="1">
      <x:c r="A2302" s="60" t="n">
        <x:v>0.69</x:v>
      </x:c>
      <x:c r="B2302" s="28" t="str">
        <x:v>front_low</x:v>
      </x:c>
      <x:c r="C2302" s="60" t="n">
        <x:v>0.25</x:v>
      </x:c>
      <x:c r="D2302" s="60" t="n">
        <x:v>0.25</x:v>
      </x:c>
      <x:c r="E2302" s="62" t="b">
        <x:v>1</x:v>
      </x:c>
      <x:c r="F2302" s="62" t="b">
        <x:v>1</x:v>
      </x:c>
      <x:c r="G2302" s="85" t="n">
        <x:v>0</x:v>
      </x:c>
      <x:c r="H2302" s="85" t="n">
        <x:v>0</x:v>
      </x:c>
      <x:c r="I2302" s="85" t="n">
        <x:v>2069498.2036467795</x:v>
      </x:c>
      <x:c r="J2302" s="85" t="n">
        <x:v>2961216.7985901413</x:v>
      </x:c>
      <x:c r="K2302" s="85" t="n">
        <x:v>85589.76124553094</x:v>
      </x:c>
      <x:c r="L2302" s="28" t="n">
        <x:v>0</x:v>
      </x:c>
      <x:c r="M2302" s="28" t="n">
        <x:v>0</x:v>
      </x:c>
      <x:c r="N2302" s="28" t="n">
        <x:v>4.656612873077393e-10</x:v>
      </x:c>
      <x:c r="O2302" s="28" t="n">
        <x:v>3.725290298461914e-9</x:v>
      </x:c>
      <x:c r="P2302" s="28" t="n">
        <x:v>0</x:v>
      </x:c>
      <x:c r="Q2302" s="62" t="b">
        <x:v>1</x:v>
      </x:c>
      <x:c r="R2302" s="28" t="n">
        <x:v>0</x:v>
      </x:c>
      <x:c r="S2302" s="28" t="str">
        <x:v>f1f3ee3af9802381</x:v>
      </x:c>
    </x:row>
    <x:row r="2303" ht="21" customHeight="1">
      <x:c r="A2303" s="60" t="n">
        <x:v>0.69</x:v>
      </x:c>
      <x:c r="B2303" s="28" t="str">
        <x:v>front_low</x:v>
      </x:c>
      <x:c r="C2303" s="60" t="n">
        <x:v>0.3</x:v>
      </x:c>
      <x:c r="D2303" s="60" t="n">
        <x:v>0.3</x:v>
      </x:c>
      <x:c r="E2303" s="62" t="b">
        <x:v>1</x:v>
      </x:c>
      <x:c r="F2303" s="62" t="b">
        <x:v>1</x:v>
      </x:c>
      <x:c r="G2303" s="85" t="n">
        <x:v>0</x:v>
      </x:c>
      <x:c r="H2303" s="85" t="n">
        <x:v>0</x:v>
      </x:c>
      <x:c r="I2303" s="85" t="n">
        <x:v>2841893.1319246483</x:v>
      </x:c>
      <x:c r="J2303" s="85" t="n">
        <x:v>4668340.158308177</x:v>
      </x:c>
      <x:c r="K2303" s="85" t="n">
        <x:v>63897.72423972588</x:v>
      </x:c>
      <x:c r="L2303" s="28" t="n">
        <x:v>0</x:v>
      </x:c>
      <x:c r="M2303" s="28" t="n">
        <x:v>0</x:v>
      </x:c>
      <x:c r="N2303" s="28" t="n">
        <x:v>4.656612873077393e-10</x:v>
      </x:c>
      <x:c r="O2303" s="28" t="n">
        <x:v>7.450580596923828e-9</x:v>
      </x:c>
      <x:c r="P2303" s="28" t="n">
        <x:v>0</x:v>
      </x:c>
      <x:c r="Q2303" s="62" t="b">
        <x:v>1</x:v>
      </x:c>
      <x:c r="R2303" s="28" t="n">
        <x:v>0</x:v>
      </x:c>
      <x:c r="S2303" s="28" t="str">
        <x:v>9983a5a47c1a9b54</x:v>
      </x:c>
    </x:row>
    <x:row r="2304" ht="21" customHeight="1">
      <x:c r="A2304" s="60" t="n">
        <x:v>0.69</x:v>
      </x:c>
      <x:c r="B2304" s="28" t="str">
        <x:v>front_low</x:v>
      </x:c>
      <x:c r="C2304" s="60" t="n">
        <x:v>0.35</x:v>
      </x:c>
      <x:c r="D2304" s="60" t="n">
        <x:v>0.35</x:v>
      </x:c>
      <x:c r="E2304" s="62" t="b">
        <x:v>1</x:v>
      </x:c>
      <x:c r="F2304" s="62" t="b">
        <x:v>1</x:v>
      </x:c>
      <x:c r="G2304" s="85" t="n">
        <x:v>0</x:v>
      </x:c>
      <x:c r="H2304" s="85" t="n">
        <x:v>0</x:v>
      </x:c>
      <x:c r="I2304" s="85" t="n">
        <x:v>4308299.154092915</x:v>
      </x:c>
      <x:c r="J2304" s="85" t="n">
        <x:v>5241369.9514960125</x:v>
      </x:c>
      <x:c r="K2304" s="85" t="n">
        <x:v>48805.5435856163</x:v>
      </x:c>
      <x:c r="L2304" s="28" t="n">
        <x:v>7</x:v>
      </x:c>
      <x:c r="M2304" s="28" t="n">
        <x:v>0</x:v>
      </x:c>
      <x:c r="N2304" s="28" t="n">
        <x:v>2.3283064365386963e-10</x:v>
      </x:c>
      <x:c r="O2304" s="28" t="n">
        <x:v>7.450580596923828e-9</x:v>
      </x:c>
      <x:c r="P2304" s="28" t="n">
        <x:v>0</x:v>
      </x:c>
      <x:c r="Q2304" s="62" t="b">
        <x:v>1</x:v>
      </x:c>
      <x:c r="R2304" s="28" t="n">
        <x:v>0</x:v>
      </x:c>
      <x:c r="S2304" s="28" t="str">
        <x:v>0620e66782b78176</x:v>
      </x:c>
    </x:row>
    <x:row r="2305" ht="21" customHeight="1">
      <x:c r="A2305" s="60" t="n">
        <x:v>0.69</x:v>
      </x:c>
      <x:c r="B2305" s="28" t="str">
        <x:v>front_low</x:v>
      </x:c>
      <x:c r="C2305" s="60" t="n">
        <x:v>0.4</x:v>
      </x:c>
      <x:c r="D2305" s="60" t="n">
        <x:v>0.4</x:v>
      </x:c>
      <x:c r="E2305" s="62" t="b">
        <x:v>1</x:v>
      </x:c>
      <x:c r="F2305" s="62" t="b">
        <x:v>1</x:v>
      </x:c>
      <x:c r="G2305" s="85" t="n">
        <x:v>0</x:v>
      </x:c>
      <x:c r="H2305" s="85" t="n">
        <x:v>0</x:v>
      </x:c>
      <x:c r="I2305" s="85" t="n">
        <x:v>5616533.352846637</x:v>
      </x:c>
      <x:c r="J2305" s="85" t="n">
        <x:v>6128284.57530186</x:v>
      </x:c>
      <x:c r="K2305" s="85" t="n">
        <x:v>42194.13843835612</x:v>
      </x:c>
      <x:c r="L2305" s="28" t="n">
        <x:v>14</x:v>
      </x:c>
      <x:c r="M2305" s="28" t="n">
        <x:v>0</x:v>
      </x:c>
      <x:c r="N2305" s="28" t="n">
        <x:v>4.656612873077393e-10</x:v>
      </x:c>
      <x:c r="O2305" s="28" t="n">
        <x:v>7.450580596923828e-9</x:v>
      </x:c>
      <x:c r="P2305" s="28" t="n">
        <x:v>0</x:v>
      </x:c>
      <x:c r="Q2305" s="62" t="b">
        <x:v>1</x:v>
      </x:c>
      <x:c r="R2305" s="28" t="n">
        <x:v>0</x:v>
      </x:c>
      <x:c r="S2305" s="28" t="str">
        <x:v>0210e82a61ae342c</x:v>
      </x:c>
    </x:row>
    <x:row r="2306" ht="21" customHeight="1">
      <x:c r="A2306" s="60" t="n">
        <x:v>0.69</x:v>
      </x:c>
      <x:c r="B2306" s="28" t="str">
        <x:v>front_low</x:v>
      </x:c>
      <x:c r="C2306" s="60" t="n">
        <x:v>0.45</x:v>
      </x:c>
      <x:c r="D2306" s="60" t="n">
        <x:v>0.45</x:v>
      </x:c>
      <x:c r="E2306" s="62" t="b">
        <x:v>1</x:v>
      </x:c>
      <x:c r="F2306" s="62" t="b">
        <x:v>1</x:v>
      </x:c>
      <x:c r="G2306" s="85" t="n">
        <x:v>0</x:v>
      </x:c>
      <x:c r="H2306" s="85" t="n">
        <x:v>0</x:v>
      </x:c>
      <x:c r="I2306" s="85" t="n">
        <x:v>6478222.969642117</x:v>
      </x:c>
      <x:c r="J2306" s="85" t="n">
        <x:v>7765170.504067028</x:v>
      </x:c>
      <x:c r="K2306" s="85" t="n">
        <x:v>35582.733291095596</x:v>
      </x:c>
      <x:c r="L2306" s="28" t="n">
        <x:v>18</x:v>
      </x:c>
      <x:c r="M2306" s="28" t="n">
        <x:v>0</x:v>
      </x:c>
      <x:c r="N2306" s="28" t="n">
        <x:v>4.656612873077393e-10</x:v>
      </x:c>
      <x:c r="O2306" s="28" t="n">
        <x:v>3.725290298461914e-9</x:v>
      </x:c>
      <x:c r="P2306" s="28" t="n">
        <x:v>0</x:v>
      </x:c>
      <x:c r="Q2306" s="62" t="b">
        <x:v>1</x:v>
      </x:c>
      <x:c r="R2306" s="28" t="n">
        <x:v>0</x:v>
      </x:c>
      <x:c r="S2306" s="28" t="str">
        <x:v>2a28dea3ea8c36b5</x:v>
      </x:c>
    </x:row>
    <x:row r="2307" ht="21" customHeight="1">
      <x:c r="A2307" s="60" t="n">
        <x:v>0.69</x:v>
      </x:c>
      <x:c r="B2307" s="28" t="str">
        <x:v>front_low</x:v>
      </x:c>
      <x:c r="C2307" s="60" t="n">
        <x:v>0.5</x:v>
      </x:c>
      <x:c r="D2307" s="60" t="n">
        <x:v>0.5</x:v>
      </x:c>
      <x:c r="E2307" s="62" t="b">
        <x:v>1</x:v>
      </x:c>
      <x:c r="F2307" s="62" t="b">
        <x:v>1</x:v>
      </x:c>
      <x:c r="G2307" s="85" t="n">
        <x:v>0</x:v>
      </x:c>
      <x:c r="H2307" s="85" t="n">
        <x:v>0</x:v>
      </x:c>
      <x:c r="I2307" s="85" t="n">
        <x:v>7333243.848787066</x:v>
      </x:c>
      <x:c r="J2307" s="85" t="n">
        <x:v>9395365.222638842</x:v>
      </x:c>
      <x:c r="K2307" s="85" t="n">
        <x:v>28971.32814383553</x:v>
      </x:c>
      <x:c r="L2307" s="28" t="n">
        <x:v>22</x:v>
      </x:c>
      <x:c r="M2307" s="28" t="n">
        <x:v>0</x:v>
      </x:c>
      <x:c r="N2307" s="28" t="n">
        <x:v>4.656612873077393e-10</x:v>
      </x:c>
      <x:c r="O2307" s="28" t="n">
        <x:v>7.450580596923828e-9</x:v>
      </x:c>
      <x:c r="P2307" s="28" t="n">
        <x:v>0</x:v>
      </x:c>
      <x:c r="Q2307" s="62" t="b">
        <x:v>1</x:v>
      </x:c>
      <x:c r="R2307" s="28" t="n">
        <x:v>0</x:v>
      </x:c>
      <x:c r="S2307" s="28" t="str">
        <x:v>2fa57ee0bc7ff1a7</x:v>
      </x:c>
    </x:row>
    <x:row r="2308" ht="21" customHeight="1">
      <x:c r="A2308" s="60" t="n">
        <x:v>0.69</x:v>
      </x:c>
      <x:c r="B2308" s="28" t="str">
        <x:v>front_low</x:v>
      </x:c>
      <x:c r="C2308" s="60" t="n">
        <x:v>0.55</x:v>
      </x:c>
      <x:c r="D2308" s="60" t="n">
        <x:v>0.55</x:v>
      </x:c>
      <x:c r="E2308" s="62" t="b">
        <x:v>1</x:v>
      </x:c>
      <x:c r="F2308" s="62" t="b">
        <x:v>1</x:v>
      </x:c>
      <x:c r="G2308" s="85" t="n">
        <x:v>0</x:v>
      </x:c>
      <x:c r="H2308" s="85" t="n">
        <x:v>0</x:v>
      </x:c>
      <x:c r="I2308" s="85" t="n">
        <x:v>7988584.229544708</x:v>
      </x:c>
      <x:c r="J2308" s="85" t="n">
        <x:v>11334026.394820577</x:v>
      </x:c>
      <x:c r="K2308" s="85" t="n">
        <x:v>22359.922996575115</x:v>
      </x:c>
      <x:c r="L2308" s="28" t="n">
        <x:v>26</x:v>
      </x:c>
      <x:c r="M2308" s="28" t="n">
        <x:v>0</x:v>
      </x:c>
      <x:c r="N2308" s="28" t="n">
        <x:v>4.656612873077393e-10</x:v>
      </x:c>
      <x:c r="O2308" s="28" t="n">
        <x:v>3.725290298461914e-9</x:v>
      </x:c>
      <x:c r="P2308" s="28" t="n">
        <x:v>0</x:v>
      </x:c>
      <x:c r="Q2308" s="62" t="b">
        <x:v>1</x:v>
      </x:c>
      <x:c r="R2308" s="28" t="n">
        <x:v>0</x:v>
      </x:c>
      <x:c r="S2308" s="28" t="str">
        <x:v>da8931d786228365</x:v>
      </x:c>
    </x:row>
    <x:row r="2309" ht="21" customHeight="1">
      <x:c r="A2309" s="60" t="n">
        <x:v>0.69</x:v>
      </x:c>
      <x:c r="B2309" s="28" t="str">
        <x:v>front_low</x:v>
      </x:c>
      <x:c r="C2309" s="60" t="n">
        <x:v>0.6</x:v>
      </x:c>
      <x:c r="D2309" s="60" t="n">
        <x:v>0.6</x:v>
      </x:c>
      <x:c r="E2309" s="62" t="b">
        <x:v>1</x:v>
      </x:c>
      <x:c r="F2309" s="62" t="b">
        <x:v>0</x:v>
      </x:c>
      <x:c r="G2309" s="85" t="n">
        <x:v>136886.07248206012</x:v>
      </x:c>
      <x:c r="H2309" s="85" t="n">
        <x:v>1707294.211056377</x:v>
      </x:c>
      <x:c r="I2309" s="85" t="n">
        <x:v>8085965.010410962</x:v>
      </x:c>
      <x:c r="J2309" s="85" t="n">
        <x:v>11706240.000000002</x:v>
      </x:c>
      <x:c r="K2309" s="85" t="n">
        <x:v>15748.517849314878</x:v>
      </x:c>
      <x:c r="L2309" s="28" t="n">
        <x:v>46</x:v>
      </x:c>
      <x:c r="M2309" s="28" t="n">
        <x:v>23</x:v>
      </x:c>
      <x:c r="N2309" s="28" t="n">
        <x:v>4.656612873077393e-10</x:v>
      </x:c>
      <x:c r="O2309" s="28" t="n">
        <x:v>3.725290298461914e-9</x:v>
      </x:c>
      <x:c r="P2309" s="28" t="n">
        <x:v>0</x:v>
      </x:c>
      <x:c r="Q2309" s="62" t="b">
        <x:v>1</x:v>
      </x:c>
      <x:c r="R2309" s="28" t="n">
        <x:v>0</x:v>
      </x:c>
      <x:c r="S2309" s="28" t="str">
        <x:v>aa3b4c884e716926</x:v>
      </x:c>
    </x:row>
    <x:row r="2310" ht="21" customHeight="1">
      <x:c r="A2310" s="60" t="n">
        <x:v>0.69</x:v>
      </x:c>
      <x:c r="B2310" s="28" t="str">
        <x:v>front_low</x:v>
      </x:c>
      <x:c r="C2310" s="60" t="n">
        <x:v>0.65</x:v>
      </x:c>
      <x:c r="D2310" s="60" t="n">
        <x:v>0.65</x:v>
      </x:c>
      <x:c r="E2310" s="62" t="b">
        <x:v>1</x:v>
      </x:c>
      <x:c r="F2310" s="62" t="b">
        <x:v>0</x:v>
      </x:c>
      <x:c r="G2310" s="85" t="n">
        <x:v>305749.2385450912</x:v>
      </x:c>
      <x:c r="H2310" s="85" t="n">
        <x:v>3807121.561870508</x:v>
      </x:c>
      <x:c r="I2310" s="85" t="n">
        <x:v>8085965.010410962</x:v>
      </x:c>
      <x:c r="J2310" s="85" t="n">
        <x:v>11706240.000000002</x:v>
      </x:c>
      <x:c r="K2310" s="85" t="n">
        <x:v>10912.167739726086</x:v>
      </x:c>
      <x:c r="L2310" s="28" t="n">
        <x:v>46</x:v>
      </x:c>
      <x:c r="M2310" s="28" t="n">
        <x:v>31</x:v>
      </x:c>
      <x:c r="N2310" s="28" t="n">
        <x:v>4.656612873077393e-10</x:v>
      </x:c>
      <x:c r="O2310" s="28" t="n">
        <x:v>3.725290298461914e-9</x:v>
      </x:c>
      <x:c r="P2310" s="28" t="n">
        <x:v>0</x:v>
      </x:c>
      <x:c r="Q2310" s="62" t="b">
        <x:v>1</x:v>
      </x:c>
      <x:c r="R2310" s="28" t="n">
        <x:v>0</x:v>
      </x:c>
      <x:c r="S2310" s="28" t="str">
        <x:v>3920c299204335dc</x:v>
      </x:c>
    </x:row>
    <x:row r="2311" ht="21" customHeight="1">
      <x:c r="A2311" s="60" t="n">
        <x:v>0.69</x:v>
      </x:c>
      <x:c r="B2311" s="28" t="str">
        <x:v>front_low</x:v>
      </x:c>
      <x:c r="C2311" s="60" t="n">
        <x:v>0.7</x:v>
      </x:c>
      <x:c r="D2311" s="60" t="n">
        <x:v>0.7</x:v>
      </x:c>
      <x:c r="E2311" s="62" t="b">
        <x:v>1</x:v>
      </x:c>
      <x:c r="F2311" s="62" t="b">
        <x:v>0</x:v>
      </x:c>
      <x:c r="G2311" s="85" t="n">
        <x:v>474612.4046081215</x:v>
      </x:c>
      <x:c r="H2311" s="85" t="n">
        <x:v>5906948.91268463</x:v>
      </x:c>
      <x:c r="I2311" s="85" t="n">
        <x:v>8085965.010410962</x:v>
      </x:c>
      <x:c r="J2311" s="85" t="n">
        <x:v>11706240.000000002</x:v>
      </x:c>
      <x:c r="K2311" s="85" t="n">
        <x:v>8658.339041095758</x:v>
      </x:c>
      <x:c r="L2311" s="28" t="n">
        <x:v>46</x:v>
      </x:c>
      <x:c r="M2311" s="28" t="n">
        <x:v>33</x:v>
      </x:c>
      <x:c r="N2311" s="28" t="n">
        <x:v>4.656612873077393e-10</x:v>
      </x:c>
      <x:c r="O2311" s="28" t="n">
        <x:v>1.862645149230957e-9</x:v>
      </x:c>
      <x:c r="P2311" s="28" t="n">
        <x:v>0</x:v>
      </x:c>
      <x:c r="Q2311" s="62" t="b">
        <x:v>1</x:v>
      </x:c>
      <x:c r="R2311" s="28" t="n">
        <x:v>0</x:v>
      </x:c>
      <x:c r="S2311" s="28" t="str">
        <x:v>9d8129c6d39f34f4</x:v>
      </x:c>
    </x:row>
    <x:row r="2312" ht="21" customHeight="1">
      <x:c r="A2312" s="60" t="n">
        <x:v>0.69</x:v>
      </x:c>
      <x:c r="B2312" s="28" t="str">
        <x:v>front_low</x:v>
      </x:c>
      <x:c r="C2312" s="60" t="n">
        <x:v>0.75</x:v>
      </x:c>
      <x:c r="D2312" s="60" t="n">
        <x:v>0.75</x:v>
      </x:c>
      <x:c r="E2312" s="62" t="b">
        <x:v>1</x:v>
      </x:c>
      <x:c r="F2312" s="62" t="b">
        <x:v>0</x:v>
      </x:c>
      <x:c r="G2312" s="85" t="n">
        <x:v>641458.6652636701</x:v>
      </x:c>
      <x:c r="H2312" s="85" t="n">
        <x:v>7775417.934346497</x:v>
      </x:c>
      <x:c r="I2312" s="85" t="n">
        <x:v>8261077.532054798</x:v>
      </x:c>
      <x:c r="J2312" s="85" t="n">
        <x:v>11706240.000000002</x:v>
      </x:c>
      <x:c r="K2312" s="85" t="n">
        <x:v>6404.510342465663</x:v>
      </x:c>
      <x:c r="L2312" s="28" t="n">
        <x:v>47</x:v>
      </x:c>
      <x:c r="M2312" s="28" t="n">
        <x:v>34</x:v>
      </x:c>
      <x:c r="N2312" s="28" t="n">
        <x:v>2.3283064365386963e-10</x:v>
      </x:c>
      <x:c r="O2312" s="28" t="n">
        <x:v>3.725290298461914e-9</x:v>
      </x:c>
      <x:c r="P2312" s="28" t="n">
        <x:v>0</x:v>
      </x:c>
      <x:c r="Q2312" s="62" t="b">
        <x:v>1</x:v>
      </x:c>
      <x:c r="R2312" s="28" t="n">
        <x:v>0</x:v>
      </x:c>
      <x:c r="S2312" s="28" t="str">
        <x:v>94c1e6e0a890e419</x:v>
      </x:c>
    </x:row>
    <x:row r="2313" ht="21" customHeight="1">
      <x:c r="A2313" s="60" t="n">
        <x:v>0.69</x:v>
      </x:c>
      <x:c r="B2313" s="28" t="str">
        <x:v>front_low</x:v>
      </x:c>
      <x:c r="C2313" s="60" t="n">
        <x:v>0.8</x:v>
      </x:c>
      <x:c r="D2313" s="60" t="n">
        <x:v>0.8</x:v>
      </x:c>
      <x:c r="E2313" s="62" t="b">
        <x:v>1</x:v>
      </x:c>
      <x:c r="F2313" s="62" t="b">
        <x:v>0</x:v>
      </x:c>
      <x:c r="G2313" s="85" t="n">
        <x:v>836885.9621738767</x:v>
      </x:c>
      <x:c r="H2313" s="85" t="n">
        <x:v>9807030.857661158</x:v>
      </x:c>
      <x:c r="I2313" s="85" t="n">
        <x:v>8261077.532054798</x:v>
      </x:c>
      <x:c r="J2313" s="85" t="n">
        <x:v>11706240.000000002</x:v>
      </x:c>
      <x:c r="K2313" s="85" t="n">
        <x:v>4150.681643835567</x:v>
      </x:c>
      <x:c r="L2313" s="28" t="n">
        <x:v>47</x:v>
      </x:c>
      <x:c r="M2313" s="28" t="n">
        <x:v>36</x:v>
      </x:c>
      <x:c r="N2313" s="28" t="n">
        <x:v>2.3283064365386963e-10</x:v>
      </x:c>
      <x:c r="O2313" s="28" t="n">
        <x:v>3.725290298461914e-9</x:v>
      </x:c>
      <x:c r="P2313" s="28" t="n">
        <x:v>0</x:v>
      </x:c>
      <x:c r="Q2313" s="62" t="b">
        <x:v>1</x:v>
      </x:c>
      <x:c r="R2313" s="28" t="n">
        <x:v>0</x:v>
      </x:c>
      <x:c r="S2313" s="28" t="str">
        <x:v>30c7cd33507b8099</x:v>
      </x:c>
    </x:row>
    <x:row r="2314" ht="21" customHeight="1">
      <x:c r="A2314" s="60" t="n">
        <x:v>0.69</x:v>
      </x:c>
      <x:c r="B2314" s="28" t="str">
        <x:v>front_low</x:v>
      </x:c>
      <x:c r="C2314" s="60" t="n">
        <x:v>0.85</x:v>
      </x:c>
      <x:c r="D2314" s="60" t="n">
        <x:v>0.85</x:v>
      </x:c>
      <x:c r="E2314" s="62" t="b">
        <x:v>1</x:v>
      </x:c>
      <x:c r="F2314" s="62" t="b">
        <x:v>0</x:v>
      </x:c>
      <x:c r="G2314" s="85" t="n">
        <x:v>1011356.8737401017</x:v>
      </x:c>
      <x:c r="H2314" s="85" t="n">
        <x:v>11838643.780975822</x:v>
      </x:c>
      <x:c r="I2314" s="85" t="n">
        <x:v>8261077.532054798</x:v>
      </x:c>
      <x:c r="J2314" s="85" t="n">
        <x:v>11706240.000000002</x:v>
      </x:c>
      <x:c r="K2314" s="85" t="n">
        <x:v>1896.8529452055882</x:v>
      </x:c>
      <x:c r="L2314" s="28" t="n">
        <x:v>47</x:v>
      </x:c>
      <x:c r="M2314" s="28" t="n">
        <x:v>38</x:v>
      </x:c>
      <x:c r="N2314" s="28" t="n">
        <x:v>2.3283064365386963e-10</x:v>
      </x:c>
      <x:c r="O2314" s="28" t="n">
        <x:v>1.862645149230957e-9</x:v>
      </x:c>
      <x:c r="P2314" s="28" t="n">
        <x:v>0</x:v>
      </x:c>
      <x:c r="Q2314" s="62" t="b">
        <x:v>1</x:v>
      </x:c>
      <x:c r="R2314" s="28" t="n">
        <x:v>0</x:v>
      </x:c>
      <x:c r="S2314" s="28" t="str">
        <x:v>585f56b21159f5c6</x:v>
      </x:c>
    </x:row>
    <x:row r="2315" ht="21" customHeight="1">
      <x:c r="A2315" s="60" t="n">
        <x:v>0.69</x:v>
      </x:c>
      <x:c r="B2315" s="28" t="str">
        <x:v>front_low</x:v>
      </x:c>
      <x:c r="C2315" s="60" t="n">
        <x:v>0.9</x:v>
      </x:c>
      <x:c r="D2315" s="60" t="n">
        <x:v>0.9</x:v>
      </x:c>
      <x:c r="E2315" s="62" t="b">
        <x:v>1</x:v>
      </x:c>
      <x:c r="F2315" s="62" t="b">
        <x:v>0</x:v>
      </x:c>
      <x:c r="G2315" s="85" t="n">
        <x:v>1295285.1705389228</x:v>
      </x:c>
      <x:c r="H2315" s="85" t="n">
        <x:v>13750619.16151777</x:v>
      </x:c>
      <x:c r="I2315" s="85" t="n">
        <x:v>8261077.532054798</x:v>
      </x:c>
      <x:c r="J2315" s="85" t="n">
        <x:v>11706240.000000002</x:v>
      </x:c>
      <x:c r="K2315" s="85" t="n">
        <x:v>0</x:v>
      </x:c>
      <x:c r="L2315" s="28" t="n">
        <x:v>47</x:v>
      </x:c>
      <x:c r="M2315" s="28" t="n">
        <x:v>40</x:v>
      </x:c>
      <x:c r="N2315" s="28" t="n">
        <x:v>2.3283064365386963e-10</x:v>
      </x:c>
      <x:c r="O2315" s="28" t="n">
        <x:v>3.725290298461914e-9</x:v>
      </x:c>
      <x:c r="P2315" s="28" t="n">
        <x:v>0</x:v>
      </x:c>
      <x:c r="Q2315" s="62" t="b">
        <x:v>1</x:v>
      </x:c>
      <x:c r="R2315" s="28" t="n">
        <x:v>0</x:v>
      </x:c>
      <x:c r="S2315" s="28" t="str">
        <x:v>3074b062d1196ce8</x:v>
      </x:c>
    </x:row>
    <x:row r="2316" ht="21" customHeight="1">
      <x:c r="A2316" s="60" t="n">
        <x:v>0.69</x:v>
      </x:c>
      <x:c r="B2316" s="28" t="str">
        <x:v>front_low</x:v>
      </x:c>
      <x:c r="C2316" s="60" t="n">
        <x:v>0.95</x:v>
      </x:c>
      <x:c r="D2316" s="60" t="n">
        <x:v>0.9427119459478259</x:v>
      </x:c>
      <x:c r="E2316" s="62" t="b">
        <x:v>0</x:v>
      </x:c>
      <x:c r="F2316" s="62" t="b">
        <x:v>0</x:v>
      </x:c>
      <x:c r="G2316" s="85" t="n">
        <x:v>1725999.6151111475</x:v>
      </x:c>
      <x:c r="H2316" s="85" t="n">
        <x:v>15133437.255652755</x:v>
      </x:c>
      <x:c r="I2316" s="85" t="n">
        <x:v>8261077.532054798</x:v>
      </x:c>
      <x:c r="J2316" s="85" t="n">
        <x:v>11706240.000000002</x:v>
      </x:c>
      <x:c r="K2316" s="85" t="n">
        <x:v>0</x:v>
      </x:c>
      <x:c r="L2316" s="28" t="n">
        <x:v>47</x:v>
      </x:c>
      <x:c r="M2316" s="28" t="n">
        <x:v>41</x:v>
      </x:c>
      <x:c r="N2316" s="28" t="n">
        <x:v>2.3283064365386963e-10</x:v>
      </x:c>
      <x:c r="O2316" s="28" t="n">
        <x:v>1.862645149230957e-9</x:v>
      </x:c>
      <x:c r="P2316" s="28" t="n">
        <x:v>0</x:v>
      </x:c>
      <x:c r="Q2316" s="62" t="b">
        <x:v>1</x:v>
      </x:c>
      <x:c r="R2316" s="28" t="n">
        <x:v>406265.28508438915</x:v>
      </x:c>
      <x:c r="S2316" s="28" t="str">
        <x:v>49a47b8d47b2d772</x:v>
      </x:c>
    </x:row>
    <x:row r="2317" ht="21" customHeight="1">
      <x:c r="A2317" s="60" t="n">
        <x:v>0.69</x:v>
      </x:c>
      <x:c r="B2317" s="28" t="str">
        <x:v>front_low</x:v>
      </x:c>
      <x:c r="C2317" s="60" t="n">
        <x:v>1</x:v>
      </x:c>
      <x:c r="D2317" s="60" t="n">
        <x:v>0.9596721012870685</x:v>
      </x:c>
      <x:c r="E2317" s="62" t="b">
        <x:v>0</x:v>
      </x:c>
      <x:c r="F2317" s="62" t="b">
        <x:v>0</x:v>
      </x:c>
      <x:c r="G2317" s="85" t="n">
        <x:v>1886584.5661045904</x:v>
      </x:c>
      <x:c r="H2317" s="85" t="n">
        <x:v>15874849.958000224</x:v>
      </x:c>
      <x:c r="I2317" s="85" t="n">
        <x:v>8261077.532054798</x:v>
      </x:c>
      <x:c r="J2317" s="85" t="n">
        <x:v>11706240.000000002</x:v>
      </x:c>
      <x:c r="K2317" s="85" t="n">
        <x:v>0</x:v>
      </x:c>
      <x:c r="L2317" s="28" t="n">
        <x:v>47</x:v>
      </x:c>
      <x:c r="M2317" s="28" t="n">
        <x:v>42</x:v>
      </x:c>
      <x:c r="N2317" s="28" t="n">
        <x:v>2.3283064365386963e-10</x:v>
      </x:c>
      <x:c r="O2317" s="28" t="n">
        <x:v>1.862645149230957e-9</x:v>
      </x:c>
      <x:c r="P2317" s="28" t="n">
        <x:v>0</x:v>
      </x:c>
      <x:c r="Q2317" s="62" t="b">
        <x:v>1</x:v>
      </x:c>
      <x:c r="R2317" s="28" t="n">
        <x:v>2248038.3858536556</x:v>
      </x:c>
      <x:c r="S2317" s="28" t="str">
        <x:v>d1ea0416d79189a3</x:v>
      </x:c>
    </x:row>
    <x:row r="2318" ht="21" customHeight="1">
      <x:c r="A2318" s="60" t="n">
        <x:v>0.69</x:v>
      </x:c>
      <x:c r="B2318" s="28" t="str">
        <x:v>front_high</x:v>
      </x:c>
      <x:c r="C2318" s="60" t="n">
        <x:v>0</x:v>
      </x:c>
      <x:c r="D2318" s="60" t="n">
        <x:v>0</x:v>
      </x:c>
      <x:c r="E2318" s="62" t="b">
        <x:v>1</x:v>
      </x:c>
      <x:c r="F2318" s="62" t="b">
        <x:v>1</x:v>
      </x:c>
      <x:c r="G2318" s="85" t="n">
        <x:v>0</x:v>
      </x:c>
      <x:c r="H2318" s="85" t="n">
        <x:v>0</x:v>
      </x:c>
      <x:c r="I2318" s="85" t="n">
        <x:v>0</x:v>
      </x:c>
      <x:c r="J2318" s="85" t="n">
        <x:v>0</x:v>
      </x:c>
      <x:c r="K2318" s="85" t="n">
        <x:v>7690531.387178079</x:v>
      </x:c>
      <x:c r="L2318" s="28" t="n">
        <x:v>0</x:v>
      </x:c>
      <x:c r="M2318" s="28" t="n">
        <x:v>0</x:v>
      </x:c>
      <x:c r="N2318" s="28" t="n">
        <x:v>9.313225746154785e-10</x:v>
      </x:c>
      <x:c r="O2318" s="28" t="n">
        <x:v>0</x:v>
      </x:c>
      <x:c r="P2318" s="28" t="n">
        <x:v>0</x:v>
      </x:c>
      <x:c r="Q2318" s="62" t="b">
        <x:v>1</x:v>
      </x:c>
      <x:c r="R2318" s="28" t="n">
        <x:v>0</x:v>
      </x:c>
      <x:c r="S2318" s="28" t="str">
        <x:v>8e4fc0ff1beeea52</x:v>
      </x:c>
    </x:row>
    <x:row r="2319" ht="21" customHeight="1">
      <x:c r="A2319" s="60" t="n">
        <x:v>0.69</x:v>
      </x:c>
      <x:c r="B2319" s="28" t="str">
        <x:v>front_high</x:v>
      </x:c>
      <x:c r="C2319" s="60" t="n">
        <x:v>0.05</x:v>
      </x:c>
      <x:c r="D2319" s="60" t="n">
        <x:v>0.05</x:v>
      </x:c>
      <x:c r="E2319" s="62" t="b">
        <x:v>1</x:v>
      </x:c>
      <x:c r="F2319" s="62" t="b">
        <x:v>1</x:v>
      </x:c>
      <x:c r="G2319" s="85" t="n">
        <x:v>0</x:v>
      </x:c>
      <x:c r="H2319" s="85" t="n">
        <x:v>0</x:v>
      </x:c>
      <x:c r="I2319" s="85" t="n">
        <x:v>0</x:v>
      </x:c>
      <x:c r="J2319" s="85" t="n">
        <x:v>0</x:v>
      </x:c>
      <x:c r="K2319" s="85" t="n">
        <x:v>5096830.378483739</x:v>
      </x:c>
      <x:c r="L2319" s="28" t="n">
        <x:v>0</x:v>
      </x:c>
      <x:c r="M2319" s="28" t="n">
        <x:v>0</x:v>
      </x:c>
      <x:c r="N2319" s="28" t="n">
        <x:v>9.313225746154785e-10</x:v>
      </x:c>
      <x:c r="O2319" s="28" t="n">
        <x:v>7.450580596923828e-9</x:v>
      </x:c>
      <x:c r="P2319" s="28" t="n">
        <x:v>0</x:v>
      </x:c>
      <x:c r="Q2319" s="62" t="b">
        <x:v>1</x:v>
      </x:c>
      <x:c r="R2319" s="28" t="n">
        <x:v>0</x:v>
      </x:c>
      <x:c r="S2319" s="28" t="str">
        <x:v>9b0195410cc57c96</x:v>
      </x:c>
    </x:row>
    <x:row r="2320" ht="21" customHeight="1">
      <x:c r="A2320" s="60" t="n">
        <x:v>0.69</x:v>
      </x:c>
      <x:c r="B2320" s="28" t="str">
        <x:v>front_high</x:v>
      </x:c>
      <x:c r="C2320" s="60" t="n">
        <x:v>0.1</x:v>
      </x:c>
      <x:c r="D2320" s="60" t="n">
        <x:v>0.1</x:v>
      </x:c>
      <x:c r="E2320" s="62" t="b">
        <x:v>1</x:v>
      </x:c>
      <x:c r="F2320" s="62" t="b">
        <x:v>1</x:v>
      </x:c>
      <x:c r="G2320" s="85" t="n">
        <x:v>0</x:v>
      </x:c>
      <x:c r="H2320" s="85" t="n">
        <x:v>0</x:v>
      </x:c>
      <x:c r="I2320" s="85" t="n">
        <x:v>0</x:v>
      </x:c>
      <x:c r="J2320" s="85" t="n">
        <x:v>0</x:v>
      </x:c>
      <x:c r="K2320" s="85" t="n">
        <x:v>2502513.9059812995</x:v>
      </x:c>
      <x:c r="L2320" s="28" t="n">
        <x:v>0</x:v>
      </x:c>
      <x:c r="M2320" s="28" t="n">
        <x:v>0</x:v>
      </x:c>
      <x:c r="N2320" s="28" t="n">
        <x:v>9.313225746154785e-10</x:v>
      </x:c>
      <x:c r="O2320" s="28" t="n">
        <x:v>7.450580596923828e-9</x:v>
      </x:c>
      <x:c r="P2320" s="28" t="n">
        <x:v>0</x:v>
      </x:c>
      <x:c r="Q2320" s="62" t="b">
        <x:v>1</x:v>
      </x:c>
      <x:c r="R2320" s="28" t="n">
        <x:v>0</x:v>
      </x:c>
      <x:c r="S2320" s="28" t="str">
        <x:v>35a535f3a08614fc</x:v>
      </x:c>
    </x:row>
    <x:row r="2321" ht="21" customHeight="1">
      <x:c r="A2321" s="60" t="n">
        <x:v>0.69</x:v>
      </x:c>
      <x:c r="B2321" s="28" t="str">
        <x:v>front_high</x:v>
      </x:c>
      <x:c r="C2321" s="60" t="n">
        <x:v>0.15</x:v>
      </x:c>
      <x:c r="D2321" s="60" t="n">
        <x:v>0.15</x:v>
      </x:c>
      <x:c r="E2321" s="62" t="b">
        <x:v>1</x:v>
      </x:c>
      <x:c r="F2321" s="62" t="b">
        <x:v>1</x:v>
      </x:c>
      <x:c r="G2321" s="85" t="n">
        <x:v>0</x:v>
      </x:c>
      <x:c r="H2321" s="85" t="n">
        <x:v>0</x:v>
      </x:c>
      <x:c r="I2321" s="85" t="n">
        <x:v>485654.9135721392</x:v>
      </x:c>
      <x:c r="J2321" s="85" t="n">
        <x:v>0</x:v>
      </x:c>
      <x:c r="K2321" s="85" t="n">
        <x:v>440813.6142381778</x:v>
      </x:c>
      <x:c r="L2321" s="28" t="n">
        <x:v>0</x:v>
      </x:c>
      <x:c r="M2321" s="28" t="n">
        <x:v>0</x:v>
      </x:c>
      <x:c r="N2321" s="28" t="n">
        <x:v>9.313225746154785e-10</x:v>
      </x:c>
      <x:c r="O2321" s="28" t="n">
        <x:v>7.450580596923828e-9</x:v>
      </x:c>
      <x:c r="P2321" s="28" t="n">
        <x:v>0</x:v>
      </x:c>
      <x:c r="Q2321" s="62" t="b">
        <x:v>1</x:v>
      </x:c>
      <x:c r="R2321" s="28" t="n">
        <x:v>0</x:v>
      </x:c>
      <x:c r="S2321" s="28" t="str">
        <x:v>6e32f58d842efe5f</x:v>
      </x:c>
    </x:row>
    <x:row r="2322" ht="21" customHeight="1">
      <x:c r="A2322" s="60" t="n">
        <x:v>0.69</x:v>
      </x:c>
      <x:c r="B2322" s="28" t="str">
        <x:v>front_high</x:v>
      </x:c>
      <x:c r="C2322" s="60" t="n">
        <x:v>0.2</x:v>
      </x:c>
      <x:c r="D2322" s="60" t="n">
        <x:v>0.2</x:v>
      </x:c>
      <x:c r="E2322" s="62" t="b">
        <x:v>1</x:v>
      </x:c>
      <x:c r="F2322" s="62" t="b">
        <x:v>1</x:v>
      </x:c>
      <x:c r="G2322" s="85" t="n">
        <x:v>0</x:v>
      </x:c>
      <x:c r="H2322" s="85" t="n">
        <x:v>0</x:v>
      </x:c>
      <x:c r="I2322" s="85" t="n">
        <x:v>2353163.517002334</x:v>
      </x:c>
      <x:c r="J2322" s="85" t="n">
        <x:v>1254093.4388721122</x:v>
      </x:c>
      <x:c r="K2322" s="85" t="n">
        <x:v>248077.3933012881</x:v>
      </x:c>
      <x:c r="L2322" s="28" t="n">
        <x:v>0</x:v>
      </x:c>
      <x:c r="M2322" s="28" t="n">
        <x:v>0</x:v>
      </x:c>
      <x:c r="N2322" s="28" t="n">
        <x:v>4.656612873077393e-10</x:v>
      </x:c>
      <x:c r="O2322" s="28" t="n">
        <x:v>7.450580596923828e-9</x:v>
      </x:c>
      <x:c r="P2322" s="28" t="n">
        <x:v>0</x:v>
      </x:c>
      <x:c r="Q2322" s="62" t="b">
        <x:v>1</x:v>
      </x:c>
      <x:c r="R2322" s="28" t="n">
        <x:v>0</x:v>
      </x:c>
      <x:c r="S2322" s="28" t="str">
        <x:v>6d75bb9d672b77ed</x:v>
      </x:c>
    </x:row>
    <x:row r="2323" ht="21" customHeight="1">
      <x:c r="A2323" s="60" t="n">
        <x:v>0.69</x:v>
      </x:c>
      <x:c r="B2323" s="28" t="str">
        <x:v>front_high</x:v>
      </x:c>
      <x:c r="C2323" s="60" t="n">
        <x:v>0.25</x:v>
      </x:c>
      <x:c r="D2323" s="60" t="n">
        <x:v>0.25</x:v>
      </x:c>
      <x:c r="E2323" s="62" t="b">
        <x:v>1</x:v>
      </x:c>
      <x:c r="F2323" s="62" t="b">
        <x:v>1</x:v>
      </x:c>
      <x:c r="G2323" s="85" t="n">
        <x:v>0</x:v>
      </x:c>
      <x:c r="H2323" s="85" t="n">
        <x:v>0</x:v>
      </x:c>
      <x:c r="I2323" s="85" t="n">
        <x:v>4064912.873430312</x:v>
      </x:c>
      <x:c r="J2323" s="85" t="n">
        <x:v>2961216.7985901413</x:v>
      </x:c>
      <x:c r="K2323" s="85" t="n">
        <x:v>171721.37378424726</x:v>
      </x:c>
      <x:c r="L2323" s="28" t="n">
        <x:v>0</x:v>
      </x:c>
      <x:c r="M2323" s="28" t="n">
        <x:v>0</x:v>
      </x:c>
      <x:c r="N2323" s="28" t="n">
        <x:v>9.313225746154785e-10</x:v>
      </x:c>
      <x:c r="O2323" s="28" t="n">
        <x:v>3.725290298461914e-9</x:v>
      </x:c>
      <x:c r="P2323" s="28" t="n">
        <x:v>0</x:v>
      </x:c>
      <x:c r="Q2323" s="62" t="b">
        <x:v>1</x:v>
      </x:c>
      <x:c r="R2323" s="28" t="n">
        <x:v>0</x:v>
      </x:c>
      <x:c r="S2323" s="28" t="str">
        <x:v>cabb3d3f3130ccd7</x:v>
      </x:c>
    </x:row>
    <x:row r="2324" ht="21" customHeight="1">
      <x:c r="A2324" s="60" t="n">
        <x:v>0.69</x:v>
      </x:c>
      <x:c r="B2324" s="28" t="str">
        <x:v>front_high</x:v>
      </x:c>
      <x:c r="C2324" s="60" t="n">
        <x:v>0.3</x:v>
      </x:c>
      <x:c r="D2324" s="60" t="n">
        <x:v>0.3</x:v>
      </x:c>
      <x:c r="E2324" s="62" t="b">
        <x:v>1</x:v>
      </x:c>
      <x:c r="F2324" s="62" t="b">
        <x:v>1</x:v>
      </x:c>
      <x:c r="G2324" s="85" t="n">
        <x:v>0</x:v>
      </x:c>
      <x:c r="H2324" s="85" t="n">
        <x:v>0</x:v>
      </x:c>
      <x:c r="I2324" s="85" t="n">
        <x:v>5861852.073902152</x:v>
      </x:c>
      <x:c r="J2324" s="85" t="n">
        <x:v>4668340.158308177</x:v>
      </x:c>
      <x:c r="K2324" s="85" t="n">
        <x:v>129441.10925342503</x:v>
      </x:c>
      <x:c r="L2324" s="28" t="n">
        <x:v>0</x:v>
      </x:c>
      <x:c r="M2324" s="28" t="n">
        <x:v>0</x:v>
      </x:c>
      <x:c r="N2324" s="28" t="n">
        <x:v>4.656612873077393e-10</x:v>
      </x:c>
      <x:c r="O2324" s="28" t="n">
        <x:v>7.450580596923828e-9</x:v>
      </x:c>
      <x:c r="P2324" s="28" t="n">
        <x:v>0</x:v>
      </x:c>
      <x:c r="Q2324" s="62" t="b">
        <x:v>1</x:v>
      </x:c>
      <x:c r="R2324" s="28" t="n">
        <x:v>0</x:v>
      </x:c>
      <x:c r="S2324" s="28" t="str">
        <x:v>2821f8e907fcbd15</x:v>
      </x:c>
    </x:row>
    <x:row r="2325" ht="21" customHeight="1">
      <x:c r="A2325" s="60" t="n">
        <x:v>0.69</x:v>
      </x:c>
      <x:c r="B2325" s="28" t="str">
        <x:v>front_high</x:v>
      </x:c>
      <x:c r="C2325" s="60" t="n">
        <x:v>0.35</x:v>
      </x:c>
      <x:c r="D2325" s="60" t="n">
        <x:v>0.35</x:v>
      </x:c>
      <x:c r="E2325" s="62" t="b">
        <x:v>1</x:v>
      </x:c>
      <x:c r="F2325" s="62" t="b">
        <x:v>1</x:v>
      </x:c>
      <x:c r="G2325" s="85" t="n">
        <x:v>0</x:v>
      </x:c>
      <x:c r="H2325" s="85" t="n">
        <x:v>0</x:v>
      </x:c>
      <x:c r="I2325" s="85" t="n">
        <x:v>7706911.811364563</x:v>
      </x:c>
      <x:c r="J2325" s="85" t="n">
        <x:v>5288760.646040373</x:v>
      </x:c>
      <x:c r="K2325" s="85" t="n">
        <x:v>106573.36238013736</x:v>
      </x:c>
      <x:c r="L2325" s="28" t="n">
        <x:v>4</x:v>
      </x:c>
      <x:c r="M2325" s="28" t="n">
        <x:v>0</x:v>
      </x:c>
      <x:c r="N2325" s="28" t="n">
        <x:v>2.3283064365386963e-10</x:v>
      </x:c>
      <x:c r="O2325" s="28" t="n">
        <x:v>7.450580596923828e-9</x:v>
      </x:c>
      <x:c r="P2325" s="28" t="n">
        <x:v>0</x:v>
      </x:c>
      <x:c r="Q2325" s="62" t="b">
        <x:v>1</x:v>
      </x:c>
      <x:c r="R2325" s="28" t="n">
        <x:v>0</x:v>
      </x:c>
      <x:c r="S2325" s="28" t="str">
        <x:v>1fb82c6c4dad4c91</x:v>
      </x:c>
    </x:row>
    <x:row r="2326" ht="21" customHeight="1">
      <x:c r="A2326" s="60" t="n">
        <x:v>0.69</x:v>
      </x:c>
      <x:c r="B2326" s="28" t="str">
        <x:v>front_high</x:v>
      </x:c>
      <x:c r="C2326" s="60" t="n">
        <x:v>0.4</x:v>
      </x:c>
      <x:c r="D2326" s="60" t="n">
        <x:v>0.4</x:v>
      </x:c>
      <x:c r="E2326" s="62" t="b">
        <x:v>1</x:v>
      </x:c>
      <x:c r="F2326" s="62" t="b">
        <x:v>1</x:v>
      </x:c>
      <x:c r="G2326" s="85" t="n">
        <x:v>0</x:v>
      </x:c>
      <x:c r="H2326" s="85" t="n">
        <x:v>0</x:v>
      </x:c>
      <x:c r="I2326" s="85" t="n">
        <x:v>9621586.816181082</x:v>
      </x:c>
      <x:c r="J2326" s="85" t="n">
        <x:v>5646331.909076904</x:v>
      </x:c>
      <x:c r="K2326" s="85" t="n">
        <x:v>88949.72704109577</x:v>
      </x:c>
      <x:c r="L2326" s="28" t="n">
        <x:v>10</x:v>
      </x:c>
      <x:c r="M2326" s="28" t="n">
        <x:v>0</x:v>
      </x:c>
      <x:c r="N2326" s="28" t="n">
        <x:v>4.656612873077393e-10</x:v>
      </x:c>
      <x:c r="O2326" s="28" t="n">
        <x:v>7.450580596923828e-9</x:v>
      </x:c>
      <x:c r="P2326" s="28" t="n">
        <x:v>0</x:v>
      </x:c>
      <x:c r="Q2326" s="62" t="b">
        <x:v>1</x:v>
      </x:c>
      <x:c r="R2326" s="28" t="n">
        <x:v>0</x:v>
      </x:c>
      <x:c r="S2326" s="28" t="str">
        <x:v>cc031263b561a795</x:v>
      </x:c>
    </x:row>
    <x:row r="2327" ht="21" customHeight="1">
      <x:c r="A2327" s="60" t="n">
        <x:v>0.69</x:v>
      </x:c>
      <x:c r="B2327" s="28" t="str">
        <x:v>front_high</x:v>
      </x:c>
      <x:c r="C2327" s="60" t="n">
        <x:v>0.45</x:v>
      </x:c>
      <x:c r="D2327" s="60" t="n">
        <x:v>0.45</x:v>
      </x:c>
      <x:c r="E2327" s="62" t="b">
        <x:v>1</x:v>
      </x:c>
      <x:c r="F2327" s="62" t="b">
        <x:v>1</x:v>
      </x:c>
      <x:c r="G2327" s="85" t="n">
        <x:v>0</x:v>
      </x:c>
      <x:c r="H2327" s="85" t="n">
        <x:v>0</x:v>
      </x:c>
      <x:c r="I2327" s="85" t="n">
        <x:v>11557532.444415325</x:v>
      </x:c>
      <x:c r="J2327" s="85" t="n">
        <x:v>6944678.2991901385</x:v>
      </x:c>
      <x:c r="K2327" s="85" t="n">
        <x:v>71326.0917020551</x:v>
      </x:c>
      <x:c r="L2327" s="28" t="n">
        <x:v>15</x:v>
      </x:c>
      <x:c r="M2327" s="28" t="n">
        <x:v>0</x:v>
      </x:c>
      <x:c r="N2327" s="28" t="n">
        <x:v>2.3283064365386963e-10</x:v>
      </x:c>
      <x:c r="O2327" s="28" t="n">
        <x:v>3.725290298461914e-9</x:v>
      </x:c>
      <x:c r="P2327" s="28" t="n">
        <x:v>0</x:v>
      </x:c>
      <x:c r="Q2327" s="62" t="b">
        <x:v>1</x:v>
      </x:c>
      <x:c r="R2327" s="28" t="n">
        <x:v>0</x:v>
      </x:c>
      <x:c r="S2327" s="28" t="str">
        <x:v>0e497c5a56cb61ba</x:v>
      </x:c>
    </x:row>
    <x:row r="2328" ht="21" customHeight="1">
      <x:c r="A2328" s="60" t="n">
        <x:v>0.69</x:v>
      </x:c>
      <x:c r="B2328" s="28" t="str">
        <x:v>front_high</x:v>
      </x:c>
      <x:c r="C2328" s="60" t="n">
        <x:v>0.5</x:v>
      </x:c>
      <x:c r="D2328" s="60" t="n">
        <x:v>0.5</x:v>
      </x:c>
      <x:c r="E2328" s="62" t="b">
        <x:v>1</x:v>
      </x:c>
      <x:c r="F2328" s="62" t="b">
        <x:v>1</x:v>
      </x:c>
      <x:c r="G2328" s="85" t="n">
        <x:v>0</x:v>
      </x:c>
      <x:c r="H2328" s="85" t="n">
        <x:v>0</x:v>
      </x:c>
      <x:c r="I2328" s="85" t="n">
        <x:v>13379024.583719587</x:v>
      </x:c>
      <x:c r="J2328" s="85" t="n">
        <x:v>8560864.234501556</x:v>
      </x:c>
      <x:c r="K2328" s="85" t="n">
        <x:v>53702.456363013276</x:v>
      </x:c>
      <x:c r="L2328" s="28" t="n">
        <x:v>20</x:v>
      </x:c>
      <x:c r="M2328" s="28" t="n">
        <x:v>1</x:v>
      </x:c>
      <x:c r="N2328" s="28" t="n">
        <x:v>4.656612873077393e-10</x:v>
      </x:c>
      <x:c r="O2328" s="28" t="n">
        <x:v>7.450580596923828e-9</x:v>
      </x:c>
      <x:c r="P2328" s="28" t="n">
        <x:v>0</x:v>
      </x:c>
      <x:c r="Q2328" s="62" t="b">
        <x:v>1</x:v>
      </x:c>
      <x:c r="R2328" s="28" t="n">
        <x:v>0</x:v>
      </x:c>
      <x:c r="S2328" s="28" t="str">
        <x:v>f51d83937b42be29</x:v>
      </x:c>
    </x:row>
    <x:row r="2329" ht="21" customHeight="1">
      <x:c r="A2329" s="60" t="n">
        <x:v>0.69</x:v>
      </x:c>
      <x:c r="B2329" s="28" t="str">
        <x:v>front_high</x:v>
      </x:c>
      <x:c r="C2329" s="60" t="n">
        <x:v>0.55</x:v>
      </x:c>
      <x:c r="D2329" s="60" t="n">
        <x:v>0.55</x:v>
      </x:c>
      <x:c r="E2329" s="62" t="b">
        <x:v>1</x:v>
      </x:c>
      <x:c r="F2329" s="62" t="b">
        <x:v>1</x:v>
      </x:c>
      <x:c r="G2329" s="85" t="n">
        <x:v>0</x:v>
      </x:c>
      <x:c r="H2329" s="85" t="n">
        <x:v>0</x:v>
      </x:c>
      <x:c r="I2329" s="85" t="n">
        <x:v>15100047.556626203</x:v>
      </x:c>
      <x:c r="J2329" s="85" t="n">
        <x:v>10952997.967323458</x:v>
      </x:c>
      <x:c r="K2329" s="85" t="n">
        <x:v>42392.737910958684</x:v>
      </x:c>
      <x:c r="L2329" s="28" t="n">
        <x:v>26</x:v>
      </x:c>
      <x:c r="M2329" s="28" t="n">
        <x:v>14</x:v>
      </x:c>
      <x:c r="N2329" s="28" t="n">
        <x:v>4.656612873077393e-10</x:v>
      </x:c>
      <x:c r="O2329" s="28" t="n">
        <x:v>3.725290298461914e-9</x:v>
      </x:c>
      <x:c r="P2329" s="28" t="n">
        <x:v>0</x:v>
      </x:c>
      <x:c r="Q2329" s="62" t="b">
        <x:v>1</x:v>
      </x:c>
      <x:c r="R2329" s="28" t="n">
        <x:v>0</x:v>
      </x:c>
      <x:c r="S2329" s="28" t="str">
        <x:v>6361ebd788d7f45b</x:v>
      </x:c>
    </x:row>
    <x:row r="2330" ht="21" customHeight="1">
      <x:c r="A2330" s="60" t="n">
        <x:v>0.69</x:v>
      </x:c>
      <x:c r="B2330" s="28" t="str">
        <x:v>front_high</x:v>
      </x:c>
      <x:c r="C2330" s="60" t="n">
        <x:v>0.6</x:v>
      </x:c>
      <x:c r="D2330" s="60" t="n">
        <x:v>0.6</x:v>
      </x:c>
      <x:c r="E2330" s="62" t="b">
        <x:v>1</x:v>
      </x:c>
      <x:c r="F2330" s="62" t="b">
        <x:v>0</x:v>
      </x:c>
      <x:c r="G2330" s="85" t="n">
        <x:v>710646.6699512589</x:v>
      </x:c>
      <x:c r="H2330" s="85" t="n">
        <x:v>2280879.2909733374</x:v>
      </x:c>
      <x:c r="I2330" s="85" t="n">
        <x:v>15498099.603287669</x:v>
      </x:c>
      <x:c r="J2330" s="85" t="n">
        <x:v>11706240.000000002</x:v>
      </x:c>
      <x:c r="K2330" s="85" t="n">
        <x:v>36495.15657534262</x:v>
      </x:c>
      <x:c r="L2330" s="28" t="n">
        <x:v>46</x:v>
      </x:c>
      <x:c r="M2330" s="28" t="n">
        <x:v>40</x:v>
      </x:c>
      <x:c r="N2330" s="28" t="n">
        <x:v>4.656612873077393e-10</x:v>
      </x:c>
      <x:c r="O2330" s="28" t="n">
        <x:v>3.725290298461914e-9</x:v>
      </x:c>
      <x:c r="P2330" s="28" t="n">
        <x:v>0</x:v>
      </x:c>
      <x:c r="Q2330" s="62" t="b">
        <x:v>1</x:v>
      </x:c>
      <x:c r="R2330" s="28" t="n">
        <x:v>0</x:v>
      </x:c>
      <x:c r="S2330" s="28" t="str">
        <x:v>2befb872ba47fc92</x:v>
      </x:c>
    </x:row>
    <x:row r="2331" ht="21" customHeight="1">
      <x:c r="A2331" s="60" t="n">
        <x:v>0.69</x:v>
      </x:c>
      <x:c r="B2331" s="28" t="str">
        <x:v>front_high</x:v>
      </x:c>
      <x:c r="C2331" s="60" t="n">
        <x:v>0.65</x:v>
      </x:c>
      <x:c r="D2331" s="60" t="n">
        <x:v>0.65</x:v>
      </x:c>
      <x:c r="E2331" s="62" t="b">
        <x:v>1</x:v>
      </x:c>
      <x:c r="F2331" s="62" t="b">
        <x:v>0</x:v>
      </x:c>
      <x:c r="G2331" s="85" t="n">
        <x:v>1733081.444627709</x:v>
      </x:c>
      <x:c r="H2331" s="85" t="n">
        <x:v>5238084.092530495</x:v>
      </x:c>
      <x:c r="I2331" s="85" t="n">
        <x:v>15508340.060849996</x:v>
      </x:c>
      <x:c r="J2331" s="85" t="n">
        <x:v>11706240.000000002</x:v>
      </x:c>
      <x:c r="K2331" s="85" t="n">
        <x:v>30597.575239726088</x:v>
      </x:c>
      <x:c r="L2331" s="28" t="n">
        <x:v>46</x:v>
      </x:c>
      <x:c r="M2331" s="28" t="n">
        <x:v>44</x:v>
      </x:c>
      <x:c r="N2331" s="28" t="n">
        <x:v>2.3283064365386963e-10</x:v>
      </x:c>
      <x:c r="O2331" s="28" t="n">
        <x:v>3.725290298461914e-9</x:v>
      </x:c>
      <x:c r="P2331" s="28" t="n">
        <x:v>0</x:v>
      </x:c>
      <x:c r="Q2331" s="62" t="b">
        <x:v>1</x:v>
      </x:c>
      <x:c r="R2331" s="28" t="n">
        <x:v>0</x:v>
      </x:c>
      <x:c r="S2331" s="28" t="str">
        <x:v>bbe38cca5d28d28c</x:v>
      </x:c>
    </x:row>
    <x:row r="2332" ht="21" customHeight="1">
      <x:c r="A2332" s="60" t="n">
        <x:v>0.69</x:v>
      </x:c>
      <x:c r="B2332" s="28" t="str">
        <x:v>front_high</x:v>
      </x:c>
      <x:c r="C2332" s="60" t="n">
        <x:v>0.7</x:v>
      </x:c>
      <x:c r="D2332" s="60" t="n">
        <x:v>0.7</x:v>
      </x:c>
      <x:c r="E2332" s="62" t="b">
        <x:v>1</x:v>
      </x:c>
      <x:c r="F2332" s="62" t="b">
        <x:v>0</x:v>
      </x:c>
      <x:c r="G2332" s="85" t="n">
        <x:v>2693735.0367467273</x:v>
      </x:c>
      <x:c r="H2332" s="85" t="n">
        <x:v>8121155.6020636335</x:v>
      </x:c>
      <x:c r="I2332" s="85" t="n">
        <x:v>15520167.742656162</x:v>
      </x:c>
      <x:c r="J2332" s="85" t="n">
        <x:v>11706240.000000002</x:v>
      </x:c>
      <x:c r="K2332" s="85" t="n">
        <x:v>24699.993904109324</x:v>
      </x:c>
      <x:c r="L2332" s="28" t="n">
        <x:v>46</x:v>
      </x:c>
      <x:c r="M2332" s="28" t="n">
        <x:v>44</x:v>
      </x:c>
      <x:c r="N2332" s="28" t="n">
        <x:v>4.656612873077393e-10</x:v>
      </x:c>
      <x:c r="O2332" s="28" t="n">
        <x:v>1.862645149230957e-9</x:v>
      </x:c>
      <x:c r="P2332" s="28" t="n">
        <x:v>0</x:v>
      </x:c>
      <x:c r="Q2332" s="62" t="b">
        <x:v>1</x:v>
      </x:c>
      <x:c r="R2332" s="28" t="n">
        <x:v>0</x:v>
      </x:c>
      <x:c r="S2332" s="28" t="str">
        <x:v>2129c47f60767c71</x:v>
      </x:c>
    </x:row>
    <x:row r="2333" ht="21" customHeight="1">
      <x:c r="A2333" s="60" t="n">
        <x:v>0.69</x:v>
      </x:c>
      <x:c r="B2333" s="28" t="str">
        <x:v>front_high</x:v>
      </x:c>
      <x:c r="C2333" s="60" t="n">
        <x:v>0.75</x:v>
      </x:c>
      <x:c r="D2333" s="60" t="n">
        <x:v>0.75</x:v>
      </x:c>
      <x:c r="E2333" s="62" t="b">
        <x:v>1</x:v>
      </x:c>
      <x:c r="F2333" s="62" t="b">
        <x:v>0</x:v>
      </x:c>
      <x:c r="G2333" s="85" t="n">
        <x:v>3673361.2644188744</x:v>
      </x:c>
      <x:c r="H2333" s="85" t="n">
        <x:v>10302119.855867866</x:v>
      </x:c>
      <x:c r="I2333" s="85" t="n">
        <x:v>15833731.936438354</x:v>
      </x:c>
      <x:c r="J2333" s="85" t="n">
        <x:v>11706240.000000002</x:v>
      </x:c>
      <x:c r="K2333" s="85" t="n">
        <x:v>18802.41256849256</x:v>
      </x:c>
      <x:c r="L2333" s="28" t="n">
        <x:v>47</x:v>
      </x:c>
      <x:c r="M2333" s="28" t="n">
        <x:v>45</x:v>
      </x:c>
      <x:c r="N2333" s="28" t="n">
        <x:v>4.656612873077393e-10</x:v>
      </x:c>
      <x:c r="O2333" s="28" t="n">
        <x:v>3.725290298461914e-9</x:v>
      </x:c>
      <x:c r="P2333" s="28" t="n">
        <x:v>0</x:v>
      </x:c>
      <x:c r="Q2333" s="62" t="b">
        <x:v>1</x:v>
      </x:c>
      <x:c r="R2333" s="28" t="n">
        <x:v>0</x:v>
      </x:c>
      <x:c r="S2333" s="28" t="str">
        <x:v>115181239b63541a</x:v>
      </x:c>
    </x:row>
    <x:row r="2334" ht="21" customHeight="1">
      <x:c r="A2334" s="60" t="n">
        <x:v>0.69</x:v>
      </x:c>
      <x:c r="B2334" s="28" t="str">
        <x:v>front_high</x:v>
      </x:c>
      <x:c r="C2334" s="60" t="n">
        <x:v>0.8</x:v>
      </x:c>
      <x:c r="D2334" s="60" t="n">
        <x:v>0.8</x:v>
      </x:c>
      <x:c r="E2334" s="62" t="b">
        <x:v>1</x:v>
      </x:c>
      <x:c r="F2334" s="62" t="b">
        <x:v>0</x:v>
      </x:c>
      <x:c r="G2334" s="85" t="n">
        <x:v>4745090.356530523</x:v>
      </x:c>
      <x:c r="H2334" s="85" t="n">
        <x:v>12952881.536490094</x:v>
      </x:c>
      <x:c r="I2334" s="85" t="n">
        <x:v>15833731.936438354</x:v>
      </x:c>
      <x:c r="J2334" s="85" t="n">
        <x:v>11706240.000000002</x:v>
      </x:c>
      <x:c r="K2334" s="85" t="n">
        <x:v>12904.83123287696</x:v>
      </x:c>
      <x:c r="L2334" s="28" t="n">
        <x:v>47</x:v>
      </x:c>
      <x:c r="M2334" s="28" t="n">
        <x:v>45</x:v>
      </x:c>
      <x:c r="N2334" s="28" t="n">
        <x:v>2.3283064365386963e-10</x:v>
      </x:c>
      <x:c r="O2334" s="28" t="n">
        <x:v>3.725290298461914e-9</x:v>
      </x:c>
      <x:c r="P2334" s="28" t="n">
        <x:v>0</x:v>
      </x:c>
      <x:c r="Q2334" s="62" t="b">
        <x:v>1</x:v>
      </x:c>
      <x:c r="R2334" s="28" t="n">
        <x:v>0</x:v>
      </x:c>
      <x:c r="S2334" s="28" t="str">
        <x:v>366452e7a68644c9</x:v>
      </x:c>
    </x:row>
    <x:row r="2335" ht="21" customHeight="1">
      <x:c r="A2335" s="60" t="n">
        <x:v>0.69</x:v>
      </x:c>
      <x:c r="B2335" s="28" t="str">
        <x:v>front_high</x:v>
      </x:c>
      <x:c r="C2335" s="60" t="n">
        <x:v>0.85</x:v>
      </x:c>
      <x:c r="D2335" s="60" t="n">
        <x:v>0.85</x:v>
      </x:c>
      <x:c r="E2335" s="62" t="b">
        <x:v>1</x:v>
      </x:c>
      <x:c r="F2335" s="62" t="b">
        <x:v>0</x:v>
      </x:c>
      <x:c r="G2335" s="85" t="n">
        <x:v>5875613.753375096</x:v>
      </x:c>
      <x:c r="H2335" s="85" t="n">
        <x:v>15602434.219089998</x:v>
      </x:c>
      <x:c r="I2335" s="85" t="n">
        <x:v>15833731.936438354</x:v>
      </x:c>
      <x:c r="J2335" s="85" t="n">
        <x:v>11706240.000000002</x:v>
      </x:c>
      <x:c r="K2335" s="85" t="n">
        <x:v>7007.249897259964</x:v>
      </x:c>
      <x:c r="L2335" s="28" t="n">
        <x:v>47</x:v>
      </x:c>
      <x:c r="M2335" s="28" t="n">
        <x:v>45</x:v>
      </x:c>
      <x:c r="N2335" s="28" t="n">
        <x:v>4.656612873077393e-10</x:v>
      </x:c>
      <x:c r="O2335" s="28" t="n">
        <x:v>1.862645149230957e-9</x:v>
      </x:c>
      <x:c r="P2335" s="28" t="n">
        <x:v>0</x:v>
      </x:c>
      <x:c r="Q2335" s="62" t="b">
        <x:v>1</x:v>
      </x:c>
      <x:c r="R2335" s="28" t="n">
        <x:v>0</x:v>
      </x:c>
      <x:c r="S2335" s="28" t="str">
        <x:v>21b69a56ff0f8735</x:v>
      </x:c>
    </x:row>
    <x:row r="2336" ht="21" customHeight="1">
      <x:c r="A2336" s="60" t="n">
        <x:v>0.69</x:v>
      </x:c>
      <x:c r="B2336" s="28" t="str">
        <x:v>front_high</x:v>
      </x:c>
      <x:c r="C2336" s="60" t="n">
        <x:v>0.9</x:v>
      </x:c>
      <x:c r="D2336" s="60" t="n">
        <x:v>0.9</x:v>
      </x:c>
      <x:c r="E2336" s="62" t="b">
        <x:v>1</x:v>
      </x:c>
      <x:c r="F2336" s="62" t="b">
        <x:v>0</x:v>
      </x:c>
      <x:c r="G2336" s="85" t="n">
        <x:v>7589337.19780317</x:v>
      </x:c>
      <x:c r="H2336" s="85" t="n">
        <x:v>17654903.494452402</x:v>
      </x:c>
      <x:c r="I2336" s="85" t="n">
        <x:v>15833731.936438354</x:v>
      </x:c>
      <x:c r="J2336" s="85" t="n">
        <x:v>11706240.000000002</x:v>
      </x:c>
      <x:c r="K2336" s="85" t="n">
        <x:v>1109.6685616434333</x:v>
      </x:c>
      <x:c r="L2336" s="28" t="n">
        <x:v>47</x:v>
      </x:c>
      <x:c r="M2336" s="28" t="n">
        <x:v>45</x:v>
      </x:c>
      <x:c r="N2336" s="28" t="n">
        <x:v>4.656612873077393e-10</x:v>
      </x:c>
      <x:c r="O2336" s="28" t="n">
        <x:v>3.725290298461914e-9</x:v>
      </x:c>
      <x:c r="P2336" s="28" t="n">
        <x:v>0</x:v>
      </x:c>
      <x:c r="Q2336" s="62" t="b">
        <x:v>1</x:v>
      </x:c>
      <x:c r="R2336" s="28" t="n">
        <x:v>0</x:v>
      </x:c>
      <x:c r="S2336" s="28" t="str">
        <x:v>3c275831f9c48efe</x:v>
      </x:c>
    </x:row>
    <x:row r="2337" ht="21" customHeight="1">
      <x:c r="A2337" s="60" t="n">
        <x:v>0.69</x:v>
      </x:c>
      <x:c r="B2337" s="28" t="str">
        <x:v>front_high</x:v>
      </x:c>
      <x:c r="C2337" s="60" t="n">
        <x:v>0.95</x:v>
      </x:c>
      <x:c r="D2337" s="60" t="n">
        <x:v>0.9427119459478259</x:v>
      </x:c>
      <x:c r="E2337" s="62" t="b">
        <x:v>0</x:v>
      </x:c>
      <x:c r="F2337" s="62" t="b">
        <x:v>0</x:v>
      </x:c>
      <x:c r="G2337" s="85" t="n">
        <x:v>8517031.340245718</x:v>
      </x:c>
      <x:c r="H2337" s="85" t="n">
        <x:v>19173747.88255201</x:v>
      </x:c>
      <x:c r="I2337" s="85" t="n">
        <x:v>15833731.936438354</x:v>
      </x:c>
      <x:c r="J2337" s="85" t="n">
        <x:v>11706240.000000002</x:v>
      </x:c>
      <x:c r="K2337" s="85" t="n">
        <x:v>0</x:v>
      </x:c>
      <x:c r="L2337" s="28" t="n">
        <x:v>47</x:v>
      </x:c>
      <x:c r="M2337" s="28" t="n">
        <x:v>46</x:v>
      </x:c>
      <x:c r="N2337" s="28" t="n">
        <x:v>4.656612873077393e-10</x:v>
      </x:c>
      <x:c r="O2337" s="28" t="n">
        <x:v>1.862645149230957e-9</x:v>
      </x:c>
      <x:c r="P2337" s="28" t="n">
        <x:v>0</x:v>
      </x:c>
      <x:c r="Q2337" s="62" t="b">
        <x:v>1</x:v>
      </x:c>
      <x:c r="R2337" s="28" t="n">
        <x:v>406265.28508438915</x:v>
      </x:c>
      <x:c r="S2337" s="28" t="str">
        <x:v>0307597437c7c56d</x:v>
      </x:c>
    </x:row>
    <x:row r="2338" ht="21" customHeight="1">
      <x:c r="A2338" s="60" t="n">
        <x:v>0.69</x:v>
      </x:c>
      <x:c r="B2338" s="28" t="str">
        <x:v>front_high</x:v>
      </x:c>
      <x:c r="C2338" s="60" t="n">
        <x:v>1</x:v>
      </x:c>
      <x:c r="D2338" s="60" t="n">
        <x:v>0.9596721012870685</x:v>
      </x:c>
      <x:c r="E2338" s="62" t="b">
        <x:v>0</x:v>
      </x:c>
      <x:c r="F2338" s="62" t="b">
        <x:v>0</x:v>
      </x:c>
      <x:c r="G2338" s="85" t="n">
        <x:v>9377367.76025787</x:v>
      </x:c>
      <x:c r="H2338" s="85" t="n">
        <x:v>19918525.4933966</x:v>
      </x:c>
      <x:c r="I2338" s="85" t="n">
        <x:v>15833731.936438354</x:v>
      </x:c>
      <x:c r="J2338" s="85" t="n">
        <x:v>11706240.000000002</x:v>
      </x:c>
      <x:c r="K2338" s="85" t="n">
        <x:v>0</x:v>
      </x:c>
      <x:c r="L2338" s="28" t="n">
        <x:v>47</x:v>
      </x:c>
      <x:c r="M2338" s="28" t="n">
        <x:v>46</x:v>
      </x:c>
      <x:c r="N2338" s="28" t="n">
        <x:v>2.3283064365386963e-10</x:v>
      </x:c>
      <x:c r="O2338" s="28" t="n">
        <x:v>1.862645149230957e-9</x:v>
      </x:c>
      <x:c r="P2338" s="28" t="n">
        <x:v>0</x:v>
      </x:c>
      <x:c r="Q2338" s="62" t="b">
        <x:v>1</x:v>
      </x:c>
      <x:c r="R2338" s="28" t="n">
        <x:v>2248038.3858536556</x:v>
      </x:c>
      <x:c r="S2338" s="28" t="str">
        <x:v>1fb3b001554b8c48</x:v>
      </x:c>
    </x:row>
    <x:row r="2339" ht="21" customHeight="1">
      <x:c r="A2339" s="60" t="n">
        <x:v>0.69</x:v>
      </x:c>
      <x:c r="B2339" s="28" t="str">
        <x:v>middle_flat</x:v>
      </x:c>
      <x:c r="C2339" s="60" t="n">
        <x:v>0</x:v>
      </x:c>
      <x:c r="D2339" s="60" t="n">
        <x:v>0</x:v>
      </x:c>
      <x:c r="E2339" s="62" t="b">
        <x:v>1</x:v>
      </x:c>
      <x:c r="F2339" s="62" t="b">
        <x:v>1</x:v>
      </x:c>
      <x:c r="G2339" s="85" t="n">
        <x:v>0</x:v>
      </x:c>
      <x:c r="H2339" s="85" t="n">
        <x:v>0</x:v>
      </x:c>
      <x:c r="I2339" s="85" t="n">
        <x:v>0</x:v>
      </x:c>
      <x:c r="J2339" s="85" t="n">
        <x:v>0</x:v>
      </x:c>
      <x:c r="K2339" s="85" t="n">
        <x:v>6769096.855671233</x:v>
      </x:c>
      <x:c r="L2339" s="28" t="n">
        <x:v>0</x:v>
      </x:c>
      <x:c r="M2339" s="28" t="n">
        <x:v>0</x:v>
      </x:c>
      <x:c r="N2339" s="28" t="n">
        <x:v>9.313225746154785e-10</x:v>
      </x:c>
      <x:c r="O2339" s="28" t="n">
        <x:v>0</x:v>
      </x:c>
      <x:c r="P2339" s="28" t="n">
        <x:v>0</x:v>
      </x:c>
      <x:c r="Q2339" s="62" t="b">
        <x:v>1</x:v>
      </x:c>
      <x:c r="R2339" s="28" t="n">
        <x:v>0</x:v>
      </x:c>
      <x:c r="S2339" s="28" t="str">
        <x:v>225399cc3cab1106</x:v>
      </x:c>
    </x:row>
    <x:row r="2340" ht="21" customHeight="1">
      <x:c r="A2340" s="60" t="n">
        <x:v>0.69</x:v>
      </x:c>
      <x:c r="B2340" s="28" t="str">
        <x:v>middle_flat</x:v>
      </x:c>
      <x:c r="C2340" s="60" t="n">
        <x:v>0.05</x:v>
      </x:c>
      <x:c r="D2340" s="60" t="n">
        <x:v>0.05</x:v>
      </x:c>
      <x:c r="E2340" s="62" t="b">
        <x:v>1</x:v>
      </x:c>
      <x:c r="F2340" s="62" t="b">
        <x:v>1</x:v>
      </x:c>
      <x:c r="G2340" s="85" t="n">
        <x:v>0</x:v>
      </x:c>
      <x:c r="H2340" s="85" t="n">
        <x:v>0</x:v>
      </x:c>
      <x:c r="I2340" s="85" t="n">
        <x:v>0</x:v>
      </x:c>
      <x:c r="J2340" s="85" t="n">
        <x:v>0</x:v>
      </x:c>
      <x:c r="K2340" s="85" t="n">
        <x:v>4537419.130848312</x:v>
      </x:c>
      <x:c r="L2340" s="28" t="n">
        <x:v>0</x:v>
      </x:c>
      <x:c r="M2340" s="28" t="n">
        <x:v>0</x:v>
      </x:c>
      <x:c r="N2340" s="28" t="n">
        <x:v>9.313225746154785e-10</x:v>
      </x:c>
      <x:c r="O2340" s="28" t="n">
        <x:v>7.450580596923828e-9</x:v>
      </x:c>
      <x:c r="P2340" s="28" t="n">
        <x:v>0</x:v>
      </x:c>
      <x:c r="Q2340" s="62" t="b">
        <x:v>1</x:v>
      </x:c>
      <x:c r="R2340" s="28" t="n">
        <x:v>0</x:v>
      </x:c>
      <x:c r="S2340" s="28" t="str">
        <x:v>cb29c08ded5f578f</x:v>
      </x:c>
    </x:row>
    <x:row r="2341" ht="21" customHeight="1">
      <x:c r="A2341" s="60" t="n">
        <x:v>0.69</x:v>
      </x:c>
      <x:c r="B2341" s="28" t="str">
        <x:v>middle_flat</x:v>
      </x:c>
      <x:c r="C2341" s="60" t="n">
        <x:v>0.1</x:v>
      </x:c>
      <x:c r="D2341" s="60" t="n">
        <x:v>0.1</x:v>
      </x:c>
      <x:c r="E2341" s="62" t="b">
        <x:v>1</x:v>
      </x:c>
      <x:c r="F2341" s="62" t="b">
        <x:v>1</x:v>
      </x:c>
      <x:c r="G2341" s="85" t="n">
        <x:v>0</x:v>
      </x:c>
      <x:c r="H2341" s="85" t="n">
        <x:v>0</x:v>
      </x:c>
      <x:c r="I2341" s="85" t="n">
        <x:v>0</x:v>
      </x:c>
      <x:c r="J2341" s="85" t="n">
        <x:v>0</x:v>
      </x:c>
      <x:c r="K2341" s="85" t="n">
        <x:v>2305435.3294469914</x:v>
      </x:c>
      <x:c r="L2341" s="28" t="n">
        <x:v>0</x:v>
      </x:c>
      <x:c r="M2341" s="28" t="n">
        <x:v>0</x:v>
      </x:c>
      <x:c r="N2341" s="28" t="n">
        <x:v>2.3283064365386963e-10</x:v>
      </x:c>
      <x:c r="O2341" s="28" t="n">
        <x:v>7.450580596923828e-9</x:v>
      </x:c>
      <x:c r="P2341" s="28" t="n">
        <x:v>0</x:v>
      </x:c>
      <x:c r="Q2341" s="62" t="b">
        <x:v>1</x:v>
      </x:c>
      <x:c r="R2341" s="28" t="n">
        <x:v>0</x:v>
      </x:c>
      <x:c r="S2341" s="28" t="str">
        <x:v>06fa84569c10703c</x:v>
      </x:c>
    </x:row>
    <x:row r="2342" ht="21" customHeight="1">
      <x:c r="A2342" s="60" t="n">
        <x:v>0.69</x:v>
      </x:c>
      <x:c r="B2342" s="28" t="str">
        <x:v>middle_flat</x:v>
      </x:c>
      <x:c r="C2342" s="60" t="n">
        <x:v>0.15</x:v>
      </x:c>
      <x:c r="D2342" s="60" t="n">
        <x:v>0.15</x:v>
      </x:c>
      <x:c r="E2342" s="62" t="b">
        <x:v>1</x:v>
      </x:c>
      <x:c r="F2342" s="62" t="b">
        <x:v>1</x:v>
      </x:c>
      <x:c r="G2342" s="85" t="n">
        <x:v>0</x:v>
      </x:c>
      <x:c r="H2342" s="85" t="n">
        <x:v>0</x:v>
      </x:c>
      <x:c r="I2342" s="85" t="n">
        <x:v>367691.3244259746</x:v>
      </x:c>
      <x:c r="J2342" s="85" t="n">
        <x:v>0</x:v>
      </x:c>
      <x:c r="K2342" s="85" t="n">
        <x:v>511589.59870124364</x:v>
      </x:c>
      <x:c r="L2342" s="28" t="n">
        <x:v>0</x:v>
      </x:c>
      <x:c r="M2342" s="28" t="n">
        <x:v>0</x:v>
      </x:c>
      <x:c r="N2342" s="28" t="n">
        <x:v>4.656612873077393e-10</x:v>
      </x:c>
      <x:c r="O2342" s="28" t="n">
        <x:v>7.450580596923828e-9</x:v>
      </x:c>
      <x:c r="P2342" s="28" t="n">
        <x:v>0</x:v>
      </x:c>
      <x:c r="Q2342" s="62" t="b">
        <x:v>1</x:v>
      </x:c>
      <x:c r="R2342" s="28" t="n">
        <x:v>0</x:v>
      </x:c>
      <x:c r="S2342" s="28" t="str">
        <x:v>9778831da94f8763</x:v>
      </x:c>
    </x:row>
    <x:row r="2343" ht="21" customHeight="1">
      <x:c r="A2343" s="60" t="n">
        <x:v>0.69</x:v>
      </x:c>
      <x:c r="B2343" s="28" t="str">
        <x:v>middle_flat</x:v>
      </x:c>
      <x:c r="C2343" s="60" t="n">
        <x:v>0.2</x:v>
      </x:c>
      <x:c r="D2343" s="60" t="n">
        <x:v>0.2</x:v>
      </x:c>
      <x:c r="E2343" s="62" t="b">
        <x:v>1</x:v>
      </x:c>
      <x:c r="F2343" s="62" t="b">
        <x:v>1</x:v>
      </x:c>
      <x:c r="G2343" s="85" t="n">
        <x:v>0</x:v>
      </x:c>
      <x:c r="H2343" s="85" t="n">
        <x:v>0</x:v>
      </x:c>
      <x:c r="I2343" s="85" t="n">
        <x:v>1793143.5916247747</x:v>
      </x:c>
      <x:c r="J2343" s="85" t="n">
        <x:v>1253157.279040904</x:v>
      </x:c>
      <x:c r="K2343" s="85" t="n">
        <x:v>405094.31689643615</x:v>
      </x:c>
      <x:c r="L2343" s="28" t="n">
        <x:v>0</x:v>
      </x:c>
      <x:c r="M2343" s="28" t="n">
        <x:v>0</x:v>
      </x:c>
      <x:c r="N2343" s="28" t="n">
        <x:v>2.3283064365386963e-10</x:v>
      </x:c>
      <x:c r="O2343" s="28" t="n">
        <x:v>7.450580596923828e-9</x:v>
      </x:c>
      <x:c r="P2343" s="28" t="n">
        <x:v>0</x:v>
      </x:c>
      <x:c r="Q2343" s="62" t="b">
        <x:v>1</x:v>
      </x:c>
      <x:c r="R2343" s="28" t="n">
        <x:v>0</x:v>
      </x:c>
      <x:c r="S2343" s="28" t="str">
        <x:v>eeedd37c2b336220</x:v>
      </x:c>
    </x:row>
    <x:row r="2344" ht="21" customHeight="1">
      <x:c r="A2344" s="60" t="n">
        <x:v>0.69</x:v>
      </x:c>
      <x:c r="B2344" s="28" t="str">
        <x:v>middle_flat</x:v>
      </x:c>
      <x:c r="C2344" s="60" t="n">
        <x:v>0.25</x:v>
      </x:c>
      <x:c r="D2344" s="60" t="n">
        <x:v>0.25</x:v>
      </x:c>
      <x:c r="E2344" s="62" t="b">
        <x:v>1</x:v>
      </x:c>
      <x:c r="F2344" s="62" t="b">
        <x:v>1</x:v>
      </x:c>
      <x:c r="G2344" s="85" t="n">
        <x:v>0</x:v>
      </x:c>
      <x:c r="H2344" s="85" t="n">
        <x:v>0</x:v>
      </x:c>
      <x:c r="I2344" s="85" t="n">
        <x:v>2930956.189911048</x:v>
      </x:c>
      <x:c r="J2344" s="85" t="n">
        <x:v>2960046.5988011523</x:v>
      </x:c>
      <x:c r="K2344" s="85" t="n">
        <x:v>334514.40738315077</x:v>
      </x:c>
      <x:c r="L2344" s="28" t="n">
        <x:v>0</x:v>
      </x:c>
      <x:c r="M2344" s="28" t="n">
        <x:v>0</x:v>
      </x:c>
      <x:c r="N2344" s="28" t="n">
        <x:v>4.656612873077393e-10</x:v>
      </x:c>
      <x:c r="O2344" s="28" t="n">
        <x:v>7.450580596923828e-9</x:v>
      </x:c>
      <x:c r="P2344" s="28" t="n">
        <x:v>0</x:v>
      </x:c>
      <x:c r="Q2344" s="62" t="b">
        <x:v>1</x:v>
      </x:c>
      <x:c r="R2344" s="28" t="n">
        <x:v>0</x:v>
      </x:c>
      <x:c r="S2344" s="28" t="str">
        <x:v>c46497d6fd3474fe</x:v>
      </x:c>
    </x:row>
    <x:row r="2345" ht="21" customHeight="1">
      <x:c r="A2345" s="60" t="n">
        <x:v>0.69</x:v>
      </x:c>
      <x:c r="B2345" s="28" t="str">
        <x:v>middle_flat</x:v>
      </x:c>
      <x:c r="C2345" s="60" t="n">
        <x:v>0.3</x:v>
      </x:c>
      <x:c r="D2345" s="60" t="n">
        <x:v>0.3</x:v>
      </x:c>
      <x:c r="E2345" s="62" t="b">
        <x:v>1</x:v>
      </x:c>
      <x:c r="F2345" s="62" t="b">
        <x:v>1</x:v>
      </x:c>
      <x:c r="G2345" s="85" t="n">
        <x:v>0</x:v>
      </x:c>
      <x:c r="H2345" s="85" t="n">
        <x:v>0</x:v>
      </x:c>
      <x:c r="I2345" s="85" t="n">
        <x:v>4167454.789628486</x:v>
      </x:c>
      <x:c r="J2345" s="85" t="n">
        <x:v>4497643.812757437</x:v>
      </x:c>
      <x:c r="K2345" s="85" t="n">
        <x:v>275101.78663512465</x:v>
      </x:c>
      <x:c r="L2345" s="28" t="n">
        <x:v>1</x:v>
      </x:c>
      <x:c r="M2345" s="28" t="n">
        <x:v>0</x:v>
      </x:c>
      <x:c r="N2345" s="28" t="n">
        <x:v>4.656612873077393e-10</x:v>
      </x:c>
      <x:c r="O2345" s="28" t="n">
        <x:v>7.450580596923828e-9</x:v>
      </x:c>
      <x:c r="P2345" s="28" t="n">
        <x:v>0</x:v>
      </x:c>
      <x:c r="Q2345" s="62" t="b">
        <x:v>1</x:v>
      </x:c>
      <x:c r="R2345" s="28" t="n">
        <x:v>0</x:v>
      </x:c>
      <x:c r="S2345" s="28" t="str">
        <x:v>8ba10ad457398024</x:v>
      </x:c>
    </x:row>
    <x:row r="2346" ht="21" customHeight="1">
      <x:c r="A2346" s="60" t="n">
        <x:v>0.69</x:v>
      </x:c>
      <x:c r="B2346" s="28" t="str">
        <x:v>middle_flat</x:v>
      </x:c>
      <x:c r="C2346" s="60" t="n">
        <x:v>0.35</x:v>
      </x:c>
      <x:c r="D2346" s="60" t="n">
        <x:v>0.35</x:v>
      </x:c>
      <x:c r="E2346" s="62" t="b">
        <x:v>1</x:v>
      </x:c>
      <x:c r="F2346" s="62" t="b">
        <x:v>1</x:v>
      </x:c>
      <x:c r="G2346" s="85" t="n">
        <x:v>0</x:v>
      </x:c>
      <x:c r="H2346" s="85" t="n">
        <x:v>0</x:v>
      </x:c>
      <x:c r="I2346" s="85" t="n">
        <x:v>5685519.35857232</x:v>
      </x:c>
      <x:c r="J2346" s="85" t="n">
        <x:v>5335935.17198562</x:v>
      </x:c>
      <x:c r="K2346" s="85" t="n">
        <x:v>234327.66165860207</x:v>
      </x:c>
      <x:c r="L2346" s="28" t="n">
        <x:v>6</x:v>
      </x:c>
      <x:c r="M2346" s="28" t="n">
        <x:v>0</x:v>
      </x:c>
      <x:c r="N2346" s="28" t="n">
        <x:v>9.313225746154785e-10</x:v>
      </x:c>
      <x:c r="O2346" s="28" t="n">
        <x:v>7.450580596923828e-9</x:v>
      </x:c>
      <x:c r="P2346" s="28" t="n">
        <x:v>0</x:v>
      </x:c>
      <x:c r="Q2346" s="62" t="b">
        <x:v>1</x:v>
      </x:c>
      <x:c r="R2346" s="28" t="n">
        <x:v>0</x:v>
      </x:c>
      <x:c r="S2346" s="28" t="str">
        <x:v>f8f0f9eb045d5fab</x:v>
      </x:c>
    </x:row>
    <x:row r="2347" ht="21" customHeight="1">
      <x:c r="A2347" s="60" t="n">
        <x:v>0.69</x:v>
      </x:c>
      <x:c r="B2347" s="28" t="str">
        <x:v>middle_flat</x:v>
      </x:c>
      <x:c r="C2347" s="60" t="n">
        <x:v>0.4</x:v>
      </x:c>
      <x:c r="D2347" s="60" t="n">
        <x:v>0.4</x:v>
      </x:c>
      <x:c r="E2347" s="62" t="b">
        <x:v>1</x:v>
      </x:c>
      <x:c r="F2347" s="62" t="b">
        <x:v>1</x:v>
      </x:c>
      <x:c r="G2347" s="85" t="n">
        <x:v>0</x:v>
      </x:c>
      <x:c r="H2347" s="85" t="n">
        <x:v>0</x:v>
      </x:c>
      <x:c r="I2347" s="85" t="n">
        <x:v>7058332.285521194</x:v>
      </x:c>
      <x:c r="J2347" s="85" t="n">
        <x:v>6533740.995049301</x:v>
      </x:c>
      <x:c r="K2347" s="85" t="n">
        <x:v>200288.30697578116</x:v>
      </x:c>
      <x:c r="L2347" s="28" t="n">
        <x:v>10</x:v>
      </x:c>
      <x:c r="M2347" s="28" t="n">
        <x:v>0</x:v>
      </x:c>
      <x:c r="N2347" s="28" t="n">
        <x:v>4.656612873077393e-10</x:v>
      </x:c>
      <x:c r="O2347" s="28" t="n">
        <x:v>3.725290298461914e-9</x:v>
      </x:c>
      <x:c r="P2347" s="28" t="n">
        <x:v>0</x:v>
      </x:c>
      <x:c r="Q2347" s="62" t="b">
        <x:v>1</x:v>
      </x:c>
      <x:c r="R2347" s="28" t="n">
        <x:v>0</x:v>
      </x:c>
      <x:c r="S2347" s="28" t="str">
        <x:v>a7f936ec3ca99fb1</x:v>
      </x:c>
    </x:row>
    <x:row r="2348" ht="21" customHeight="1">
      <x:c r="A2348" s="60" t="n">
        <x:v>0.69</x:v>
      </x:c>
      <x:c r="B2348" s="28" t="str">
        <x:v>middle_flat</x:v>
      </x:c>
      <x:c r="C2348" s="60" t="n">
        <x:v>0.45</x:v>
      </x:c>
      <x:c r="D2348" s="60" t="n">
        <x:v>0.45</x:v>
      </x:c>
      <x:c r="E2348" s="62" t="b">
        <x:v>1</x:v>
      </x:c>
      <x:c r="F2348" s="62" t="b">
        <x:v>1</x:v>
      </x:c>
      <x:c r="G2348" s="85" t="n">
        <x:v>0</x:v>
      </x:c>
      <x:c r="H2348" s="85" t="n">
        <x:v>0</x:v>
      </x:c>
      <x:c r="I2348" s="85" t="n">
        <x:v>8330133.280576534</x:v>
      </x:c>
      <x:c r="J2348" s="85" t="n">
        <x:v>8026392.415262515</x:v>
      </x:c>
      <x:c r="K2348" s="85" t="n">
        <x:v>174439.35961643845</x:v>
      </x:c>
      <x:c r="L2348" s="28" t="n">
        <x:v>14</x:v>
      </x:c>
      <x:c r="M2348" s="28" t="n">
        <x:v>0</x:v>
      </x:c>
      <x:c r="N2348" s="28" t="n">
        <x:v>9.313225746154785e-10</x:v>
      </x:c>
      <x:c r="O2348" s="28" t="n">
        <x:v>1.862645149230957e-9</x:v>
      </x:c>
      <x:c r="P2348" s="28" t="n">
        <x:v>0</x:v>
      </x:c>
      <x:c r="Q2348" s="62" t="b">
        <x:v>1</x:v>
      </x:c>
      <x:c r="R2348" s="28" t="n">
        <x:v>0</x:v>
      </x:c>
      <x:c r="S2348" s="28" t="str">
        <x:v>fa4d173699f3a2d9</x:v>
      </x:c>
    </x:row>
    <x:row r="2349" ht="21" customHeight="1">
      <x:c r="A2349" s="60" t="n">
        <x:v>0.69</x:v>
      </x:c>
      <x:c r="B2349" s="28" t="str">
        <x:v>middle_flat</x:v>
      </x:c>
      <x:c r="C2349" s="60" t="n">
        <x:v>0.5</x:v>
      </x:c>
      <x:c r="D2349" s="60" t="n">
        <x:v>0.5</x:v>
      </x:c>
      <x:c r="E2349" s="62" t="b">
        <x:v>1</x:v>
      </x:c>
      <x:c r="F2349" s="62" t="b">
        <x:v>1</x:v>
      </x:c>
      <x:c r="G2349" s="85" t="n">
        <x:v>0</x:v>
      </x:c>
      <x:c r="H2349" s="85" t="n">
        <x:v>0</x:v>
      </x:c>
      <x:c r="I2349" s="85" t="n">
        <x:v>9525531.359407347</x:v>
      </x:c>
      <x:c r="J2349" s="85" t="n">
        <x:v>9684331.99910234</x:v>
      </x:c>
      <x:c r="K2349" s="85" t="n">
        <x:v>158781.8706849319</x:v>
      </x:c>
      <x:c r="L2349" s="28" t="n">
        <x:v>18</x:v>
      </x:c>
      <x:c r="M2349" s="28" t="n">
        <x:v>2</x:v>
      </x:c>
      <x:c r="N2349" s="28" t="n">
        <x:v>4.656612873077393e-10</x:v>
      </x:c>
      <x:c r="O2349" s="28" t="n">
        <x:v>7.450580596923828e-9</x:v>
      </x:c>
      <x:c r="P2349" s="28" t="n">
        <x:v>0</x:v>
      </x:c>
      <x:c r="Q2349" s="62" t="b">
        <x:v>1</x:v>
      </x:c>
      <x:c r="R2349" s="28" t="n">
        <x:v>0</x:v>
      </x:c>
      <x:c r="S2349" s="28" t="str">
        <x:v>bf2fbdba2b664323</x:v>
      </x:c>
    </x:row>
    <x:row r="2350" ht="21" customHeight="1">
      <x:c r="A2350" s="60" t="n">
        <x:v>0.69</x:v>
      </x:c>
      <x:c r="B2350" s="28" t="str">
        <x:v>middle_flat</x:v>
      </x:c>
      <x:c r="C2350" s="60" t="n">
        <x:v>0.55</x:v>
      </x:c>
      <x:c r="D2350" s="60" t="n">
        <x:v>0.55</x:v>
      </x:c>
      <x:c r="E2350" s="62" t="b">
        <x:v>1</x:v>
      </x:c>
      <x:c r="F2350" s="62" t="b">
        <x:v>0</x:v>
      </x:c>
      <x:c r="G2350" s="85" t="n">
        <x:v>13952.518419434897</x:v>
      </x:c>
      <x:c r="H2350" s="85" t="n">
        <x:v>97426.33193858541</x:v>
      </x:c>
      <x:c r="I2350" s="85" t="n">
        <x:v>10464949.570749396</x:v>
      </x:c>
      <x:c r="J2350" s="85" t="n">
        <x:v>11706240.000000002</x:v>
      </x:c>
      <x:c r="K2350" s="85" t="n">
        <x:v>143124.38175342485</x:v>
      </x:c>
      <x:c r="L2350" s="28" t="n">
        <x:v>42</x:v>
      </x:c>
      <x:c r="M2350" s="28" t="n">
        <x:v>33</x:v>
      </x:c>
      <x:c r="N2350" s="28" t="n">
        <x:v>4.656612873077393e-10</x:v>
      </x:c>
      <x:c r="O2350" s="28" t="n">
        <x:v>7.450580596923828e-9</x:v>
      </x:c>
      <x:c r="P2350" s="28" t="n">
        <x:v>0</x:v>
      </x:c>
      <x:c r="Q2350" s="62" t="b">
        <x:v>1</x:v>
      </x:c>
      <x:c r="R2350" s="28" t="n">
        <x:v>0</x:v>
      </x:c>
      <x:c r="S2350" s="28" t="str">
        <x:v>c70141bbdfd31b2f</x:v>
      </x:c>
    </x:row>
    <x:row r="2351" ht="21" customHeight="1">
      <x:c r="A2351" s="60" t="n">
        <x:v>0.69</x:v>
      </x:c>
      <x:c r="B2351" s="28" t="str">
        <x:v>middle_flat</x:v>
      </x:c>
      <x:c r="C2351" s="60" t="n">
        <x:v>0.6</x:v>
      </x:c>
      <x:c r="D2351" s="60" t="n">
        <x:v>0.6</x:v>
      </x:c>
      <x:c r="E2351" s="62" t="b">
        <x:v>1</x:v>
      </x:c>
      <x:c r="F2351" s="62" t="b">
        <x:v>0</x:v>
      </x:c>
      <x:c r="G2351" s="85" t="n">
        <x:v>406076.99074311974</x:v>
      </x:c>
      <x:c r="H2351" s="85" t="n">
        <x:v>2181783.971721984</x:v>
      </x:c>
      <x:c r="I2351" s="85" t="n">
        <x:v>10714276.517153421</x:v>
      </x:c>
      <x:c r="J2351" s="85" t="n">
        <x:v>11706240.000000002</x:v>
      </x:c>
      <x:c r="K2351" s="85" t="n">
        <x:v>127466.89282191815</x:v>
      </x:c>
      <x:c r="L2351" s="28" t="n">
        <x:v>43</x:v>
      </x:c>
      <x:c r="M2351" s="28" t="n">
        <x:v>34</x:v>
      </x:c>
      <x:c r="N2351" s="28" t="n">
        <x:v>4.656612873077393e-10</x:v>
      </x:c>
      <x:c r="O2351" s="28" t="n">
        <x:v>3.725290298461914e-9</x:v>
      </x:c>
      <x:c r="P2351" s="28" t="n">
        <x:v>0</x:v>
      </x:c>
      <x:c r="Q2351" s="62" t="b">
        <x:v>1</x:v>
      </x:c>
      <x:c r="R2351" s="28" t="n">
        <x:v>0</x:v>
      </x:c>
      <x:c r="S2351" s="28" t="str">
        <x:v>0a54305c4b60608f</x:v>
      </x:c>
    </x:row>
    <x:row r="2352" ht="21" customHeight="1">
      <x:c r="A2352" s="60" t="n">
        <x:v>0.69</x:v>
      </x:c>
      <x:c r="B2352" s="28" t="str">
        <x:v>middle_flat</x:v>
      </x:c>
      <x:c r="C2352" s="60" t="n">
        <x:v>0.65</x:v>
      </x:c>
      <x:c r="D2352" s="60" t="n">
        <x:v>0.65</x:v>
      </x:c>
      <x:c r="E2352" s="62" t="b">
        <x:v>1</x:v>
      </x:c>
      <x:c r="F2352" s="62" t="b">
        <x:v>0</x:v>
      </x:c>
      <x:c r="G2352" s="85" t="n">
        <x:v>859179.9579984489</x:v>
      </x:c>
      <x:c r="H2352" s="85" t="n">
        <x:v>4588964.426746233</x:v>
      </x:c>
      <x:c r="I2352" s="85" t="n">
        <x:v>10722706.780651368</x:v>
      </x:c>
      <x:c r="J2352" s="85" t="n">
        <x:v>11706240.000000002</x:v>
      </x:c>
      <x:c r="K2352" s="85" t="n">
        <x:v>111809.40389041159</x:v>
      </x:c>
      <x:c r="L2352" s="28" t="n">
        <x:v>43</x:v>
      </x:c>
      <x:c r="M2352" s="28" t="n">
        <x:v>36</x:v>
      </x:c>
      <x:c r="N2352" s="28" t="n">
        <x:v>4.656612873077393e-10</x:v>
      </x:c>
      <x:c r="O2352" s="28" t="n">
        <x:v>1.862645149230957e-9</x:v>
      </x:c>
      <x:c r="P2352" s="28" t="n">
        <x:v>0</x:v>
      </x:c>
      <x:c r="Q2352" s="62" t="b">
        <x:v>1</x:v>
      </x:c>
      <x:c r="R2352" s="28" t="n">
        <x:v>0</x:v>
      </x:c>
      <x:c r="S2352" s="28" t="str">
        <x:v>40d64ff77f1693e1</x:v>
      </x:c>
    </x:row>
    <x:row r="2353" ht="21" customHeight="1">
      <x:c r="A2353" s="60" t="n">
        <x:v>0.69</x:v>
      </x:c>
      <x:c r="B2353" s="28" t="str">
        <x:v>middle_flat</x:v>
      </x:c>
      <x:c r="C2353" s="60" t="n">
        <x:v>0.7</x:v>
      </x:c>
      <x:c r="D2353" s="60" t="n">
        <x:v>0.7</x:v>
      </x:c>
      <x:c r="E2353" s="62" t="b">
        <x:v>1</x:v>
      </x:c>
      <x:c r="F2353" s="62" t="b">
        <x:v>0</x:v>
      </x:c>
      <x:c r="G2353" s="85" t="n">
        <x:v>1295867.2585672438</x:v>
      </x:c>
      <x:c r="H2353" s="85" t="n">
        <x:v>6571570.787195037</x:v>
      </x:c>
      <x:c r="I2353" s="85" t="n">
        <x:v>10953512.732054792</x:v>
      </x:c>
      <x:c r="J2353" s="85" t="n">
        <x:v>11706240.000000002</x:v>
      </x:c>
      <x:c r="K2353" s="85" t="n">
        <x:v>96984.62334246567</x:v>
      </x:c>
      <x:c r="L2353" s="28" t="n">
        <x:v>44</x:v>
      </x:c>
      <x:c r="M2353" s="28" t="n">
        <x:v>37</x:v>
      </x:c>
      <x:c r="N2353" s="28" t="n">
        <x:v>4.656612873077393e-10</x:v>
      </x:c>
      <x:c r="O2353" s="28" t="n">
        <x:v>3.725290298461914e-9</x:v>
      </x:c>
      <x:c r="P2353" s="28" t="n">
        <x:v>0</x:v>
      </x:c>
      <x:c r="Q2353" s="62" t="b">
        <x:v>1</x:v>
      </x:c>
      <x:c r="R2353" s="28" t="n">
        <x:v>0</x:v>
      </x:c>
      <x:c r="S2353" s="28" t="str">
        <x:v>27a2c8857366e991</x:v>
      </x:c>
    </x:row>
    <x:row r="2354" ht="21" customHeight="1">
      <x:c r="A2354" s="60" t="n">
        <x:v>0.69</x:v>
      </x:c>
      <x:c r="B2354" s="28" t="str">
        <x:v>middle_flat</x:v>
      </x:c>
      <x:c r="C2354" s="60" t="n">
        <x:v>0.75</x:v>
      </x:c>
      <x:c r="D2354" s="60" t="n">
        <x:v>0.75</x:v>
      </x:c>
      <x:c r="E2354" s="62" t="b">
        <x:v>1</x:v>
      </x:c>
      <x:c r="F2354" s="62" t="b">
        <x:v>0</x:v>
      </x:c>
      <x:c r="G2354" s="85" t="n">
        <x:v>1750180.2008717337</x:v>
      </x:c>
      <x:c r="H2354" s="85" t="n">
        <x:v>8860940.152233696</x:v>
      </x:c>
      <x:c r="I2354" s="85" t="n">
        <x:v>10953512.732054792</x:v>
      </x:c>
      <x:c r="J2354" s="85" t="n">
        <x:v>11706240.000000002</x:v>
      </x:c>
      <x:c r="K2354" s="85" t="n">
        <x:v>87580.35172602751</x:v>
      </x:c>
      <x:c r="L2354" s="28" t="n">
        <x:v>44</x:v>
      </x:c>
      <x:c r="M2354" s="28" t="n">
        <x:v>38</x:v>
      </x:c>
      <x:c r="N2354" s="28" t="n">
        <x:v>4.656612873077393e-10</x:v>
      </x:c>
      <x:c r="O2354" s="28" t="n">
        <x:v>3.725290298461914e-9</x:v>
      </x:c>
      <x:c r="P2354" s="28" t="n">
        <x:v>0</x:v>
      </x:c>
      <x:c r="Q2354" s="62" t="b">
        <x:v>1</x:v>
      </x:c>
      <x:c r="R2354" s="28" t="n">
        <x:v>0</x:v>
      </x:c>
      <x:c r="S2354" s="28" t="str">
        <x:v>690f882f577a1122</x:v>
      </x:c>
    </x:row>
    <x:row r="2355" ht="21" customHeight="1">
      <x:c r="A2355" s="60" t="n">
        <x:v>0.69</x:v>
      </x:c>
      <x:c r="B2355" s="28" t="str">
        <x:v>middle_flat</x:v>
      </x:c>
      <x:c r="C2355" s="60" t="n">
        <x:v>0.8</x:v>
      </x:c>
      <x:c r="D2355" s="60" t="n">
        <x:v>0.8</x:v>
      </x:c>
      <x:c r="E2355" s="62" t="b">
        <x:v>1</x:v>
      </x:c>
      <x:c r="F2355" s="62" t="b">
        <x:v>0</x:v>
      </x:c>
      <x:c r="G2355" s="85" t="n">
        <x:v>2343496.890290796</x:v>
      </x:c>
      <x:c r="H2355" s="85" t="n">
        <x:v>11023083.795163574</x:v>
      </x:c>
      <x:c r="I2355" s="85" t="n">
        <x:v>10953512.732054792</x:v>
      </x:c>
      <x:c r="J2355" s="85" t="n">
        <x:v>11706240.000000002</x:v>
      </x:c>
      <x:c r="K2355" s="85" t="n">
        <x:v>80127.44800000021</x:v>
      </x:c>
      <x:c r="L2355" s="28" t="n">
        <x:v>44</x:v>
      </x:c>
      <x:c r="M2355" s="28" t="n">
        <x:v>38</x:v>
      </x:c>
      <x:c r="N2355" s="28" t="n">
        <x:v>2.3283064365386963e-10</x:v>
      </x:c>
      <x:c r="O2355" s="28" t="n">
        <x:v>1.862645149230957e-9</x:v>
      </x:c>
      <x:c r="P2355" s="28" t="n">
        <x:v>0</x:v>
      </x:c>
      <x:c r="Q2355" s="62" t="b">
        <x:v>1</x:v>
      </x:c>
      <x:c r="R2355" s="28" t="n">
        <x:v>0</x:v>
      </x:c>
      <x:c r="S2355" s="28" t="str">
        <x:v>fad670d1c4aa4b80</x:v>
      </x:c>
    </x:row>
    <x:row r="2356" ht="21" customHeight="1">
      <x:c r="A2356" s="60" t="n">
        <x:v>0.69</x:v>
      </x:c>
      <x:c r="B2356" s="28" t="str">
        <x:v>middle_flat</x:v>
      </x:c>
      <x:c r="C2356" s="60" t="n">
        <x:v>0.85</x:v>
      </x:c>
      <x:c r="D2356" s="60" t="n">
        <x:v>0.85</x:v>
      </x:c>
      <x:c r="E2356" s="62" t="b">
        <x:v>1</x:v>
      </x:c>
      <x:c r="F2356" s="62" t="b">
        <x:v>0</x:v>
      </x:c>
      <x:c r="G2356" s="85" t="n">
        <x:v>2899732.4809347587</x:v>
      </x:c>
      <x:c r="H2356" s="85" t="n">
        <x:v>13138487.388330488</x:v>
      </x:c>
      <x:c r="I2356" s="85" t="n">
        <x:v>10954179.011682188</x:v>
      </x:c>
      <x:c r="J2356" s="85" t="n">
        <x:v>11706240.000000002</x:v>
      </x:c>
      <x:c r="K2356" s="85" t="n">
        <x:v>75361.51391780826</x:v>
      </x:c>
      <x:c r="L2356" s="28" t="n">
        <x:v>44</x:v>
      </x:c>
      <x:c r="M2356" s="28" t="n">
        <x:v>40</x:v>
      </x:c>
      <x:c r="N2356" s="28" t="n">
        <x:v>4.656612873077393e-10</x:v>
      </x:c>
      <x:c r="O2356" s="28" t="n">
        <x:v>3.725290298461914e-9</x:v>
      </x:c>
      <x:c r="P2356" s="28" t="n">
        <x:v>0</x:v>
      </x:c>
      <x:c r="Q2356" s="62" t="b">
        <x:v>1</x:v>
      </x:c>
      <x:c r="R2356" s="28" t="n">
        <x:v>0</x:v>
      </x:c>
      <x:c r="S2356" s="28" t="str">
        <x:v>2fc85a5dc3f26d24</x:v>
      </x:c>
    </x:row>
    <x:row r="2357" ht="21" customHeight="1">
      <x:c r="A2357" s="60" t="n">
        <x:v>0.69</x:v>
      </x:c>
      <x:c r="B2357" s="28" t="str">
        <x:v>middle_flat</x:v>
      </x:c>
      <x:c r="C2357" s="60" t="n">
        <x:v>0.9</x:v>
      </x:c>
      <x:c r="D2357" s="60" t="n">
        <x:v>0.9</x:v>
      </x:c>
      <x:c r="E2357" s="62" t="b">
        <x:v>1</x:v>
      </x:c>
      <x:c r="F2357" s="62" t="b">
        <x:v>0</x:v>
      </x:c>
      <x:c r="G2357" s="85" t="n">
        <x:v>3767586.7047549584</x:v>
      </x:c>
      <x:c r="H2357" s="85" t="n">
        <x:v>14578946.738795888</x:v>
      </x:c>
      <x:c r="I2357" s="85" t="n">
        <x:v>11204314.91506849</x:v>
      </x:c>
      <x:c r="J2357" s="85" t="n">
        <x:v>11706240.000000002</x:v>
      </x:c>
      <x:c r="K2357" s="85" t="n">
        <x:v>70595.57983561677</x:v>
      </x:c>
      <x:c r="L2357" s="28" t="n">
        <x:v>45</x:v>
      </x:c>
      <x:c r="M2357" s="28" t="n">
        <x:v>40</x:v>
      </x:c>
      <x:c r="N2357" s="28" t="n">
        <x:v>2.3283064365386963e-10</x:v>
      </x:c>
      <x:c r="O2357" s="28" t="n">
        <x:v>3.725290298461914e-9</x:v>
      </x:c>
      <x:c r="P2357" s="28" t="n">
        <x:v>0</x:v>
      </x:c>
      <x:c r="Q2357" s="62" t="b">
        <x:v>1</x:v>
      </x:c>
      <x:c r="R2357" s="28" t="n">
        <x:v>0</x:v>
      </x:c>
      <x:c r="S2357" s="28" t="str">
        <x:v>e3d35523768bc65e</x:v>
      </x:c>
    </x:row>
    <x:row r="2358" ht="21" customHeight="1">
      <x:c r="A2358" s="60" t="n">
        <x:v>0.69</x:v>
      </x:c>
      <x:c r="B2358" s="28" t="str">
        <x:v>middle_flat</x:v>
      </x:c>
      <x:c r="C2358" s="60" t="n">
        <x:v>0.95</x:v>
      </x:c>
      <x:c r="D2358" s="60" t="n">
        <x:v>0.9270639118581285</x:v>
      </x:c>
      <x:c r="E2358" s="62" t="b">
        <x:v>0</x:v>
      </x:c>
      <x:c r="F2358" s="62" t="b">
        <x:v>0</x:v>
      </x:c>
      <x:c r="G2358" s="85" t="n">
        <x:v>4112878.5087036574</x:v>
      </x:c>
      <x:c r="H2358" s="85" t="n">
        <x:v>15571974.769478805</x:v>
      </x:c>
      <x:c r="I2358" s="85" t="n">
        <x:v>11204314.91506849</x:v>
      </x:c>
      <x:c r="J2358" s="85" t="n">
        <x:v>11706240.000000002</x:v>
      </x:c>
      <x:c r="K2358" s="85" t="n">
        <x:v>65829.64575342457</x:v>
      </x:c>
      <x:c r="L2358" s="28" t="n">
        <x:v>45</x:v>
      </x:c>
      <x:c r="M2358" s="28" t="n">
        <x:v>40</x:v>
      </x:c>
      <x:c r="N2358" s="28" t="n">
        <x:v>2.3283064365386963e-10</x:v>
      </x:c>
      <x:c r="O2358" s="28" t="n">
        <x:v>3.725290298461914e-9</x:v>
      </x:c>
      <x:c r="P2358" s="28" t="n">
        <x:v>0</x:v>
      </x:c>
      <x:c r="Q2358" s="62" t="b">
        <x:v>1</x:v>
      </x:c>
      <x:c r="R2358" s="28" t="n">
        <x:v>1278549.2973804846</x:v>
      </x:c>
      <x:c r="S2358" s="28" t="str">
        <x:v>9c211ace8355a5ca</x:v>
      </x:c>
    </x:row>
    <x:row r="2359" ht="21" customHeight="1">
      <x:c r="A2359" s="60" t="n">
        <x:v>0.69</x:v>
      </x:c>
      <x:c r="B2359" s="28" t="str">
        <x:v>middle_flat</x:v>
      </x:c>
      <x:c r="C2359" s="60" t="n">
        <x:v>1</x:v>
      </x:c>
      <x:c r="D2359" s="60" t="n">
        <x:v>0.9427455891708479</x:v>
      </x:c>
      <x:c r="E2359" s="62" t="b">
        <x:v>0</x:v>
      </x:c>
      <x:c r="F2359" s="62" t="b">
        <x:v>0</x:v>
      </x:c>
      <x:c r="G2359" s="85" t="n">
        <x:v>4481350.148556521</x:v>
      </x:c>
      <x:c r="H2359" s="85" t="n">
        <x:v>16249854.828069676</x:v>
      </x:c>
      <x:c r="I2359" s="85" t="n">
        <x:v>11205429.884493148</x:v>
      </x:c>
      <x:c r="J2359" s="85" t="n">
        <x:v>11706240.000000002</x:v>
      </x:c>
      <x:c r="K2359" s="85" t="n">
        <x:v>61063.711671233075</x:v>
      </x:c>
      <x:c r="L2359" s="28" t="n">
        <x:v>45</x:v>
      </x:c>
      <x:c r="M2359" s="28" t="n">
        <x:v>40</x:v>
      </x:c>
      <x:c r="N2359" s="28" t="n">
        <x:v>2.3283064365386963e-10</x:v>
      </x:c>
      <x:c r="O2359" s="28" t="n">
        <x:v>9.313225746154785e-10</x:v>
      </x:c>
      <x:c r="P2359" s="28" t="n">
        <x:v>0</x:v>
      </x:c>
      <x:c r="Q2359" s="62" t="b">
        <x:v>1</x:v>
      </x:c>
      <x:c r="R2359" s="28" t="n">
        <x:v>3191589.877260253</x:v>
      </x:c>
      <x:c r="S2359" s="28" t="str">
        <x:v>3d8262767db49b70</x:v>
      </x:c>
    </x:row>
    <x:row r="2360" ht="21" customHeight="1">
      <x:c r="A2360" s="60" t="n">
        <x:v>0.69</x:v>
      </x:c>
      <x:c r="B2360" s="28" t="str">
        <x:v>middle_low</x:v>
      </x:c>
      <x:c r="C2360" s="60" t="n">
        <x:v>0</x:v>
      </x:c>
      <x:c r="D2360" s="60" t="n">
        <x:v>0</x:v>
      </x:c>
      <x:c r="E2360" s="62" t="b">
        <x:v>1</x:v>
      </x:c>
      <x:c r="F2360" s="62" t="b">
        <x:v>1</x:v>
      </x:c>
      <x:c r="G2360" s="85" t="n">
        <x:v>0</x:v>
      </x:c>
      <x:c r="H2360" s="85" t="n">
        <x:v>0</x:v>
      </x:c>
      <x:c r="I2360" s="85" t="n">
        <x:v>0</x:v>
      </x:c>
      <x:c r="J2360" s="85" t="n">
        <x:v>0</x:v>
      </x:c>
      <x:c r="K2360" s="85" t="n">
        <x:v>6001234.7460821895</x:v>
      </x:c>
      <x:c r="L2360" s="28" t="n">
        <x:v>0</x:v>
      </x:c>
      <x:c r="M2360" s="28" t="n">
        <x:v>0</x:v>
      </x:c>
      <x:c r="N2360" s="28" t="n">
        <x:v>9.313225746154785e-10</x:v>
      </x:c>
      <x:c r="O2360" s="28" t="n">
        <x:v>0</x:v>
      </x:c>
      <x:c r="P2360" s="28" t="n">
        <x:v>0</x:v>
      </x:c>
      <x:c r="Q2360" s="62" t="b">
        <x:v>1</x:v>
      </x:c>
      <x:c r="R2360" s="28" t="n">
        <x:v>0</x:v>
      </x:c>
      <x:c r="S2360" s="28" t="str">
        <x:v>c18f21f1eb3b3ce6</x:v>
      </x:c>
    </x:row>
    <x:row r="2361" ht="21" customHeight="1">
      <x:c r="A2361" s="60" t="n">
        <x:v>0.69</x:v>
      </x:c>
      <x:c r="B2361" s="28" t="str">
        <x:v>middle_low</x:v>
      </x:c>
      <x:c r="C2361" s="60" t="n">
        <x:v>0.05</x:v>
      </x:c>
      <x:c r="D2361" s="60" t="n">
        <x:v>0.05</x:v>
      </x:c>
      <x:c r="E2361" s="62" t="b">
        <x:v>1</x:v>
      </x:c>
      <x:c r="F2361" s="62" t="b">
        <x:v>1</x:v>
      </x:c>
      <x:c r="G2361" s="85" t="n">
        <x:v>0</x:v>
      </x:c>
      <x:c r="H2361" s="85" t="n">
        <x:v>0</x:v>
      </x:c>
      <x:c r="I2361" s="85" t="n">
        <x:v>0</x:v>
      </x:c>
      <x:c r="J2361" s="85" t="n">
        <x:v>0</x:v>
      </x:c>
      <x:c r="K2361" s="85" t="n">
        <x:v>3995511.573042146</x:v>
      </x:c>
      <x:c r="L2361" s="28" t="n">
        <x:v>0</x:v>
      </x:c>
      <x:c r="M2361" s="28" t="n">
        <x:v>0</x:v>
      </x:c>
      <x:c r="N2361" s="28" t="n">
        <x:v>2.3283064365386963e-10</x:v>
      </x:c>
      <x:c r="O2361" s="28" t="n">
        <x:v>7.450580596923828e-9</x:v>
      </x:c>
      <x:c r="P2361" s="28" t="n">
        <x:v>0</x:v>
      </x:c>
      <x:c r="Q2361" s="62" t="b">
        <x:v>1</x:v>
      </x:c>
      <x:c r="R2361" s="28" t="n">
        <x:v>0</x:v>
      </x:c>
      <x:c r="S2361" s="28" t="str">
        <x:v>5087687d72b4c049</x:v>
      </x:c>
    </x:row>
    <x:row r="2362" ht="21" customHeight="1">
      <x:c r="A2362" s="60" t="n">
        <x:v>0.69</x:v>
      </x:c>
      <x:c r="B2362" s="28" t="str">
        <x:v>middle_low</x:v>
      </x:c>
      <x:c r="C2362" s="60" t="n">
        <x:v>0.1</x:v>
      </x:c>
      <x:c r="D2362" s="60" t="n">
        <x:v>0.1</x:v>
      </x:c>
      <x:c r="E2362" s="62" t="b">
        <x:v>1</x:v>
      </x:c>
      <x:c r="F2362" s="62" t="b">
        <x:v>1</x:v>
      </x:c>
      <x:c r="G2362" s="85" t="n">
        <x:v>0</x:v>
      </x:c>
      <x:c r="H2362" s="85" t="n">
        <x:v>0</x:v>
      </x:c>
      <x:c r="I2362" s="85" t="n">
        <x:v>0</x:v>
      </x:c>
      <x:c r="J2362" s="85" t="n">
        <x:v>0</x:v>
      </x:c>
      <x:c r="K2362" s="85" t="n">
        <x:v>1989572.3459467487</x:v>
      </x:c>
      <x:c r="L2362" s="28" t="n">
        <x:v>0</x:v>
      </x:c>
      <x:c r="M2362" s="28" t="n">
        <x:v>0</x:v>
      </x:c>
      <x:c r="N2362" s="28" t="n">
        <x:v>9.313225746154785e-10</x:v>
      </x:c>
      <x:c r="O2362" s="28" t="n">
        <x:v>7.450580596923828e-9</x:v>
      </x:c>
      <x:c r="P2362" s="28" t="n">
        <x:v>0</x:v>
      </x:c>
      <x:c r="Q2362" s="62" t="b">
        <x:v>1</x:v>
      </x:c>
      <x:c r="R2362" s="28" t="n">
        <x:v>0</x:v>
      </x:c>
      <x:c r="S2362" s="28" t="str">
        <x:v>7652311abe13339e</x:v>
      </x:c>
    </x:row>
    <x:row r="2363" ht="21" customHeight="1">
      <x:c r="A2363" s="60" t="n">
        <x:v>0.69</x:v>
      </x:c>
      <x:c r="B2363" s="28" t="str">
        <x:v>middle_low</x:v>
      </x:c>
      <x:c r="C2363" s="60" t="n">
        <x:v>0.15</x:v>
      </x:c>
      <x:c r="D2363" s="60" t="n">
        <x:v>0.15</x:v>
      </x:c>
      <x:c r="E2363" s="62" t="b">
        <x:v>1</x:v>
      </x:c>
      <x:c r="F2363" s="62" t="b">
        <x:v>1</x:v>
      </x:c>
      <x:c r="G2363" s="85" t="n">
        <x:v>0</x:v>
      </x:c>
      <x:c r="H2363" s="85" t="n">
        <x:v>0</x:v>
      </x:c>
      <x:c r="I2363" s="85" t="n">
        <x:v>250931.9222129305</x:v>
      </x:c>
      <x:c r="J2363" s="85" t="n">
        <x:v>0</x:v>
      </x:c>
      <x:c r="K2363" s="85" t="n">
        <x:v>327892.2656396937</x:v>
      </x:c>
      <x:c r="L2363" s="28" t="n">
        <x:v>0</x:v>
      </x:c>
      <x:c r="M2363" s="28" t="n">
        <x:v>0</x:v>
      </x:c>
      <x:c r="N2363" s="28" t="n">
        <x:v>4.656612873077393e-10</x:v>
      </x:c>
      <x:c r="O2363" s="28" t="n">
        <x:v>7.450580596923828e-9</x:v>
      </x:c>
      <x:c r="P2363" s="28" t="n">
        <x:v>0</x:v>
      </x:c>
      <x:c r="Q2363" s="62" t="b">
        <x:v>1</x:v>
      </x:c>
      <x:c r="R2363" s="28" t="n">
        <x:v>0</x:v>
      </x:c>
      <x:c r="S2363" s="28" t="str">
        <x:v>4f181e2496a329cd</x:v>
      </x:c>
    </x:row>
    <x:row r="2364" ht="21" customHeight="1">
      <x:c r="A2364" s="60" t="n">
        <x:v>0.69</x:v>
      </x:c>
      <x:c r="B2364" s="28" t="str">
        <x:v>middle_low</x:v>
      </x:c>
      <x:c r="C2364" s="60" t="n">
        <x:v>0.2</x:v>
      </x:c>
      <x:c r="D2364" s="60" t="n">
        <x:v>0.2</x:v>
      </x:c>
      <x:c r="E2364" s="62" t="b">
        <x:v>1</x:v>
      </x:c>
      <x:c r="F2364" s="62" t="b">
        <x:v>1</x:v>
      </x:c>
      <x:c r="G2364" s="85" t="n">
        <x:v>0</x:v>
      </x:c>
      <x:c r="H2364" s="85" t="n">
        <x:v>0</x:v>
      </x:c>
      <x:c r="I2364" s="85" t="n">
        <x:v>1332245.8005687739</x:v>
      </x:c>
      <x:c r="J2364" s="85" t="n">
        <x:v>1253157.279040904</x:v>
      </x:c>
      <x:c r="K2364" s="85" t="n">
        <x:v>263534.1393880914</x:v>
      </x:c>
      <x:c r="L2364" s="28" t="n">
        <x:v>0</x:v>
      </x:c>
      <x:c r="M2364" s="28" t="n">
        <x:v>0</x:v>
      </x:c>
      <x:c r="N2364" s="28" t="n">
        <x:v>4.656612873077393e-10</x:v>
      </x:c>
      <x:c r="O2364" s="28" t="n">
        <x:v>7.450580596923828e-9</x:v>
      </x:c>
      <x:c r="P2364" s="28" t="n">
        <x:v>0</x:v>
      </x:c>
      <x:c r="Q2364" s="62" t="b">
        <x:v>1</x:v>
      </x:c>
      <x:c r="R2364" s="28" t="n">
        <x:v>0</x:v>
      </x:c>
      <x:c r="S2364" s="28" t="str">
        <x:v>d901988a80771668</x:v>
      </x:c>
    </x:row>
    <x:row r="2365" ht="21" customHeight="1">
      <x:c r="A2365" s="60" t="n">
        <x:v>0.69</x:v>
      </x:c>
      <x:c r="B2365" s="28" t="str">
        <x:v>middle_low</x:v>
      </x:c>
      <x:c r="C2365" s="60" t="n">
        <x:v>0.25</x:v>
      </x:c>
      <x:c r="D2365" s="60" t="n">
        <x:v>0.25</x:v>
      </x:c>
      <x:c r="E2365" s="62" t="b">
        <x:v>1</x:v>
      </x:c>
      <x:c r="F2365" s="62" t="b">
        <x:v>1</x:v>
      </x:c>
      <x:c r="G2365" s="85" t="n">
        <x:v>0</x:v>
      </x:c>
      <x:c r="H2365" s="85" t="n">
        <x:v>0</x:v>
      </x:c>
      <x:c r="I2365" s="85" t="n">
        <x:v>2062782.8887383712</x:v>
      </x:c>
      <x:c r="J2365" s="85" t="n">
        <x:v>2960046.5988011523</x:v>
      </x:c>
      <x:c r="K2365" s="85" t="n">
        <x:v>218416.05648246536</x:v>
      </x:c>
      <x:c r="L2365" s="28" t="n">
        <x:v>0</x:v>
      </x:c>
      <x:c r="M2365" s="28" t="n">
        <x:v>0</x:v>
      </x:c>
      <x:c r="N2365" s="28" t="n">
        <x:v>4.656612873077393e-10</x:v>
      </x:c>
      <x:c r="O2365" s="28" t="n">
        <x:v>7.450580596923828e-9</x:v>
      </x:c>
      <x:c r="P2365" s="28" t="n">
        <x:v>0</x:v>
      </x:c>
      <x:c r="Q2365" s="62" t="b">
        <x:v>1</x:v>
      </x:c>
      <x:c r="R2365" s="28" t="n">
        <x:v>0</x:v>
      </x:c>
      <x:c r="S2365" s="28" t="str">
        <x:v>bd546104db9dc03c</x:v>
      </x:c>
    </x:row>
    <x:row r="2366" ht="21" customHeight="1">
      <x:c r="A2366" s="60" t="n">
        <x:v>0.69</x:v>
      </x:c>
      <x:c r="B2366" s="28" t="str">
        <x:v>middle_low</x:v>
      </x:c>
      <x:c r="C2366" s="60" t="n">
        <x:v>0.3</x:v>
      </x:c>
      <x:c r="D2366" s="60" t="n">
        <x:v>0.3</x:v>
      </x:c>
      <x:c r="E2366" s="62" t="b">
        <x:v>1</x:v>
      </x:c>
      <x:c r="F2366" s="62" t="b">
        <x:v>1</x:v>
      </x:c>
      <x:c r="G2366" s="85" t="n">
        <x:v>0</x:v>
      </x:c>
      <x:c r="H2366" s="85" t="n">
        <x:v>0</x:v>
      </x:c>
      <x:c r="I2366" s="85" t="n">
        <x:v>2975966.0688481466</x:v>
      </x:c>
      <x:c r="J2366" s="85" t="n">
        <x:v>4403162.912098751</x:v>
      </x:c>
      <x:c r="K2366" s="85" t="n">
        <x:v>185295.49706115035</x:v>
      </x:c>
      <x:c r="L2366" s="28" t="n">
        <x:v>2</x:v>
      </x:c>
      <x:c r="M2366" s="28" t="n">
        <x:v>0</x:v>
      </x:c>
      <x:c r="N2366" s="28" t="n">
        <x:v>4.656612873077393e-10</x:v>
      </x:c>
      <x:c r="O2366" s="28" t="n">
        <x:v>7.450580596923828e-9</x:v>
      </x:c>
      <x:c r="P2366" s="28" t="n">
        <x:v>0</x:v>
      </x:c>
      <x:c r="Q2366" s="62" t="b">
        <x:v>1</x:v>
      </x:c>
      <x:c r="R2366" s="28" t="n">
        <x:v>0</x:v>
      </x:c>
      <x:c r="S2366" s="28" t="str">
        <x:v>d023fed565778a7f</x:v>
      </x:c>
    </x:row>
    <x:row r="2367" ht="21" customHeight="1">
      <x:c r="A2367" s="60" t="n">
        <x:v>0.69</x:v>
      </x:c>
      <x:c r="B2367" s="28" t="str">
        <x:v>middle_low</x:v>
      </x:c>
      <x:c r="C2367" s="60" t="n">
        <x:v>0.35</x:v>
      </x:c>
      <x:c r="D2367" s="60" t="n">
        <x:v>0.35</x:v>
      </x:c>
      <x:c r="E2367" s="62" t="b">
        <x:v>1</x:v>
      </x:c>
      <x:c r="F2367" s="62" t="b">
        <x:v>1</x:v>
      </x:c>
      <x:c r="G2367" s="85" t="n">
        <x:v>0</x:v>
      </x:c>
      <x:c r="H2367" s="85" t="n">
        <x:v>0</x:v>
      </x:c>
      <x:c r="I2367" s="85" t="n">
        <x:v>4132271.2726632496</x:v>
      </x:c>
      <x:c r="J2367" s="85" t="n">
        <x:v>5453124.619145446</x:v>
      </x:c>
      <x:c r="K2367" s="85" t="n">
        <x:v>154822.79715106828</x:v>
      </x:c>
      <x:c r="L2367" s="28" t="n">
        <x:v>7</x:v>
      </x:c>
      <x:c r="M2367" s="28" t="n">
        <x:v>0</x:v>
      </x:c>
      <x:c r="N2367" s="28" t="n">
        <x:v>4.656612873077393e-10</x:v>
      </x:c>
      <x:c r="O2367" s="28" t="n">
        <x:v>7.450580596923828e-9</x:v>
      </x:c>
      <x:c r="P2367" s="28" t="n">
        <x:v>0</x:v>
      </x:c>
      <x:c r="Q2367" s="62" t="b">
        <x:v>1</x:v>
      </x:c>
      <x:c r="R2367" s="28" t="n">
        <x:v>0</x:v>
      </x:c>
      <x:c r="S2367" s="28" t="str">
        <x:v>f954fb076a913bf6</x:v>
      </x:c>
    </x:row>
    <x:row r="2368" ht="21" customHeight="1">
      <x:c r="A2368" s="60" t="n">
        <x:v>0.69</x:v>
      </x:c>
      <x:c r="B2368" s="28" t="str">
        <x:v>middle_low</x:v>
      </x:c>
      <x:c r="C2368" s="60" t="n">
        <x:v>0.4</x:v>
      </x:c>
      <x:c r="D2368" s="60" t="n">
        <x:v>0.4</x:v>
      </x:c>
      <x:c r="E2368" s="62" t="b">
        <x:v>1</x:v>
      </x:c>
      <x:c r="F2368" s="62" t="b">
        <x:v>1</x:v>
      </x:c>
      <x:c r="G2368" s="85" t="n">
        <x:v>0</x:v>
      </x:c>
      <x:c r="H2368" s="85" t="n">
        <x:v>0</x:v>
      </x:c>
      <x:c r="I2368" s="85" t="n">
        <x:v>5171383.338671308</x:v>
      </x:c>
      <x:c r="J2368" s="85" t="n">
        <x:v>6704410.804313819</x:v>
      </x:c>
      <x:c r="K2368" s="85" t="n">
        <x:v>135889.27200043763</x:v>
      </x:c>
      <x:c r="L2368" s="28" t="n">
        <x:v>12</x:v>
      </x:c>
      <x:c r="M2368" s="28" t="n">
        <x:v>0</x:v>
      </x:c>
      <x:c r="N2368" s="28" t="n">
        <x:v>2.3283064365386963e-10</x:v>
      </x:c>
      <x:c r="O2368" s="28" t="n">
        <x:v>3.725290298461914e-9</x:v>
      </x:c>
      <x:c r="P2368" s="28" t="n">
        <x:v>0</x:v>
      </x:c>
      <x:c r="Q2368" s="62" t="b">
        <x:v>1</x:v>
      </x:c>
      <x:c r="R2368" s="28" t="n">
        <x:v>0</x:v>
      </x:c>
      <x:c r="S2368" s="28" t="str">
        <x:v>e671bd5aa619da52</x:v>
      </x:c>
    </x:row>
    <x:row r="2369" ht="21" customHeight="1">
      <x:c r="A2369" s="60" t="n">
        <x:v>0.69</x:v>
      </x:c>
      <x:c r="B2369" s="28" t="str">
        <x:v>middle_low</x:v>
      </x:c>
      <x:c r="C2369" s="60" t="n">
        <x:v>0.45</x:v>
      </x:c>
      <x:c r="D2369" s="60" t="n">
        <x:v>0.45</x:v>
      </x:c>
      <x:c r="E2369" s="62" t="b">
        <x:v>1</x:v>
      </x:c>
      <x:c r="F2369" s="62" t="b">
        <x:v>1</x:v>
      </x:c>
      <x:c r="G2369" s="85" t="n">
        <x:v>0</x:v>
      </x:c>
      <x:c r="H2369" s="85" t="n">
        <x:v>0</x:v>
      </x:c>
      <x:c r="I2369" s="85" t="n">
        <x:v>5999452.9158685</x:v>
      </x:c>
      <x:c r="J2369" s="85" t="n">
        <x:v>8276023.28038816</x:v>
      </x:c>
      <x:c r="K2369" s="85" t="n">
        <x:v>116955.74684980759</x:v>
      </x:c>
      <x:c r="L2369" s="28" t="n">
        <x:v>15</x:v>
      </x:c>
      <x:c r="M2369" s="28" t="n">
        <x:v>0</x:v>
      </x:c>
      <x:c r="N2369" s="28" t="n">
        <x:v>2.3283064365386963e-10</x:v>
      </x:c>
      <x:c r="O2369" s="28" t="n">
        <x:v>1.862645149230957e-9</x:v>
      </x:c>
      <x:c r="P2369" s="28" t="n">
        <x:v>0</x:v>
      </x:c>
      <x:c r="Q2369" s="62" t="b">
        <x:v>1</x:v>
      </x:c>
      <x:c r="R2369" s="28" t="n">
        <x:v>0</x:v>
      </x:c>
      <x:c r="S2369" s="28" t="str">
        <x:v>3b8cc079451e1d5f</x:v>
      </x:c>
    </x:row>
    <x:row r="2370" ht="21" customHeight="1">
      <x:c r="A2370" s="60" t="n">
        <x:v>0.69</x:v>
      </x:c>
      <x:c r="B2370" s="28" t="str">
        <x:v>middle_low</x:v>
      </x:c>
      <x:c r="C2370" s="60" t="n">
        <x:v>0.5</x:v>
      </x:c>
      <x:c r="D2370" s="60" t="n">
        <x:v>0.5</x:v>
      </x:c>
      <x:c r="E2370" s="62" t="b">
        <x:v>1</x:v>
      </x:c>
      <x:c r="F2370" s="62" t="b">
        <x:v>1</x:v>
      </x:c>
      <x:c r="G2370" s="85" t="n">
        <x:v>0</x:v>
      </x:c>
      <x:c r="H2370" s="85" t="n">
        <x:v>0</x:v>
      </x:c>
      <x:c r="I2370" s="85" t="n">
        <x:v>6797117.359281954</x:v>
      </x:c>
      <x:c r="J2370" s="85" t="n">
        <x:v>9920897.94904007</x:v>
      </x:c>
      <x:c r="K2370" s="85" t="n">
        <x:v>104328.61589041071</x:v>
      </x:c>
      <x:c r="L2370" s="28" t="n">
        <x:v>18</x:v>
      </x:c>
      <x:c r="M2370" s="28" t="n">
        <x:v>0</x:v>
      </x:c>
      <x:c r="N2370" s="28" t="n">
        <x:v>4.656612873077393e-10</x:v>
      </x:c>
      <x:c r="O2370" s="28" t="n">
        <x:v>7.450580596923828e-9</x:v>
      </x:c>
      <x:c r="P2370" s="28" t="n">
        <x:v>0</x:v>
      </x:c>
      <x:c r="Q2370" s="62" t="b">
        <x:v>1</x:v>
      </x:c>
      <x:c r="R2370" s="28" t="n">
        <x:v>0</x:v>
      </x:c>
      <x:c r="S2370" s="28" t="str">
        <x:v>8854d678a76bef44</x:v>
      </x:c>
    </x:row>
    <x:row r="2371" ht="21" customHeight="1">
      <x:c r="A2371" s="60" t="n">
        <x:v>0.69</x:v>
      </x:c>
      <x:c r="B2371" s="28" t="str">
        <x:v>middle_low</x:v>
      </x:c>
      <x:c r="C2371" s="60" t="n">
        <x:v>0.55</x:v>
      </x:c>
      <x:c r="D2371" s="60" t="n">
        <x:v>0.55</x:v>
      </x:c>
      <x:c r="E2371" s="62" t="b">
        <x:v>1</x:v>
      </x:c>
      <x:c r="F2371" s="62" t="b">
        <x:v>0</x:v>
      </x:c>
      <x:c r="G2371" s="85" t="n">
        <x:v>6489.0008273193225</x:v>
      </x:c>
      <x:c r="H2371" s="85" t="n">
        <x:v>104930.23666363428</x:v>
      </x:c>
      <x:c r="I2371" s="85" t="n">
        <x:v>7381666.296986303</x:v>
      </x:c>
      <x:c r="J2371" s="85" t="n">
        <x:v>11706240.000000002</x:v>
      </x:c>
      <x:c r="K2371" s="85" t="n">
        <x:v>95586.80147945217</x:v>
      </x:c>
      <x:c r="L2371" s="28" t="n">
        <x:v>42</x:v>
      </x:c>
      <x:c r="M2371" s="28" t="n">
        <x:v>15</x:v>
      </x:c>
      <x:c r="N2371" s="28" t="n">
        <x:v>4.656612873077393e-10</x:v>
      </x:c>
      <x:c r="O2371" s="28" t="n">
        <x:v>7.450580596923828e-9</x:v>
      </x:c>
      <x:c r="P2371" s="28" t="n">
        <x:v>0</x:v>
      </x:c>
      <x:c r="Q2371" s="62" t="b">
        <x:v>1</x:v>
      </x:c>
      <x:c r="R2371" s="28" t="n">
        <x:v>0</x:v>
      </x:c>
      <x:c r="S2371" s="28" t="str">
        <x:v>926f27765be63952</x:v>
      </x:c>
    </x:row>
    <x:row r="2372" ht="21" customHeight="1">
      <x:c r="A2372" s="60" t="n">
        <x:v>0.69</x:v>
      </x:c>
      <x:c r="B2372" s="28" t="str">
        <x:v>middle_low</x:v>
      </x:c>
      <x:c r="C2372" s="60" t="n">
        <x:v>0.6</x:v>
      </x:c>
      <x:c r="D2372" s="60" t="n">
        <x:v>0.6</x:v>
      </x:c>
      <x:c r="E2372" s="62" t="b">
        <x:v>1</x:v>
      </x:c>
      <x:c r="F2372" s="62" t="b">
        <x:v>0</x:v>
      </x:c>
      <x:c r="G2372" s="85" t="n">
        <x:v>155632.18527866883</x:v>
      </x:c>
      <x:c r="H2372" s="85" t="n">
        <x:v>1940272.458611223</x:v>
      </x:c>
      <x:c r="I2372" s="85" t="n">
        <x:v>7556778.818630139</x:v>
      </x:c>
      <x:c r="J2372" s="85" t="n">
        <x:v>11706240.000000002</x:v>
      </x:c>
      <x:c r="K2372" s="85" t="n">
        <x:v>86844.98706849321</x:v>
      </x:c>
      <x:c r="L2372" s="28" t="n">
        <x:v>43</x:v>
      </x:c>
      <x:c r="M2372" s="28" t="n">
        <x:v>30</x:v>
      </x:c>
      <x:c r="N2372" s="28" t="n">
        <x:v>4.656612873077393e-10</x:v>
      </x:c>
      <x:c r="O2372" s="28" t="n">
        <x:v>3.725290298461914e-9</x:v>
      </x:c>
      <x:c r="P2372" s="28" t="n">
        <x:v>0</x:v>
      </x:c>
      <x:c r="Q2372" s="62" t="b">
        <x:v>1</x:v>
      </x:c>
      <x:c r="R2372" s="28" t="n">
        <x:v>0</x:v>
      </x:c>
      <x:c r="S2372" s="28" t="str">
        <x:v>69040c420654e97f</x:v>
      </x:c>
    </x:row>
    <x:row r="2373" ht="21" customHeight="1">
      <x:c r="A2373" s="60" t="n">
        <x:v>0.69</x:v>
      </x:c>
      <x:c r="B2373" s="28" t="str">
        <x:v>middle_low</x:v>
      </x:c>
      <x:c r="C2373" s="60" t="n">
        <x:v>0.65</x:v>
      </x:c>
      <x:c r="D2373" s="60" t="n">
        <x:v>0.65</x:v>
      </x:c>
      <x:c r="E2373" s="62" t="b">
        <x:v>1</x:v>
      </x:c>
      <x:c r="F2373" s="62" t="b">
        <x:v>0</x:v>
      </x:c>
      <x:c r="G2373" s="85" t="n">
        <x:v>320397.2745293692</x:v>
      </x:c>
      <x:c r="H2373" s="85" t="n">
        <x:v>3989106.3950087563</x:v>
      </x:c>
      <x:c r="I2373" s="85" t="n">
        <x:v>7556778.818630139</x:v>
      </x:c>
      <x:c r="J2373" s="85" t="n">
        <x:v>11706240.000000002</x:v>
      </x:c>
      <x:c r="K2373" s="85" t="n">
        <x:v>78103.17265753393</x:v>
      </x:c>
      <x:c r="L2373" s="28" t="n">
        <x:v>43</x:v>
      </x:c>
      <x:c r="M2373" s="28" t="n">
        <x:v>32</x:v>
      </x:c>
      <x:c r="N2373" s="28" t="n">
        <x:v>2.3283064365386963e-10</x:v>
      </x:c>
      <x:c r="O2373" s="28" t="n">
        <x:v>1.862645149230957e-9</x:v>
      </x:c>
      <x:c r="P2373" s="28" t="n">
        <x:v>0</x:v>
      </x:c>
      <x:c r="Q2373" s="62" t="b">
        <x:v>1</x:v>
      </x:c>
      <x:c r="R2373" s="28" t="n">
        <x:v>0</x:v>
      </x:c>
      <x:c r="S2373" s="28" t="str">
        <x:v>33e4aeb09c6f888f</x:v>
      </x:c>
    </x:row>
    <x:row r="2374" ht="21" customHeight="1">
      <x:c r="A2374" s="60" t="n">
        <x:v>0.69</x:v>
      </x:c>
      <x:c r="B2374" s="28" t="str">
        <x:v>middle_low</x:v>
      </x:c>
      <x:c r="C2374" s="60" t="n">
        <x:v>0.7</x:v>
      </x:c>
      <x:c r="D2374" s="60" t="n">
        <x:v>0.7</x:v>
      </x:c>
      <x:c r="E2374" s="62" t="b">
        <x:v>1</x:v>
      </x:c>
      <x:c r="F2374" s="62" t="b">
        <x:v>0</x:v>
      </x:c>
      <x:c r="G2374" s="85" t="n">
        <x:v>469326.26631590375</x:v>
      </x:c>
      <x:c r="H2374" s="85" t="n">
        <x:v>5840954.044003155</x:v>
      </x:c>
      <x:c r="I2374" s="85" t="n">
        <x:v>7731891.340273975</x:v>
      </x:c>
      <x:c r="J2374" s="85" t="n">
        <x:v>11706240.000000002</x:v>
      </x:c>
      <x:c r="K2374" s="85" t="n">
        <x:v>69361.35824657492</x:v>
      </x:c>
      <x:c r="L2374" s="28" t="n">
        <x:v>44</x:v>
      </x:c>
      <x:c r="M2374" s="28" t="n">
        <x:v>33</x:v>
      </x:c>
      <x:c r="N2374" s="28" t="n">
        <x:v>4.656612873077393e-10</x:v>
      </x:c>
      <x:c r="O2374" s="28" t="n">
        <x:v>3.725290298461914e-9</x:v>
      </x:c>
      <x:c r="P2374" s="28" t="n">
        <x:v>0</x:v>
      </x:c>
      <x:c r="Q2374" s="62" t="b">
        <x:v>1</x:v>
      </x:c>
      <x:c r="R2374" s="28" t="n">
        <x:v>0</x:v>
      </x:c>
      <x:c r="S2374" s="28" t="str">
        <x:v>9d65ca6179793221</x:v>
      </x:c>
    </x:row>
    <x:row r="2375" ht="21" customHeight="1">
      <x:c r="A2375" s="60" t="n">
        <x:v>0.69</x:v>
      </x:c>
      <x:c r="B2375" s="28" t="str">
        <x:v>middle_low</x:v>
      </x:c>
      <x:c r="C2375" s="60" t="n">
        <x:v>0.75</x:v>
      </x:c>
      <x:c r="D2375" s="60" t="n">
        <x:v>0.75</x:v>
      </x:c>
      <x:c r="E2375" s="62" t="b">
        <x:v>1</x:v>
      </x:c>
      <x:c r="F2375" s="62" t="b">
        <x:v>0</x:v>
      </x:c>
      <x:c r="G2375" s="85" t="n">
        <x:v>663874.1495076367</x:v>
      </x:c>
      <x:c r="H2375" s="85" t="n">
        <x:v>7863916.898047141</x:v>
      </x:c>
      <x:c r="I2375" s="85" t="n">
        <x:v>7731891.340273975</x:v>
      </x:c>
      <x:c r="J2375" s="85" t="n">
        <x:v>11706240.000000002</x:v>
      </x:c>
      <x:c r="K2375" s="85" t="n">
        <x:v>60619.54383561626</x:v>
      </x:c>
      <x:c r="L2375" s="28" t="n">
        <x:v>44</x:v>
      </x:c>
      <x:c r="M2375" s="28" t="n">
        <x:v>34</x:v>
      </x:c>
      <x:c r="N2375" s="28" t="n">
        <x:v>4.656612873077393e-10</x:v>
      </x:c>
      <x:c r="O2375" s="28" t="n">
        <x:v>3.725290298461914e-9</x:v>
      </x:c>
      <x:c r="P2375" s="28" t="n">
        <x:v>0</x:v>
      </x:c>
      <x:c r="Q2375" s="62" t="b">
        <x:v>1</x:v>
      </x:c>
      <x:c r="R2375" s="28" t="n">
        <x:v>0</x:v>
      </x:c>
      <x:c r="S2375" s="28" t="str">
        <x:v>9f8474e82b611c80</x:v>
      </x:c>
    </x:row>
    <x:row r="2376" ht="21" customHeight="1">
      <x:c r="A2376" s="60" t="n">
        <x:v>0.69</x:v>
      </x:c>
      <x:c r="B2376" s="28" t="str">
        <x:v>middle_low</x:v>
      </x:c>
      <x:c r="C2376" s="60" t="n">
        <x:v>0.8</x:v>
      </x:c>
      <x:c r="D2376" s="60" t="n">
        <x:v>0.8</x:v>
      </x:c>
      <x:c r="E2376" s="62" t="b">
        <x:v>1</x:v>
      </x:c>
      <x:c r="F2376" s="62" t="b">
        <x:v>0</x:v>
      </x:c>
      <x:c r="G2376" s="85" t="n">
        <x:v>840402.9345229638</x:v>
      </x:c>
      <x:c r="H2376" s="85" t="n">
        <x:v>9844809.352599073</x:v>
      </x:c>
      <x:c r="I2376" s="85" t="n">
        <x:v>7731891.340273975</x:v>
      </x:c>
      <x:c r="J2376" s="85" t="n">
        <x:v>11706240.000000002</x:v>
      </x:c>
      <x:c r="K2376" s="85" t="n">
        <x:v>51919.772164383336</x:v>
      </x:c>
      <x:c r="L2376" s="28" t="n">
        <x:v>44</x:v>
      </x:c>
      <x:c r="M2376" s="28" t="n">
        <x:v>36</x:v>
      </x:c>
      <x:c r="N2376" s="28" t="n">
        <x:v>4.656612873077393e-10</x:v>
      </x:c>
      <x:c r="O2376" s="28" t="n">
        <x:v>1.862645149230957e-9</x:v>
      </x:c>
      <x:c r="P2376" s="28" t="n">
        <x:v>0</x:v>
      </x:c>
      <x:c r="Q2376" s="62" t="b">
        <x:v>1</x:v>
      </x:c>
      <x:c r="R2376" s="28" t="n">
        <x:v>0</x:v>
      </x:c>
      <x:c r="S2376" s="28" t="str">
        <x:v>1023b087593dd9eb</x:v>
      </x:c>
    </x:row>
    <x:row r="2377" ht="21" customHeight="1">
      <x:c r="A2377" s="60" t="n">
        <x:v>0.69</x:v>
      </x:c>
      <x:c r="B2377" s="28" t="str">
        <x:v>middle_low</x:v>
      </x:c>
      <x:c r="C2377" s="60" t="n">
        <x:v>0.85</x:v>
      </x:c>
      <x:c r="D2377" s="60" t="n">
        <x:v>0.85</x:v>
      </x:c>
      <x:c r="E2377" s="62" t="b">
        <x:v>1</x:v>
      </x:c>
      <x:c r="F2377" s="62" t="b">
        <x:v>0</x:v>
      </x:c>
      <x:c r="G2377" s="85" t="n">
        <x:v>1053611.629092302</x:v>
      </x:c>
      <x:c r="H2377" s="85" t="n">
        <x:v>11790024.312925072</x:v>
      </x:c>
      <x:c r="I2377" s="85" t="n">
        <x:v>7731891.340273975</x:v>
      </x:c>
      <x:c r="J2377" s="85" t="n">
        <x:v>11706240.000000002</x:v>
      </x:c>
      <x:c r="K2377" s="85" t="n">
        <x:v>48975.06679452058</x:v>
      </x:c>
      <x:c r="L2377" s="28" t="n">
        <x:v>44</x:v>
      </x:c>
      <x:c r="M2377" s="28" t="n">
        <x:v>36</x:v>
      </x:c>
      <x:c r="N2377" s="28" t="n">
        <x:v>4.656612873077393e-10</x:v>
      </x:c>
      <x:c r="O2377" s="28" t="n">
        <x:v>3.725290298461914e-9</x:v>
      </x:c>
      <x:c r="P2377" s="28" t="n">
        <x:v>0</x:v>
      </x:c>
      <x:c r="Q2377" s="62" t="b">
        <x:v>1</x:v>
      </x:c>
      <x:c r="R2377" s="28" t="n">
        <x:v>0</x:v>
      </x:c>
      <x:c r="S2377" s="28" t="str">
        <x:v>ae7c06883d8c6a6b</x:v>
      </x:c>
    </x:row>
    <x:row r="2378" ht="21" customHeight="1">
      <x:c r="A2378" s="60" t="n">
        <x:v>0.69</x:v>
      </x:c>
      <x:c r="B2378" s="28" t="str">
        <x:v>middle_low</x:v>
      </x:c>
      <x:c r="C2378" s="60" t="n">
        <x:v>0.9</x:v>
      </x:c>
      <x:c r="D2378" s="60" t="n">
        <x:v>0.9</x:v>
      </x:c>
      <x:c r="E2378" s="62" t="b">
        <x:v>1</x:v>
      </x:c>
      <x:c r="F2378" s="62" t="b">
        <x:v>0</x:v>
      </x:c>
      <x:c r="G2378" s="85" t="n">
        <x:v>1313582.0432398645</x:v>
      </x:c>
      <x:c r="H2378" s="85" t="n">
        <x:v>13431402.209423045</x:v>
      </x:c>
      <x:c r="I2378" s="85" t="n">
        <x:v>7908928.175342469</x:v>
      </x:c>
      <x:c r="J2378" s="85" t="n">
        <x:v>11706240.000000002</x:v>
      </x:c>
      <x:c r="K2378" s="85" t="n">
        <x:v>46262.695452054715</x:v>
      </x:c>
      <x:c r="L2378" s="28" t="n">
        <x:v>45</x:v>
      </x:c>
      <x:c r="M2378" s="28" t="n">
        <x:v>37</x:v>
      </x:c>
      <x:c r="N2378" s="28" t="n">
        <x:v>4.656612873077393e-10</x:v>
      </x:c>
      <x:c r="O2378" s="28" t="n">
        <x:v>3.725290298461914e-9</x:v>
      </x:c>
      <x:c r="P2378" s="28" t="n">
        <x:v>0</x:v>
      </x:c>
      <x:c r="Q2378" s="62" t="b">
        <x:v>1</x:v>
      </x:c>
      <x:c r="R2378" s="28" t="n">
        <x:v>0</x:v>
      </x:c>
      <x:c r="S2378" s="28" t="str">
        <x:v>16ee26bb2c6df4d1</x:v>
      </x:c>
    </x:row>
    <x:row r="2379" ht="21" customHeight="1">
      <x:c r="A2379" s="60" t="n">
        <x:v>0.69</x:v>
      </x:c>
      <x:c r="B2379" s="28" t="str">
        <x:v>middle_low</x:v>
      </x:c>
      <x:c r="C2379" s="60" t="n">
        <x:v>0.95</x:v>
      </x:c>
      <x:c r="D2379" s="60" t="n">
        <x:v>0.9270639118581285</x:v>
      </x:c>
      <x:c r="E2379" s="62" t="b">
        <x:v>0</x:v>
      </x:c>
      <x:c r="F2379" s="62" t="b">
        <x:v>0</x:v>
      </x:c>
      <x:c r="G2379" s="85" t="n">
        <x:v>1628796.0220971256</x:v>
      </x:c>
      <x:c r="H2379" s="85" t="n">
        <x:v>14281163.325216819</x:v>
      </x:c>
      <x:c r="I2379" s="85" t="n">
        <x:v>7908928.175342469</x:v>
      </x:c>
      <x:c r="J2379" s="85" t="n">
        <x:v>11706240.000000002</x:v>
      </x:c>
      <x:c r="K2379" s="85" t="n">
        <x:v>43550.324109589084</x:v>
      </x:c>
      <x:c r="L2379" s="28" t="n">
        <x:v>45</x:v>
      </x:c>
      <x:c r="M2379" s="28" t="n">
        <x:v>38</x:v>
      </x:c>
      <x:c r="N2379" s="28" t="n">
        <x:v>2.3283064365386963e-10</x:v>
      </x:c>
      <x:c r="O2379" s="28" t="n">
        <x:v>3.725290298461914e-9</x:v>
      </x:c>
      <x:c r="P2379" s="28" t="n">
        <x:v>0</x:v>
      </x:c>
      <x:c r="Q2379" s="62" t="b">
        <x:v>1</x:v>
      </x:c>
      <x:c r="R2379" s="28" t="n">
        <x:v>1278549.2973804846</x:v>
      </x:c>
      <x:c r="S2379" s="28" t="str">
        <x:v>4f761762159cb077</x:v>
      </x:c>
    </x:row>
    <x:row r="2380" ht="21" customHeight="1">
      <x:c r="A2380" s="60" t="n">
        <x:v>0.69</x:v>
      </x:c>
      <x:c r="B2380" s="28" t="str">
        <x:v>middle_low</x:v>
      </x:c>
      <x:c r="C2380" s="60" t="n">
        <x:v>1</x:v>
      </x:c>
      <x:c r="D2380" s="60" t="n">
        <x:v>0.9427455891708479</x:v>
      </x:c>
      <x:c r="E2380" s="62" t="b">
        <x:v>0</x:v>
      </x:c>
      <x:c r="F2380" s="62" t="b">
        <x:v>0</x:v>
      </x:c>
      <x:c r="G2380" s="85" t="n">
        <x:v>1774361.9509748872</x:v>
      </x:c>
      <x:c r="H2380" s="85" t="n">
        <x:v>14930541.810310386</x:v>
      </x:c>
      <x:c r="I2380" s="85" t="n">
        <x:v>7908928.175342469</x:v>
      </x:c>
      <x:c r="J2380" s="85" t="n">
        <x:v>11706240.000000002</x:v>
      </x:c>
      <x:c r="K2380" s="85" t="n">
        <x:v>40837.95276712322</x:v>
      </x:c>
      <x:c r="L2380" s="28" t="n">
        <x:v>45</x:v>
      </x:c>
      <x:c r="M2380" s="28" t="n">
        <x:v>38</x:v>
      </x:c>
      <x:c r="N2380" s="28" t="n">
        <x:v>4.656612873077393e-10</x:v>
      </x:c>
      <x:c r="O2380" s="28" t="n">
        <x:v>9.313225746154785e-10</x:v>
      </x:c>
      <x:c r="P2380" s="28" t="n">
        <x:v>0</x:v>
      </x:c>
      <x:c r="Q2380" s="62" t="b">
        <x:v>1</x:v>
      </x:c>
      <x:c r="R2380" s="28" t="n">
        <x:v>3191589.877260253</x:v>
      </x:c>
      <x:c r="S2380" s="28" t="str">
        <x:v>b7d40f148d365030</x:v>
      </x:c>
    </x:row>
    <x:row r="2381" ht="21" customHeight="1">
      <x:c r="A2381" s="60" t="n">
        <x:v>0.69</x:v>
      </x:c>
      <x:c r="B2381" s="28" t="str">
        <x:v>middle_high</x:v>
      </x:c>
      <x:c r="C2381" s="60" t="n">
        <x:v>0</x:v>
      </x:c>
      <x:c r="D2381" s="60" t="n">
        <x:v>0</x:v>
      </x:c>
      <x:c r="E2381" s="62" t="b">
        <x:v>1</x:v>
      </x:c>
      <x:c r="F2381" s="62" t="b">
        <x:v>1</x:v>
      </x:c>
      <x:c r="G2381" s="85" t="n">
        <x:v>0</x:v>
      </x:c>
      <x:c r="H2381" s="85" t="n">
        <x:v>0</x:v>
      </x:c>
      <x:c r="I2381" s="85" t="n">
        <x:v>0</x:v>
      </x:c>
      <x:c r="J2381" s="85" t="n">
        <x:v>0</x:v>
      </x:c>
      <x:c r="K2381" s="85" t="n">
        <x:v>7690531.387178079</x:v>
      </x:c>
      <x:c r="L2381" s="28" t="n">
        <x:v>0</x:v>
      </x:c>
      <x:c r="M2381" s="28" t="n">
        <x:v>0</x:v>
      </x:c>
      <x:c r="N2381" s="28" t="n">
        <x:v>9.313225746154785e-10</x:v>
      </x:c>
      <x:c r="O2381" s="28" t="n">
        <x:v>0</x:v>
      </x:c>
      <x:c r="P2381" s="28" t="n">
        <x:v>0</x:v>
      </x:c>
      <x:c r="Q2381" s="62" t="b">
        <x:v>1</x:v>
      </x:c>
      <x:c r="R2381" s="28" t="n">
        <x:v>0</x:v>
      </x:c>
      <x:c r="S2381" s="28" t="str">
        <x:v>b8095e103ccdc4ca</x:v>
      </x:c>
    </x:row>
    <x:row r="2382" ht="21" customHeight="1">
      <x:c r="A2382" s="60" t="n">
        <x:v>0.69</x:v>
      </x:c>
      <x:c r="B2382" s="28" t="str">
        <x:v>middle_high</x:v>
      </x:c>
      <x:c r="C2382" s="60" t="n">
        <x:v>0.05</x:v>
      </x:c>
      <x:c r="D2382" s="60" t="n">
        <x:v>0.05</x:v>
      </x:c>
      <x:c r="E2382" s="62" t="b">
        <x:v>1</x:v>
      </x:c>
      <x:c r="F2382" s="62" t="b">
        <x:v>1</x:v>
      </x:c>
      <x:c r="G2382" s="85" t="n">
        <x:v>0</x:v>
      </x:c>
      <x:c r="H2382" s="85" t="n">
        <x:v>0</x:v>
      </x:c>
      <x:c r="I2382" s="85" t="n">
        <x:v>0</x:v>
      </x:c>
      <x:c r="J2382" s="85" t="n">
        <x:v>0</x:v>
      </x:c>
      <x:c r="K2382" s="85" t="n">
        <x:v>5187708.20021571</x:v>
      </x:c>
      <x:c r="L2382" s="28" t="n">
        <x:v>0</x:v>
      </x:c>
      <x:c r="M2382" s="28" t="n">
        <x:v>0</x:v>
      </x:c>
      <x:c r="N2382" s="28" t="n">
        <x:v>9.313225746154785e-10</x:v>
      </x:c>
      <x:c r="O2382" s="28" t="n">
        <x:v>7.450580596923828e-9</x:v>
      </x:c>
      <x:c r="P2382" s="28" t="n">
        <x:v>0</x:v>
      </x:c>
      <x:c r="Q2382" s="62" t="b">
        <x:v>1</x:v>
      </x:c>
      <x:c r="R2382" s="28" t="n">
        <x:v>0</x:v>
      </x:c>
      <x:c r="S2382" s="28" t="str">
        <x:v>69337dfd3e0bdcc4</x:v>
      </x:c>
    </x:row>
    <x:row r="2383" ht="21" customHeight="1">
      <x:c r="A2383" s="60" t="n">
        <x:v>0.69</x:v>
      </x:c>
      <x:c r="B2383" s="28" t="str">
        <x:v>middle_high</x:v>
      </x:c>
      <x:c r="C2383" s="60" t="n">
        <x:v>0.1</x:v>
      </x:c>
      <x:c r="D2383" s="60" t="n">
        <x:v>0.1</x:v>
      </x:c>
      <x:c r="E2383" s="62" t="b">
        <x:v>1</x:v>
      </x:c>
      <x:c r="F2383" s="62" t="b">
        <x:v>1</x:v>
      </x:c>
      <x:c r="G2383" s="85" t="n">
        <x:v>0</x:v>
      </x:c>
      <x:c r="H2383" s="85" t="n">
        <x:v>0</x:v>
      </x:c>
      <x:c r="I2383" s="85" t="n">
        <x:v>0</x:v>
      </x:c>
      <x:c r="J2383" s="85" t="n">
        <x:v>0</x:v>
      </x:c>
      <x:c r="K2383" s="85" t="n">
        <x:v>2684470.9096472817</x:v>
      </x:c>
      <x:c r="L2383" s="28" t="n">
        <x:v>0</x:v>
      </x:c>
      <x:c r="M2383" s="28" t="n">
        <x:v>0</x:v>
      </x:c>
      <x:c r="N2383" s="28" t="n">
        <x:v>4.656612873077393e-10</x:v>
      </x:c>
      <x:c r="O2383" s="28" t="n">
        <x:v>7.450580596923828e-9</x:v>
      </x:c>
      <x:c r="P2383" s="28" t="n">
        <x:v>0</x:v>
      </x:c>
      <x:c r="Q2383" s="62" t="b">
        <x:v>1</x:v>
      </x:c>
      <x:c r="R2383" s="28" t="n">
        <x:v>0</x:v>
      </x:c>
      <x:c r="S2383" s="28" t="str">
        <x:v>f0bc84f02371e76b</x:v>
      </x:c>
    </x:row>
    <x:row r="2384" ht="21" customHeight="1">
      <x:c r="A2384" s="60" t="n">
        <x:v>0.69</x:v>
      </x:c>
      <x:c r="B2384" s="28" t="str">
        <x:v>middle_high</x:v>
      </x:c>
      <x:c r="C2384" s="60" t="n">
        <x:v>0.15</x:v>
      </x:c>
      <x:c r="D2384" s="60" t="n">
        <x:v>0.15</x:v>
      </x:c>
      <x:c r="E2384" s="62" t="b">
        <x:v>1</x:v>
      </x:c>
      <x:c r="F2384" s="62" t="b">
        <x:v>1</x:v>
      </x:c>
      <x:c r="G2384" s="85" t="n">
        <x:v>0</x:v>
      </x:c>
      <x:c r="H2384" s="85" t="n">
        <x:v>0</x:v>
      </x:c>
      <x:c r="I2384" s="85" t="n">
        <x:v>507802.6070816292</x:v>
      </x:c>
      <x:c r="J2384" s="85" t="n">
        <x:v>0</x:v>
      </x:c>
      <x:c r="K2384" s="85" t="n">
        <x:v>732026.3983751024</x:v>
      </x:c>
      <x:c r="L2384" s="28" t="n">
        <x:v>0</x:v>
      </x:c>
      <x:c r="M2384" s="28" t="n">
        <x:v>0</x:v>
      </x:c>
      <x:c r="N2384" s="28" t="n">
        <x:v>9.313225746154785e-10</x:v>
      </x:c>
      <x:c r="O2384" s="28" t="n">
        <x:v>7.450580596923828e-9</x:v>
      </x:c>
      <x:c r="P2384" s="28" t="n">
        <x:v>0</x:v>
      </x:c>
      <x:c r="Q2384" s="62" t="b">
        <x:v>1</x:v>
      </x:c>
      <x:c r="R2384" s="28" t="n">
        <x:v>0</x:v>
      </x:c>
      <x:c r="S2384" s="28" t="str">
        <x:v>d4ed464d5b2d8ed4</x:v>
      </x:c>
    </x:row>
    <x:row r="2385" ht="21" customHeight="1">
      <x:c r="A2385" s="60" t="n">
        <x:v>0.69</x:v>
      </x:c>
      <x:c r="B2385" s="28" t="str">
        <x:v>middle_high</x:v>
      </x:c>
      <x:c r="C2385" s="60" t="n">
        <x:v>0.2</x:v>
      </x:c>
      <x:c r="D2385" s="60" t="n">
        <x:v>0.2</x:v>
      </x:c>
      <x:c r="E2385" s="62" t="b">
        <x:v>1</x:v>
      </x:c>
      <x:c r="F2385" s="62" t="b">
        <x:v>1</x:v>
      </x:c>
      <x:c r="G2385" s="85" t="n">
        <x:v>0</x:v>
      </x:c>
      <x:c r="H2385" s="85" t="n">
        <x:v>0</x:v>
      </x:c>
      <x:c r="I2385" s="85" t="n">
        <x:v>2352182.862754139</x:v>
      </x:c>
      <x:c r="J2385" s="85" t="n">
        <x:v>1253157.279040904</x:v>
      </x:c>
      <x:c r="K2385" s="85" t="n">
        <x:v>574966.5299064488</x:v>
      </x:c>
      <x:c r="L2385" s="28" t="n">
        <x:v>0</x:v>
      </x:c>
      <x:c r="M2385" s="28" t="n">
        <x:v>0</x:v>
      </x:c>
      <x:c r="N2385" s="28" t="n">
        <x:v>4.656612873077393e-10</x:v>
      </x:c>
      <x:c r="O2385" s="28" t="n">
        <x:v>7.450580596923828e-9</x:v>
      </x:c>
      <x:c r="P2385" s="28" t="n">
        <x:v>0</x:v>
      </x:c>
      <x:c r="Q2385" s="62" t="b">
        <x:v>1</x:v>
      </x:c>
      <x:c r="R2385" s="28" t="n">
        <x:v>0</x:v>
      </x:c>
      <x:c r="S2385" s="28" t="str">
        <x:v>859ff286299ce64f</x:v>
      </x:c>
    </x:row>
    <x:row r="2386" ht="21" customHeight="1">
      <x:c r="A2386" s="60" t="n">
        <x:v>0.69</x:v>
      </x:c>
      <x:c r="B2386" s="28" t="str">
        <x:v>middle_high</x:v>
      </x:c>
      <x:c r="C2386" s="60" t="n">
        <x:v>0.25</x:v>
      </x:c>
      <x:c r="D2386" s="60" t="n">
        <x:v>0.25</x:v>
      </x:c>
      <x:c r="E2386" s="62" t="b">
        <x:v>1</x:v>
      </x:c>
      <x:c r="F2386" s="62" t="b">
        <x:v>1</x:v>
      </x:c>
      <x:c r="G2386" s="85" t="n">
        <x:v>0</x:v>
      </x:c>
      <x:c r="H2386" s="85" t="n">
        <x:v>0</x:v>
      </x:c>
      <x:c r="I2386" s="85" t="n">
        <x:v>3979575.518150318</x:v>
      </x:c>
      <x:c r="J2386" s="85" t="n">
        <x:v>2960046.5988011523</x:v>
      </x:c>
      <x:c r="K2386" s="85" t="n">
        <x:v>473832.4284639726</x:v>
      </x:c>
      <x:c r="L2386" s="28" t="n">
        <x:v>0</x:v>
      </x:c>
      <x:c r="M2386" s="28" t="n">
        <x:v>0</x:v>
      </x:c>
      <x:c r="N2386" s="28" t="n">
        <x:v>4.656612873077393e-10</x:v>
      </x:c>
      <x:c r="O2386" s="28" t="n">
        <x:v>7.450580596923828e-9</x:v>
      </x:c>
      <x:c r="P2386" s="28" t="n">
        <x:v>0</x:v>
      </x:c>
      <x:c r="Q2386" s="62" t="b">
        <x:v>1</x:v>
      </x:c>
      <x:c r="R2386" s="28" t="n">
        <x:v>0</x:v>
      </x:c>
      <x:c r="S2386" s="28" t="str">
        <x:v>b52dbf03e360f9e6</x:v>
      </x:c>
    </x:row>
    <x:row r="2387" ht="21" customHeight="1">
      <x:c r="A2387" s="60" t="n">
        <x:v>0.69</x:v>
      </x:c>
      <x:c r="B2387" s="28" t="str">
        <x:v>middle_high</x:v>
      </x:c>
      <x:c r="C2387" s="60" t="n">
        <x:v>0.3</x:v>
      </x:c>
      <x:c r="D2387" s="60" t="n">
        <x:v>0.3</x:v>
      </x:c>
      <x:c r="E2387" s="62" t="b">
        <x:v>1</x:v>
      </x:c>
      <x:c r="F2387" s="62" t="b">
        <x:v>1</x:v>
      </x:c>
      <x:c r="G2387" s="85" t="n">
        <x:v>0</x:v>
      </x:c>
      <x:c r="H2387" s="85" t="n">
        <x:v>0</x:v>
      </x:c>
      <x:c r="I2387" s="85" t="n">
        <x:v>5689835.8171536075</x:v>
      </x:c>
      <x:c r="J2387" s="85" t="n">
        <x:v>4451570.946817567</x:v>
      </x:c>
      <x:c r="K2387" s="85" t="n">
        <x:v>383649.9855904117</x:v>
      </x:c>
      <x:c r="L2387" s="28" t="n">
        <x:v>1</x:v>
      </x:c>
      <x:c r="M2387" s="28" t="n">
        <x:v>0</x:v>
      </x:c>
      <x:c r="N2387" s="28" t="n">
        <x:v>9.313225746154785e-10</x:v>
      </x:c>
      <x:c r="O2387" s="28" t="n">
        <x:v>7.450580596923828e-9</x:v>
      </x:c>
      <x:c r="P2387" s="28" t="n">
        <x:v>0</x:v>
      </x:c>
      <x:c r="Q2387" s="62" t="b">
        <x:v>1</x:v>
      </x:c>
      <x:c r="R2387" s="28" t="n">
        <x:v>0</x:v>
      </x:c>
      <x:c r="S2387" s="28" t="str">
        <x:v>9237a35073279c7a</x:v>
      </x:c>
    </x:row>
    <x:row r="2388" ht="21" customHeight="1">
      <x:c r="A2388" s="60" t="n">
        <x:v>0.69</x:v>
      </x:c>
      <x:c r="B2388" s="28" t="str">
        <x:v>middle_high</x:v>
      </x:c>
      <x:c r="C2388" s="60" t="n">
        <x:v>0.35</x:v>
      </x:c>
      <x:c r="D2388" s="60" t="n">
        <x:v>0.35</x:v>
      </x:c>
      <x:c r="E2388" s="62" t="b">
        <x:v>1</x:v>
      </x:c>
      <x:c r="F2388" s="62" t="b">
        <x:v>1</x:v>
      </x:c>
      <x:c r="G2388" s="85" t="n">
        <x:v>0</x:v>
      </x:c>
      <x:c r="H2388" s="85" t="n">
        <x:v>0</x:v>
      </x:c>
      <x:c r="I2388" s="85" t="n">
        <x:v>7506196.268816602</x:v>
      </x:c>
      <x:c r="J2388" s="85" t="n">
        <x:v>5062892.741102614</x:v>
      </x:c>
      <x:c r="K2388" s="85" t="n">
        <x:v>329733.4990676446</x:v>
      </x:c>
      <x:c r="L2388" s="28" t="n">
        <x:v>6</x:v>
      </x:c>
      <x:c r="M2388" s="28" t="n">
        <x:v>0</x:v>
      </x:c>
      <x:c r="N2388" s="28" t="n">
        <x:v>9.313225746154785e-10</x:v>
      </x:c>
      <x:c r="O2388" s="28" t="n">
        <x:v>7.450580596923828e-9</x:v>
      </x:c>
      <x:c r="P2388" s="28" t="n">
        <x:v>0</x:v>
      </x:c>
      <x:c r="Q2388" s="62" t="b">
        <x:v>1</x:v>
      </x:c>
      <x:c r="R2388" s="28" t="n">
        <x:v>0</x:v>
      </x:c>
      <x:c r="S2388" s="28" t="str">
        <x:v>367a22929db3715a</x:v>
      </x:c>
    </x:row>
    <x:row r="2389" ht="21" customHeight="1">
      <x:c r="A2389" s="60" t="n">
        <x:v>0.69</x:v>
      </x:c>
      <x:c r="B2389" s="28" t="str">
        <x:v>middle_high</x:v>
      </x:c>
      <x:c r="C2389" s="60" t="n">
        <x:v>0.4</x:v>
      </x:c>
      <x:c r="D2389" s="60" t="n">
        <x:v>0.4</x:v>
      </x:c>
      <x:c r="E2389" s="62" t="b">
        <x:v>1</x:v>
      </x:c>
      <x:c r="F2389" s="62" t="b">
        <x:v>1</x:v>
      </x:c>
      <x:c r="G2389" s="85" t="n">
        <x:v>0</x:v>
      </x:c>
      <x:c r="H2389" s="85" t="n">
        <x:v>0</x:v>
      </x:c>
      <x:c r="I2389" s="85" t="n">
        <x:v>9278077.099490615</x:v>
      </x:c>
      <x:c r="J2389" s="85" t="n">
        <x:v>6139976.48409526</x:v>
      </x:c>
      <x:c r="K2389" s="85" t="n">
        <x:v>278525.0750410951</x:v>
      </x:c>
      <x:c r="L2389" s="28" t="n">
        <x:v>10</x:v>
      </x:c>
      <x:c r="M2389" s="28" t="n">
        <x:v>0</x:v>
      </x:c>
      <x:c r="N2389" s="28" t="n">
        <x:v>4.656612873077393e-10</x:v>
      </x:c>
      <x:c r="O2389" s="28" t="n">
        <x:v>3.725290298461914e-9</x:v>
      </x:c>
      <x:c r="P2389" s="28" t="n">
        <x:v>0</x:v>
      </x:c>
      <x:c r="Q2389" s="62" t="b">
        <x:v>1</x:v>
      </x:c>
      <x:c r="R2389" s="28" t="n">
        <x:v>0</x:v>
      </x:c>
      <x:c r="S2389" s="28" t="str">
        <x:v>c1f10b557c388a09</x:v>
      </x:c>
    </x:row>
    <x:row r="2390" ht="21" customHeight="1">
      <x:c r="A2390" s="60" t="n">
        <x:v>0.69</x:v>
      </x:c>
      <x:c r="B2390" s="28" t="str">
        <x:v>middle_high</x:v>
      </x:c>
      <x:c r="C2390" s="60" t="n">
        <x:v>0.45</x:v>
      </x:c>
      <x:c r="D2390" s="60" t="n">
        <x:v>0.45</x:v>
      </x:c>
      <x:c r="E2390" s="62" t="b">
        <x:v>1</x:v>
      </x:c>
      <x:c r="F2390" s="62" t="b">
        <x:v>1</x:v>
      </x:c>
      <x:c r="G2390" s="85" t="n">
        <x:v>0</x:v>
      </x:c>
      <x:c r="H2390" s="85" t="n">
        <x:v>0</x:v>
      </x:c>
      <x:c r="I2390" s="85" t="n">
        <x:v>11001070.940532781</x:v>
      </x:c>
      <x:c r="J2390" s="85" t="n">
        <x:v>7618695.545354743</x:v>
      </x:c>
      <x:c r="K2390" s="85" t="n">
        <x:v>248082.07479452138</x:v>
      </x:c>
      <x:c r="L2390" s="28" t="n">
        <x:v>14</x:v>
      </x:c>
      <x:c r="M2390" s="28" t="n">
        <x:v>0</x:v>
      </x:c>
      <x:c r="N2390" s="28" t="n">
        <x:v>9.313225746154785e-10</x:v>
      </x:c>
      <x:c r="O2390" s="28" t="n">
        <x:v>1.862645149230957e-9</x:v>
      </x:c>
      <x:c r="P2390" s="28" t="n">
        <x:v>0</x:v>
      </x:c>
      <x:c r="Q2390" s="62" t="b">
        <x:v>1</x:v>
      </x:c>
      <x:c r="R2390" s="28" t="n">
        <x:v>0</x:v>
      </x:c>
      <x:c r="S2390" s="28" t="str">
        <x:v>74952ed4ea24f525</x:v>
      </x:c>
    </x:row>
    <x:row r="2391" ht="21" customHeight="1">
      <x:c r="A2391" s="60" t="n">
        <x:v>0.69</x:v>
      </x:c>
      <x:c r="B2391" s="28" t="str">
        <x:v>middle_high</x:v>
      </x:c>
      <x:c r="C2391" s="60" t="n">
        <x:v>0.5</x:v>
      </x:c>
      <x:c r="D2391" s="60" t="n">
        <x:v>0.5</x:v>
      </x:c>
      <x:c r="E2391" s="62" t="b">
        <x:v>1</x:v>
      </x:c>
      <x:c r="F2391" s="62" t="b">
        <x:v>1</x:v>
      </x:c>
      <x:c r="G2391" s="85" t="n">
        <x:v>0</x:v>
      </x:c>
      <x:c r="H2391" s="85" t="n">
        <x:v>0</x:v>
      </x:c>
      <x:c r="I2391" s="85" t="n">
        <x:v>12677117.856568824</x:v>
      </x:c>
      <x:c r="J2391" s="85" t="n">
        <x:v>9335626.127130277</x:v>
      </x:c>
      <x:c r="K2391" s="85" t="n">
        <x:v>224125.7764383564</x:v>
      </x:c>
      <x:c r="L2391" s="28" t="n">
        <x:v>18</x:v>
      </x:c>
      <x:c r="M2391" s="28" t="n">
        <x:v>8</x:v>
      </x:c>
      <x:c r="N2391" s="28" t="n">
        <x:v>9.313225746154785e-10</x:v>
      </x:c>
      <x:c r="O2391" s="28" t="n">
        <x:v>7.450580596923828e-9</x:v>
      </x:c>
      <x:c r="P2391" s="28" t="n">
        <x:v>0</x:v>
      </x:c>
      <x:c r="Q2391" s="62" t="b">
        <x:v>1</x:v>
      </x:c>
      <x:c r="R2391" s="28" t="n">
        <x:v>0</x:v>
      </x:c>
      <x:c r="S2391" s="28" t="str">
        <x:v>672d92466ef0e359</x:v>
      </x:c>
    </x:row>
    <x:row r="2392" ht="21" customHeight="1">
      <x:c r="A2392" s="60" t="n">
        <x:v>0.69</x:v>
      </x:c>
      <x:c r="B2392" s="28" t="str">
        <x:v>middle_high</x:v>
      </x:c>
      <x:c r="C2392" s="60" t="n">
        <x:v>0.55</x:v>
      </x:c>
      <x:c r="D2392" s="60" t="n">
        <x:v>0.55</x:v>
      </x:c>
      <x:c r="E2392" s="62" t="b">
        <x:v>1</x:v>
      </x:c>
      <x:c r="F2392" s="62" t="b">
        <x:v>0</x:v>
      </x:c>
      <x:c r="G2392" s="85" t="n">
        <x:v>8812.031341429427</x:v>
      </x:c>
      <x:c r="H2392" s="85" t="n">
        <x:v>36586.48921218651</x:v>
      </x:c>
      <x:c r="I2392" s="85" t="n">
        <x:v>14189929.959916791</x:v>
      </x:c>
      <x:c r="J2392" s="85" t="n">
        <x:v>11706240.000000002</x:v>
      </x:c>
      <x:c r="K2392" s="85" t="n">
        <x:v>200169.4780821916</x:v>
      </x:c>
      <x:c r="L2392" s="28" t="n">
        <x:v>42</x:v>
      </x:c>
      <x:c r="M2392" s="28" t="n">
        <x:v>36</x:v>
      </x:c>
      <x:c r="N2392" s="28" t="n">
        <x:v>4.656612873077393e-10</x:v>
      </x:c>
      <x:c r="O2392" s="28" t="n">
        <x:v>7.450580596923828e-9</x:v>
      </x:c>
      <x:c r="P2392" s="28" t="n">
        <x:v>0</x:v>
      </x:c>
      <x:c r="Q2392" s="62" t="b">
        <x:v>1</x:v>
      </x:c>
      <x:c r="R2392" s="28" t="n">
        <x:v>0</x:v>
      </x:c>
      <x:c r="S2392" s="28" t="str">
        <x:v>0226d9f482eb15be</x:v>
      </x:c>
    </x:row>
    <x:row r="2393" ht="21" customHeight="1">
      <x:c r="A2393" s="60" t="n">
        <x:v>0.69</x:v>
      </x:c>
      <x:c r="B2393" s="28" t="str">
        <x:v>middle_high</x:v>
      </x:c>
      <x:c r="C2393" s="60" t="n">
        <x:v>0.6</x:v>
      </x:c>
      <x:c r="D2393" s="60" t="n">
        <x:v>0.6</x:v>
      </x:c>
      <x:c r="E2393" s="62" t="b">
        <x:v>1</x:v>
      </x:c>
      <x:c r="F2393" s="62" t="b">
        <x:v>0</x:v>
      </x:c>
      <x:c r="G2393" s="85" t="n">
        <x:v>764184.804264759</x:v>
      </x:c>
      <x:c r="H2393" s="85" t="n">
        <x:v>2455040.0210996685</x:v>
      </x:c>
      <x:c r="I2393" s="85" t="n">
        <x:v>14509479.562660271</x:v>
      </x:c>
      <x:c r="J2393" s="85" t="n">
        <x:v>11706240.000000002</x:v>
      </x:c>
      <x:c r="K2393" s="85" t="n">
        <x:v>176213.17972602756</x:v>
      </x:c>
      <x:c r="L2393" s="28" t="n">
        <x:v>43</x:v>
      </x:c>
      <x:c r="M2393" s="28" t="n">
        <x:v>37</x:v>
      </x:c>
      <x:c r="N2393" s="28" t="n">
        <x:v>4.656612873077393e-10</x:v>
      </x:c>
      <x:c r="O2393" s="28" t="n">
        <x:v>3.725290298461914e-9</x:v>
      </x:c>
      <x:c r="P2393" s="28" t="n">
        <x:v>0</x:v>
      </x:c>
      <x:c r="Q2393" s="62" t="b">
        <x:v>1</x:v>
      </x:c>
      <x:c r="R2393" s="28" t="n">
        <x:v>0</x:v>
      </x:c>
      <x:c r="S2393" s="28" t="str">
        <x:v>bb7de712a827939f</x:v>
      </x:c>
    </x:row>
    <x:row r="2394" ht="21" customHeight="1">
      <x:c r="A2394" s="60" t="n">
        <x:v>0.69</x:v>
      </x:c>
      <x:c r="B2394" s="28" t="str">
        <x:v>middle_high</x:v>
      </x:c>
      <x:c r="C2394" s="60" t="n">
        <x:v>0.65</x:v>
      </x:c>
      <x:c r="D2394" s="60" t="n">
        <x:v>0.65</x:v>
      </x:c>
      <x:c r="E2394" s="62" t="b">
        <x:v>1</x:v>
      </x:c>
      <x:c r="F2394" s="62" t="b">
        <x:v>0</x:v>
      </x:c>
      <x:c r="G2394" s="85" t="n">
        <x:v>1723732.594317075</x:v>
      </x:c>
      <x:c r="H2394" s="85" t="n">
        <x:v>5208368.27534359</x:v>
      </x:c>
      <x:c r="I2394" s="85" t="n">
        <x:v>14522392.746069176</x:v>
      </x:c>
      <x:c r="J2394" s="85" t="n">
        <x:v>11706240.000000002</x:v>
      </x:c>
      <x:c r="K2394" s="85" t="n">
        <x:v>152790.83424657542</x:v>
      </x:c>
      <x:c r="L2394" s="28" t="n">
        <x:v>43</x:v>
      </x:c>
      <x:c r="M2394" s="28" t="n">
        <x:v>38</x:v>
      </x:c>
      <x:c r="N2394" s="28" t="n">
        <x:v>4.656612873077393e-10</x:v>
      </x:c>
      <x:c r="O2394" s="28" t="n">
        <x:v>1.862645149230957e-9</x:v>
      </x:c>
      <x:c r="P2394" s="28" t="n">
        <x:v>0</x:v>
      </x:c>
      <x:c r="Q2394" s="62" t="b">
        <x:v>1</x:v>
      </x:c>
      <x:c r="R2394" s="28" t="n">
        <x:v>0</x:v>
      </x:c>
      <x:c r="S2394" s="28" t="str">
        <x:v>13bbf67fe16c149d</x:v>
      </x:c>
    </x:row>
    <x:row r="2395" ht="21" customHeight="1">
      <x:c r="A2395" s="60" t="n">
        <x:v>0.69</x:v>
      </x:c>
      <x:c r="B2395" s="28" t="str">
        <x:v>middle_high</x:v>
      </x:c>
      <x:c r="C2395" s="60" t="n">
        <x:v>0.7</x:v>
      </x:c>
      <x:c r="D2395" s="60" t="n">
        <x:v>0.7</x:v>
      </x:c>
      <x:c r="E2395" s="62" t="b">
        <x:v>1</x:v>
      </x:c>
      <x:c r="F2395" s="62" t="b">
        <x:v>0</x:v>
      </x:c>
      <x:c r="G2395" s="85" t="n">
        <x:v>2471844.555314133</x:v>
      </x:c>
      <x:c r="H2395" s="85" t="n">
        <x:v>7452369.811505167</x:v>
      </x:c>
      <x:c r="I2395" s="85" t="n">
        <x:v>14819458.402191779</x:v>
      </x:c>
      <x:c r="J2395" s="85" t="n">
        <x:v>11706240.000000002</x:v>
      </x:c>
      <x:c r="K2395" s="85" t="n">
        <x:v>138421.77271232795</x:v>
      </x:c>
      <x:c r="L2395" s="28" t="n">
        <x:v>44</x:v>
      </x:c>
      <x:c r="M2395" s="28" t="n">
        <x:v>38</x:v>
      </x:c>
      <x:c r="N2395" s="28" t="n">
        <x:v>4.656612873077393e-10</x:v>
      </x:c>
      <x:c r="O2395" s="28" t="n">
        <x:v>3.725290298461914e-9</x:v>
      </x:c>
      <x:c r="P2395" s="28" t="n">
        <x:v>0</x:v>
      </x:c>
      <x:c r="Q2395" s="62" t="b">
        <x:v>1</x:v>
      </x:c>
      <x:c r="R2395" s="28" t="n">
        <x:v>0</x:v>
      </x:c>
      <x:c r="S2395" s="28" t="str">
        <x:v>431663d2091b7698</x:v>
      </x:c>
    </x:row>
    <x:row r="2396" ht="21" customHeight="1">
      <x:c r="A2396" s="60" t="n">
        <x:v>0.69</x:v>
      </x:c>
      <x:c r="B2396" s="28" t="str">
        <x:v>middle_high</x:v>
      </x:c>
      <x:c r="C2396" s="60" t="n">
        <x:v>0.75</x:v>
      </x:c>
      <x:c r="D2396" s="60" t="n">
        <x:v>0.75</x:v>
      </x:c>
      <x:c r="E2396" s="62" t="b">
        <x:v>1</x:v>
      </x:c>
      <x:c r="F2396" s="62" t="b">
        <x:v>0</x:v>
      </x:c>
      <x:c r="G2396" s="85" t="n">
        <x:v>3568077.6287367637</x:v>
      </x:c>
      <x:c r="H2396" s="85" t="n">
        <x:v>9965726.98458938</x:v>
      </x:c>
      <x:c r="I2396" s="85" t="n">
        <x:v>14819987.838246573</x:v>
      </x:c>
      <x:c r="J2396" s="85" t="n">
        <x:v>11706240.000000002</x:v>
      </x:c>
      <x:c r="K2396" s="85" t="n">
        <x:v>124052.71117808281</x:v>
      </x:c>
      <x:c r="L2396" s="28" t="n">
        <x:v>44</x:v>
      </x:c>
      <x:c r="M2396" s="28" t="n">
        <x:v>40</x:v>
      </x:c>
      <x:c r="N2396" s="28" t="n">
        <x:v>2.3283064365386963e-10</x:v>
      </x:c>
      <x:c r="O2396" s="28" t="n">
        <x:v>3.725290298461914e-9</x:v>
      </x:c>
      <x:c r="P2396" s="28" t="n">
        <x:v>0</x:v>
      </x:c>
      <x:c r="Q2396" s="62" t="b">
        <x:v>1</x:v>
      </x:c>
      <x:c r="R2396" s="28" t="n">
        <x:v>0</x:v>
      </x:c>
      <x:c r="S2396" s="28" t="str">
        <x:v>6b7044efb51c262c</x:v>
      </x:c>
    </x:row>
    <x:row r="2397" ht="21" customHeight="1">
      <x:c r="A2397" s="60" t="n">
        <x:v>0.69</x:v>
      </x:c>
      <x:c r="B2397" s="28" t="str">
        <x:v>middle_high</x:v>
      </x:c>
      <x:c r="C2397" s="60" t="n">
        <x:v>0.8</x:v>
      </x:c>
      <x:c r="D2397" s="60" t="n">
        <x:v>0.8</x:v>
      </x:c>
      <x:c r="E2397" s="62" t="b">
        <x:v>1</x:v>
      </x:c>
      <x:c r="F2397" s="62" t="b">
        <x:v>0</x:v>
      </x:c>
      <x:c r="G2397" s="85" t="n">
        <x:v>4588582.854679751</x:v>
      </x:c>
      <x:c r="H2397" s="85" t="n">
        <x:v>12442495.706417063</x:v>
      </x:c>
      <x:c r="I2397" s="85" t="n">
        <x:v>14829701.529950682</x:v>
      </x:c>
      <x:c r="J2397" s="85" t="n">
        <x:v>11706240.000000002</x:v>
      </x:c>
      <x:c r="K2397" s="85" t="n">
        <x:v>114255.45983561629</x:v>
      </x:c>
      <x:c r="L2397" s="28" t="n">
        <x:v>44</x:v>
      </x:c>
      <x:c r="M2397" s="28" t="n">
        <x:v>40</x:v>
      </x:c>
      <x:c r="N2397" s="28" t="n">
        <x:v>4.656612873077393e-10</x:v>
      </x:c>
      <x:c r="O2397" s="28" t="n">
        <x:v>1.862645149230957e-9</x:v>
      </x:c>
      <x:c r="P2397" s="28" t="n">
        <x:v>0</x:v>
      </x:c>
      <x:c r="Q2397" s="62" t="b">
        <x:v>1</x:v>
      </x:c>
      <x:c r="R2397" s="28" t="n">
        <x:v>0</x:v>
      </x:c>
      <x:c r="S2397" s="28" t="str">
        <x:v>1a49379152f8d2d1</x:v>
      </x:c>
    </x:row>
    <x:row r="2398" ht="21" customHeight="1">
      <x:c r="A2398" s="60" t="n">
        <x:v>0.69</x:v>
      </x:c>
      <x:c r="B2398" s="28" t="str">
        <x:v>middle_high</x:v>
      </x:c>
      <x:c r="C2398" s="60" t="n">
        <x:v>0.85</x:v>
      </x:c>
      <x:c r="D2398" s="60" t="n">
        <x:v>0.85</x:v>
      </x:c>
      <x:c r="E2398" s="62" t="b">
        <x:v>1</x:v>
      </x:c>
      <x:c r="F2398" s="62" t="b">
        <x:v>0</x:v>
      </x:c>
      <x:c r="G2398" s="85" t="n">
        <x:v>5659605.004895499</x:v>
      </x:c>
      <x:c r="H2398" s="85" t="n">
        <x:v>14918314.688778866</x:v>
      </x:c>
      <x:c r="I2398" s="85" t="n">
        <x:v>14839415.221654791</x:v>
      </x:c>
      <x:c r="J2398" s="85" t="n">
        <x:v>11706240.000000002</x:v>
      </x:c>
      <x:c r="K2398" s="85" t="n">
        <x:v>107025.25046575331</x:v>
      </x:c>
      <x:c r="L2398" s="28" t="n">
        <x:v>44</x:v>
      </x:c>
      <x:c r="M2398" s="28" t="n">
        <x:v>40</x:v>
      </x:c>
      <x:c r="N2398" s="28" t="n">
        <x:v>4.656612873077393e-10</x:v>
      </x:c>
      <x:c r="O2398" s="28" t="n">
        <x:v>3.725290298461914e-9</x:v>
      </x:c>
      <x:c r="P2398" s="28" t="n">
        <x:v>0</x:v>
      </x:c>
      <x:c r="Q2398" s="62" t="b">
        <x:v>1</x:v>
      </x:c>
      <x:c r="R2398" s="28" t="n">
        <x:v>0</x:v>
      </x:c>
      <x:c r="S2398" s="28" t="str">
        <x:v>6e44e49ab2d95592</x:v>
      </x:c>
    </x:row>
    <x:row r="2399" ht="21" customHeight="1">
      <x:c r="A2399" s="60" t="n">
        <x:v>0.69</x:v>
      </x:c>
      <x:c r="B2399" s="28" t="str">
        <x:v>middle_high</x:v>
      </x:c>
      <x:c r="C2399" s="60" t="n">
        <x:v>0.9</x:v>
      </x:c>
      <x:c r="D2399" s="60" t="n">
        <x:v>0.9</x:v>
      </x:c>
      <x:c r="E2399" s="62" t="b">
        <x:v>1</x:v>
      </x:c>
      <x:c r="F2399" s="62" t="b">
        <x:v>0</x:v>
      </x:c>
      <x:c r="G2399" s="85" t="n">
        <x:v>7023659.148214007</x:v>
      </x:c>
      <x:c r="H2399" s="85" t="n">
        <x:v>16003102.938893456</x:v>
      </x:c>
      <x:c r="I2399" s="85" t="n">
        <x:v>15158779.002739724</x:v>
      </x:c>
      <x:c r="J2399" s="85" t="n">
        <x:v>11706240.000000002</x:v>
      </x:c>
      <x:c r="K2399" s="85" t="n">
        <x:v>99795.04109589058</x:v>
      </x:c>
      <x:c r="L2399" s="28" t="n">
        <x:v>45</x:v>
      </x:c>
      <x:c r="M2399" s="28" t="n">
        <x:v>41</x:v>
      </x:c>
      <x:c r="N2399" s="28" t="n">
        <x:v>4.656612873077393e-10</x:v>
      </x:c>
      <x:c r="O2399" s="28" t="n">
        <x:v>3.725290298461914e-9</x:v>
      </x:c>
      <x:c r="P2399" s="28" t="n">
        <x:v>0</x:v>
      </x:c>
      <x:c r="Q2399" s="62" t="b">
        <x:v>1</x:v>
      </x:c>
      <x:c r="R2399" s="28" t="n">
        <x:v>0</x:v>
      </x:c>
      <x:c r="S2399" s="28" t="str">
        <x:v>ec6f1b24962ee11a</x:v>
      </x:c>
    </x:row>
    <x:row r="2400" ht="21" customHeight="1">
      <x:c r="A2400" s="60" t="n">
        <x:v>0.69</x:v>
      </x:c>
      <x:c r="B2400" s="28" t="str">
        <x:v>middle_high</x:v>
      </x:c>
      <x:c r="C2400" s="60" t="n">
        <x:v>0.95</x:v>
      </x:c>
      <x:c r="D2400" s="60" t="n">
        <x:v>0.9270639118581285</x:v>
      </x:c>
      <x:c r="E2400" s="62" t="b">
        <x:v>0</x:v>
      </x:c>
      <x:c r="F2400" s="62" t="b">
        <x:v>0</x:v>
      </x:c>
      <x:c r="G2400" s="85" t="n">
        <x:v>7731820.48429965</x:v>
      </x:c>
      <x:c r="H2400" s="85" t="n">
        <x:v>17091540.523338072</x:v>
      </x:c>
      <x:c r="I2400" s="85" t="n">
        <x:v>15165293.31756712</x:v>
      </x:c>
      <x:c r="J2400" s="85" t="n">
        <x:v>11706240.000000002</x:v>
      </x:c>
      <x:c r="K2400" s="85" t="n">
        <x:v>92564.83172602738</x:v>
      </x:c>
      <x:c r="L2400" s="28" t="n">
        <x:v>45</x:v>
      </x:c>
      <x:c r="M2400" s="28" t="n">
        <x:v>41</x:v>
      </x:c>
      <x:c r="N2400" s="28" t="n">
        <x:v>4.656612873077393e-10</x:v>
      </x:c>
      <x:c r="O2400" s="28" t="n">
        <x:v>3.725290298461914e-9</x:v>
      </x:c>
      <x:c r="P2400" s="28" t="n">
        <x:v>0</x:v>
      </x:c>
      <x:c r="Q2400" s="62" t="b">
        <x:v>1</x:v>
      </x:c>
      <x:c r="R2400" s="28" t="n">
        <x:v>1278549.2973804846</x:v>
      </x:c>
      <x:c r="S2400" s="28" t="str">
        <x:v>2f2ac6ece91307e0</x:v>
      </x:c>
    </x:row>
    <x:row r="2401" ht="21" customHeight="1">
      <x:c r="A2401" s="60" t="n">
        <x:v>0.69</x:v>
      </x:c>
      <x:c r="B2401" s="28" t="str">
        <x:v>middle_high</x:v>
      </x:c>
      <x:c r="C2401" s="60" t="n">
        <x:v>1</x:v>
      </x:c>
      <x:c r="D2401" s="60" t="n">
        <x:v>0.9427455891708479</x:v>
      </x:c>
      <x:c r="E2401" s="62" t="b">
        <x:v>0</x:v>
      </x:c>
      <x:c r="F2401" s="62" t="b">
        <x:v>0</x:v>
      </x:c>
      <x:c r="G2401" s="85" t="n">
        <x:v>8402650.554991277</x:v>
      </x:c>
      <x:c r="H2401" s="85" t="n">
        <x:v>17805886.076142065</x:v>
      </x:c>
      <x:c r="I2401" s="85" t="n">
        <x:v>15172516.472986298</x:v>
      </x:c>
      <x:c r="J2401" s="85" t="n">
        <x:v>11706240.000000002</x:v>
      </x:c>
      <x:c r="K2401" s="85" t="n">
        <x:v>85334.6223561651</x:v>
      </x:c>
      <x:c r="L2401" s="28" t="n">
        <x:v>45</x:v>
      </x:c>
      <x:c r="M2401" s="28" t="n">
        <x:v>42</x:v>
      </x:c>
      <x:c r="N2401" s="28" t="n">
        <x:v>2.3283064365386963e-10</x:v>
      </x:c>
      <x:c r="O2401" s="28" t="n">
        <x:v>9.313225746154785e-10</x:v>
      </x:c>
      <x:c r="P2401" s="28" t="n">
        <x:v>0</x:v>
      </x:c>
      <x:c r="Q2401" s="62" t="b">
        <x:v>1</x:v>
      </x:c>
      <x:c r="R2401" s="28" t="n">
        <x:v>3191589.877260253</x:v>
      </x:c>
      <x:c r="S2401" s="28" t="str">
        <x:v>cc3e658949a1017a</x:v>
      </x:c>
    </x:row>
    <x:row r="2402" ht="21" customHeight="1">
      <x:c r="A2402" s="60" t="n">
        <x:v>0.69</x:v>
      </x:c>
      <x:c r="B2402" s="28" t="str">
        <x:v>back_flat</x:v>
      </x:c>
      <x:c r="C2402" s="60" t="n">
        <x:v>0</x:v>
      </x:c>
      <x:c r="D2402" s="60" t="n">
        <x:v>0</x:v>
      </x:c>
      <x:c r="E2402" s="62" t="b">
        <x:v>1</x:v>
      </x:c>
      <x:c r="F2402" s="62" t="b">
        <x:v>1</x:v>
      </x:c>
      <x:c r="G2402" s="85" t="n">
        <x:v>0</x:v>
      </x:c>
      <x:c r="H2402" s="85" t="n">
        <x:v>0</x:v>
      </x:c>
      <x:c r="I2402" s="85" t="n">
        <x:v>0</x:v>
      </x:c>
      <x:c r="J2402" s="85" t="n">
        <x:v>0</x:v>
      </x:c>
      <x:c r="K2402" s="85" t="n">
        <x:v>6769096.855671233</x:v>
      </x:c>
      <x:c r="L2402" s="28" t="n">
        <x:v>0</x:v>
      </x:c>
      <x:c r="M2402" s="28" t="n">
        <x:v>0</x:v>
      </x:c>
      <x:c r="N2402" s="28" t="n">
        <x:v>9.313225746154785e-10</x:v>
      </x:c>
      <x:c r="O2402" s="28" t="n">
        <x:v>0</x:v>
      </x:c>
      <x:c r="P2402" s="28" t="n">
        <x:v>0</x:v>
      </x:c>
      <x:c r="Q2402" s="62" t="b">
        <x:v>1</x:v>
      </x:c>
      <x:c r="R2402" s="28" t="n">
        <x:v>0</x:v>
      </x:c>
      <x:c r="S2402" s="28" t="str">
        <x:v>678f1944664a5c3d</x:v>
      </x:c>
    </x:row>
    <x:row r="2403" ht="21" customHeight="1">
      <x:c r="A2403" s="60" t="n">
        <x:v>0.69</x:v>
      </x:c>
      <x:c r="B2403" s="28" t="str">
        <x:v>back_flat</x:v>
      </x:c>
      <x:c r="C2403" s="60" t="n">
        <x:v>0.05</x:v>
      </x:c>
      <x:c r="D2403" s="60" t="n">
        <x:v>0.05</x:v>
      </x:c>
      <x:c r="E2403" s="62" t="b">
        <x:v>1</x:v>
      </x:c>
      <x:c r="F2403" s="62" t="b">
        <x:v>1</x:v>
      </x:c>
      <x:c r="G2403" s="85" t="n">
        <x:v>0</x:v>
      </x:c>
      <x:c r="H2403" s="85" t="n">
        <x:v>0</x:v>
      </x:c>
      <x:c r="I2403" s="85" t="n">
        <x:v>0</x:v>
      </x:c>
      <x:c r="J2403" s="85" t="n">
        <x:v>0</x:v>
      </x:c>
      <x:c r="K2403" s="85" t="n">
        <x:v>4576779.606936934</x:v>
      </x:c>
      <x:c r="L2403" s="28" t="n">
        <x:v>0</x:v>
      </x:c>
      <x:c r="M2403" s="28" t="n">
        <x:v>0</x:v>
      </x:c>
      <x:c r="N2403" s="28" t="n">
        <x:v>9.313225746154785e-10</x:v>
      </x:c>
      <x:c r="O2403" s="28" t="n">
        <x:v>7.450580596923828e-9</x:v>
      </x:c>
      <x:c r="P2403" s="28" t="n">
        <x:v>0</x:v>
      </x:c>
      <x:c r="Q2403" s="62" t="b">
        <x:v>1</x:v>
      </x:c>
      <x:c r="R2403" s="28" t="n">
        <x:v>0</x:v>
      </x:c>
      <x:c r="S2403" s="28" t="str">
        <x:v>038738e3cc13a39b</x:v>
      </x:c>
    </x:row>
    <x:row r="2404" ht="21" customHeight="1">
      <x:c r="A2404" s="60" t="n">
        <x:v>0.69</x:v>
      </x:c>
      <x:c r="B2404" s="28" t="str">
        <x:v>back_flat</x:v>
      </x:c>
      <x:c r="C2404" s="60" t="n">
        <x:v>0.1</x:v>
      </x:c>
      <x:c r="D2404" s="60" t="n">
        <x:v>0.1</x:v>
      </x:c>
      <x:c r="E2404" s="62" t="b">
        <x:v>1</x:v>
      </x:c>
      <x:c r="F2404" s="62" t="b">
        <x:v>1</x:v>
      </x:c>
      <x:c r="G2404" s="85" t="n">
        <x:v>0</x:v>
      </x:c>
      <x:c r="H2404" s="85" t="n">
        <x:v>0</x:v>
      </x:c>
      <x:c r="I2404" s="85" t="n">
        <x:v>0</x:v>
      </x:c>
      <x:c r="J2404" s="85" t="n">
        <x:v>0</x:v>
      </x:c>
      <x:c r="K2404" s="85" t="n">
        <x:v>2384462.3582026567</x:v>
      </x:c>
      <x:c r="L2404" s="28" t="n">
        <x:v>0</x:v>
      </x:c>
      <x:c r="M2404" s="28" t="n">
        <x:v>0</x:v>
      </x:c>
      <x:c r="N2404" s="28" t="n">
        <x:v>4.656612873077393e-10</x:v>
      </x:c>
      <x:c r="O2404" s="28" t="n">
        <x:v>7.450580596923828e-9</x:v>
      </x:c>
      <x:c r="P2404" s="28" t="n">
        <x:v>0</x:v>
      </x:c>
      <x:c r="Q2404" s="62" t="b">
        <x:v>1</x:v>
      </x:c>
      <x:c r="R2404" s="28" t="n">
        <x:v>0</x:v>
      </x:c>
      <x:c r="S2404" s="28" t="str">
        <x:v>16314331ef694c6c</x:v>
      </x:c>
    </x:row>
    <x:row r="2405" ht="21" customHeight="1">
      <x:c r="A2405" s="60" t="n">
        <x:v>0.69</x:v>
      </x:c>
      <x:c r="B2405" s="28" t="str">
        <x:v>back_flat</x:v>
      </x:c>
      <x:c r="C2405" s="60" t="n">
        <x:v>0.15</x:v>
      </x:c>
      <x:c r="D2405" s="60" t="n">
        <x:v>0.15</x:v>
      </x:c>
      <x:c r="E2405" s="62" t="b">
        <x:v>1</x:v>
      </x:c>
      <x:c r="F2405" s="62" t="b">
        <x:v>1</x:v>
      </x:c>
      <x:c r="G2405" s="85" t="n">
        <x:v>0</x:v>
      </x:c>
      <x:c r="H2405" s="85" t="n">
        <x:v>0</x:v>
      </x:c>
      <x:c r="I2405" s="85" t="n">
        <x:v>355978.323364575</x:v>
      </x:c>
      <x:c r="J2405" s="85" t="n">
        <x:v>0</x:v>
      </x:c>
      <x:c r="K2405" s="85" t="n">
        <x:v>598957.8149906516</x:v>
      </x:c>
      <x:c r="L2405" s="28" t="n">
        <x:v>0</x:v>
      </x:c>
      <x:c r="M2405" s="28" t="n">
        <x:v>0</x:v>
      </x:c>
      <x:c r="N2405" s="28" t="n">
        <x:v>9.313225746154785e-10</x:v>
      </x:c>
      <x:c r="O2405" s="28" t="n">
        <x:v>7.450580596923828e-9</x:v>
      </x:c>
      <x:c r="P2405" s="28" t="n">
        <x:v>0</x:v>
      </x:c>
      <x:c r="Q2405" s="62" t="b">
        <x:v>1</x:v>
      </x:c>
      <x:c r="R2405" s="28" t="n">
        <x:v>0</x:v>
      </x:c>
      <x:c r="S2405" s="28" t="str">
        <x:v>b5e73203c06fbe87</x:v>
      </x:c>
    </x:row>
    <x:row r="2406" ht="21" customHeight="1">
      <x:c r="A2406" s="60" t="n">
        <x:v>0.69</x:v>
      </x:c>
      <x:c r="B2406" s="28" t="str">
        <x:v>back_flat</x:v>
      </x:c>
      <x:c r="C2406" s="60" t="n">
        <x:v>0.2</x:v>
      </x:c>
      <x:c r="D2406" s="60" t="n">
        <x:v>0.2</x:v>
      </x:c>
      <x:c r="E2406" s="62" t="b">
        <x:v>1</x:v>
      </x:c>
      <x:c r="F2406" s="62" t="b">
        <x:v>1</x:v>
      </x:c>
      <x:c r="G2406" s="85" t="n">
        <x:v>0</x:v>
      </x:c>
      <x:c r="H2406" s="85" t="n">
        <x:v>0</x:v>
      </x:c>
      <x:c r="I2406" s="85" t="n">
        <x:v>1751764.0411788162</x:v>
      </x:c>
      <x:c r="J2406" s="85" t="n">
        <x:v>1245718.9057329379</x:v>
      </x:c>
      <x:c r="K2406" s="85" t="n">
        <x:v>495079.94774541125</x:v>
      </x:c>
      <x:c r="L2406" s="28" t="n">
        <x:v>0</x:v>
      </x:c>
      <x:c r="M2406" s="28" t="n">
        <x:v>0</x:v>
      </x:c>
      <x:c r="N2406" s="28" t="n">
        <x:v>2.3283064365386963e-10</x:v>
      </x:c>
      <x:c r="O2406" s="28" t="n">
        <x:v>7.450580596923828e-9</x:v>
      </x:c>
      <x:c r="P2406" s="28" t="n">
        <x:v>0</x:v>
      </x:c>
      <x:c r="Q2406" s="62" t="b">
        <x:v>1</x:v>
      </x:c>
      <x:c r="R2406" s="28" t="n">
        <x:v>0</x:v>
      </x:c>
      <x:c r="S2406" s="28" t="str">
        <x:v>7486f803f01bd14b</x:v>
      </x:c>
    </x:row>
    <x:row r="2407" ht="21" customHeight="1">
      <x:c r="A2407" s="60" t="n">
        <x:v>0.69</x:v>
      </x:c>
      <x:c r="B2407" s="28" t="str">
        <x:v>back_flat</x:v>
      </x:c>
      <x:c r="C2407" s="60" t="n">
        <x:v>0.25</x:v>
      </x:c>
      <x:c r="D2407" s="60" t="n">
        <x:v>0.25</x:v>
      </x:c>
      <x:c r="E2407" s="62" t="b">
        <x:v>1</x:v>
      </x:c>
      <x:c r="F2407" s="62" t="b">
        <x:v>1</x:v>
      </x:c>
      <x:c r="G2407" s="85" t="n">
        <x:v>0</x:v>
      </x:c>
      <x:c r="H2407" s="85" t="n">
        <x:v>0</x:v>
      </x:c>
      <x:c r="I2407" s="85" t="n">
        <x:v>2851156.6621036744</x:v>
      </x:c>
      <x:c r="J2407" s="85" t="n">
        <x:v>2950748.6321661994</x:v>
      </x:c>
      <x:c r="K2407" s="85" t="n">
        <x:v>417913.1892117926</x:v>
      </x:c>
      <x:c r="L2407" s="28" t="n">
        <x:v>0</x:v>
      </x:c>
      <x:c r="M2407" s="28" t="n">
        <x:v>0</x:v>
      </x:c>
      <x:c r="N2407" s="28" t="n">
        <x:v>9.313225746154785e-10</x:v>
      </x:c>
      <x:c r="O2407" s="28" t="n">
        <x:v>7.450580596923828e-9</x:v>
      </x:c>
      <x:c r="P2407" s="28" t="n">
        <x:v>0</x:v>
      </x:c>
      <x:c r="Q2407" s="62" t="b">
        <x:v>1</x:v>
      </x:c>
      <x:c r="R2407" s="28" t="n">
        <x:v>0</x:v>
      </x:c>
      <x:c r="S2407" s="28" t="str">
        <x:v>b4558552bfa5f681</x:v>
      </x:c>
    </x:row>
    <x:row r="2408" ht="21" customHeight="1">
      <x:c r="A2408" s="60" t="n">
        <x:v>0.69</x:v>
      </x:c>
      <x:c r="B2408" s="28" t="str">
        <x:v>back_flat</x:v>
      </x:c>
      <x:c r="C2408" s="60" t="n">
        <x:v>0.3</x:v>
      </x:c>
      <x:c r="D2408" s="60" t="n">
        <x:v>0.3</x:v>
      </x:c>
      <x:c r="E2408" s="62" t="b">
        <x:v>1</x:v>
      </x:c>
      <x:c r="F2408" s="62" t="b">
        <x:v>1</x:v>
      </x:c>
      <x:c r="G2408" s="85" t="n">
        <x:v>0</x:v>
      </x:c>
      <x:c r="H2408" s="85" t="n">
        <x:v>0</x:v>
      </x:c>
      <x:c r="I2408" s="85" t="n">
        <x:v>3971492.104780959</x:v>
      </x:c>
      <x:c r="J2408" s="85" t="n">
        <x:v>4655778.358599428</x:v>
      </x:c>
      <x:c r="K2408" s="85" t="n">
        <x:v>359811.94772120606</x:v>
      </x:c>
      <x:c r="L2408" s="28" t="n">
        <x:v>0</x:v>
      </x:c>
      <x:c r="M2408" s="28" t="n">
        <x:v>0</x:v>
      </x:c>
      <x:c r="N2408" s="28" t="n">
        <x:v>4.656612873077393e-10</x:v>
      </x:c>
      <x:c r="O2408" s="28" t="n">
        <x:v>7.450580596923828e-9</x:v>
      </x:c>
      <x:c r="P2408" s="28" t="n">
        <x:v>0</x:v>
      </x:c>
      <x:c r="Q2408" s="62" t="b">
        <x:v>1</x:v>
      </x:c>
      <x:c r="R2408" s="28" t="n">
        <x:v>0</x:v>
      </x:c>
      <x:c r="S2408" s="28" t="str">
        <x:v>f6ce4928520a5129</x:v>
      </x:c>
    </x:row>
    <x:row r="2409" ht="21" customHeight="1">
      <x:c r="A2409" s="60" t="n">
        <x:v>0.69</x:v>
      </x:c>
      <x:c r="B2409" s="28" t="str">
        <x:v>back_flat</x:v>
      </x:c>
      <x:c r="C2409" s="60" t="n">
        <x:v>0.35</x:v>
      </x:c>
      <x:c r="D2409" s="60" t="n">
        <x:v>0.35</x:v>
      </x:c>
      <x:c r="E2409" s="62" t="b">
        <x:v>1</x:v>
      </x:c>
      <x:c r="F2409" s="62" t="b">
        <x:v>1</x:v>
      </x:c>
      <x:c r="G2409" s="85" t="n">
        <x:v>0</x:v>
      </x:c>
      <x:c r="H2409" s="85" t="n">
        <x:v>0</x:v>
      </x:c>
      <x:c r="I2409" s="85" t="n">
        <x:v>5386829.951072642</x:v>
      </x:c>
      <x:c r="J2409" s="85" t="n">
        <x:v>5695924.358757176</x:v>
      </x:c>
      <x:c r="K2409" s="85" t="n">
        <x:v>314517.68715419195</x:v>
      </x:c>
      <x:c r="L2409" s="28" t="n">
        <x:v>5</x:v>
      </x:c>
      <x:c r="M2409" s="28" t="n">
        <x:v>0</x:v>
      </x:c>
      <x:c r="N2409" s="28" t="n">
        <x:v>2.3283064365386963e-10</x:v>
      </x:c>
      <x:c r="O2409" s="28" t="n">
        <x:v>3.725290298461914e-9</x:v>
      </x:c>
      <x:c r="P2409" s="28" t="n">
        <x:v>0</x:v>
      </x:c>
      <x:c r="Q2409" s="62" t="b">
        <x:v>1</x:v>
      </x:c>
      <x:c r="R2409" s="28" t="n">
        <x:v>0</x:v>
      </x:c>
      <x:c r="S2409" s="28" t="str">
        <x:v>1cd33419ec950b03</x:v>
      </x:c>
    </x:row>
    <x:row r="2410" ht="21" customHeight="1">
      <x:c r="A2410" s="60" t="n">
        <x:v>0.69</x:v>
      </x:c>
      <x:c r="B2410" s="28" t="str">
        <x:v>back_flat</x:v>
      </x:c>
      <x:c r="C2410" s="60" t="n">
        <x:v>0.4</x:v>
      </x:c>
      <x:c r="D2410" s="60" t="n">
        <x:v>0.4</x:v>
      </x:c>
      <x:c r="E2410" s="62" t="b">
        <x:v>1</x:v>
      </x:c>
      <x:c r="F2410" s="62" t="b">
        <x:v>1</x:v>
      </x:c>
      <x:c r="G2410" s="85" t="n">
        <x:v>0</x:v>
      </x:c>
      <x:c r="H2410" s="85" t="n">
        <x:v>0</x:v>
      </x:c>
      <x:c r="I2410" s="85" t="n">
        <x:v>6780254.417758206</x:v>
      </x:c>
      <x:c r="J2410" s="85" t="n">
        <x:v>6791882.282858557</x:v>
      </x:c>
      <x:c r="K2410" s="85" t="n">
        <x:v>269223.4265871786</x:v>
      </x:c>
      <x:c r="L2410" s="28" t="n">
        <x:v>10</x:v>
      </x:c>
      <x:c r="M2410" s="28" t="n">
        <x:v>0</x:v>
      </x:c>
      <x:c r="N2410" s="28" t="n">
        <x:v>9.313225746154785e-10</x:v>
      </x:c>
      <x:c r="O2410" s="28" t="n">
        <x:v>7.450580596923828e-9</x:v>
      </x:c>
      <x:c r="P2410" s="28" t="n">
        <x:v>0</x:v>
      </x:c>
      <x:c r="Q2410" s="62" t="b">
        <x:v>1</x:v>
      </x:c>
      <x:c r="R2410" s="28" t="n">
        <x:v>0</x:v>
      </x:c>
      <x:c r="S2410" s="28" t="str">
        <x:v>480b6e0bc8451b0c</x:v>
      </x:c>
    </x:row>
    <x:row r="2411" ht="21" customHeight="1">
      <x:c r="A2411" s="60" t="n">
        <x:v>0.69</x:v>
      </x:c>
      <x:c r="B2411" s="28" t="str">
        <x:v>back_flat</x:v>
      </x:c>
      <x:c r="C2411" s="60" t="n">
        <x:v>0.45</x:v>
      </x:c>
      <x:c r="D2411" s="60" t="n">
        <x:v>0.45</x:v>
      </x:c>
      <x:c r="E2411" s="62" t="b">
        <x:v>1</x:v>
      </x:c>
      <x:c r="F2411" s="62" t="b">
        <x:v>1</x:v>
      </x:c>
      <x:c r="G2411" s="85" t="n">
        <x:v>0</x:v>
      </x:c>
      <x:c r="H2411" s="85" t="n">
        <x:v>0</x:v>
      </x:c>
      <x:c r="I2411" s="85" t="n">
        <x:v>7915847.0178833</x:v>
      </x:c>
      <x:c r="J2411" s="85" t="n">
        <x:v>8471493.112523649</x:v>
      </x:c>
      <x:c r="K2411" s="85" t="n">
        <x:v>240819.2199774246</x:v>
      </x:c>
      <x:c r="L2411" s="28" t="n">
        <x:v>12</x:v>
      </x:c>
      <x:c r="M2411" s="28" t="n">
        <x:v>0</x:v>
      </x:c>
      <x:c r="N2411" s="28" t="n">
        <x:v>4.656612873077393e-10</x:v>
      </x:c>
      <x:c r="O2411" s="28" t="n">
        <x:v>7.450580596923828e-9</x:v>
      </x:c>
      <x:c r="P2411" s="28" t="n">
        <x:v>0</x:v>
      </x:c>
      <x:c r="Q2411" s="62" t="b">
        <x:v>1</x:v>
      </x:c>
      <x:c r="R2411" s="28" t="n">
        <x:v>0</x:v>
      </x:c>
      <x:c r="S2411" s="28" t="str">
        <x:v>64664459c90570fa</x:v>
      </x:c>
    </x:row>
    <x:row r="2412" ht="21" customHeight="1">
      <x:c r="A2412" s="60" t="n">
        <x:v>0.69</x:v>
      </x:c>
      <x:c r="B2412" s="28" t="str">
        <x:v>back_flat</x:v>
      </x:c>
      <x:c r="C2412" s="60" t="n">
        <x:v>0.5</x:v>
      </x:c>
      <x:c r="D2412" s="60" t="n">
        <x:v>0.5</x:v>
      </x:c>
      <x:c r="E2412" s="62" t="b">
        <x:v>1</x:v>
      </x:c>
      <x:c r="F2412" s="62" t="b">
        <x:v>1</x:v>
      </x:c>
      <x:c r="G2412" s="85" t="n">
        <x:v>0</x:v>
      </x:c>
      <x:c r="H2412" s="85" t="n">
        <x:v>0</x:v>
      </x:c>
      <x:c r="I2412" s="85" t="n">
        <x:v>9134987.362447262</x:v>
      </x:c>
      <x:c r="J2412" s="85" t="n">
        <x:v>9922504.743627742</x:v>
      </x:c>
      <x:c r="K2412" s="85" t="n">
        <x:v>215065.45059287647</x:v>
      </x:c>
      <x:c r="L2412" s="28" t="n">
        <x:v>16</x:v>
      </x:c>
      <x:c r="M2412" s="28" t="n">
        <x:v>4</x:v>
      </x:c>
      <x:c r="N2412" s="28" t="n">
        <x:v>9.313225746154785e-10</x:v>
      </x:c>
      <x:c r="O2412" s="28" t="n">
        <x:v>1.862645149230957e-9</x:v>
      </x:c>
      <x:c r="P2412" s="28" t="n">
        <x:v>0</x:v>
      </x:c>
      <x:c r="Q2412" s="62" t="b">
        <x:v>1</x:v>
      </x:c>
      <x:c r="R2412" s="28" t="n">
        <x:v>0</x:v>
      </x:c>
      <x:c r="S2412" s="28" t="str">
        <x:v>1fc910588b8fe5e3</x:v>
      </x:c>
    </x:row>
    <x:row r="2413" ht="21" customHeight="1">
      <x:c r="A2413" s="60" t="n">
        <x:v>0.69</x:v>
      </x:c>
      <x:c r="B2413" s="28" t="str">
        <x:v>back_flat</x:v>
      </x:c>
      <x:c r="C2413" s="60" t="n">
        <x:v>0.55</x:v>
      </x:c>
      <x:c r="D2413" s="60" t="n">
        <x:v>0.55</x:v>
      </x:c>
      <x:c r="E2413" s="62" t="b">
        <x:v>1</x:v>
      </x:c>
      <x:c r="F2413" s="62" t="b">
        <x:v>0</x:v>
      </x:c>
      <x:c r="G2413" s="85" t="n">
        <x:v>56495.63954789799</x:v>
      </x:c>
      <x:c r="H2413" s="85" t="n">
        <x:v>299464.37176908995</x:v>
      </x:c>
      <x:c r="I2413" s="85" t="n">
        <x:v>9974965.769648219</x:v>
      </x:c>
      <x:c r="J2413" s="85" t="n">
        <x:v>11706240.000000002</x:v>
      </x:c>
      <x:c r="K2413" s="85" t="n">
        <x:v>189311.68120832965</x:v>
      </x:c>
      <x:c r="L2413" s="28" t="n">
        <x:v>40</x:v>
      </x:c>
      <x:c r="M2413" s="28" t="n">
        <x:v>31</x:v>
      </x:c>
      <x:c r="N2413" s="28" t="n">
        <x:v>4.656612873077393e-10</x:v>
      </x:c>
      <x:c r="O2413" s="28" t="n">
        <x:v>7.450580596923828e-9</x:v>
      </x:c>
      <x:c r="P2413" s="28" t="n">
        <x:v>0</x:v>
      </x:c>
      <x:c r="Q2413" s="62" t="b">
        <x:v>1</x:v>
      </x:c>
      <x:c r="R2413" s="28" t="n">
        <x:v>0</x:v>
      </x:c>
      <x:c r="S2413" s="28" t="str">
        <x:v>cba68e52a9e1fd00</x:v>
      </x:c>
    </x:row>
    <x:row r="2414" ht="21" customHeight="1">
      <x:c r="A2414" s="60" t="n">
        <x:v>0.69</x:v>
      </x:c>
      <x:c r="B2414" s="28" t="str">
        <x:v>back_flat</x:v>
      </x:c>
      <x:c r="C2414" s="60" t="n">
        <x:v>0.6</x:v>
      </x:c>
      <x:c r="D2414" s="60" t="n">
        <x:v>0.6</x:v>
      </x:c>
      <x:c r="E2414" s="62" t="b">
        <x:v>1</x:v>
      </x:c>
      <x:c r="F2414" s="62" t="b">
        <x:v>0</x:v>
      </x:c>
      <x:c r="G2414" s="85" t="n">
        <x:v>432365.03530941374</x:v>
      </x:c>
      <x:c r="H2414" s="85" t="n">
        <x:v>2325117.208388057</x:v>
      </x:c>
      <x:c r="I2414" s="85" t="n">
        <x:v>10223852.257138848</x:v>
      </x:c>
      <x:c r="J2414" s="85" t="n">
        <x:v>11706240.000000002</x:v>
      </x:c>
      <x:c r="K2414" s="85" t="n">
        <x:v>174439.35961643845</x:v>
      </x:c>
      <x:c r="L2414" s="28" t="n">
        <x:v>41</x:v>
      </x:c>
      <x:c r="M2414" s="28" t="n">
        <x:v>32</x:v>
      </x:c>
      <x:c r="N2414" s="28" t="n">
        <x:v>4.656612873077393e-10</x:v>
      </x:c>
      <x:c r="O2414" s="28" t="n">
        <x:v>7.450580596923828e-9</x:v>
      </x:c>
      <x:c r="P2414" s="28" t="n">
        <x:v>0</x:v>
      </x:c>
      <x:c r="Q2414" s="62" t="b">
        <x:v>1</x:v>
      </x:c>
      <x:c r="R2414" s="28" t="n">
        <x:v>0</x:v>
      </x:c>
      <x:c r="S2414" s="28" t="str">
        <x:v>69226ab5bdc9b82f</x:v>
      </x:c>
    </x:row>
    <x:row r="2415" ht="21" customHeight="1">
      <x:c r="A2415" s="60" t="n">
        <x:v>0.69</x:v>
      </x:c>
      <x:c r="B2415" s="28" t="str">
        <x:v>back_flat</x:v>
      </x:c>
      <x:c r="C2415" s="60" t="n">
        <x:v>0.65</x:v>
      </x:c>
      <x:c r="D2415" s="60" t="n">
        <x:v>0.65</x:v>
      </x:c>
      <x:c r="E2415" s="62" t="b">
        <x:v>1</x:v>
      </x:c>
      <x:c r="F2415" s="62" t="b">
        <x:v>0</x:v>
      </x:c>
      <x:c r="G2415" s="85" t="n">
        <x:v>827944.7603011157</x:v>
      </x:c>
      <x:c r="H2415" s="85" t="n">
        <x:v>4347061.9866951015</x:v>
      </x:c>
      <x:c r="I2415" s="85" t="n">
        <x:v>10457360.587397259</x:v>
      </x:c>
      <x:c r="J2415" s="85" t="n">
        <x:v>11706240.000000002</x:v>
      </x:c>
      <x:c r="K2415" s="85" t="n">
        <x:v>162696.2429178081</x:v>
      </x:c>
      <x:c r="L2415" s="28" t="n">
        <x:v>42</x:v>
      </x:c>
      <x:c r="M2415" s="28" t="n">
        <x:v>34</x:v>
      </x:c>
      <x:c r="N2415" s="28" t="n">
        <x:v>4.656612873077393e-10</x:v>
      </x:c>
      <x:c r="O2415" s="28" t="n">
        <x:v>7.450580596923828e-9</x:v>
      </x:c>
      <x:c r="P2415" s="28" t="n">
        <x:v>0</x:v>
      </x:c>
      <x:c r="Q2415" s="62" t="b">
        <x:v>1</x:v>
      </x:c>
      <x:c r="R2415" s="28" t="n">
        <x:v>0</x:v>
      </x:c>
      <x:c r="S2415" s="28" t="str">
        <x:v>df53d55978e5f0fa</x:v>
      </x:c>
    </x:row>
    <x:row r="2416" ht="21" customHeight="1">
      <x:c r="A2416" s="60" t="n">
        <x:v>0.69</x:v>
      </x:c>
      <x:c r="B2416" s="28" t="str">
        <x:v>back_flat</x:v>
      </x:c>
      <x:c r="C2416" s="60" t="n">
        <x:v>0.7</x:v>
      </x:c>
      <x:c r="D2416" s="60" t="n">
        <x:v>0.7</x:v>
      </x:c>
      <x:c r="E2416" s="62" t="b">
        <x:v>1</x:v>
      </x:c>
      <x:c r="F2416" s="62" t="b">
        <x:v>0</x:v>
      </x:c>
      <x:c r="G2416" s="85" t="n">
        <x:v>1296509.7547870062</x:v>
      </x:c>
      <x:c r="H2416" s="85" t="n">
        <x:v>6570749.249823509</x:v>
      </x:c>
      <x:c r="I2416" s="85" t="n">
        <x:v>10461469.932597367</x:v>
      </x:c>
      <x:c r="J2416" s="85" t="n">
        <x:v>11706240.000000002</x:v>
      </x:c>
      <x:c r="K2416" s="85" t="n">
        <x:v>150953.12621917832</x:v>
      </x:c>
      <x:c r="L2416" s="28" t="n">
        <x:v>42</x:v>
      </x:c>
      <x:c r="M2416" s="28" t="n">
        <x:v>34</x:v>
      </x:c>
      <x:c r="N2416" s="28" t="n">
        <x:v>2.3283064365386963e-10</x:v>
      </x:c>
      <x:c r="O2416" s="28" t="n">
        <x:v>3.725290298461914e-9</x:v>
      </x:c>
      <x:c r="P2416" s="28" t="n">
        <x:v>0</x:v>
      </x:c>
      <x:c r="Q2416" s="62" t="b">
        <x:v>1</x:v>
      </x:c>
      <x:c r="R2416" s="28" t="n">
        <x:v>0</x:v>
      </x:c>
      <x:c r="S2416" s="28" t="str">
        <x:v>80a28511951e5ceb</x:v>
      </x:c>
    </x:row>
    <x:row r="2417" ht="21" customHeight="1">
      <x:c r="A2417" s="60" t="n">
        <x:v>0.69</x:v>
      </x:c>
      <x:c r="B2417" s="28" t="str">
        <x:v>back_flat</x:v>
      </x:c>
      <x:c r="C2417" s="60" t="n">
        <x:v>0.75</x:v>
      </x:c>
      <x:c r="D2417" s="60" t="n">
        <x:v>0.75</x:v>
      </x:c>
      <x:c r="E2417" s="62" t="b">
        <x:v>1</x:v>
      </x:c>
      <x:c r="F2417" s="62" t="b">
        <x:v>0</x:v>
      </x:c>
      <x:c r="G2417" s="85" t="n">
        <x:v>1691784.9801039947</x:v>
      </x:c>
      <x:c r="H2417" s="85" t="n">
        <x:v>8467115.952321762</x:v>
      </x:c>
      <x:c r="I2417" s="85" t="n">
        <x:v>10709094.259499997</x:v>
      </x:c>
      <x:c r="J2417" s="85" t="n">
        <x:v>11706240.000000002</x:v>
      </x:c>
      <x:c r="K2417" s="85" t="n">
        <x:v>139210.0095205482</x:v>
      </x:c>
      <x:c r="L2417" s="28" t="n">
        <x:v>43</x:v>
      </x:c>
      <x:c r="M2417" s="28" t="n">
        <x:v>36</x:v>
      </x:c>
      <x:c r="N2417" s="28" t="n">
        <x:v>4.656612873077393e-10</x:v>
      </x:c>
      <x:c r="O2417" s="28" t="n">
        <x:v>7.450580596923828e-9</x:v>
      </x:c>
      <x:c r="P2417" s="28" t="n">
        <x:v>0</x:v>
      </x:c>
      <x:c r="Q2417" s="62" t="b">
        <x:v>1</x:v>
      </x:c>
      <x:c r="R2417" s="28" t="n">
        <x:v>0</x:v>
      </x:c>
      <x:c r="S2417" s="28" t="str">
        <x:v>53b9eb9af2ee26b7</x:v>
      </x:c>
    </x:row>
    <x:row r="2418" ht="21" customHeight="1">
      <x:c r="A2418" s="60" t="n">
        <x:v>0.69</x:v>
      </x:c>
      <x:c r="B2418" s="28" t="str">
        <x:v>back_flat</x:v>
      </x:c>
      <x:c r="C2418" s="60" t="n">
        <x:v>0.8</x:v>
      </x:c>
      <x:c r="D2418" s="60" t="n">
        <x:v>0.8</x:v>
      </x:c>
      <x:c r="E2418" s="62" t="b">
        <x:v>1</x:v>
      </x:c>
      <x:c r="F2418" s="62" t="b">
        <x:v>0</x:v>
      </x:c>
      <x:c r="G2418" s="85" t="n">
        <x:v>2275646.7873961944</x:v>
      </x:c>
      <x:c r="H2418" s="85" t="n">
        <x:v>10524456.62876688</x:v>
      </x:c>
      <x:c r="I2418" s="85" t="n">
        <x:v>10715492.986454792</x:v>
      </x:c>
      <x:c r="J2418" s="85" t="n">
        <x:v>11706240.000000002</x:v>
      </x:c>
      <x:c r="K2418" s="85" t="n">
        <x:v>127466.89282191815</x:v>
      </x:c>
      <x:c r="L2418" s="28" t="n">
        <x:v>43</x:v>
      </x:c>
      <x:c r="M2418" s="28" t="n">
        <x:v>36</x:v>
      </x:c>
      <x:c r="N2418" s="28" t="n">
        <x:v>4.656612873077393e-10</x:v>
      </x:c>
      <x:c r="O2418" s="28" t="n">
        <x:v>3.725290298461914e-9</x:v>
      </x:c>
      <x:c r="P2418" s="28" t="n">
        <x:v>0</x:v>
      </x:c>
      <x:c r="Q2418" s="62" t="b">
        <x:v>1</x:v>
      </x:c>
      <x:c r="R2418" s="28" t="n">
        <x:v>0</x:v>
      </x:c>
      <x:c r="S2418" s="28" t="str">
        <x:v>2898864063128c20</x:v>
      </x:c>
    </x:row>
    <x:row r="2419" ht="21" customHeight="1">
      <x:c r="A2419" s="60" t="n">
        <x:v>0.69</x:v>
      </x:c>
      <x:c r="B2419" s="28" t="str">
        <x:v>back_flat</x:v>
      </x:c>
      <x:c r="C2419" s="60" t="n">
        <x:v>0.85</x:v>
      </x:c>
      <x:c r="D2419" s="60" t="n">
        <x:v>0.85</x:v>
      </x:c>
      <x:c r="E2419" s="62" t="b">
        <x:v>1</x:v>
      </x:c>
      <x:c r="F2419" s="62" t="b">
        <x:v>0</x:v>
      </x:c>
      <x:c r="G2419" s="85" t="n">
        <x:v>3071151.8654975933</x:v>
      </x:c>
      <x:c r="H2419" s="85" t="n">
        <x:v>12457722.992169997</x:v>
      </x:c>
      <x:c r="I2419" s="85" t="n">
        <x:v>10721891.713409586</x:v>
      </x:c>
      <x:c r="J2419" s="85" t="n">
        <x:v>11706240.000000002</x:v>
      </x:c>
      <x:c r="K2419" s="85" t="n">
        <x:v>115723.77612328758</x:v>
      </x:c>
      <x:c r="L2419" s="28" t="n">
        <x:v>43</x:v>
      </x:c>
      <x:c r="M2419" s="28" t="n">
        <x:v>37</x:v>
      </x:c>
      <x:c r="N2419" s="28" t="n">
        <x:v>4.656612873077393e-10</x:v>
      </x:c>
      <x:c r="O2419" s="28" t="n">
        <x:v>9.313225746154785e-10</x:v>
      </x:c>
      <x:c r="P2419" s="28" t="n">
        <x:v>0</x:v>
      </x:c>
      <x:c r="Q2419" s="62" t="b">
        <x:v>1</x:v>
      </x:c>
      <x:c r="R2419" s="28" t="n">
        <x:v>0</x:v>
      </x:c>
      <x:c r="S2419" s="28" t="str">
        <x:v>46544e9f3fdd7c18</x:v>
      </x:c>
    </x:row>
    <x:row r="2420" ht="21" customHeight="1">
      <x:c r="A2420" s="60" t="n">
        <x:v>0.69</x:v>
      </x:c>
      <x:c r="B2420" s="28" t="str">
        <x:v>back_flat</x:v>
      </x:c>
      <x:c r="C2420" s="60" t="n">
        <x:v>0.9</x:v>
      </x:c>
      <x:c r="D2420" s="60" t="n">
        <x:v>0.880265491166173</x:v>
      </x:c>
      <x:c r="E2420" s="62" t="b">
        <x:v>0</x:v>
      </x:c>
      <x:c r="F2420" s="62" t="b">
        <x:v>0</x:v>
      </x:c>
      <x:c r="G2420" s="85" t="n">
        <x:v>3455126.9521922776</x:v>
      </x:c>
      <x:c r="H2420" s="85" t="n">
        <x:v>13081628.745178431</x:v>
      </x:c>
      <x:c r="I2420" s="85" t="n">
        <x:v>10953512.732054792</x:v>
      </x:c>
      <x:c r="J2420" s="85" t="n">
        <x:v>11706240.000000002</x:v>
      </x:c>
      <x:c r="K2420" s="85" t="n">
        <x:v>103980.65942465754</x:v>
      </x:c>
      <x:c r="L2420" s="28" t="n">
        <x:v>44</x:v>
      </x:c>
      <x:c r="M2420" s="28" t="n">
        <x:v>38</x:v>
      </x:c>
      <x:c r="N2420" s="28" t="n">
        <x:v>2.3283064365386963e-10</x:v>
      </x:c>
      <x:c r="O2420" s="28" t="n">
        <x:v>3.725290298461914e-9</x:v>
      </x:c>
      <x:c r="P2420" s="28" t="n">
        <x:v>0</x:v>
      </x:c>
      <x:c r="Q2420" s="62" t="b">
        <x:v>1</x:v>
      </x:c>
      <x:c r="R2420" s="28" t="n">
        <x:v>1100080.4604328498</x:v>
      </x:c>
      <x:c r="S2420" s="28" t="str">
        <x:v>8acfbba815d54e91</x:v>
      </x:c>
    </x:row>
    <x:row r="2421" ht="21" customHeight="1">
      <x:c r="A2421" s="60" t="n">
        <x:v>0.69</x:v>
      </x:c>
      <x:c r="B2421" s="28" t="str">
        <x:v>back_flat</x:v>
      </x:c>
      <x:c r="C2421" s="60" t="n">
        <x:v>0.95</x:v>
      </x:c>
      <x:c r="D2421" s="60" t="n">
        <x:v>0.8954794051096439</x:v>
      </x:c>
      <x:c r="E2421" s="62" t="b">
        <x:v>0</x:v>
      </x:c>
      <x:c r="F2421" s="62" t="b">
        <x:v>0</x:v>
      </x:c>
      <x:c r="G2421" s="85" t="n">
        <x:v>3705528.1751378607</x:v>
      </x:c>
      <x:c r="H2421" s="85" t="n">
        <x:v>13862205.251729432</x:v>
      </x:c>
      <x:c r="I2421" s="85" t="n">
        <x:v>10953512.732054792</x:v>
      </x:c>
      <x:c r="J2421" s="85" t="n">
        <x:v>11706240.000000002</x:v>
      </x:c>
      <x:c r="K2421" s="85" t="n">
        <x:v>94633.55543835594</x:v>
      </x:c>
      <x:c r="L2421" s="28" t="n">
        <x:v>44</x:v>
      </x:c>
      <x:c r="M2421" s="28" t="n">
        <x:v>38</x:v>
      </x:c>
      <x:c r="N2421" s="28" t="n">
        <x:v>4.656612873077393e-10</x:v>
      </x:c>
      <x:c r="O2421" s="28" t="n">
        <x:v>3.725290298461914e-9</x:v>
      </x:c>
      <x:c r="P2421" s="28" t="n">
        <x:v>0</x:v>
      </x:c>
      <x:c r="Q2421" s="62" t="b">
        <x:v>1</x:v>
      </x:c>
      <x:c r="R2421" s="28" t="n">
        <x:v>3039196.041568011</x:v>
      </x:c>
      <x:c r="S2421" s="28" t="str">
        <x:v>70c4905e822b3151</x:v>
      </x:c>
    </x:row>
    <x:row r="2422" ht="21" customHeight="1">
      <x:c r="A2422" s="60" t="n">
        <x:v>0.69</x:v>
      </x:c>
      <x:c r="B2422" s="28" t="str">
        <x:v>back_flat</x:v>
      </x:c>
      <x:c r="C2422" s="60" t="n">
        <x:v>1</x:v>
      </x:c>
      <x:c r="D2422" s="60" t="n">
        <x:v>0.9093341115290656</x:v>
      </x:c>
      <x:c r="E2422" s="62" t="b">
        <x:v>0</x:v>
      </x:c>
      <x:c r="F2422" s="62" t="b">
        <x:v>0</x:v>
      </x:c>
      <x:c r="G2422" s="85" t="n">
        <x:v>3988500.82568126</x:v>
      </x:c>
      <x:c r="H2422" s="85" t="n">
        <x:v>14492521.815132199</x:v>
      </x:c>
      <x:c r="I2422" s="85" t="n">
        <x:v>10953512.732054792</x:v>
      </x:c>
      <x:c r="J2422" s="85" t="n">
        <x:v>11706240.000000002</x:v>
      </x:c>
      <x:c r="K2422" s="85" t="n">
        <x:v>87580.35172602751</x:v>
      </x:c>
      <x:c r="L2422" s="28" t="n">
        <x:v>44</x:v>
      </x:c>
      <x:c r="M2422" s="28" t="n">
        <x:v>38</x:v>
      </x:c>
      <x:c r="N2422" s="28" t="n">
        <x:v>2.3283064365386963e-10</x:v>
      </x:c>
      <x:c r="O2422" s="28" t="n">
        <x:v>3.725290298461914e-9</x:v>
      </x:c>
      <x:c r="P2422" s="28" t="n">
        <x:v>0</x:v>
      </x:c>
      <x:c r="Q2422" s="62" t="b">
        <x:v>1</x:v>
      </x:c>
      <x:c r="R2422" s="28" t="n">
        <x:v>5054079.286923766</x:v>
      </x:c>
      <x:c r="S2422" s="28" t="str">
        <x:v>3f9fc9baaf90a773</x:v>
      </x:c>
    </x:row>
    <x:row r="2423" ht="21" customHeight="1">
      <x:c r="A2423" s="60" t="n">
        <x:v>0.69</x:v>
      </x:c>
      <x:c r="B2423" s="28" t="str">
        <x:v>back_low</x:v>
      </x:c>
      <x:c r="C2423" s="60" t="n">
        <x:v>0</x:v>
      </x:c>
      <x:c r="D2423" s="60" t="n">
        <x:v>0</x:v>
      </x:c>
      <x:c r="E2423" s="62" t="b">
        <x:v>1</x:v>
      </x:c>
      <x:c r="F2423" s="62" t="b">
        <x:v>1</x:v>
      </x:c>
      <x:c r="G2423" s="85" t="n">
        <x:v>0</x:v>
      </x:c>
      <x:c r="H2423" s="85" t="n">
        <x:v>0</x:v>
      </x:c>
      <x:c r="I2423" s="85" t="n">
        <x:v>0</x:v>
      </x:c>
      <x:c r="J2423" s="85" t="n">
        <x:v>0</x:v>
      </x:c>
      <x:c r="K2423" s="85" t="n">
        <x:v>6001234.7460821895</x:v>
      </x:c>
      <x:c r="L2423" s="28" t="n">
        <x:v>0</x:v>
      </x:c>
      <x:c r="M2423" s="28" t="n">
        <x:v>0</x:v>
      </x:c>
      <x:c r="N2423" s="28" t="n">
        <x:v>9.313225746154785e-10</x:v>
      </x:c>
      <x:c r="O2423" s="28" t="n">
        <x:v>0</x:v>
      </x:c>
      <x:c r="P2423" s="28" t="n">
        <x:v>0</x:v>
      </x:c>
      <x:c r="Q2423" s="62" t="b">
        <x:v>1</x:v>
      </x:c>
      <x:c r="R2423" s="28" t="n">
        <x:v>0</x:v>
      </x:c>
      <x:c r="S2423" s="28" t="str">
        <x:v>05d0da7e84c021c4</x:v>
      </x:c>
    </x:row>
    <x:row r="2424" ht="21" customHeight="1">
      <x:c r="A2424" s="60" t="n">
        <x:v>0.69</x:v>
      </x:c>
      <x:c r="B2424" s="28" t="str">
        <x:v>back_low</x:v>
      </x:c>
      <x:c r="C2424" s="60" t="n">
        <x:v>0.05</x:v>
      </x:c>
      <x:c r="D2424" s="60" t="n">
        <x:v>0.05</x:v>
      </x:c>
      <x:c r="E2424" s="62" t="b">
        <x:v>1</x:v>
      </x:c>
      <x:c r="F2424" s="62" t="b">
        <x:v>1</x:v>
      </x:c>
      <x:c r="G2424" s="85" t="n">
        <x:v>0</x:v>
      </x:c>
      <x:c r="H2424" s="85" t="n">
        <x:v>0</x:v>
      </x:c>
      <x:c r="I2424" s="85" t="n">
        <x:v>0</x:v>
      </x:c>
      <x:c r="J2424" s="85" t="n">
        <x:v>0</x:v>
      </x:c>
      <x:c r="K2424" s="85" t="n">
        <x:v>4018890.6174133886</x:v>
      </x:c>
      <x:c r="L2424" s="28" t="n">
        <x:v>0</x:v>
      </x:c>
      <x:c r="M2424" s="28" t="n">
        <x:v>0</x:v>
      </x:c>
      <x:c r="N2424" s="28" t="n">
        <x:v>9.313225746154785e-10</x:v>
      </x:c>
      <x:c r="O2424" s="28" t="n">
        <x:v>7.450580596923828e-9</x:v>
      </x:c>
      <x:c r="P2424" s="28" t="n">
        <x:v>0</x:v>
      </x:c>
      <x:c r="Q2424" s="62" t="b">
        <x:v>1</x:v>
      </x:c>
      <x:c r="R2424" s="28" t="n">
        <x:v>0</x:v>
      </x:c>
      <x:c r="S2424" s="28" t="str">
        <x:v>0ba3f33e058e86e4</x:v>
      </x:c>
    </x:row>
    <x:row r="2425" ht="21" customHeight="1">
      <x:c r="A2425" s="60" t="n">
        <x:v>0.69</x:v>
      </x:c>
      <x:c r="B2425" s="28" t="str">
        <x:v>back_low</x:v>
      </x:c>
      <x:c r="C2425" s="60" t="n">
        <x:v>0.1</x:v>
      </x:c>
      <x:c r="D2425" s="60" t="n">
        <x:v>0.1</x:v>
      </x:c>
      <x:c r="E2425" s="62" t="b">
        <x:v>1</x:v>
      </x:c>
      <x:c r="F2425" s="62" t="b">
        <x:v>1</x:v>
      </x:c>
      <x:c r="G2425" s="85" t="n">
        <x:v>0</x:v>
      </x:c>
      <x:c r="H2425" s="85" t="n">
        <x:v>0</x:v>
      </x:c>
      <x:c r="I2425" s="85" t="n">
        <x:v>0</x:v>
      </x:c>
      <x:c r="J2425" s="85" t="n">
        <x:v>0</x:v>
      </x:c>
      <x:c r="K2425" s="85" t="n">
        <x:v>2036546.4887446046</x:v>
      </x:c>
      <x:c r="L2425" s="28" t="n">
        <x:v>0</x:v>
      </x:c>
      <x:c r="M2425" s="28" t="n">
        <x:v>0</x:v>
      </x:c>
      <x:c r="N2425" s="28" t="n">
        <x:v>4.656612873077393e-10</x:v>
      </x:c>
      <x:c r="O2425" s="28" t="n">
        <x:v>7.450580596923828e-9</x:v>
      </x:c>
      <x:c r="P2425" s="28" t="n">
        <x:v>0</x:v>
      </x:c>
      <x:c r="Q2425" s="62" t="b">
        <x:v>1</x:v>
      </x:c>
      <x:c r="R2425" s="28" t="n">
        <x:v>0</x:v>
      </x:c>
      <x:c r="S2425" s="28" t="str">
        <x:v>6155d9f19f48b5f5</x:v>
      </x:c>
    </x:row>
    <x:row r="2426" ht="21" customHeight="1">
      <x:c r="A2426" s="60" t="n">
        <x:v>0.69</x:v>
      </x:c>
      <x:c r="B2426" s="28" t="str">
        <x:v>back_low</x:v>
      </x:c>
      <x:c r="C2426" s="60" t="n">
        <x:v>0.15</x:v>
      </x:c>
      <x:c r="D2426" s="60" t="n">
        <x:v>0.15</x:v>
      </x:c>
      <x:c r="E2426" s="62" t="b">
        <x:v>1</x:v>
      </x:c>
      <x:c r="F2426" s="62" t="b">
        <x:v>1</x:v>
      </x:c>
      <x:c r="G2426" s="85" t="n">
        <x:v>0</x:v>
      </x:c>
      <x:c r="H2426" s="85" t="n">
        <x:v>0</x:v>
      </x:c>
      <x:c r="I2426" s="85" t="n">
        <x:v>244770.02715581754</x:v>
      </x:c>
      <x:c r="J2426" s="85" t="n">
        <x:v>0</x:v>
      </x:c>
      <x:c r="K2426" s="85" t="n">
        <x:v>375913.38176476775</x:v>
      </x:c>
      <x:c r="L2426" s="28" t="n">
        <x:v>0</x:v>
      </x:c>
      <x:c r="M2426" s="28" t="n">
        <x:v>0</x:v>
      </x:c>
      <x:c r="N2426" s="28" t="n">
        <x:v>9.313225746154785e-10</x:v>
      </x:c>
      <x:c r="O2426" s="28" t="n">
        <x:v>7.450580596923828e-9</x:v>
      </x:c>
      <x:c r="P2426" s="28" t="n">
        <x:v>0</x:v>
      </x:c>
      <x:c r="Q2426" s="62" t="b">
        <x:v>1</x:v>
      </x:c>
      <x:c r="R2426" s="28" t="n">
        <x:v>0</x:v>
      </x:c>
      <x:c r="S2426" s="28" t="str">
        <x:v>0b2e42f39ce9f6d6</x:v>
      </x:c>
    </x:row>
    <x:row r="2427" ht="21" customHeight="1">
      <x:c r="A2427" s="60" t="n">
        <x:v>0.69</x:v>
      </x:c>
      <x:c r="B2427" s="28" t="str">
        <x:v>back_low</x:v>
      </x:c>
      <x:c r="C2427" s="60" t="n">
        <x:v>0.2</x:v>
      </x:c>
      <x:c r="D2427" s="60" t="n">
        <x:v>0.2</x:v>
      </x:c>
      <x:c r="E2427" s="62" t="b">
        <x:v>1</x:v>
      </x:c>
      <x:c r="F2427" s="62" t="b">
        <x:v>1</x:v>
      </x:c>
      <x:c r="G2427" s="85" t="n">
        <x:v>0</x:v>
      </x:c>
      <x:c r="H2427" s="85" t="n">
        <x:v>0</x:v>
      </x:c>
      <x:c r="I2427" s="85" t="n">
        <x:v>1313824.9258460342</x:v>
      </x:c>
      <x:c r="J2427" s="85" t="n">
        <x:v>1245718.9057329379</x:v>
      </x:c>
      <x:c r="K2427" s="85" t="n">
        <x:v>318691.52184160857</x:v>
      </x:c>
      <x:c r="L2427" s="28" t="n">
        <x:v>0</x:v>
      </x:c>
      <x:c r="M2427" s="28" t="n">
        <x:v>0</x:v>
      </x:c>
      <x:c r="N2427" s="28" t="n">
        <x:v>9.313225746154785e-10</x:v>
      </x:c>
      <x:c r="O2427" s="28" t="n">
        <x:v>7.450580596923828e-9</x:v>
      </x:c>
      <x:c r="P2427" s="28" t="n">
        <x:v>0</x:v>
      </x:c>
      <x:c r="Q2427" s="62" t="b">
        <x:v>1</x:v>
      </x:c>
      <x:c r="R2427" s="28" t="n">
        <x:v>0</x:v>
      </x:c>
      <x:c r="S2427" s="28" t="str">
        <x:v>db730a6568ab428a</x:v>
      </x:c>
    </x:row>
    <x:row r="2428" ht="21" customHeight="1">
      <x:c r="A2428" s="60" t="n">
        <x:v>0.69</x:v>
      </x:c>
      <x:c r="B2428" s="28" t="str">
        <x:v>back_low</x:v>
      </x:c>
      <x:c r="C2428" s="60" t="n">
        <x:v>0.25</x:v>
      </x:c>
      <x:c r="D2428" s="60" t="n">
        <x:v>0.25</x:v>
      </x:c>
      <x:c r="E2428" s="62" t="b">
        <x:v>1</x:v>
      </x:c>
      <x:c r="F2428" s="62" t="b">
        <x:v>1</x:v>
      </x:c>
      <x:c r="G2428" s="85" t="n">
        <x:v>0</x:v>
      </x:c>
      <x:c r="H2428" s="85" t="n">
        <x:v>0</x:v>
      </x:c>
      <x:c r="I2428" s="85" t="n">
        <x:v>2030361.7860876867</x:v>
      </x:c>
      <x:c r="J2428" s="85" t="n">
        <x:v>2950748.6321661994</x:v>
      </x:c>
      <x:c r="K2428" s="85" t="n">
        <x:v>270705.3630801081</x:v>
      </x:c>
      <x:c r="L2428" s="28" t="n">
        <x:v>0</x:v>
      </x:c>
      <x:c r="M2428" s="28" t="n">
        <x:v>0</x:v>
      </x:c>
      <x:c r="N2428" s="28" t="n">
        <x:v>4.656612873077393e-10</x:v>
      </x:c>
      <x:c r="O2428" s="28" t="n">
        <x:v>7.450580596923828e-9</x:v>
      </x:c>
      <x:c r="P2428" s="28" t="n">
        <x:v>0</x:v>
      </x:c>
      <x:c r="Q2428" s="62" t="b">
        <x:v>1</x:v>
      </x:c>
      <x:c r="R2428" s="28" t="n">
        <x:v>0</x:v>
      </x:c>
      <x:c r="S2428" s="28" t="str">
        <x:v>f9ba1210cc7b2441</x:v>
      </x:c>
    </x:row>
    <x:row r="2429" ht="21" customHeight="1">
      <x:c r="A2429" s="60" t="n">
        <x:v>0.69</x:v>
      </x:c>
      <x:c r="B2429" s="28" t="str">
        <x:v>back_low</x:v>
      </x:c>
      <x:c r="C2429" s="60" t="n">
        <x:v>0.3</x:v>
      </x:c>
      <x:c r="D2429" s="60" t="n">
        <x:v>0.3</x:v>
      </x:c>
      <x:c r="E2429" s="62" t="b">
        <x:v>1</x:v>
      </x:c>
      <x:c r="F2429" s="62" t="b">
        <x:v>1</x:v>
      </x:c>
      <x:c r="G2429" s="85" t="n">
        <x:v>0</x:v>
      </x:c>
      <x:c r="H2429" s="85" t="n">
        <x:v>0</x:v>
      </x:c>
      <x:c r="I2429" s="85" t="n">
        <x:v>2754414.6537271384</x:v>
      </x:c>
      <x:c r="J2429" s="85" t="n">
        <x:v>4655778.358599428</x:v>
      </x:c>
      <x:c r="K2429" s="85" t="n">
        <x:v>232514.72301504074</x:v>
      </x:c>
      <x:c r="L2429" s="28" t="n">
        <x:v>0</x:v>
      </x:c>
      <x:c r="M2429" s="28" t="n">
        <x:v>0</x:v>
      </x:c>
      <x:c r="N2429" s="28" t="n">
        <x:v>4.656612873077393e-10</x:v>
      </x:c>
      <x:c r="O2429" s="28" t="n">
        <x:v>7.450580596923828e-9</x:v>
      </x:c>
      <x:c r="P2429" s="28" t="n">
        <x:v>0</x:v>
      </x:c>
      <x:c r="Q2429" s="62" t="b">
        <x:v>1</x:v>
      </x:c>
      <x:c r="R2429" s="28" t="n">
        <x:v>0</x:v>
      </x:c>
      <x:c r="S2429" s="28" t="str">
        <x:v>46afc0f086d98905</x:v>
      </x:c>
    </x:row>
    <x:row r="2430" ht="21" customHeight="1">
      <x:c r="A2430" s="60" t="n">
        <x:v>0.69</x:v>
      </x:c>
      <x:c r="B2430" s="28" t="str">
        <x:v>back_low</x:v>
      </x:c>
      <x:c r="C2430" s="60" t="n">
        <x:v>0.35</x:v>
      </x:c>
      <x:c r="D2430" s="60" t="n">
        <x:v>0.35</x:v>
      </x:c>
      <x:c r="E2430" s="62" t="b">
        <x:v>1</x:v>
      </x:c>
      <x:c r="F2430" s="62" t="b">
        <x:v>1</x:v>
      </x:c>
      <x:c r="G2430" s="85" t="n">
        <x:v>0</x:v>
      </x:c>
      <x:c r="H2430" s="85" t="n">
        <x:v>0</x:v>
      </x:c>
      <x:c r="I2430" s="85" t="n">
        <x:v>3815169.111182918</x:v>
      </x:c>
      <x:c r="J2430" s="85" t="n">
        <x:v>5830590.491454695</x:v>
      </x:c>
      <x:c r="K2430" s="85" t="n">
        <x:v>207264.03458604083</x:v>
      </x:c>
      <x:c r="L2430" s="28" t="n">
        <x:v>5</x:v>
      </x:c>
      <x:c r="M2430" s="28" t="n">
        <x:v>0</x:v>
      </x:c>
      <x:c r="N2430" s="28" t="n">
        <x:v>9.313225746154785e-10</x:v>
      </x:c>
      <x:c r="O2430" s="28" t="n">
        <x:v>3.725290298461914e-9</x:v>
      </x:c>
      <x:c r="P2430" s="28" t="n">
        <x:v>0</x:v>
      </x:c>
      <x:c r="Q2430" s="62" t="b">
        <x:v>1</x:v>
      </x:c>
      <x:c r="R2430" s="28" t="n">
        <x:v>0</x:v>
      </x:c>
      <x:c r="S2430" s="28" t="str">
        <x:v>88e3df479f110a66</x:v>
      </x:c>
    </x:row>
    <x:row r="2431" ht="21" customHeight="1">
      <x:c r="A2431" s="60" t="n">
        <x:v>0.69</x:v>
      </x:c>
      <x:c r="B2431" s="28" t="str">
        <x:v>back_low</x:v>
      </x:c>
      <x:c r="C2431" s="60" t="n">
        <x:v>0.4</x:v>
      </x:c>
      <x:c r="D2431" s="60" t="n">
        <x:v>0.4</x:v>
      </x:c>
      <x:c r="E2431" s="62" t="b">
        <x:v>1</x:v>
      </x:c>
      <x:c r="F2431" s="62" t="b">
        <x:v>1</x:v>
      </x:c>
      <x:c r="G2431" s="85" t="n">
        <x:v>0</x:v>
      </x:c>
      <x:c r="H2431" s="85" t="n">
        <x:v>0</x:v>
      </x:c>
      <x:c r="I2431" s="85" t="n">
        <x:v>4849459.483529963</x:v>
      </x:c>
      <x:c r="J2431" s="85" t="n">
        <x:v>7041591.7033189675</x:v>
      </x:c>
      <x:c r="K2431" s="85" t="n">
        <x:v>182013.3461570409</x:v>
      </x:c>
      <x:c r="L2431" s="28" t="n">
        <x:v>10</x:v>
      </x:c>
      <x:c r="M2431" s="28" t="n">
        <x:v>0</x:v>
      </x:c>
      <x:c r="N2431" s="28" t="n">
        <x:v>9.313225746154785e-10</x:v>
      </x:c>
      <x:c r="O2431" s="28" t="n">
        <x:v>7.450580596923828e-9</x:v>
      </x:c>
      <x:c r="P2431" s="28" t="n">
        <x:v>0</x:v>
      </x:c>
      <x:c r="Q2431" s="62" t="b">
        <x:v>1</x:v>
      </x:c>
      <x:c r="R2431" s="28" t="n">
        <x:v>0</x:v>
      </x:c>
      <x:c r="S2431" s="28" t="str">
        <x:v>f4c4bfb782a7ab0b</x:v>
      </x:c>
    </x:row>
    <x:row r="2432" ht="21" customHeight="1">
      <x:c r="A2432" s="60" t="n">
        <x:v>0.69</x:v>
      </x:c>
      <x:c r="B2432" s="28" t="str">
        <x:v>back_low</x:v>
      </x:c>
      <x:c r="C2432" s="60" t="n">
        <x:v>0.45</x:v>
      </x:c>
      <x:c r="D2432" s="60" t="n">
        <x:v>0.45</x:v>
      </x:c>
      <x:c r="E2432" s="62" t="b">
        <x:v>1</x:v>
      </x:c>
      <x:c r="F2432" s="62" t="b">
        <x:v>1</x:v>
      </x:c>
      <x:c r="G2432" s="85" t="n">
        <x:v>0</x:v>
      </x:c>
      <x:c r="H2432" s="85" t="n">
        <x:v>0</x:v>
      </x:c>
      <x:c r="I2432" s="85" t="n">
        <x:v>5650239.985815423</x:v>
      </x:c>
      <x:c r="J2432" s="85" t="n">
        <x:v>8631369.352951307</x:v>
      </x:c>
      <x:c r="K2432" s="85" t="n">
        <x:v>158407.42996612343</x:v>
      </x:c>
      <x:c r="L2432" s="28" t="n">
        <x:v>13</x:v>
      </x:c>
      <x:c r="M2432" s="28" t="n">
        <x:v>0</x:v>
      </x:c>
      <x:c r="N2432" s="28" t="n">
        <x:v>9.313225746154785e-10</x:v>
      </x:c>
      <x:c r="O2432" s="28" t="n">
        <x:v>7.450580596923828e-9</x:v>
      </x:c>
      <x:c r="P2432" s="28" t="n">
        <x:v>0</x:v>
      </x:c>
      <x:c r="Q2432" s="62" t="b">
        <x:v>1</x:v>
      </x:c>
      <x:c r="R2432" s="28" t="n">
        <x:v>0</x:v>
      </x:c>
      <x:c r="S2432" s="28" t="str">
        <x:v>36e68f2faa3eafa5</x:v>
      </x:c>
    </x:row>
    <x:row r="2433" ht="21" customHeight="1">
      <x:c r="A2433" s="60" t="n">
        <x:v>0.69</x:v>
      </x:c>
      <x:c r="B2433" s="28" t="str">
        <x:v>back_low</x:v>
      </x:c>
      <x:c r="C2433" s="60" t="n">
        <x:v>0.5</x:v>
      </x:c>
      <x:c r="D2433" s="60" t="n">
        <x:v>0.5</x:v>
      </x:c>
      <x:c r="E2433" s="62" t="b">
        <x:v>1</x:v>
      </x:c>
      <x:c r="F2433" s="62" t="b">
        <x:v>1</x:v>
      </x:c>
      <x:c r="G2433" s="85" t="n">
        <x:v>0</x:v>
      </x:c>
      <x:c r="H2433" s="85" t="n">
        <x:v>0</x:v>
      </x:c>
      <x:c r="I2433" s="85" t="n">
        <x:v>6522675.63164995</x:v>
      </x:c>
      <x:c r="J2433" s="85" t="n">
        <x:v>10107299.025248375</x:v>
      </x:c>
      <x:c r="K2433" s="85" t="n">
        <x:v>144079.64738397236</x:v>
      </x:c>
      <x:c r="L2433" s="28" t="n">
        <x:v>17</x:v>
      </x:c>
      <x:c r="M2433" s="28" t="n">
        <x:v>0</x:v>
      </x:c>
      <x:c r="N2433" s="28" t="n">
        <x:v>9.313225746154785e-10</x:v>
      </x:c>
      <x:c r="O2433" s="28" t="n">
        <x:v>1.862645149230957e-9</x:v>
      </x:c>
      <x:c r="P2433" s="28" t="n">
        <x:v>0</x:v>
      </x:c>
      <x:c r="Q2433" s="62" t="b">
        <x:v>1</x:v>
      </x:c>
      <x:c r="R2433" s="28" t="n">
        <x:v>0</x:v>
      </x:c>
      <x:c r="S2433" s="28" t="str">
        <x:v>cec5f82bd476394b</x:v>
      </x:c>
    </x:row>
    <x:row r="2434" ht="21" customHeight="1">
      <x:c r="A2434" s="60" t="n">
        <x:v>0.69</x:v>
      </x:c>
      <x:c r="B2434" s="28" t="str">
        <x:v>back_low</x:v>
      </x:c>
      <x:c r="C2434" s="60" t="n">
        <x:v>0.55</x:v>
      </x:c>
      <x:c r="D2434" s="60" t="n">
        <x:v>0.55</x:v>
      </x:c>
      <x:c r="E2434" s="62" t="b">
        <x:v>1</x:v>
      </x:c>
      <x:c r="F2434" s="62" t="b">
        <x:v>0</x:v>
      </x:c>
      <x:c r="G2434" s="85" t="n">
        <x:v>19607.86301970737</x:v>
      </x:c>
      <x:c r="H2434" s="85" t="n">
        <x:v>290747.8743067684</x:v>
      </x:c>
      <x:c r="I2434" s="85" t="n">
        <x:v>7027592.626849317</x:v>
      </x:c>
      <x:c r="J2434" s="85" t="n">
        <x:v>11706240.000000002</x:v>
      </x:c>
      <x:c r="K2434" s="85" t="n">
        <x:v>129751.86480182197</x:v>
      </x:c>
      <x:c r="L2434" s="28" t="n">
        <x:v>40</x:v>
      </x:c>
      <x:c r="M2434" s="28" t="n">
        <x:v>23</x:v>
      </x:c>
      <x:c r="N2434" s="28" t="n">
        <x:v>4.656612873077393e-10</x:v>
      </x:c>
      <x:c r="O2434" s="28" t="n">
        <x:v>7.450580596923828e-9</x:v>
      </x:c>
      <x:c r="P2434" s="28" t="n">
        <x:v>0</x:v>
      </x:c>
      <x:c r="Q2434" s="62" t="b">
        <x:v>1</x:v>
      </x:c>
      <x:c r="R2434" s="28" t="n">
        <x:v>0</x:v>
      </x:c>
      <x:c r="S2434" s="28" t="str">
        <x:v>c1059da2efeada72</x:v>
      </x:c>
    </x:row>
    <x:row r="2435" ht="21" customHeight="1">
      <x:c r="A2435" s="60" t="n">
        <x:v>0.69</x:v>
      </x:c>
      <x:c r="B2435" s="28" t="str">
        <x:v>back_low</x:v>
      </x:c>
      <x:c r="C2435" s="60" t="n">
        <x:v>0.6</x:v>
      </x:c>
      <x:c r="D2435" s="60" t="n">
        <x:v>0.6</x:v>
      </x:c>
      <x:c r="E2435" s="62" t="b">
        <x:v>1</x:v>
      </x:c>
      <x:c r="F2435" s="62" t="b">
        <x:v>0</x:v>
      </x:c>
      <x:c r="G2435" s="85" t="n">
        <x:v>168117.1746016093</x:v>
      </x:c>
      <x:c r="H2435" s="85" t="n">
        <x:v>2095158.4547813649</x:v>
      </x:c>
      <x:c r="I2435" s="85" t="n">
        <x:v>7204838.982979948</x:v>
      </x:c>
      <x:c r="J2435" s="85" t="n">
        <x:v>11706240.000000002</x:v>
      </x:c>
      <x:c r="K2435" s="85" t="n">
        <x:v>115424.08221967121</x:v>
      </x:c>
      <x:c r="L2435" s="28" t="n">
        <x:v>41</x:v>
      </x:c>
      <x:c r="M2435" s="28" t="n">
        <x:v>30</x:v>
      </x:c>
      <x:c r="N2435" s="28" t="n">
        <x:v>4.656612873077393e-10</x:v>
      </x:c>
      <x:c r="O2435" s="28" t="n">
        <x:v>7.450580596923828e-9</x:v>
      </x:c>
      <x:c r="P2435" s="28" t="n">
        <x:v>0</x:v>
      </x:c>
      <x:c r="Q2435" s="62" t="b">
        <x:v>1</x:v>
      </x:c>
      <x:c r="R2435" s="28" t="n">
        <x:v>0</x:v>
      </x:c>
      <x:c r="S2435" s="28" t="str">
        <x:v>9683b5d3b13bfd35</x:v>
      </x:c>
    </x:row>
    <x:row r="2436" ht="21" customHeight="1">
      <x:c r="A2436" s="60" t="n">
        <x:v>0.69</x:v>
      </x:c>
      <x:c r="B2436" s="28" t="str">
        <x:v>back_low</x:v>
      </x:c>
      <x:c r="C2436" s="60" t="n">
        <x:v>0.65</x:v>
      </x:c>
      <x:c r="D2436" s="60" t="n">
        <x:v>0.65</x:v>
      </x:c>
      <x:c r="E2436" s="62" t="b">
        <x:v>1</x:v>
      </x:c>
      <x:c r="F2436" s="62" t="b">
        <x:v>0</x:v>
      </x:c>
      <x:c r="G2436" s="85" t="n">
        <x:v>314410.84207450465</x:v>
      </x:c>
      <x:c r="H2436" s="85" t="n">
        <x:v>3914190.490534748</x:v>
      </x:c>
      <x:c r="I2436" s="85" t="n">
        <x:v>7381666.296986303</x:v>
      </x:c>
      <x:c r="J2436" s="85" t="n">
        <x:v>11706240.000000002</x:v>
      </x:c>
      <x:c r="K2436" s="85" t="n">
        <x:v>106514.06949315086</x:v>
      </x:c>
      <x:c r="L2436" s="28" t="n">
        <x:v>42</x:v>
      </x:c>
      <x:c r="M2436" s="28" t="n">
        <x:v>31</x:v>
      </x:c>
      <x:c r="N2436" s="28" t="n">
        <x:v>4.656612873077393e-10</x:v>
      </x:c>
      <x:c r="O2436" s="28" t="n">
        <x:v>7.450580596923828e-9</x:v>
      </x:c>
      <x:c r="P2436" s="28" t="n">
        <x:v>0</x:v>
      </x:c>
      <x:c r="Q2436" s="62" t="b">
        <x:v>1</x:v>
      </x:c>
      <x:c r="R2436" s="28" t="n">
        <x:v>0</x:v>
      </x:c>
      <x:c r="S2436" s="28" t="str">
        <x:v>6c911ae97950501d</x:v>
      </x:c>
    </x:row>
    <x:row r="2437" ht="21" customHeight="1">
      <x:c r="A2437" s="60" t="n">
        <x:v>0.69</x:v>
      </x:c>
      <x:c r="B2437" s="28" t="str">
        <x:v>back_low</x:v>
      </x:c>
      <x:c r="C2437" s="60" t="n">
        <x:v>0.7</x:v>
      </x:c>
      <x:c r="D2437" s="60" t="n">
        <x:v>0.7</x:v>
      </x:c>
      <x:c r="E2437" s="62" t="b">
        <x:v>1</x:v>
      </x:c>
      <x:c r="F2437" s="62" t="b">
        <x:v>0</x:v>
      </x:c>
      <x:c r="G2437" s="85" t="n">
        <x:v>476935.34197567584</x:v>
      </x:c>
      <x:c r="H2437" s="85" t="n">
        <x:v>5935118.948607031</x:v>
      </x:c>
      <x:c r="I2437" s="85" t="n">
        <x:v>7381666.296986303</x:v>
      </x:c>
      <x:c r="J2437" s="85" t="n">
        <x:v>11706240.000000002</x:v>
      </x:c>
      <x:c r="K2437" s="85" t="n">
        <x:v>99957.70868493147</x:v>
      </x:c>
      <x:c r="L2437" s="28" t="n">
        <x:v>42</x:v>
      </x:c>
      <x:c r="M2437" s="28" t="n">
        <x:v>32</x:v>
      </x:c>
      <x:c r="N2437" s="28" t="n">
        <x:v>4.656612873077393e-10</x:v>
      </x:c>
      <x:c r="O2437" s="28" t="n">
        <x:v>3.725290298461914e-9</x:v>
      </x:c>
      <x:c r="P2437" s="28" t="n">
        <x:v>0</x:v>
      </x:c>
      <x:c r="Q2437" s="62" t="b">
        <x:v>1</x:v>
      </x:c>
      <x:c r="R2437" s="28" t="n">
        <x:v>0</x:v>
      </x:c>
      <x:c r="S2437" s="28" t="str">
        <x:v>ea7f7fbb32afe953</x:v>
      </x:c>
    </x:row>
    <x:row r="2438" ht="21" customHeight="1">
      <x:c r="A2438" s="60" t="n">
        <x:v>0.69</x:v>
      </x:c>
      <x:c r="B2438" s="28" t="str">
        <x:v>back_low</x:v>
      </x:c>
      <x:c r="C2438" s="60" t="n">
        <x:v>0.75</x:v>
      </x:c>
      <x:c r="D2438" s="60" t="n">
        <x:v>0.75</x:v>
      </x:c>
      <x:c r="E2438" s="62" t="b">
        <x:v>1</x:v>
      </x:c>
      <x:c r="F2438" s="62" t="b">
        <x:v>0</x:v>
      </x:c>
      <x:c r="G2438" s="85" t="n">
        <x:v>655987.1079177147</x:v>
      </x:c>
      <x:c r="H2438" s="85" t="n">
        <x:v>7690816.239570227</x:v>
      </x:c>
      <x:c r="I2438" s="85" t="n">
        <x:v>7556778.818630139</x:v>
      </x:c>
      <x:c r="J2438" s="85" t="n">
        <x:v>11706240.000000002</x:v>
      </x:c>
      <x:c r="K2438" s="85" t="n">
        <x:v>93401.34787671214</x:v>
      </x:c>
      <x:c r="L2438" s="28" t="n">
        <x:v>43</x:v>
      </x:c>
      <x:c r="M2438" s="28" t="n">
        <x:v>32</x:v>
      </x:c>
      <x:c r="N2438" s="28" t="n">
        <x:v>4.656612873077393e-10</x:v>
      </x:c>
      <x:c r="O2438" s="28" t="n">
        <x:v>7.450580596923828e-9</x:v>
      </x:c>
      <x:c r="P2438" s="28" t="n">
        <x:v>0</x:v>
      </x:c>
      <x:c r="Q2438" s="62" t="b">
        <x:v>1</x:v>
      </x:c>
      <x:c r="R2438" s="28" t="n">
        <x:v>0</x:v>
      </x:c>
      <x:c r="S2438" s="28" t="str">
        <x:v>7aae8c0688ba8971</x:v>
      </x:c>
    </x:row>
    <x:row r="2439" ht="21" customHeight="1">
      <x:c r="A2439" s="60" t="n">
        <x:v>0.69</x:v>
      </x:c>
      <x:c r="B2439" s="28" t="str">
        <x:v>back_low</x:v>
      </x:c>
      <x:c r="C2439" s="60" t="n">
        <x:v>0.8</x:v>
      </x:c>
      <x:c r="D2439" s="60" t="n">
        <x:v>0.8</x:v>
      </x:c>
      <x:c r="E2439" s="62" t="b">
        <x:v>1</x:v>
      </x:c>
      <x:c r="F2439" s="62" t="b">
        <x:v>0</x:v>
      </x:c>
      <x:c r="G2439" s="85" t="n">
        <x:v>823660.3096781599</x:v>
      </x:c>
      <x:c r="H2439" s="85" t="n">
        <x:v>9642324.78758579</x:v>
      </x:c>
      <x:c r="I2439" s="85" t="n">
        <x:v>7556778.818630139</x:v>
      </x:c>
      <x:c r="J2439" s="85" t="n">
        <x:v>11706240.000000002</x:v>
      </x:c>
      <x:c r="K2439" s="85" t="n">
        <x:v>86844.98706849321</x:v>
      </x:c>
      <x:c r="L2439" s="28" t="n">
        <x:v>43</x:v>
      </x:c>
      <x:c r="M2439" s="28" t="n">
        <x:v>33</x:v>
      </x:c>
      <x:c r="N2439" s="28" t="n">
        <x:v>4.656612873077393e-10</x:v>
      </x:c>
      <x:c r="O2439" s="28" t="n">
        <x:v>3.725290298461914e-9</x:v>
      </x:c>
      <x:c r="P2439" s="28" t="n">
        <x:v>0</x:v>
      </x:c>
      <x:c r="Q2439" s="62" t="b">
        <x:v>1</x:v>
      </x:c>
      <x:c r="R2439" s="28" t="n">
        <x:v>0</x:v>
      </x:c>
      <x:c r="S2439" s="28" t="str">
        <x:v>e4739363f260b751</x:v>
      </x:c>
    </x:row>
    <x:row r="2440" ht="21" customHeight="1">
      <x:c r="A2440" s="60" t="n">
        <x:v>0.69</x:v>
      </x:c>
      <x:c r="B2440" s="28" t="str">
        <x:v>back_low</x:v>
      </x:c>
      <x:c r="C2440" s="60" t="n">
        <x:v>0.85</x:v>
      </x:c>
      <x:c r="D2440" s="60" t="n">
        <x:v>0.85</x:v>
      </x:c>
      <x:c r="E2440" s="62" t="b">
        <x:v>1</x:v>
      </x:c>
      <x:c r="F2440" s="62" t="b">
        <x:v>0</x:v>
      </x:c>
      <x:c r="G2440" s="85" t="n">
        <x:v>1098951.1822233493</x:v>
      </x:c>
      <x:c r="H2440" s="85" t="n">
        <x:v>11476127.327180091</x:v>
      </x:c>
      <x:c r="I2440" s="85" t="n">
        <x:v>7556778.818630139</x:v>
      </x:c>
      <x:c r="J2440" s="85" t="n">
        <x:v>11706240.000000002</x:v>
      </x:c>
      <x:c r="K2440" s="85" t="n">
        <x:v>80288.62626027342</x:v>
      </x:c>
      <x:c r="L2440" s="28" t="n">
        <x:v>43</x:v>
      </x:c>
      <x:c r="M2440" s="28" t="n">
        <x:v>34</x:v>
      </x:c>
      <x:c r="N2440" s="28" t="n">
        <x:v>4.656612873077393e-10</x:v>
      </x:c>
      <x:c r="O2440" s="28" t="n">
        <x:v>9.313225746154785e-10</x:v>
      </x:c>
      <x:c r="P2440" s="28" t="n">
        <x:v>0</x:v>
      </x:c>
      <x:c r="Q2440" s="62" t="b">
        <x:v>1</x:v>
      </x:c>
      <x:c r="R2440" s="28" t="n">
        <x:v>0</x:v>
      </x:c>
      <x:c r="S2440" s="28" t="str">
        <x:v>556702c6e820400b</x:v>
      </x:c>
    </x:row>
    <x:row r="2441" ht="21" customHeight="1">
      <x:c r="A2441" s="60" t="n">
        <x:v>0.69</x:v>
      </x:c>
      <x:c r="B2441" s="28" t="str">
        <x:v>back_low</x:v>
      </x:c>
      <x:c r="C2441" s="60" t="n">
        <x:v>0.9</x:v>
      </x:c>
      <x:c r="D2441" s="60" t="n">
        <x:v>0.880265491166173</x:v>
      </x:c>
      <x:c r="E2441" s="62" t="b">
        <x:v>0</x:v>
      </x:c>
      <x:c r="F2441" s="62" t="b">
        <x:v>0</x:v>
      </x:c>
      <x:c r="G2441" s="85" t="n">
        <x:v>1395661.673819449</x:v>
      </x:c>
      <x:c r="H2441" s="85" t="n">
        <x:v>12237058.563599862</x:v>
      </x:c>
      <x:c r="I2441" s="85" t="n">
        <x:v>7731891.340273975</x:v>
      </x:c>
      <x:c r="J2441" s="85" t="n">
        <x:v>11706240.000000002</x:v>
      </x:c>
      <x:c r="K2441" s="85" t="n">
        <x:v>73732.26545205439</x:v>
      </x:c>
      <x:c r="L2441" s="28" t="n">
        <x:v>44</x:v>
      </x:c>
      <x:c r="M2441" s="28" t="n">
        <x:v>34</x:v>
      </x:c>
      <x:c r="N2441" s="28" t="n">
        <x:v>4.656612873077393e-10</x:v>
      </x:c>
      <x:c r="O2441" s="28" t="n">
        <x:v>3.725290298461914e-9</x:v>
      </x:c>
      <x:c r="P2441" s="28" t="n">
        <x:v>0</x:v>
      </x:c>
      <x:c r="Q2441" s="62" t="b">
        <x:v>1</x:v>
      </x:c>
      <x:c r="R2441" s="28" t="n">
        <x:v>1100080.4604328498</x:v>
      </x:c>
      <x:c r="S2441" s="28" t="str">
        <x:v>de5725ce4eb3def0</x:v>
      </x:c>
    </x:row>
    <x:row r="2442" ht="21" customHeight="1">
      <x:c r="A2442" s="60" t="n">
        <x:v>0.69</x:v>
      </x:c>
      <x:c r="B2442" s="28" t="str">
        <x:v>back_low</x:v>
      </x:c>
      <x:c r="C2442" s="60" t="n">
        <x:v>0.95</x:v>
      </x:c>
      <x:c r="D2442" s="60" t="n">
        <x:v>0.8954794051096439</x:v>
      </x:c>
      <x:c r="E2442" s="62" t="b">
        <x:v>0</x:v>
      </x:c>
      <x:c r="F2442" s="62" t="b">
        <x:v>0</x:v>
      </x:c>
      <x:c r="G2442" s="85" t="n">
        <x:v>1475042.2570731083</x:v>
      </x:c>
      <x:c r="H2442" s="85" t="n">
        <x:v>12933061.659700798</x:v>
      </x:c>
      <x:c r="I2442" s="85" t="n">
        <x:v>7731891.340273975</x:v>
      </x:c>
      <x:c r="J2442" s="85" t="n">
        <x:v>11706240.000000002</x:v>
      </x:c>
      <x:c r="K2442" s="85" t="n">
        <x:v>67175.90464383576</x:v>
      </x:c>
      <x:c r="L2442" s="28" t="n">
        <x:v>44</x:v>
      </x:c>
      <x:c r="M2442" s="28" t="n">
        <x:v>36</x:v>
      </x:c>
      <x:c r="N2442" s="28" t="n">
        <x:v>4.656612873077393e-10</x:v>
      </x:c>
      <x:c r="O2442" s="28" t="n">
        <x:v>3.725290298461914e-9</x:v>
      </x:c>
      <x:c r="P2442" s="28" t="n">
        <x:v>0</x:v>
      </x:c>
      <x:c r="Q2442" s="62" t="b">
        <x:v>1</x:v>
      </x:c>
      <x:c r="R2442" s="28" t="n">
        <x:v>3039196.041568011</x:v>
      </x:c>
      <x:c r="S2442" s="28" t="str">
        <x:v>9758032b861c70d2</x:v>
      </x:c>
    </x:row>
    <x:row r="2443" ht="21" customHeight="1">
      <x:c r="A2443" s="60" t="n">
        <x:v>0.69</x:v>
      </x:c>
      <x:c r="B2443" s="28" t="str">
        <x:v>back_low</x:v>
      </x:c>
      <x:c r="C2443" s="60" t="n">
        <x:v>1</x:v>
      </x:c>
      <x:c r="D2443" s="60" t="n">
        <x:v>0.9093341115290656</x:v>
      </x:c>
      <x:c r="E2443" s="62" t="b">
        <x:v>0</x:v>
      </x:c>
      <x:c r="F2443" s="62" t="b">
        <x:v>0</x:v>
      </x:c>
      <x:c r="G2443" s="85" t="n">
        <x:v>1603797.23777735</x:v>
      </x:c>
      <x:c r="H2443" s="85" t="n">
        <x:v>13495308.384368049</x:v>
      </x:c>
      <x:c r="I2443" s="85" t="n">
        <x:v>7731891.340273975</x:v>
      </x:c>
      <x:c r="J2443" s="85" t="n">
        <x:v>11706240.000000002</x:v>
      </x:c>
      <x:c r="K2443" s="85" t="n">
        <x:v>60619.54383561626</x:v>
      </x:c>
      <x:c r="L2443" s="28" t="n">
        <x:v>44</x:v>
      </x:c>
      <x:c r="M2443" s="28" t="n">
        <x:v>36</x:v>
      </x:c>
      <x:c r="N2443" s="28" t="n">
        <x:v>4.656612873077393e-10</x:v>
      </x:c>
      <x:c r="O2443" s="28" t="n">
        <x:v>3.725290298461914e-9</x:v>
      </x:c>
      <x:c r="P2443" s="28" t="n">
        <x:v>0</x:v>
      </x:c>
      <x:c r="Q2443" s="62" t="b">
        <x:v>1</x:v>
      </x:c>
      <x:c r="R2443" s="28" t="n">
        <x:v>5054079.286923766</x:v>
      </x:c>
      <x:c r="S2443" s="28" t="str">
        <x:v>981b6d26e2a00f54</x:v>
      </x:c>
    </x:row>
    <x:row r="2444" ht="21" customHeight="1">
      <x:c r="A2444" s="60" t="n">
        <x:v>0.69</x:v>
      </x:c>
      <x:c r="B2444" s="28" t="str">
        <x:v>back_high</x:v>
      </x:c>
      <x:c r="C2444" s="60" t="n">
        <x:v>0</x:v>
      </x:c>
      <x:c r="D2444" s="60" t="n">
        <x:v>0</x:v>
      </x:c>
      <x:c r="E2444" s="62" t="b">
        <x:v>1</x:v>
      </x:c>
      <x:c r="F2444" s="62" t="b">
        <x:v>1</x:v>
      </x:c>
      <x:c r="G2444" s="85" t="n">
        <x:v>0</x:v>
      </x:c>
      <x:c r="H2444" s="85" t="n">
        <x:v>0</x:v>
      </x:c>
      <x:c r="I2444" s="85" t="n">
        <x:v>0</x:v>
      </x:c>
      <x:c r="J2444" s="85" t="n">
        <x:v>0</x:v>
      </x:c>
      <x:c r="K2444" s="85" t="n">
        <x:v>7690531.387178079</x:v>
      </x:c>
      <x:c r="L2444" s="28" t="n">
        <x:v>0</x:v>
      </x:c>
      <x:c r="M2444" s="28" t="n">
        <x:v>0</x:v>
      </x:c>
      <x:c r="N2444" s="28" t="n">
        <x:v>9.313225746154785e-10</x:v>
      </x:c>
      <x:c r="O2444" s="28" t="n">
        <x:v>0</x:v>
      </x:c>
      <x:c r="P2444" s="28" t="n">
        <x:v>0</x:v>
      </x:c>
      <x:c r="Q2444" s="62" t="b">
        <x:v>1</x:v>
      </x:c>
      <x:c r="R2444" s="28" t="n">
        <x:v>0</x:v>
      </x:c>
      <x:c r="S2444" s="28" t="str">
        <x:v>c2097498eaf6cd99</x:v>
      </x:c>
    </x:row>
    <x:row r="2445" ht="21" customHeight="1">
      <x:c r="A2445" s="60" t="n">
        <x:v>0.69</x:v>
      </x:c>
      <x:c r="B2445" s="28" t="str">
        <x:v>back_high</x:v>
      </x:c>
      <x:c r="C2445" s="60" t="n">
        <x:v>0.05</x:v>
      </x:c>
      <x:c r="D2445" s="60" t="n">
        <x:v>0.05</x:v>
      </x:c>
      <x:c r="E2445" s="62" t="b">
        <x:v>1</x:v>
      </x:c>
      <x:c r="F2445" s="62" t="b">
        <x:v>1</x:v>
      </x:c>
      <x:c r="G2445" s="85" t="n">
        <x:v>0</x:v>
      </x:c>
      <x:c r="H2445" s="85" t="n">
        <x:v>0</x:v>
      </x:c>
      <x:c r="I2445" s="85" t="n">
        <x:v>0</x:v>
      </x:c>
      <x:c r="J2445" s="85" t="n">
        <x:v>0</x:v>
      </x:c>
      <x:c r="K2445" s="85" t="n">
        <x:v>5246246.39436519</x:v>
      </x:c>
      <x:c r="L2445" s="28" t="n">
        <x:v>0</x:v>
      </x:c>
      <x:c r="M2445" s="28" t="n">
        <x:v>0</x:v>
      </x:c>
      <x:c r="N2445" s="28" t="n">
        <x:v>9.313225746154785e-10</x:v>
      </x:c>
      <x:c r="O2445" s="28" t="n">
        <x:v>7.450580596923828e-9</x:v>
      </x:c>
      <x:c r="P2445" s="28" t="n">
        <x:v>0</x:v>
      </x:c>
      <x:c r="Q2445" s="62" t="b">
        <x:v>1</x:v>
      </x:c>
      <x:c r="R2445" s="28" t="n">
        <x:v>0</x:v>
      </x:c>
      <x:c r="S2445" s="28" t="str">
        <x:v>6b1a1dfa538b9f5c</x:v>
      </x:c>
    </x:row>
    <x:row r="2446" ht="21" customHeight="1">
      <x:c r="A2446" s="60" t="n">
        <x:v>0.69</x:v>
      </x:c>
      <x:c r="B2446" s="28" t="str">
        <x:v>back_high</x:v>
      </x:c>
      <x:c r="C2446" s="60" t="n">
        <x:v>0.1</x:v>
      </x:c>
      <x:c r="D2446" s="60" t="n">
        <x:v>0.1</x:v>
      </x:c>
      <x:c r="E2446" s="62" t="b">
        <x:v>1</x:v>
      </x:c>
      <x:c r="F2446" s="62" t="b">
        <x:v>1</x:v>
      </x:c>
      <x:c r="G2446" s="85" t="n">
        <x:v>0</x:v>
      </x:c>
      <x:c r="H2446" s="85" t="n">
        <x:v>0</x:v>
      </x:c>
      <x:c r="I2446" s="85" t="n">
        <x:v>0</x:v>
      </x:c>
      <x:c r="J2446" s="85" t="n">
        <x:v>0</x:v>
      </x:c>
      <x:c r="K2446" s="85" t="n">
        <x:v>2801961.4015523186</x:v>
      </x:c>
      <x:c r="L2446" s="28" t="n">
        <x:v>0</x:v>
      </x:c>
      <x:c r="M2446" s="28" t="n">
        <x:v>0</x:v>
      </x:c>
      <x:c r="N2446" s="28" t="n">
        <x:v>9.313225746154785e-10</x:v>
      </x:c>
      <x:c r="O2446" s="28" t="n">
        <x:v>7.450580596923828e-9</x:v>
      </x:c>
      <x:c r="P2446" s="28" t="n">
        <x:v>0</x:v>
      </x:c>
      <x:c r="Q2446" s="62" t="b">
        <x:v>1</x:v>
      </x:c>
      <x:c r="R2446" s="28" t="n">
        <x:v>0</x:v>
      </x:c>
      <x:c r="S2446" s="28" t="str">
        <x:v>820afd03acdd36f0</x:v>
      </x:c>
    </x:row>
    <x:row r="2447" ht="21" customHeight="1">
      <x:c r="A2447" s="60" t="n">
        <x:v>0.69</x:v>
      </x:c>
      <x:c r="B2447" s="28" t="str">
        <x:v>back_high</x:v>
      </x:c>
      <x:c r="C2447" s="60" t="n">
        <x:v>0.15</x:v>
      </x:c>
      <x:c r="D2447" s="60" t="n">
        <x:v>0.15</x:v>
      </x:c>
      <x:c r="E2447" s="62" t="b">
        <x:v>1</x:v>
      </x:c>
      <x:c r="F2447" s="62" t="b">
        <x:v>1</x:v>
      </x:c>
      <x:c r="G2447" s="85" t="n">
        <x:v>0</x:v>
      </x:c>
      <x:c r="H2447" s="85" t="n">
        <x:v>0</x:v>
      </x:c>
      <x:c r="I2447" s="85" t="n">
        <x:v>491359.8405806154</x:v>
      </x:c>
      <x:c r="J2447" s="85" t="n">
        <x:v>0</x:v>
      </x:c>
      <x:c r="K2447" s="85" t="n">
        <x:v>872985.0041232973</x:v>
      </x:c>
      <x:c r="L2447" s="28" t="n">
        <x:v>0</x:v>
      </x:c>
      <x:c r="M2447" s="28" t="n">
        <x:v>0</x:v>
      </x:c>
      <x:c r="N2447" s="28" t="n">
        <x:v>9.313225746154785e-10</x:v>
      </x:c>
      <x:c r="O2447" s="28" t="n">
        <x:v>7.450580596923828e-9</x:v>
      </x:c>
      <x:c r="P2447" s="28" t="n">
        <x:v>0</x:v>
      </x:c>
      <x:c r="Q2447" s="62" t="b">
        <x:v>1</x:v>
      </x:c>
      <x:c r="R2447" s="28" t="n">
        <x:v>0</x:v>
      </x:c>
      <x:c r="S2447" s="28" t="str">
        <x:v>390f7b53010c05e6</x:v>
      </x:c>
    </x:row>
    <x:row r="2448" ht="21" customHeight="1">
      <x:c r="A2448" s="60" t="n">
        <x:v>0.69</x:v>
      </x:c>
      <x:c r="B2448" s="28" t="str">
        <x:v>back_high</x:v>
      </x:c>
      <x:c r="C2448" s="60" t="n">
        <x:v>0.2</x:v>
      </x:c>
      <x:c r="D2448" s="60" t="n">
        <x:v>0.2</x:v>
      </x:c>
      <x:c r="E2448" s="62" t="b">
        <x:v>1</x:v>
      </x:c>
      <x:c r="F2448" s="62" t="b">
        <x:v>1</x:v>
      </x:c>
      <x:c r="G2448" s="85" t="n">
        <x:v>0</x:v>
      </x:c>
      <x:c r="H2448" s="85" t="n">
        <x:v>0</x:v>
      </x:c>
      <x:c r="I2448" s="85" t="n">
        <x:v>2286310.188455531</x:v>
      </x:c>
      <x:c r="J2448" s="85" t="n">
        <x:v>1245718.9057329379</x:v>
      </x:c>
      <x:c r="K2448" s="85" t="n">
        <x:v>706746.0588299742</x:v>
      </x:c>
      <x:c r="L2448" s="28" t="n">
        <x:v>0</x:v>
      </x:c>
      <x:c r="M2448" s="28" t="n">
        <x:v>0</x:v>
      </x:c>
      <x:c r="N2448" s="28" t="n">
        <x:v>9.313225746154785e-10</x:v>
      </x:c>
      <x:c r="O2448" s="28" t="n">
        <x:v>7.450580596923828e-9</x:v>
      </x:c>
      <x:c r="P2448" s="28" t="n">
        <x:v>0</x:v>
      </x:c>
      <x:c r="Q2448" s="62" t="b">
        <x:v>1</x:v>
      </x:c>
      <x:c r="R2448" s="28" t="n">
        <x:v>0</x:v>
      </x:c>
      <x:c r="S2448" s="28" t="str">
        <x:v>10cdf7a4ab2e44e5</x:v>
      </x:c>
    </x:row>
    <x:row r="2449" ht="21" customHeight="1">
      <x:c r="A2449" s="60" t="n">
        <x:v>0.69</x:v>
      </x:c>
      <x:c r="B2449" s="28" t="str">
        <x:v>back_high</x:v>
      </x:c>
      <x:c r="C2449" s="60" t="n">
        <x:v>0.25</x:v>
      </x:c>
      <x:c r="D2449" s="60" t="n">
        <x:v>0.25</x:v>
      </x:c>
      <x:c r="E2449" s="62" t="b">
        <x:v>1</x:v>
      </x:c>
      <x:c r="F2449" s="62" t="b">
        <x:v>1</x:v>
      </x:c>
      <x:c r="G2449" s="85" t="n">
        <x:v>0</x:v>
      </x:c>
      <x:c r="H2449" s="85" t="n">
        <x:v>0</x:v>
      </x:c>
      <x:c r="I2449" s="85" t="n">
        <x:v>3843396.607312953</x:v>
      </x:c>
      <x:c r="J2449" s="85" t="n">
        <x:v>2950748.6321661994</x:v>
      </x:c>
      <x:c r="K2449" s="85" t="n">
        <x:v>594562.5805698144</x:v>
      </x:c>
      <x:c r="L2449" s="28" t="n">
        <x:v>0</x:v>
      </x:c>
      <x:c r="M2449" s="28" t="n">
        <x:v>0</x:v>
      </x:c>
      <x:c r="N2449" s="28" t="n">
        <x:v>9.313225746154785e-10</x:v>
      </x:c>
      <x:c r="O2449" s="28" t="n">
        <x:v>7.450580596923828e-9</x:v>
      </x:c>
      <x:c r="P2449" s="28" t="n">
        <x:v>0</x:v>
      </x:c>
      <x:c r="Q2449" s="62" t="b">
        <x:v>1</x:v>
      </x:c>
      <x:c r="R2449" s="28" t="n">
        <x:v>0</x:v>
      </x:c>
      <x:c r="S2449" s="28" t="str">
        <x:v>90e955d16cd87a4a</x:v>
      </x:c>
    </x:row>
    <x:row r="2450" ht="21" customHeight="1">
      <x:c r="A2450" s="60" t="n">
        <x:v>0.69</x:v>
      </x:c>
      <x:c r="B2450" s="28" t="str">
        <x:v>back_high</x:v>
      </x:c>
      <x:c r="C2450" s="60" t="n">
        <x:v>0.3</x:v>
      </x:c>
      <x:c r="D2450" s="60" t="n">
        <x:v>0.3</x:v>
      </x:c>
      <x:c r="E2450" s="62" t="b">
        <x:v>1</x:v>
      </x:c>
      <x:c r="F2450" s="62" t="b">
        <x:v>1</x:v>
      </x:c>
      <x:c r="G2450" s="85" t="n">
        <x:v>0</x:v>
      </x:c>
      <x:c r="H2450" s="85" t="n">
        <x:v>0</x:v>
      </x:c>
      <x:c r="I2450" s="85" t="n">
        <x:v>5442059.821027589</x:v>
      </x:c>
      <x:c r="J2450" s="85" t="n">
        <x:v>4655778.358599428</x:v>
      </x:c>
      <x:c r="K2450" s="85" t="n">
        <x:v>512568.6173686046</x:v>
      </x:c>
      <x:c r="L2450" s="28" t="n">
        <x:v>0</x:v>
      </x:c>
      <x:c r="M2450" s="28" t="n">
        <x:v>0</x:v>
      </x:c>
      <x:c r="N2450" s="28" t="n">
        <x:v>4.656612873077393e-10</x:v>
      </x:c>
      <x:c r="O2450" s="28" t="n">
        <x:v>7.450580596923828e-9</x:v>
      </x:c>
      <x:c r="P2450" s="28" t="n">
        <x:v>0</x:v>
      </x:c>
      <x:c r="Q2450" s="62" t="b">
        <x:v>1</x:v>
      </x:c>
      <x:c r="R2450" s="28" t="n">
        <x:v>0</x:v>
      </x:c>
      <x:c r="S2450" s="28" t="str">
        <x:v>1301b93f78e1521c</x:v>
      </x:c>
    </x:row>
    <x:row r="2451" ht="21" customHeight="1">
      <x:c r="A2451" s="60" t="n">
        <x:v>0.69</x:v>
      </x:c>
      <x:c r="B2451" s="28" t="str">
        <x:v>back_high</x:v>
      </x:c>
      <x:c r="C2451" s="60" t="n">
        <x:v>0.35</x:v>
      </x:c>
      <x:c r="D2451" s="60" t="n">
        <x:v>0.35</x:v>
      </x:c>
      <x:c r="E2451" s="62" t="b">
        <x:v>1</x:v>
      </x:c>
      <x:c r="F2451" s="62" t="b">
        <x:v>1</x:v>
      </x:c>
      <x:c r="G2451" s="85" t="n">
        <x:v>0</x:v>
      </x:c>
      <x:c r="H2451" s="85" t="n">
        <x:v>0</x:v>
      </x:c>
      <x:c r="I2451" s="85" t="n">
        <x:v>7201610.199897759</x:v>
      </x:c>
      <x:c r="J2451" s="85" t="n">
        <x:v>5633718.0023970725</x:v>
      </x:c>
      <x:c r="K2451" s="85" t="n">
        <x:v>443222.0702359737</x:v>
      </x:c>
      <x:c r="L2451" s="28" t="n">
        <x:v>4</x:v>
      </x:c>
      <x:c r="M2451" s="28" t="n">
        <x:v>0</x:v>
      </x:c>
      <x:c r="N2451" s="28" t="n">
        <x:v>4.656612873077393e-10</x:v>
      </x:c>
      <x:c r="O2451" s="28" t="n">
        <x:v>3.725290298461914e-9</x:v>
      </x:c>
      <x:c r="P2451" s="28" t="n">
        <x:v>0</x:v>
      </x:c>
      <x:c r="Q2451" s="62" t="b">
        <x:v>1</x:v>
      </x:c>
      <x:c r="R2451" s="28" t="n">
        <x:v>0</x:v>
      </x:c>
      <x:c r="S2451" s="28" t="str">
        <x:v>5c9258e3fa2aa733</x:v>
      </x:c>
    </x:row>
    <x:row r="2452" ht="21" customHeight="1">
      <x:c r="A2452" s="60" t="n">
        <x:v>0.69</x:v>
      </x:c>
      <x:c r="B2452" s="28" t="str">
        <x:v>back_high</x:v>
      </x:c>
      <x:c r="C2452" s="60" t="n">
        <x:v>0.4</x:v>
      </x:c>
      <x:c r="D2452" s="60" t="n">
        <x:v>0.4</x:v>
      </x:c>
      <x:c r="E2452" s="62" t="b">
        <x:v>1</x:v>
      </x:c>
      <x:c r="F2452" s="62" t="b">
        <x:v>1</x:v>
      </x:c>
      <x:c r="G2452" s="85" t="n">
        <x:v>0</x:v>
      </x:c>
      <x:c r="H2452" s="85" t="n">
        <x:v>0</x:v>
      </x:c>
      <x:c r="I2452" s="85" t="n">
        <x:v>8948479.810973687</x:v>
      </x:c>
      <x:c r="J2452" s="85" t="n">
        <x:v>6557493.28911187</x:v>
      </x:c>
      <x:c r="K2452" s="85" t="n">
        <x:v>379178.32153841114</x:v>
      </x:c>
      <x:c r="L2452" s="28" t="n">
        <x:v>9</x:v>
      </x:c>
      <x:c r="M2452" s="28" t="n">
        <x:v>0</x:v>
      </x:c>
      <x:c r="N2452" s="28" t="n">
        <x:v>2.3283064365386963e-10</x:v>
      </x:c>
      <x:c r="O2452" s="28" t="n">
        <x:v>7.450580596923828e-9</x:v>
      </x:c>
      <x:c r="P2452" s="28" t="n">
        <x:v>0</x:v>
      </x:c>
      <x:c r="Q2452" s="62" t="b">
        <x:v>1</x:v>
      </x:c>
      <x:c r="R2452" s="28" t="n">
        <x:v>0</x:v>
      </x:c>
      <x:c r="S2452" s="28" t="str">
        <x:v>7f8712eb6d687647</x:v>
      </x:c>
    </x:row>
    <x:row r="2453" ht="21" customHeight="1">
      <x:c r="A2453" s="60" t="n">
        <x:v>0.69</x:v>
      </x:c>
      <x:c r="B2453" s="28" t="str">
        <x:v>back_high</x:v>
      </x:c>
      <x:c r="C2453" s="60" t="n">
        <x:v>0.45</x:v>
      </x:c>
      <x:c r="D2453" s="60" t="n">
        <x:v>0.45</x:v>
      </x:c>
      <x:c r="E2453" s="62" t="b">
        <x:v>1</x:v>
      </x:c>
      <x:c r="F2453" s="62" t="b">
        <x:v>1</x:v>
      </x:c>
      <x:c r="G2453" s="85" t="n">
        <x:v>0</x:v>
      </x:c>
      <x:c r="H2453" s="85" t="n">
        <x:v>0</x:v>
      </x:c>
      <x:c r="I2453" s="85" t="n">
        <x:v>10562777.01793433</x:v>
      </x:c>
      <x:c r="J2453" s="85" t="n">
        <x:v>8198678.879506424</x:v>
      </x:c>
      <x:c r="K2453" s="85" t="n">
        <x:v>339713.3679909867</x:v>
      </x:c>
      <x:c r="L2453" s="28" t="n">
        <x:v>12</x:v>
      </x:c>
      <x:c r="M2453" s="28" t="n">
        <x:v>4</x:v>
      </x:c>
      <x:c r="N2453" s="28" t="n">
        <x:v>2.3283064365386963e-10</x:v>
      </x:c>
      <x:c r="O2453" s="28" t="n">
        <x:v>7.450580596923828e-9</x:v>
      </x:c>
      <x:c r="P2453" s="28" t="n">
        <x:v>0</x:v>
      </x:c>
      <x:c r="Q2453" s="62" t="b">
        <x:v>1</x:v>
      </x:c>
      <x:c r="R2453" s="28" t="n">
        <x:v>0</x:v>
      </x:c>
      <x:c r="S2453" s="28" t="str">
        <x:v>72bb8f3c8696eb50</x:v>
      </x:c>
    </x:row>
    <x:row r="2454" ht="21" customHeight="1">
      <x:c r="A2454" s="60" t="n">
        <x:v>0.69</x:v>
      </x:c>
      <x:c r="B2454" s="28" t="str">
        <x:v>back_high</x:v>
      </x:c>
      <x:c r="C2454" s="60" t="n">
        <x:v>0.5</x:v>
      </x:c>
      <x:c r="D2454" s="60" t="n">
        <x:v>0.5</x:v>
      </x:c>
      <x:c r="E2454" s="62" t="b">
        <x:v>1</x:v>
      </x:c>
      <x:c r="F2454" s="62" t="b">
        <x:v>1</x:v>
      </x:c>
      <x:c r="G2454" s="85" t="n">
        <x:v>0</x:v>
      </x:c>
      <x:c r="H2454" s="85" t="n">
        <x:v>0</x:v>
      </x:c>
      <x:c r="I2454" s="85" t="n">
        <x:v>12197215.972059105</x:v>
      </x:c>
      <x:c r="J2454" s="85" t="n">
        <x:v>9624463.59888325</x:v>
      </x:c>
      <x:c r="K2454" s="85" t="n">
        <x:v>300248.4144435624</x:v>
      </x:c>
      <x:c r="L2454" s="28" t="n">
        <x:v>16</x:v>
      </x:c>
      <x:c r="M2454" s="28" t="n">
        <x:v>7</x:v>
      </x:c>
      <x:c r="N2454" s="28" t="n">
        <x:v>4.656612873077393e-10</x:v>
      </x:c>
      <x:c r="O2454" s="28" t="n">
        <x:v>1.862645149230957e-9</x:v>
      </x:c>
      <x:c r="P2454" s="28" t="n">
        <x:v>0</x:v>
      </x:c>
      <x:c r="Q2454" s="62" t="b">
        <x:v>1</x:v>
      </x:c>
      <x:c r="R2454" s="28" t="n">
        <x:v>0</x:v>
      </x:c>
      <x:c r="S2454" s="28" t="str">
        <x:v>ba8b939d6d8344ca</x:v>
      </x:c>
    </x:row>
    <x:row r="2455" ht="21" customHeight="1">
      <x:c r="A2455" s="60" t="n">
        <x:v>0.69</x:v>
      </x:c>
      <x:c r="B2455" s="28" t="str">
        <x:v>back_high</x:v>
      </x:c>
      <x:c r="C2455" s="60" t="n">
        <x:v>0.55</x:v>
      </x:c>
      <x:c r="D2455" s="60" t="n">
        <x:v>0.55</x:v>
      </x:c>
      <x:c r="E2455" s="62" t="b">
        <x:v>1</x:v>
      </x:c>
      <x:c r="F2455" s="62" t="b">
        <x:v>0</x:v>
      </x:c>
      <x:c r="G2455" s="85" t="n">
        <x:v>86400.07797870062</x:v>
      </x:c>
      <x:c r="H2455" s="85" t="n">
        <x:v>265601.490146089</x:v>
      </x:c>
      <x:c r="I2455" s="85" t="n">
        <x:v>13527738.625941368</x:v>
      </x:c>
      <x:c r="J2455" s="85" t="n">
        <x:v>11706240.000000002</x:v>
      </x:c>
      <x:c r="K2455" s="85" t="n">
        <x:v>268087.97093835525</x:v>
      </x:c>
      <x:c r="L2455" s="28" t="n">
        <x:v>40</x:v>
      </x:c>
      <x:c r="M2455" s="28" t="n">
        <x:v>33</x:v>
      </x:c>
      <x:c r="N2455" s="28" t="n">
        <x:v>4.656612873077393e-10</x:v>
      </x:c>
      <x:c r="O2455" s="28" t="n">
        <x:v>7.450580596923828e-9</x:v>
      </x:c>
      <x:c r="P2455" s="28" t="n">
        <x:v>0</x:v>
      </x:c>
      <x:c r="Q2455" s="62" t="b">
        <x:v>1</x:v>
      </x:c>
      <x:c r="R2455" s="28" t="n">
        <x:v>0</x:v>
      </x:c>
      <x:c r="S2455" s="28" t="str">
        <x:v>c29fad84736967e4</x:v>
      </x:c>
    </x:row>
    <x:row r="2456" ht="21" customHeight="1">
      <x:c r="A2456" s="60" t="n">
        <x:v>0.69</x:v>
      </x:c>
      <x:c r="B2456" s="28" t="str">
        <x:v>back_high</x:v>
      </x:c>
      <x:c r="C2456" s="60" t="n">
        <x:v>0.6</x:v>
      </x:c>
      <x:c r="D2456" s="60" t="n">
        <x:v>0.6</x:v>
      </x:c>
      <x:c r="E2456" s="62" t="b">
        <x:v>1</x:v>
      </x:c>
      <x:c r="F2456" s="62" t="b">
        <x:v>0</x:v>
      </x:c>
      <x:c r="G2456" s="85" t="n">
        <x:v>803265.6607414075</x:v>
      </x:c>
      <x:c r="H2456" s="85" t="n">
        <x:v>2583294.050116213</x:v>
      </x:c>
      <x:c r="I2456" s="85" t="n">
        <x:v>13847013.040956162</x:v>
      </x:c>
      <x:c r="J2456" s="85" t="n">
        <x:v>11706240.000000002</x:v>
      </x:c>
      <x:c r="K2456" s="85" t="n">
        <x:v>248082.07479452138</x:v>
      </x:c>
      <x:c r="L2456" s="28" t="n">
        <x:v>41</x:v>
      </x:c>
      <x:c r="M2456" s="28" t="n">
        <x:v>34</x:v>
      </x:c>
      <x:c r="N2456" s="28" t="n">
        <x:v>4.656612873077393e-10</x:v>
      </x:c>
      <x:c r="O2456" s="28" t="n">
        <x:v>7.450580596923828e-9</x:v>
      </x:c>
      <x:c r="P2456" s="28" t="n">
        <x:v>0</x:v>
      </x:c>
      <x:c r="Q2456" s="62" t="b">
        <x:v>1</x:v>
      </x:c>
      <x:c r="R2456" s="28" t="n">
        <x:v>0</x:v>
      </x:c>
      <x:c r="S2456" s="28" t="str">
        <x:v>94ed9f25477e4e73</x:v>
      </x:c>
    </x:row>
    <x:row r="2457" ht="21" customHeight="1">
      <x:c r="A2457" s="60" t="n">
        <x:v>0.69</x:v>
      </x:c>
      <x:c r="B2457" s="28" t="str">
        <x:v>back_high</x:v>
      </x:c>
      <x:c r="C2457" s="60" t="n">
        <x:v>0.65</x:v>
      </x:c>
      <x:c r="D2457" s="60" t="n">
        <x:v>0.65</x:v>
      </x:c>
      <x:c r="E2457" s="62" t="b">
        <x:v>1</x:v>
      </x:c>
      <x:c r="F2457" s="62" t="b">
        <x:v>0</x:v>
      </x:c>
      <x:c r="G2457" s="85" t="n">
        <x:v>1570558.3458596584</x:v>
      </x:c>
      <x:c r="H2457" s="85" t="n">
        <x:v>4744641.40168559</x:v>
      </x:c>
      <x:c r="I2457" s="85" t="n">
        <x:v>14160533.823632956</x:v>
      </x:c>
      <x:c r="J2457" s="85" t="n">
        <x:v>11706240.000000002</x:v>
      </x:c>
      <x:c r="K2457" s="85" t="n">
        <x:v>230114.85102739808</x:v>
      </x:c>
      <x:c r="L2457" s="28" t="n">
        <x:v>42</x:v>
      </x:c>
      <x:c r="M2457" s="28" t="n">
        <x:v>36</x:v>
      </x:c>
      <x:c r="N2457" s="28" t="n">
        <x:v>9.313225746154785e-10</x:v>
      </x:c>
      <x:c r="O2457" s="28" t="n">
        <x:v>7.450580596923828e-9</x:v>
      </x:c>
      <x:c r="P2457" s="28" t="n">
        <x:v>0</x:v>
      </x:c>
      <x:c r="Q2457" s="62" t="b">
        <x:v>1</x:v>
      </x:c>
      <x:c r="R2457" s="28" t="n">
        <x:v>0</x:v>
      </x:c>
      <x:c r="S2457" s="28" t="str">
        <x:v>48e36f56d0242fc2</x:v>
      </x:c>
    </x:row>
    <x:row r="2458" ht="21" customHeight="1">
      <x:c r="A2458" s="60" t="n">
        <x:v>0.69</x:v>
      </x:c>
      <x:c r="B2458" s="28" t="str">
        <x:v>back_high</x:v>
      </x:c>
      <x:c r="C2458" s="60" t="n">
        <x:v>0.7</x:v>
      </x:c>
      <x:c r="D2458" s="60" t="n">
        <x:v>0.7</x:v>
      </x:c>
      <x:c r="E2458" s="62" t="b">
        <x:v>1</x:v>
      </x:c>
      <x:c r="F2458" s="62" t="b">
        <x:v>0</x:v>
      </x:c>
      <x:c r="G2458" s="85" t="n">
        <x:v>2465736.6584035666</x:v>
      </x:c>
      <x:c r="H2458" s="85" t="n">
        <x:v>7322711.8907326115</x:v>
      </x:c>
      <x:c r="I2458" s="85" t="n">
        <x:v>14180418.227751613</x:v>
      </x:c>
      <x:c r="J2458" s="85" t="n">
        <x:v>11706240.000000002</x:v>
      </x:c>
      <x:c r="K2458" s="85" t="n">
        <x:v>212147.6272602739</x:v>
      </x:c>
      <x:c r="L2458" s="28" t="n">
        <x:v>42</x:v>
      </x:c>
      <x:c r="M2458" s="28" t="n">
        <x:v>36</x:v>
      </x:c>
      <x:c r="N2458" s="28" t="n">
        <x:v>4.656612873077393e-10</x:v>
      </x:c>
      <x:c r="O2458" s="28" t="n">
        <x:v>3.725290298461914e-9</x:v>
      </x:c>
      <x:c r="P2458" s="28" t="n">
        <x:v>0</x:v>
      </x:c>
      <x:c r="Q2458" s="62" t="b">
        <x:v>1</x:v>
      </x:c>
      <x:c r="R2458" s="28" t="n">
        <x:v>0</x:v>
      </x:c>
      <x:c r="S2458" s="28" t="str">
        <x:v>4c88efbdebbcb571</x:v>
      </x:c>
    </x:row>
    <x:row r="2459" ht="21" customHeight="1">
      <x:c r="A2459" s="60" t="n">
        <x:v>0.69</x:v>
      </x:c>
      <x:c r="B2459" s="28" t="str">
        <x:v>back_high</x:v>
      </x:c>
      <x:c r="C2459" s="60" t="n">
        <x:v>0.75</x:v>
      </x:c>
      <x:c r="D2459" s="60" t="n">
        <x:v>0.75</x:v>
      </x:c>
      <x:c r="E2459" s="62" t="b">
        <x:v>1</x:v>
      </x:c>
      <x:c r="F2459" s="62" t="b">
        <x:v>0</x:v>
      </x:c>
      <x:c r="G2459" s="85" t="n">
        <x:v>3326580.632717676</x:v>
      </x:c>
      <x:c r="H2459" s="85" t="n">
        <x:v>9238839.691576866</x:v>
      </x:c>
      <x:c r="I2459" s="85" t="n">
        <x:v>14501514.802993149</x:v>
      </x:c>
      <x:c r="J2459" s="85" t="n">
        <x:v>11706240.000000002</x:v>
      </x:c>
      <x:c r="K2459" s="85" t="n">
        <x:v>194180.40349315086</x:v>
      </x:c>
      <x:c r="L2459" s="28" t="n">
        <x:v>43</x:v>
      </x:c>
      <x:c r="M2459" s="28" t="n">
        <x:v>37</x:v>
      </x:c>
      <x:c r="N2459" s="28" t="n">
        <x:v>4.656612873077393e-10</x:v>
      </x:c>
      <x:c r="O2459" s="28" t="n">
        <x:v>7.450580596923828e-9</x:v>
      </x:c>
      <x:c r="P2459" s="28" t="n">
        <x:v>0</x:v>
      </x:c>
      <x:c r="Q2459" s="62" t="b">
        <x:v>1</x:v>
      </x:c>
      <x:c r="R2459" s="28" t="n">
        <x:v>0</x:v>
      </x:c>
      <x:c r="S2459" s="28" t="str">
        <x:v>3ec78bee0887a7ee</x:v>
      </x:c>
    </x:row>
    <x:row r="2460" ht="21" customHeight="1">
      <x:c r="A2460" s="60" t="n">
        <x:v>0.69</x:v>
      </x:c>
      <x:c r="B2460" s="28" t="str">
        <x:v>back_high</x:v>
      </x:c>
      <x:c r="C2460" s="60" t="n">
        <x:v>0.8</x:v>
      </x:c>
      <x:c r="D2460" s="60" t="n">
        <x:v>0.8</x:v>
      </x:c>
      <x:c r="E2460" s="62" t="b">
        <x:v>1</x:v>
      </x:c>
      <x:c r="F2460" s="62" t="b">
        <x:v>0</x:v>
      </x:c>
      <x:c r="G2460" s="85" t="n">
        <x:v>4352967.142927119</x:v>
      </x:c>
      <x:c r="H2460" s="85" t="n">
        <x:v>11619136.053540947</x:v>
      </x:c>
      <x:c r="I2460" s="85" t="n">
        <x:v>14511314.365742464</x:v>
      </x:c>
      <x:c r="J2460" s="85" t="n">
        <x:v>11706240.000000002</x:v>
      </x:c>
      <x:c r="K2460" s="85" t="n">
        <x:v>176213.17972602756</x:v>
      </x:c>
      <x:c r="L2460" s="28" t="n">
        <x:v>43</x:v>
      </x:c>
      <x:c r="M2460" s="28" t="n">
        <x:v>38</x:v>
      </x:c>
      <x:c r="N2460" s="28" t="n">
        <x:v>4.656612873077393e-10</x:v>
      </x:c>
      <x:c r="O2460" s="28" t="n">
        <x:v>3.725290298461914e-9</x:v>
      </x:c>
      <x:c r="P2460" s="28" t="n">
        <x:v>0</x:v>
      </x:c>
      <x:c r="Q2460" s="62" t="b">
        <x:v>1</x:v>
      </x:c>
      <x:c r="R2460" s="28" t="n">
        <x:v>0</x:v>
      </x:c>
      <x:c r="S2460" s="28" t="str">
        <x:v>3dfcdeafa39f8f22</x:v>
      </x:c>
    </x:row>
    <x:row r="2461" ht="21" customHeight="1">
      <x:c r="A2461" s="60" t="n">
        <x:v>0.69</x:v>
      </x:c>
      <x:c r="B2461" s="28" t="str">
        <x:v>back_high</x:v>
      </x:c>
      <x:c r="C2461" s="60" t="n">
        <x:v>0.85</x:v>
      </x:c>
      <x:c r="D2461" s="60" t="n">
        <x:v>0.85</x:v>
      </x:c>
      <x:c r="E2461" s="62" t="b">
        <x:v>1</x:v>
      </x:c>
      <x:c r="F2461" s="62" t="b">
        <x:v>0</x:v>
      </x:c>
      <x:c r="G2461" s="85" t="n">
        <x:v>5839098.568673854</x:v>
      </x:c>
      <x:c r="H2461" s="85" t="n">
        <x:v>13427710.361262713</x:v>
      </x:c>
      <x:c r="I2461" s="85" t="n">
        <x:v>14521113.928491779</x:v>
      </x:c>
      <x:c r="J2461" s="85" t="n">
        <x:v>11706240.000000002</x:v>
      </x:c>
      <x:c r="K2461" s="85" t="n">
        <x:v>158245.95595890452</x:v>
      </x:c>
      <x:c r="L2461" s="28" t="n">
        <x:v>43</x:v>
      </x:c>
      <x:c r="M2461" s="28" t="n">
        <x:v>38</x:v>
      </x:c>
      <x:c r="N2461" s="28" t="n">
        <x:v>4.656612873077393e-10</x:v>
      </x:c>
      <x:c r="O2461" s="28" t="n">
        <x:v>9.313225746154785e-10</x:v>
      </x:c>
      <x:c r="P2461" s="28" t="n">
        <x:v>0</x:v>
      </x:c>
      <x:c r="Q2461" s="62" t="b">
        <x:v>1</x:v>
      </x:c>
      <x:c r="R2461" s="28" t="n">
        <x:v>0</x:v>
      </x:c>
      <x:c r="S2461" s="28" t="str">
        <x:v>9ee675d77d9e938c</x:v>
      </x:c>
    </x:row>
    <x:row r="2462" ht="21" customHeight="1">
      <x:c r="A2462" s="60" t="n">
        <x:v>0.69</x:v>
      </x:c>
      <x:c r="B2462" s="28" t="str">
        <x:v>back_high</x:v>
      </x:c>
      <x:c r="C2462" s="60" t="n">
        <x:v>0.9</x:v>
      </x:c>
      <x:c r="D2462" s="60" t="n">
        <x:v>0.880265491166173</x:v>
      </x:c>
      <x:c r="E2462" s="62" t="b">
        <x:v>0</x:v>
      </x:c>
      <x:c r="F2462" s="62" t="b">
        <x:v>0</x:v>
      </x:c>
      <x:c r="G2462" s="85" t="n">
        <x:v>6273410.768465425</x:v>
      </x:c>
      <x:c r="H2462" s="85" t="n">
        <x:v>14122854.740460854</x:v>
      </x:c>
      <x:c r="I2462" s="85" t="n">
        <x:v>14819458.402191779</x:v>
      </x:c>
      <x:c r="J2462" s="85" t="n">
        <x:v>11706240.000000002</x:v>
      </x:c>
      <x:c r="K2462" s="85" t="n">
        <x:v>145606.30347945192</x:v>
      </x:c>
      <x:c r="L2462" s="28" t="n">
        <x:v>44</x:v>
      </x:c>
      <x:c r="M2462" s="28" t="n">
        <x:v>39</x:v>
      </x:c>
      <x:c r="N2462" s="28" t="n">
        <x:v>4.656612873077393e-10</x:v>
      </x:c>
      <x:c r="O2462" s="28" t="n">
        <x:v>3.725290298461914e-9</x:v>
      </x:c>
      <x:c r="P2462" s="28" t="n">
        <x:v>0</x:v>
      </x:c>
      <x:c r="Q2462" s="62" t="b">
        <x:v>1</x:v>
      </x:c>
      <x:c r="R2462" s="28" t="n">
        <x:v>1100080.4604328498</x:v>
      </x:c>
      <x:c r="S2462" s="28" t="str">
        <x:v>fcbae1d2802ca587</x:v>
      </x:c>
    </x:row>
    <x:row r="2463" ht="21" customHeight="1">
      <x:c r="A2463" s="60" t="n">
        <x:v>0.69</x:v>
      </x:c>
      <x:c r="B2463" s="28" t="str">
        <x:v>back_high</x:v>
      </x:c>
      <x:c r="C2463" s="60" t="n">
        <x:v>0.95</x:v>
      </x:c>
      <x:c r="D2463" s="60" t="n">
        <x:v>0.8954794051096439</x:v>
      </x:c>
      <x:c r="E2463" s="62" t="b">
        <x:v>0</x:v>
      </x:c>
      <x:c r="F2463" s="62" t="b">
        <x:v>0</x:v>
      </x:c>
      <x:c r="G2463" s="85" t="n">
        <x:v>6812642.134347659</x:v>
      </x:c>
      <x:c r="H2463" s="85" t="n">
        <x:v>14955326.899517598</x:v>
      </x:c>
      <x:c r="I2463" s="85" t="n">
        <x:v>14819458.402191779</x:v>
      </x:c>
      <x:c r="J2463" s="85" t="n">
        <x:v>11706240.000000002</x:v>
      </x:c>
      <x:c r="K2463" s="85" t="n">
        <x:v>134829.507328767</x:v>
      </x:c>
      <x:c r="L2463" s="28" t="n">
        <x:v>44</x:v>
      </x:c>
      <x:c r="M2463" s="28" t="n">
        <x:v>40</x:v>
      </x:c>
      <x:c r="N2463" s="28" t="n">
        <x:v>4.656612873077393e-10</x:v>
      </x:c>
      <x:c r="O2463" s="28" t="n">
        <x:v>3.725290298461914e-9</x:v>
      </x:c>
      <x:c r="P2463" s="28" t="n">
        <x:v>0</x:v>
      </x:c>
      <x:c r="Q2463" s="62" t="b">
        <x:v>1</x:v>
      </x:c>
      <x:c r="R2463" s="28" t="n">
        <x:v>3039196.041568011</x:v>
      </x:c>
      <x:c r="S2463" s="28" t="str">
        <x:v>212d5a616ca91c6e</x:v>
      </x:c>
    </x:row>
    <x:row r="2464" ht="21" customHeight="1">
      <x:c r="A2464" s="60" t="n">
        <x:v>0.69</x:v>
      </x:c>
      <x:c r="B2464" s="28" t="str">
        <x:v>back_high</x:v>
      </x:c>
      <x:c r="C2464" s="60" t="n">
        <x:v>1</x:v>
      </x:c>
      <x:c r="D2464" s="60" t="n">
        <x:v>0.9093341115290656</x:v>
      </x:c>
      <x:c r="E2464" s="62" t="b">
        <x:v>0</x:v>
      </x:c>
      <x:c r="F2464" s="62" t="b">
        <x:v>0</x:v>
      </x:c>
      <x:c r="G2464" s="85" t="n">
        <x:v>7286938.978313791</x:v>
      </x:c>
      <x:c r="H2464" s="85" t="n">
        <x:v>15743466.557070082</x:v>
      </x:c>
      <x:c r="I2464" s="85" t="n">
        <x:v>14819987.838246573</x:v>
      </x:c>
      <x:c r="J2464" s="85" t="n">
        <x:v>11706240.000000002</x:v>
      </x:c>
      <x:c r="K2464" s="85" t="n">
        <x:v>124052.71117808281</x:v>
      </x:c>
      <x:c r="L2464" s="28" t="n">
        <x:v>44</x:v>
      </x:c>
      <x:c r="M2464" s="28" t="n">
        <x:v>40</x:v>
      </x:c>
      <x:c r="N2464" s="28" t="n">
        <x:v>4.656612873077393e-10</x:v>
      </x:c>
      <x:c r="O2464" s="28" t="n">
        <x:v>3.725290298461914e-9</x:v>
      </x:c>
      <x:c r="P2464" s="28" t="n">
        <x:v>0</x:v>
      </x:c>
      <x:c r="Q2464" s="62" t="b">
        <x:v>1</x:v>
      </x:c>
      <x:c r="R2464" s="28" t="n">
        <x:v>5054079.286923766</x:v>
      </x:c>
      <x:c r="S2464" s="28" t="str">
        <x:v>933adfba24488f1b</x:v>
      </x:c>
    </x:row>
    <x:row r="2465" ht="21" customHeight="1">
      <x:c r="A2465" s="60" t="n">
        <x:v>0.69</x:v>
      </x:c>
      <x:c r="B2465" s="28" t="str">
        <x:v>level_flat</x:v>
      </x:c>
      <x:c r="C2465" s="60" t="n">
        <x:v>0</x:v>
      </x:c>
      <x:c r="D2465" s="60" t="n">
        <x:v>0</x:v>
      </x:c>
      <x:c r="E2465" s="62" t="b">
        <x:v>1</x:v>
      </x:c>
      <x:c r="F2465" s="62" t="b">
        <x:v>1</x:v>
      </x:c>
      <x:c r="G2465" s="85" t="n">
        <x:v>0</x:v>
      </x:c>
      <x:c r="H2465" s="85" t="n">
        <x:v>0</x:v>
      </x:c>
      <x:c r="I2465" s="85" t="n">
        <x:v>0</x:v>
      </x:c>
      <x:c r="J2465" s="85" t="n">
        <x:v>0</x:v>
      </x:c>
      <x:c r="K2465" s="85" t="n">
        <x:v>6769096.855671233</x:v>
      </x:c>
      <x:c r="L2465" s="28" t="n">
        <x:v>0</x:v>
      </x:c>
      <x:c r="M2465" s="28" t="n">
        <x:v>0</x:v>
      </x:c>
      <x:c r="N2465" s="28" t="n">
        <x:v>9.313225746154785e-10</x:v>
      </x:c>
      <x:c r="O2465" s="28" t="n">
        <x:v>0</x:v>
      </x:c>
      <x:c r="P2465" s="28" t="n">
        <x:v>0</x:v>
      </x:c>
      <x:c r="Q2465" s="62" t="b">
        <x:v>1</x:v>
      </x:c>
      <x:c r="R2465" s="28" t="n">
        <x:v>0</x:v>
      </x:c>
      <x:c r="S2465" s="28" t="str">
        <x:v>fe979662cef5c337</x:v>
      </x:c>
    </x:row>
    <x:row r="2466" ht="21" customHeight="1">
      <x:c r="A2466" s="60" t="n">
        <x:v>0.69</x:v>
      </x:c>
      <x:c r="B2466" s="28" t="str">
        <x:v>level_flat</x:v>
      </x:c>
      <x:c r="C2466" s="60" t="n">
        <x:v>0.05</x:v>
      </x:c>
      <x:c r="D2466" s="60" t="n">
        <x:v>0.05</x:v>
      </x:c>
      <x:c r="E2466" s="62" t="b">
        <x:v>1</x:v>
      </x:c>
      <x:c r="F2466" s="62" t="b">
        <x:v>1</x:v>
      </x:c>
      <x:c r="G2466" s="85" t="n">
        <x:v>0</x:v>
      </x:c>
      <x:c r="H2466" s="85" t="n">
        <x:v>0</x:v>
      </x:c>
      <x:c r="I2466" s="85" t="n">
        <x:v>0</x:v>
      </x:c>
      <x:c r="J2466" s="85" t="n">
        <x:v>0</x:v>
      </x:c>
      <x:c r="K2466" s="85" t="n">
        <x:v>4545121.667258211</x:v>
      </x:c>
      <x:c r="L2466" s="28" t="n">
        <x:v>0</x:v>
      </x:c>
      <x:c r="M2466" s="28" t="n">
        <x:v>0</x:v>
      </x:c>
      <x:c r="N2466" s="28" t="n">
        <x:v>2.3283064365386963e-10</x:v>
      </x:c>
      <x:c r="O2466" s="28" t="n">
        <x:v>7.450580596923828e-9</x:v>
      </x:c>
      <x:c r="P2466" s="28" t="n">
        <x:v>0</x:v>
      </x:c>
      <x:c r="Q2466" s="62" t="b">
        <x:v>1</x:v>
      </x:c>
      <x:c r="R2466" s="28" t="n">
        <x:v>0</x:v>
      </x:c>
      <x:c r="S2466" s="28" t="str">
        <x:v>d9674a7a737f0610</x:v>
      </x:c>
    </x:row>
    <x:row r="2467" ht="21" customHeight="1">
      <x:c r="A2467" s="60" t="n">
        <x:v>0.69</x:v>
      </x:c>
      <x:c r="B2467" s="28" t="str">
        <x:v>level_flat</x:v>
      </x:c>
      <x:c r="C2467" s="60" t="n">
        <x:v>0.1</x:v>
      </x:c>
      <x:c r="D2467" s="60" t="n">
        <x:v>0.1</x:v>
      </x:c>
      <x:c r="E2467" s="62" t="b">
        <x:v>1</x:v>
      </x:c>
      <x:c r="F2467" s="62" t="b">
        <x:v>1</x:v>
      </x:c>
      <x:c r="G2467" s="85" t="n">
        <x:v>0</x:v>
      </x:c>
      <x:c r="H2467" s="85" t="n">
        <x:v>0</x:v>
      </x:c>
      <x:c r="I2467" s="85" t="n">
        <x:v>0</x:v>
      </x:c>
      <x:c r="J2467" s="85" t="n">
        <x:v>0</x:v>
      </x:c>
      <x:c r="K2467" s="85" t="n">
        <x:v>2321031.989762632</x:v>
      </x:c>
      <x:c r="L2467" s="28" t="n">
        <x:v>0</x:v>
      </x:c>
      <x:c r="M2467" s="28" t="n">
        <x:v>0</x:v>
      </x:c>
      <x:c r="N2467" s="28" t="n">
        <x:v>4.656612873077393e-10</x:v>
      </x:c>
      <x:c r="O2467" s="28" t="n">
        <x:v>7.450580596923828e-9</x:v>
      </x:c>
      <x:c r="P2467" s="28" t="n">
        <x:v>0</x:v>
      </x:c>
      <x:c r="Q2467" s="62" t="b">
        <x:v>1</x:v>
      </x:c>
      <x:c r="R2467" s="28" t="n">
        <x:v>0</x:v>
      </x:c>
      <x:c r="S2467" s="28" t="str">
        <x:v>2d684d1669059f9b</x:v>
      </x:c>
    </x:row>
    <x:row r="2468" ht="21" customHeight="1">
      <x:c r="A2468" s="60" t="n">
        <x:v>0.69</x:v>
      </x:c>
      <x:c r="B2468" s="28" t="str">
        <x:v>level_flat</x:v>
      </x:c>
      <x:c r="C2468" s="60" t="n">
        <x:v>0.15</x:v>
      </x:c>
      <x:c r="D2468" s="60" t="n">
        <x:v>0.15</x:v>
      </x:c>
      <x:c r="E2468" s="62" t="b">
        <x:v>1</x:v>
      </x:c>
      <x:c r="F2468" s="62" t="b">
        <x:v>1</x:v>
      </x:c>
      <x:c r="G2468" s="85" t="n">
        <x:v>0</x:v>
      </x:c>
      <x:c r="H2468" s="85" t="n">
        <x:v>0</x:v>
      </x:c>
      <x:c r="I2468" s="85" t="n">
        <x:v>353879.25958398666</x:v>
      </x:c>
      <x:c r="J2468" s="85" t="n">
        <x:v>0</x:v>
      </x:c>
      <x:c r="K2468" s="85" t="n">
        <x:v>509798.6102981207</x:v>
      </x:c>
      <x:c r="L2468" s="28" t="n">
        <x:v>0</x:v>
      </x:c>
      <x:c r="M2468" s="28" t="n">
        <x:v>0</x:v>
      </x:c>
      <x:c r="N2468" s="28" t="n">
        <x:v>4.656612873077393e-10</x:v>
      </x:c>
      <x:c r="O2468" s="28" t="n">
        <x:v>7.450580596923828e-9</x:v>
      </x:c>
      <x:c r="P2468" s="28" t="n">
        <x:v>0</x:v>
      </x:c>
      <x:c r="Q2468" s="62" t="b">
        <x:v>1</x:v>
      </x:c>
      <x:c r="R2468" s="28" t="n">
        <x:v>0</x:v>
      </x:c>
      <x:c r="S2468" s="28" t="str">
        <x:v>42ae74b5f1d9cf21</x:v>
      </x:c>
    </x:row>
    <x:row r="2469" ht="21" customHeight="1">
      <x:c r="A2469" s="60" t="n">
        <x:v>0.69</x:v>
      </x:c>
      <x:c r="B2469" s="28" t="str">
        <x:v>level_flat</x:v>
      </x:c>
      <x:c r="C2469" s="60" t="n">
        <x:v>0.2</x:v>
      </x:c>
      <x:c r="D2469" s="60" t="n">
        <x:v>0.2</x:v>
      </x:c>
      <x:c r="E2469" s="62" t="b">
        <x:v>1</x:v>
      </x:c>
      <x:c r="F2469" s="62" t="b">
        <x:v>1</x:v>
      </x:c>
      <x:c r="G2469" s="85" t="n">
        <x:v>0</x:v>
      </x:c>
      <x:c r="H2469" s="85" t="n">
        <x:v>0</x:v>
      </x:c>
      <x:c r="I2469" s="85" t="n">
        <x:v>1761456.2555656258</x:v>
      </x:c>
      <x:c r="J2469" s="85" t="n">
        <x:v>1248509.6821693014</x:v>
      </x:c>
      <x:c r="K2469" s="85" t="n">
        <x:v>387537.36930103035</x:v>
      </x:c>
      <x:c r="L2469" s="28" t="n">
        <x:v>0</x:v>
      </x:c>
      <x:c r="M2469" s="28" t="n">
        <x:v>0</x:v>
      </x:c>
      <x:c r="N2469" s="28" t="n">
        <x:v>9.313225746154785e-10</x:v>
      </x:c>
      <x:c r="O2469" s="28" t="n">
        <x:v>7.450580596923828e-9</x:v>
      </x:c>
      <x:c r="P2469" s="28" t="n">
        <x:v>0</x:v>
      </x:c>
      <x:c r="Q2469" s="62" t="b">
        <x:v>1</x:v>
      </x:c>
      <x:c r="R2469" s="28" t="n">
        <x:v>0</x:v>
      </x:c>
      <x:c r="S2469" s="28" t="str">
        <x:v>74b5999f34606a65</x:v>
      </x:c>
    </x:row>
    <x:row r="2470" ht="21" customHeight="1">
      <x:c r="A2470" s="60" t="n">
        <x:v>0.69</x:v>
      </x:c>
      <x:c r="B2470" s="28" t="str">
        <x:v>level_flat</x:v>
      </x:c>
      <x:c r="C2470" s="60" t="n">
        <x:v>0.25</x:v>
      </x:c>
      <x:c r="D2470" s="60" t="n">
        <x:v>0.25</x:v>
      </x:c>
      <x:c r="E2470" s="62" t="b">
        <x:v>1</x:v>
      </x:c>
      <x:c r="F2470" s="62" t="b">
        <x:v>1</x:v>
      </x:c>
      <x:c r="G2470" s="85" t="n">
        <x:v>0</x:v>
      </x:c>
      <x:c r="H2470" s="85" t="n">
        <x:v>0</x:v>
      </x:c>
      <x:c r="I2470" s="85" t="n">
        <x:v>2872101.123733584</x:v>
      </x:c>
      <x:c r="J2470" s="85" t="n">
        <x:v>2954237.1027116273</x:v>
      </x:c>
      <x:c r="K2470" s="85" t="n">
        <x:v>303111.6734643836</x:v>
      </x:c>
      <x:c r="L2470" s="28" t="n">
        <x:v>0</x:v>
      </x:c>
      <x:c r="M2470" s="28" t="n">
        <x:v>0</x:v>
      </x:c>
      <x:c r="N2470" s="28" t="n">
        <x:v>4.656612873077393e-10</x:v>
      </x:c>
      <x:c r="O2470" s="28" t="n">
        <x:v>7.450580596923828e-9</x:v>
      </x:c>
      <x:c r="P2470" s="28" t="n">
        <x:v>0</x:v>
      </x:c>
      <x:c r="Q2470" s="62" t="b">
        <x:v>1</x:v>
      </x:c>
      <x:c r="R2470" s="28" t="n">
        <x:v>0</x:v>
      </x:c>
      <x:c r="S2470" s="28" t="str">
        <x:v>f4c200a37e8f565c</x:v>
      </x:c>
    </x:row>
    <x:row r="2471" ht="21" customHeight="1">
      <x:c r="A2471" s="60" t="n">
        <x:v>0.69</x:v>
      </x:c>
      <x:c r="B2471" s="28" t="str">
        <x:v>level_flat</x:v>
      </x:c>
      <x:c r="C2471" s="60" t="n">
        <x:v>0.3</x:v>
      </x:c>
      <x:c r="D2471" s="60" t="n">
        <x:v>0.3</x:v>
      </x:c>
      <x:c r="E2471" s="62" t="b">
        <x:v>1</x:v>
      </x:c>
      <x:c r="F2471" s="62" t="b">
        <x:v>1</x:v>
      </x:c>
      <x:c r="G2471" s="85" t="n">
        <x:v>0</x:v>
      </x:c>
      <x:c r="H2471" s="85" t="n">
        <x:v>0</x:v>
      </x:c>
      <x:c r="I2471" s="85" t="n">
        <x:v>4015249.471346639</x:v>
      </x:c>
      <x:c r="J2471" s="85" t="n">
        <x:v>4659964.523253948</x:v>
      </x:c>
      <x:c r="K2471" s="85" t="n">
        <x:v>237418.5059326027</x:v>
      </x:c>
      <x:c r="L2471" s="28" t="n">
        <x:v>0</x:v>
      </x:c>
      <x:c r="M2471" s="28" t="n">
        <x:v>0</x:v>
      </x:c>
      <x:c r="N2471" s="28" t="n">
        <x:v>4.656612873077393e-10</x:v>
      </x:c>
      <x:c r="O2471" s="28" t="n">
        <x:v>7.450580596923828e-9</x:v>
      </x:c>
      <x:c r="P2471" s="28" t="n">
        <x:v>0</x:v>
      </x:c>
      <x:c r="Q2471" s="62" t="b">
        <x:v>1</x:v>
      </x:c>
      <x:c r="R2471" s="28" t="n">
        <x:v>0</x:v>
      </x:c>
      <x:c r="S2471" s="28" t="str">
        <x:v>c576db9551f8be02</x:v>
      </x:c>
    </x:row>
    <x:row r="2472" ht="21" customHeight="1">
      <x:c r="A2472" s="60" t="n">
        <x:v>0.69</x:v>
      </x:c>
      <x:c r="B2472" s="28" t="str">
        <x:v>level_flat</x:v>
      </x:c>
      <x:c r="C2472" s="60" t="n">
        <x:v>0.35</x:v>
      </x:c>
      <x:c r="D2472" s="60" t="n">
        <x:v>0.35</x:v>
      </x:c>
      <x:c r="E2472" s="62" t="b">
        <x:v>1</x:v>
      </x:c>
      <x:c r="F2472" s="62" t="b">
        <x:v>1</x:v>
      </x:c>
      <x:c r="G2472" s="85" t="n">
        <x:v>0</x:v>
      </x:c>
      <x:c r="H2472" s="85" t="n">
        <x:v>0</x:v>
      </x:c>
      <x:c r="I2472" s="85" t="n">
        <x:v>5436273.968734435</x:v>
      </x:c>
      <x:c r="J2472" s="85" t="n">
        <x:v>5748917.5036354875</x:v>
      </x:c>
      <x:c r="K2472" s="85" t="n">
        <x:v>193072.81637890433</x:v>
      </x:c>
      <x:c r="L2472" s="28" t="n">
        <x:v>4</x:v>
      </x:c>
      <x:c r="M2472" s="28" t="n">
        <x:v>0</x:v>
      </x:c>
      <x:c r="N2472" s="28" t="n">
        <x:v>2.3283064365386963e-10</x:v>
      </x:c>
      <x:c r="O2472" s="28" t="n">
        <x:v>7.450580596923828e-9</x:v>
      </x:c>
      <x:c r="P2472" s="28" t="n">
        <x:v>0</x:v>
      </x:c>
      <x:c r="Q2472" s="62" t="b">
        <x:v>1</x:v>
      </x:c>
      <x:c r="R2472" s="28" t="n">
        <x:v>0</x:v>
      </x:c>
      <x:c r="S2472" s="28" t="str">
        <x:v>bebb1a31cd22ddff</x:v>
      </x:c>
    </x:row>
    <x:row r="2473" ht="21" customHeight="1">
      <x:c r="A2473" s="60" t="n">
        <x:v>0.69</x:v>
      </x:c>
      <x:c r="B2473" s="28" t="str">
        <x:v>level_flat</x:v>
      </x:c>
      <x:c r="C2473" s="60" t="n">
        <x:v>0.4</x:v>
      </x:c>
      <x:c r="D2473" s="60" t="n">
        <x:v>0.4</x:v>
      </x:c>
      <x:c r="E2473" s="62" t="b">
        <x:v>1</x:v>
      </x:c>
      <x:c r="F2473" s="62" t="b">
        <x:v>1</x:v>
      </x:c>
      <x:c r="G2473" s="85" t="n">
        <x:v>0</x:v>
      </x:c>
      <x:c r="H2473" s="85" t="n">
        <x:v>0</x:v>
      </x:c>
      <x:c r="I2473" s="85" t="n">
        <x:v>7003640.234746078</x:v>
      </x:c>
      <x:c r="J2473" s="85" t="n">
        <x:v>6457409.778251625</x:v>
      </x:c>
      <x:c r="K2473" s="85" t="n">
        <x:v>158781.8706849319</x:v>
      </x:c>
      <x:c r="L2473" s="28" t="n">
        <x:v>11</x:v>
      </x:c>
      <x:c r="M2473" s="28" t="n">
        <x:v>0</x:v>
      </x:c>
      <x:c r="N2473" s="28" t="n">
        <x:v>9.313225746154785e-10</x:v>
      </x:c>
      <x:c r="O2473" s="28" t="n">
        <x:v>7.450580596923828e-9</x:v>
      </x:c>
      <x:c r="P2473" s="28" t="n">
        <x:v>0</x:v>
      </x:c>
      <x:c r="Q2473" s="62" t="b">
        <x:v>1</x:v>
      </x:c>
      <x:c r="R2473" s="28" t="n">
        <x:v>0</x:v>
      </x:c>
      <x:c r="S2473" s="28" t="str">
        <x:v>39ee16097a7a8886</x:v>
      </x:c>
    </x:row>
    <x:row r="2474" ht="21" customHeight="1">
      <x:c r="A2474" s="60" t="n">
        <x:v>0.69</x:v>
      </x:c>
      <x:c r="B2474" s="28" t="str">
        <x:v>level_flat</x:v>
      </x:c>
      <x:c r="C2474" s="60" t="n">
        <x:v>0.45</x:v>
      </x:c>
      <x:c r="D2474" s="60" t="n">
        <x:v>0.45</x:v>
      </x:c>
      <x:c r="E2474" s="62" t="b">
        <x:v>1</x:v>
      </x:c>
      <x:c r="F2474" s="62" t="b">
        <x:v>1</x:v>
      </x:c>
      <x:c r="G2474" s="85" t="n">
        <x:v>0</x:v>
      </x:c>
      <x:c r="H2474" s="85" t="n">
        <x:v>0</x:v>
      </x:c>
      <x:c r="I2474" s="85" t="n">
        <x:v>8299977.283611368</x:v>
      </x:c>
      <x:c r="J2474" s="85" t="n">
        <x:v>7819458.554301033</x:v>
      </x:c>
      <x:c r="K2474" s="85" t="n">
        <x:v>139210.0095205482</x:v>
      </x:c>
      <x:c r="L2474" s="28" t="n">
        <x:v>15</x:v>
      </x:c>
      <x:c r="M2474" s="28" t="n">
        <x:v>0</x:v>
      </x:c>
      <x:c r="N2474" s="28" t="n">
        <x:v>4.656612873077393e-10</x:v>
      </x:c>
      <x:c r="O2474" s="28" t="n">
        <x:v>3.725290298461914e-9</x:v>
      </x:c>
      <x:c r="P2474" s="28" t="n">
        <x:v>0</x:v>
      </x:c>
      <x:c r="Q2474" s="62" t="b">
        <x:v>1</x:v>
      </x:c>
      <x:c r="R2474" s="28" t="n">
        <x:v>0</x:v>
      </x:c>
      <x:c r="S2474" s="28" t="str">
        <x:v>08829a85d7e128ef</x:v>
      </x:c>
    </x:row>
    <x:row r="2475" ht="21" customHeight="1">
      <x:c r="A2475" s="60" t="n">
        <x:v>0.69</x:v>
      </x:c>
      <x:c r="B2475" s="28" t="str">
        <x:v>level_flat</x:v>
      </x:c>
      <x:c r="C2475" s="60" t="n">
        <x:v>0.5</x:v>
      </x:c>
      <x:c r="D2475" s="60" t="n">
        <x:v>0.5</x:v>
      </x:c>
      <x:c r="E2475" s="62" t="b">
        <x:v>1</x:v>
      </x:c>
      <x:c r="F2475" s="62" t="b">
        <x:v>1</x:v>
      </x:c>
      <x:c r="G2475" s="85" t="n">
        <x:v>0</x:v>
      </x:c>
      <x:c r="H2475" s="85" t="n">
        <x:v>0</x:v>
      </x:c>
      <x:c r="I2475" s="85" t="n">
        <x:v>9462754.599001482</x:v>
      </x:c>
      <x:c r="J2475" s="85" t="n">
        <x:v>9531705.223758783</x:v>
      </x:c>
      <x:c r="K2475" s="85" t="n">
        <x:v>119638.14835616457</x:v>
      </x:c>
      <x:c r="L2475" s="28" t="n">
        <x:v>18</x:v>
      </x:c>
      <x:c r="M2475" s="28" t="n">
        <x:v>2</x:v>
      </x:c>
      <x:c r="N2475" s="28" t="n">
        <x:v>2.3283064365386963e-10</x:v>
      </x:c>
      <x:c r="O2475" s="28" t="n">
        <x:v>3.725290298461914e-9</x:v>
      </x:c>
      <x:c r="P2475" s="28" t="n">
        <x:v>0</x:v>
      </x:c>
      <x:c r="Q2475" s="62" t="b">
        <x:v>1</x:v>
      </x:c>
      <x:c r="R2475" s="28" t="n">
        <x:v>0</x:v>
      </x:c>
      <x:c r="S2475" s="28" t="str">
        <x:v>15eb860a25ad7735</x:v>
      </x:c>
    </x:row>
    <x:row r="2476" ht="21" customHeight="1">
      <x:c r="A2476" s="60" t="n">
        <x:v>0.69</x:v>
      </x:c>
      <x:c r="B2476" s="28" t="str">
        <x:v>level_flat</x:v>
      </x:c>
      <x:c r="C2476" s="60" t="n">
        <x:v>0.55</x:v>
      </x:c>
      <x:c r="D2476" s="60" t="n">
        <x:v>0.55</x:v>
      </x:c>
      <x:c r="E2476" s="62" t="b">
        <x:v>1</x:v>
      </x:c>
      <x:c r="F2476" s="62" t="b">
        <x:v>1</x:v>
      </x:c>
      <x:c r="G2476" s="85" t="n">
        <x:v>0</x:v>
      </x:c>
      <x:c r="H2476" s="85" t="n">
        <x:v>0</x:v>
      </x:c>
      <x:c r="I2476" s="85" t="n">
        <x:v>10577501.692335386</x:v>
      </x:c>
      <x:c r="J2476" s="85" t="n">
        <x:v>11330087.781241259</x:v>
      </x:c>
      <x:c r="K2476" s="85" t="n">
        <x:v>100066.28719178066</x:v>
      </x:c>
      <x:c r="L2476" s="28" t="n">
        <x:v>23</x:v>
      </x:c>
      <x:c r="M2476" s="28" t="n">
        <x:v>9</x:v>
      </x:c>
      <x:c r="N2476" s="28" t="n">
        <x:v>4.656612873077393e-10</x:v>
      </x:c>
      <x:c r="O2476" s="28" t="n">
        <x:v>3.725290298461914e-9</x:v>
      </x:c>
      <x:c r="P2476" s="28" t="n">
        <x:v>0</x:v>
      </x:c>
      <x:c r="Q2476" s="62" t="b">
        <x:v>1</x:v>
      </x:c>
      <x:c r="R2476" s="28" t="n">
        <x:v>0</x:v>
      </x:c>
      <x:c r="S2476" s="28" t="str">
        <x:v>3f316880fb2d4ad3</x:v>
      </x:c>
    </x:row>
    <x:row r="2477" ht="21" customHeight="1">
      <x:c r="A2477" s="60" t="n">
        <x:v>0.69</x:v>
      </x:c>
      <x:c r="B2477" s="28" t="str">
        <x:v>level_flat</x:v>
      </x:c>
      <x:c r="C2477" s="60" t="n">
        <x:v>0.6</x:v>
      </x:c>
      <x:c r="D2477" s="60" t="n">
        <x:v>0.6</x:v>
      </x:c>
      <x:c r="E2477" s="62" t="b">
        <x:v>1</x:v>
      </x:c>
      <x:c r="F2477" s="62" t="b">
        <x:v>0</x:v>
      </x:c>
      <x:c r="G2477" s="85" t="n">
        <x:v>312830.5973567736</x:v>
      </x:c>
      <x:c r="H2477" s="85" t="n">
        <x:v>1678423.1451812435</x:v>
      </x:c>
      <x:c r="I2477" s="85" t="n">
        <x:v>10953512.732054792</x:v>
      </x:c>
      <x:c r="J2477" s="85" t="n">
        <x:v>11706240.000000002</x:v>
      </x:c>
      <x:c r="K2477" s="85" t="n">
        <x:v>87580.35172602751</x:v>
      </x:c>
      <x:c r="L2477" s="28" t="n">
        <x:v>44</x:v>
      </x:c>
      <x:c r="M2477" s="28" t="n">
        <x:v>32</x:v>
      </x:c>
      <x:c r="N2477" s="28" t="n">
        <x:v>4.656612873077393e-10</x:v>
      </x:c>
      <x:c r="O2477" s="28" t="n">
        <x:v>7.450580596923828e-9</x:v>
      </x:c>
      <x:c r="P2477" s="28" t="n">
        <x:v>0</x:v>
      </x:c>
      <x:c r="Q2477" s="62" t="b">
        <x:v>1</x:v>
      </x:c>
      <x:c r="R2477" s="28" t="n">
        <x:v>0</x:v>
      </x:c>
      <x:c r="S2477" s="28" t="str">
        <x:v>3ec375cb4945b909</x:v>
      </x:c>
    </x:row>
    <x:row r="2478" ht="21" customHeight="1">
      <x:c r="A2478" s="60" t="n">
        <x:v>0.69</x:v>
      </x:c>
      <x:c r="B2478" s="28" t="str">
        <x:v>level_flat</x:v>
      </x:c>
      <x:c r="C2478" s="60" t="n">
        <x:v>0.65</x:v>
      </x:c>
      <x:c r="D2478" s="60" t="n">
        <x:v>0.65</x:v>
      </x:c>
      <x:c r="E2478" s="62" t="b">
        <x:v>1</x:v>
      </x:c>
      <x:c r="F2478" s="62" t="b">
        <x:v>0</x:v>
      </x:c>
      <x:c r="G2478" s="85" t="n">
        <x:v>758764.76013729</x:v>
      </x:c>
      <x:c r="H2478" s="85" t="n">
        <x:v>4090814.9036757397</x:v>
      </x:c>
      <x:c r="I2478" s="85" t="n">
        <x:v>10953512.732054792</x:v>
      </x:c>
      <x:c r="J2478" s="85" t="n">
        <x:v>11706240.000000002</x:v>
      </x:c>
      <x:c r="K2478" s="85" t="n">
        <x:v>78935.96447945217</x:v>
      </x:c>
      <x:c r="L2478" s="28" t="n">
        <x:v>44</x:v>
      </x:c>
      <x:c r="M2478" s="28" t="n">
        <x:v>34</x:v>
      </x:c>
      <x:c r="N2478" s="28" t="n">
        <x:v>4.656612873077393e-10</x:v>
      </x:c>
      <x:c r="O2478" s="28" t="n">
        <x:v>3.725290298461914e-9</x:v>
      </x:c>
      <x:c r="P2478" s="28" t="n">
        <x:v>0</x:v>
      </x:c>
      <x:c r="Q2478" s="62" t="b">
        <x:v>1</x:v>
      </x:c>
      <x:c r="R2478" s="28" t="n">
        <x:v>0</x:v>
      </x:c>
      <x:c r="S2478" s="28" t="str">
        <x:v>c65b6909dd679e05</x:v>
      </x:c>
    </x:row>
    <x:row r="2479" ht="21" customHeight="1">
      <x:c r="A2479" s="60" t="n">
        <x:v>0.69</x:v>
      </x:c>
      <x:c r="B2479" s="28" t="str">
        <x:v>level_flat</x:v>
      </x:c>
      <x:c r="C2479" s="60" t="n">
        <x:v>0.7</x:v>
      </x:c>
      <x:c r="D2479" s="60" t="n">
        <x:v>0.7</x:v>
      </x:c>
      <x:c r="E2479" s="62" t="b">
        <x:v>1</x:v>
      </x:c>
      <x:c r="F2479" s="62" t="b">
        <x:v>0</x:v>
      </x:c>
      <x:c r="G2479" s="85" t="n">
        <x:v>1190200.913496514</x:v>
      </x:c>
      <x:c r="H2479" s="85" t="n">
        <x:v>6035680.422046808</x:v>
      </x:c>
      <x:c r="I2479" s="85" t="n">
        <x:v>11204314.91506849</x:v>
      </x:c>
      <x:c r="J2479" s="85" t="n">
        <x:v>11706240.000000002</x:v>
      </x:c>
      <x:c r="K2479" s="85" t="n">
        <x:v>72978.5468767124</x:v>
      </x:c>
      <x:c r="L2479" s="28" t="n">
        <x:v>45</x:v>
      </x:c>
      <x:c r="M2479" s="28" t="n">
        <x:v>36</x:v>
      </x:c>
      <x:c r="N2479" s="28" t="n">
        <x:v>2.3283064365386963e-10</x:v>
      </x:c>
      <x:c r="O2479" s="28" t="n">
        <x:v>3.725290298461914e-9</x:v>
      </x:c>
      <x:c r="P2479" s="28" t="n">
        <x:v>0</x:v>
      </x:c>
      <x:c r="Q2479" s="62" t="b">
        <x:v>1</x:v>
      </x:c>
      <x:c r="R2479" s="28" t="n">
        <x:v>0</x:v>
      </x:c>
      <x:c r="S2479" s="28" t="str">
        <x:v>48e3662ea0df1b2a</x:v>
      </x:c>
    </x:row>
    <x:row r="2480" ht="21" customHeight="1">
      <x:c r="A2480" s="60" t="n">
        <x:v>0.69</x:v>
      </x:c>
      <x:c r="B2480" s="28" t="str">
        <x:v>level_flat</x:v>
      </x:c>
      <x:c r="C2480" s="60" t="n">
        <x:v>0.75</x:v>
      </x:c>
      <x:c r="D2480" s="60" t="n">
        <x:v>0.75</x:v>
      </x:c>
      <x:c r="E2480" s="62" t="b">
        <x:v>1</x:v>
      </x:c>
      <x:c r="F2480" s="62" t="b">
        <x:v>0</x:v>
      </x:c>
      <x:c r="G2480" s="85" t="n">
        <x:v>1643778.7700529166</x:v>
      </x:c>
      <x:c r="H2480" s="85" t="n">
        <x:v>8321188.247417415</x:v>
      </x:c>
      <x:c r="I2480" s="85" t="n">
        <x:v>11204314.91506849</x:v>
      </x:c>
      <x:c r="J2480" s="85" t="n">
        <x:v>11706240.000000002</x:v>
      </x:c>
      <x:c r="K2480" s="85" t="n">
        <x:v>67021.12927397262</x:v>
      </x:c>
      <x:c r="L2480" s="28" t="n">
        <x:v>45</x:v>
      </x:c>
      <x:c r="M2480" s="28" t="n">
        <x:v>36</x:v>
      </x:c>
      <x:c r="N2480" s="28" t="n">
        <x:v>4.656612873077393e-10</x:v>
      </x:c>
      <x:c r="O2480" s="28" t="n">
        <x:v>3.725290298461914e-9</x:v>
      </x:c>
      <x:c r="P2480" s="28" t="n">
        <x:v>0</x:v>
      </x:c>
      <x:c r="Q2480" s="62" t="b">
        <x:v>1</x:v>
      </x:c>
      <x:c r="R2480" s="28" t="n">
        <x:v>0</x:v>
      </x:c>
      <x:c r="S2480" s="28" t="str">
        <x:v>32c55a986edf2096</x:v>
      </x:c>
    </x:row>
    <x:row r="2481" ht="21" customHeight="1">
      <x:c r="A2481" s="60" t="n">
        <x:v>0.69</x:v>
      </x:c>
      <x:c r="B2481" s="28" t="str">
        <x:v>level_flat</x:v>
      </x:c>
      <x:c r="C2481" s="60" t="n">
        <x:v>0.8</x:v>
      </x:c>
      <x:c r="D2481" s="60" t="n">
        <x:v>0.8</x:v>
      </x:c>
      <x:c r="E2481" s="62" t="b">
        <x:v>1</x:v>
      </x:c>
      <x:c r="F2481" s="62" t="b">
        <x:v>0</x:v>
      </x:c>
      <x:c r="G2481" s="85" t="n">
        <x:v>2233374.9438227513</x:v>
      </x:c>
      <x:c r="H2481" s="85" t="n">
        <x:v>10456064.252777703</x:v>
      </x:c>
      <x:c r="I2481" s="85" t="n">
        <x:v>11205429.884493148</x:v>
      </x:c>
      <x:c r="J2481" s="85" t="n">
        <x:v>11706240.000000002</x:v>
      </x:c>
      <x:c r="K2481" s="85" t="n">
        <x:v>61063.711671233075</x:v>
      </x:c>
      <x:c r="L2481" s="28" t="n">
        <x:v>45</x:v>
      </x:c>
      <x:c r="M2481" s="28" t="n">
        <x:v>38</x:v>
      </x:c>
      <x:c r="N2481" s="28" t="n">
        <x:v>4.656612873077393e-10</x:v>
      </x:c>
      <x:c r="O2481" s="28" t="n">
        <x:v>3.725290298461914e-9</x:v>
      </x:c>
      <x:c r="P2481" s="28" t="n">
        <x:v>0</x:v>
      </x:c>
      <x:c r="Q2481" s="62" t="b">
        <x:v>1</x:v>
      </x:c>
      <x:c r="R2481" s="28" t="n">
        <x:v>0</x:v>
      </x:c>
      <x:c r="S2481" s="28" t="str">
        <x:v>f66b2e9bf1e38397</x:v>
      </x:c>
    </x:row>
    <x:row r="2482" ht="21" customHeight="1">
      <x:c r="A2482" s="60" t="n">
        <x:v>0.69</x:v>
      </x:c>
      <x:c r="B2482" s="28" t="str">
        <x:v>level_flat</x:v>
      </x:c>
      <x:c r="C2482" s="60" t="n">
        <x:v>0.85</x:v>
      </x:c>
      <x:c r="D2482" s="60" t="n">
        <x:v>0.85</x:v>
      </x:c>
      <x:c r="E2482" s="62" t="b">
        <x:v>1</x:v>
      </x:c>
      <x:c r="F2482" s="62" t="b">
        <x:v>0</x:v>
      </x:c>
      <x:c r="G2482" s="85" t="n">
        <x:v>2812064.6994012943</x:v>
      </x:c>
      <x:c r="H2482" s="85" t="n">
        <x:v>12564922.375754766</x:v>
      </x:c>
      <x:c r="I2482" s="85" t="n">
        <x:v>11211333.18547945</x:v>
      </x:c>
      <x:c r="J2482" s="85" t="n">
        <x:v>11706240.000000002</x:v>
      </x:c>
      <x:c r="K2482" s="85" t="n">
        <x:v>55106.294068493764</x:v>
      </x:c>
      <x:c r="L2482" s="28" t="n">
        <x:v>45</x:v>
      </x:c>
      <x:c r="M2482" s="28" t="n">
        <x:v>38</x:v>
      </x:c>
      <x:c r="N2482" s="28" t="n">
        <x:v>2.3283064365386963e-10</x:v>
      </x:c>
      <x:c r="O2482" s="28" t="n">
        <x:v>3.725290298461914e-9</x:v>
      </x:c>
      <x:c r="P2482" s="28" t="n">
        <x:v>0</x:v>
      </x:c>
      <x:c r="Q2482" s="62" t="b">
        <x:v>1</x:v>
      </x:c>
      <x:c r="R2482" s="28" t="n">
        <x:v>0</x:v>
      </x:c>
      <x:c r="S2482" s="28" t="str">
        <x:v>ff3b601af5d11c25</x:v>
      </x:c>
    </x:row>
    <x:row r="2483" ht="21" customHeight="1">
      <x:c r="A2483" s="60" t="n">
        <x:v>0.69</x:v>
      </x:c>
      <x:c r="B2483" s="28" t="str">
        <x:v>level_flat</x:v>
      </x:c>
      <x:c r="C2483" s="60" t="n">
        <x:v>0.9</x:v>
      </x:c>
      <x:c r="D2483" s="60" t="n">
        <x:v>0.8949513562027351</x:v>
      </x:c>
      <x:c r="E2483" s="62" t="b">
        <x:v>0</x:v>
      </x:c>
      <x:c r="F2483" s="62" t="b">
        <x:v>0</x:v>
      </x:c>
      <x:c r="G2483" s="85" t="n">
        <x:v>3665965.1411319473</x:v>
      </x:c>
      <x:c r="H2483" s="85" t="n">
        <x:v>13879893.744172037</x:v>
      </x:c>
      <x:c r="I2483" s="85" t="n">
        <x:v>11217236.48646575</x:v>
      </x:c>
      <x:c r="J2483" s="85" t="n">
        <x:v>11706240.000000002</x:v>
      </x:c>
      <x:c r="K2483" s="85" t="n">
        <x:v>49148.87646575352</x:v>
      </x:c>
      <x:c r="L2483" s="28" t="n">
        <x:v>45</x:v>
      </x:c>
      <x:c r="M2483" s="28" t="n">
        <x:v>40</x:v>
      </x:c>
      <x:c r="N2483" s="28" t="n">
        <x:v>4.656612873077393e-10</x:v>
      </x:c>
      <x:c r="O2483" s="28" t="n">
        <x:v>3.725290298461914e-9</x:v>
      </x:c>
      <x:c r="P2483" s="28" t="n">
        <x:v>0</x:v>
      </x:c>
      <x:c r="Q2483" s="62" t="b">
        <x:v>1</x:v>
      </x:c>
      <x:c r="R2483" s="28" t="n">
        <x:v>281431.5998347327</x:v>
      </x:c>
      <x:c r="S2483" s="28" t="str">
        <x:v>bdbe7f1a6230250b</x:v>
      </x:c>
    </x:row>
    <x:row r="2484" ht="21" customHeight="1">
      <x:c r="A2484" s="60" t="n">
        <x:v>0.69</x:v>
      </x:c>
      <x:c r="B2484" s="28" t="str">
        <x:v>level_flat</x:v>
      </x:c>
      <x:c r="C2484" s="60" t="n">
        <x:v>0.95</x:v>
      </x:c>
      <x:c r="D2484" s="60" t="n">
        <x:v>0.9109811515371262</x:v>
      </x:c>
      <x:c r="E2484" s="62" t="b">
        <x:v>0</x:v>
      </x:c>
      <x:c r="F2484" s="62" t="b">
        <x:v>0</x:v>
      </x:c>
      <x:c r="G2484" s="85" t="n">
        <x:v>3824958.7038662946</x:v>
      </x:c>
      <x:c r="H2484" s="85" t="n">
        <x:v>14481867.214132173</x:v>
      </x:c>
      <x:c r="I2484" s="85" t="n">
        <x:v>11455117.098082189</x:v>
      </x:c>
      <x:c r="J2484" s="85" t="n">
        <x:v>11706240.000000002</x:v>
      </x:c>
      <x:c r="K2484" s="85" t="n">
        <x:v>43191.45886301398</x:v>
      </x:c>
      <x:c r="L2484" s="28" t="n">
        <x:v>46</x:v>
      </x:c>
      <x:c r="M2484" s="28" t="n">
        <x:v>40</x:v>
      </x:c>
      <x:c r="N2484" s="28" t="n">
        <x:v>4.656612873077393e-10</x:v>
      </x:c>
      <x:c r="O2484" s="28" t="n">
        <x:v>3.725290298461914e-9</x:v>
      </x:c>
      <x:c r="P2484" s="28" t="n">
        <x:v>0</x:v>
      </x:c>
      <x:c r="Q2484" s="62" t="b">
        <x:v>1</x:v>
      </x:c>
      <x:c r="R2484" s="28" t="n">
        <x:v>2175066.688714437</x:v>
      </x:c>
      <x:c r="S2484" s="28" t="str">
        <x:v>a4d96c3d5c82898f</x:v>
      </x:c>
    </x:row>
    <x:row r="2485" ht="21" customHeight="1">
      <x:c r="A2485" s="60" t="n">
        <x:v>0.69</x:v>
      </x:c>
      <x:c r="B2485" s="28" t="str">
        <x:v>level_flat</x:v>
      </x:c>
      <x:c r="C2485" s="60" t="n">
        <x:v>1</x:v>
      </x:c>
      <x:c r="D2485" s="60" t="n">
        <x:v>0.9258453085724337</x:v>
      </x:c>
      <x:c r="E2485" s="62" t="b">
        <x:v>0</x:v>
      </x:c>
      <x:c r="F2485" s="62" t="b">
        <x:v>0</x:v>
      </x:c>
      <x:c r="G2485" s="85" t="n">
        <x:v>4168995.3151686373</x:v>
      </x:c>
      <x:c r="H2485" s="85" t="n">
        <x:v>15148362.302757058</x:v>
      </x:c>
      <x:c r="I2485" s="85" t="n">
        <x:v>11455117.098082189</x:v>
      </x:c>
      <x:c r="J2485" s="85" t="n">
        <x:v>11706240.000000002</x:v>
      </x:c>
      <x:c r="K2485" s="85" t="n">
        <x:v>37234.04126027397</x:v>
      </x:c>
      <x:c r="L2485" s="28" t="n">
        <x:v>46</x:v>
      </x:c>
      <x:c r="M2485" s="28" t="n">
        <x:v>40</x:v>
      </x:c>
      <x:c r="N2485" s="28" t="n">
        <x:v>2.3283064365386963e-10</x:v>
      </x:c>
      <x:c r="O2485" s="28" t="n">
        <x:v>1.862645149230957e-9</x:v>
      </x:c>
      <x:c r="P2485" s="28" t="n">
        <x:v>0</x:v>
      </x:c>
      <x:c r="Q2485" s="62" t="b">
        <x:v>1</x:v>
      </x:c>
      <x:c r="R2485" s="28" t="n">
        <x:v>4133679.1189382523</x:v>
      </x:c>
      <x:c r="S2485" s="28" t="str">
        <x:v>293b07c0dc6fb4d0</x:v>
      </x:c>
    </x:row>
    <x:row r="2486" ht="21" customHeight="1">
      <x:c r="A2486" s="60" t="n">
        <x:v>0.69</x:v>
      </x:c>
      <x:c r="B2486" s="28" t="str">
        <x:v>level_low</x:v>
      </x:c>
      <x:c r="C2486" s="60" t="n">
        <x:v>0</x:v>
      </x:c>
      <x:c r="D2486" s="60" t="n">
        <x:v>0</x:v>
      </x:c>
      <x:c r="E2486" s="62" t="b">
        <x:v>1</x:v>
      </x:c>
      <x:c r="F2486" s="62" t="b">
        <x:v>1</x:v>
      </x:c>
      <x:c r="G2486" s="85" t="n">
        <x:v>0</x:v>
      </x:c>
      <x:c r="H2486" s="85" t="n">
        <x:v>0</x:v>
      </x:c>
      <x:c r="I2486" s="85" t="n">
        <x:v>0</x:v>
      </x:c>
      <x:c r="J2486" s="85" t="n">
        <x:v>0</x:v>
      </x:c>
      <x:c r="K2486" s="85" t="n">
        <x:v>6001234.7460821895</x:v>
      </x:c>
      <x:c r="L2486" s="28" t="n">
        <x:v>0</x:v>
      </x:c>
      <x:c r="M2486" s="28" t="n">
        <x:v>0</x:v>
      </x:c>
      <x:c r="N2486" s="28" t="n">
        <x:v>9.313225746154785e-10</x:v>
      </x:c>
      <x:c r="O2486" s="28" t="n">
        <x:v>0</x:v>
      </x:c>
      <x:c r="P2486" s="28" t="n">
        <x:v>0</x:v>
      </x:c>
      <x:c r="Q2486" s="62" t="b">
        <x:v>1</x:v>
      </x:c>
      <x:c r="R2486" s="28" t="n">
        <x:v>0</x:v>
      </x:c>
      <x:c r="S2486" s="28" t="str">
        <x:v>7c1590e56dad7040</x:v>
      </x:c>
    </x:row>
    <x:row r="2487" ht="21" customHeight="1">
      <x:c r="A2487" s="60" t="n">
        <x:v>0.69</x:v>
      </x:c>
      <x:c r="B2487" s="28" t="str">
        <x:v>level_low</x:v>
      </x:c>
      <x:c r="C2487" s="60" t="n">
        <x:v>0.05</x:v>
      </x:c>
      <x:c r="D2487" s="60" t="n">
        <x:v>0.05</x:v>
      </x:c>
      <x:c r="E2487" s="62" t="b">
        <x:v>1</x:v>
      </x:c>
      <x:c r="F2487" s="62" t="b">
        <x:v>1</x:v>
      </x:c>
      <x:c r="G2487" s="85" t="n">
        <x:v>0</x:v>
      </x:c>
      <x:c r="H2487" s="85" t="n">
        <x:v>0</x:v>
      </x:c>
      <x:c r="I2487" s="85" t="n">
        <x:v>0</x:v>
      </x:c>
      <x:c r="J2487" s="85" t="n">
        <x:v>0</x:v>
      </x:c>
      <x:c r="K2487" s="85" t="n">
        <x:v>4000246.5364795737</x:v>
      </x:c>
      <x:c r="L2487" s="28" t="n">
        <x:v>0</x:v>
      </x:c>
      <x:c r="M2487" s="28" t="n">
        <x:v>0</x:v>
      </x:c>
      <x:c r="N2487" s="28" t="n">
        <x:v>9.313225746154785e-10</x:v>
      </x:c>
      <x:c r="O2487" s="28" t="n">
        <x:v>7.450580596923828e-9</x:v>
      </x:c>
      <x:c r="P2487" s="28" t="n">
        <x:v>0</x:v>
      </x:c>
      <x:c r="Q2487" s="62" t="b">
        <x:v>1</x:v>
      </x:c>
      <x:c r="R2487" s="28" t="n">
        <x:v>0</x:v>
      </x:c>
      <x:c r="S2487" s="28" t="str">
        <x:v>e09079f3ee1207f1</x:v>
      </x:c>
    </x:row>
    <x:row r="2488" ht="21" customHeight="1">
      <x:c r="A2488" s="60" t="n">
        <x:v>0.69</x:v>
      </x:c>
      <x:c r="B2488" s="28" t="str">
        <x:v>level_low</x:v>
      </x:c>
      <x:c r="C2488" s="60" t="n">
        <x:v>0.1</x:v>
      </x:c>
      <x:c r="D2488" s="60" t="n">
        <x:v>0.1</x:v>
      </x:c>
      <x:c r="E2488" s="62" t="b">
        <x:v>1</x:v>
      </x:c>
      <x:c r="F2488" s="62" t="b">
        <x:v>1</x:v>
      </x:c>
      <x:c r="G2488" s="85" t="n">
        <x:v>0</x:v>
      </x:c>
      <x:c r="H2488" s="85" t="n">
        <x:v>0</x:v>
      </x:c>
      <x:c r="I2488" s="85" t="n">
        <x:v>0</x:v>
      </x:c>
      <x:c r="J2488" s="85" t="n">
        <x:v>0</x:v>
      </x:c>
      <x:c r="K2488" s="85" t="n">
        <x:v>1999177.5110539754</x:v>
      </x:c>
      <x:c r="L2488" s="28" t="n">
        <x:v>0</x:v>
      </x:c>
      <x:c r="M2488" s="28" t="n">
        <x:v>0</x:v>
      </x:c>
      <x:c r="N2488" s="28" t="n">
        <x:v>4.656612873077393e-10</x:v>
      </x:c>
      <x:c r="O2488" s="28" t="n">
        <x:v>7.450580596923828e-9</x:v>
      </x:c>
      <x:c r="P2488" s="28" t="n">
        <x:v>0</x:v>
      </x:c>
      <x:c r="Q2488" s="62" t="b">
        <x:v>1</x:v>
      </x:c>
      <x:c r="R2488" s="28" t="n">
        <x:v>0</x:v>
      </x:c>
      <x:c r="S2488" s="28" t="str">
        <x:v>d0051f18b754349e</x:v>
      </x:c>
    </x:row>
    <x:row r="2489" ht="21" customHeight="1">
      <x:c r="A2489" s="60" t="n">
        <x:v>0.69</x:v>
      </x:c>
      <x:c r="B2489" s="28" t="str">
        <x:v>level_low</x:v>
      </x:c>
      <x:c r="C2489" s="60" t="n">
        <x:v>0.15</x:v>
      </x:c>
      <x:c r="D2489" s="60" t="n">
        <x:v>0.15</x:v>
      </x:c>
      <x:c r="E2489" s="62" t="b">
        <x:v>1</x:v>
      </x:c>
      <x:c r="F2489" s="62" t="b">
        <x:v>1</x:v>
      </x:c>
      <x:c r="G2489" s="85" t="n">
        <x:v>0</x:v>
      </x:c>
      <x:c r="H2489" s="85" t="n">
        <x:v>0</x:v>
      </x:c>
      <x:c r="I2489" s="85" t="n">
        <x:v>244058.86769626063</x:v>
      </x:c>
      <x:c r="J2489" s="85" t="n">
        <x:v>0</x:v>
      </x:c>
      <x:c r="K2489" s="85" t="n">
        <x:v>326493.8130444397</x:v>
      </x:c>
      <x:c r="L2489" s="28" t="n">
        <x:v>0</x:v>
      </x:c>
      <x:c r="M2489" s="28" t="n">
        <x:v>0</x:v>
      </x:c>
      <x:c r="N2489" s="28" t="n">
        <x:v>2.3283064365386963e-10</x:v>
      </x:c>
      <x:c r="O2489" s="28" t="n">
        <x:v>7.450580596923828e-9</x:v>
      </x:c>
      <x:c r="P2489" s="28" t="n">
        <x:v>0</x:v>
      </x:c>
      <x:c r="Q2489" s="62" t="b">
        <x:v>1</x:v>
      </x:c>
      <x:c r="R2489" s="28" t="n">
        <x:v>0</x:v>
      </x:c>
      <x:c r="S2489" s="28" t="str">
        <x:v>edc3d2a1cdcae8c9</x:v>
      </x:c>
    </x:row>
    <x:row r="2490" ht="21" customHeight="1">
      <x:c r="A2490" s="60" t="n">
        <x:v>0.69</x:v>
      </x:c>
      <x:c r="B2490" s="28" t="str">
        <x:v>level_low</x:v>
      </x:c>
      <x:c r="C2490" s="60" t="n">
        <x:v>0.2</x:v>
      </x:c>
      <x:c r="D2490" s="60" t="n">
        <x:v>0.2</x:v>
      </x:c>
      <x:c r="E2490" s="62" t="b">
        <x:v>1</x:v>
      </x:c>
      <x:c r="F2490" s="62" t="b">
        <x:v>1</x:v>
      </x:c>
      <x:c r="G2490" s="85" t="n">
        <x:v>0</x:v>
      </x:c>
      <x:c r="H2490" s="85" t="n">
        <x:v>0</x:v>
      </x:c>
      <x:c r="I2490" s="85" t="n">
        <x:v>1314500.0721948708</x:v>
      </x:c>
      <x:c r="J2490" s="85" t="n">
        <x:v>1248509.6821693014</x:v>
      </x:c>
      <x:c r="K2490" s="85" t="n">
        <x:v>253478.90183228216</x:v>
      </x:c>
      <x:c r="L2490" s="28" t="n">
        <x:v>0</x:v>
      </x:c>
      <x:c r="M2490" s="28" t="n">
        <x:v>0</x:v>
      </x:c>
      <x:c r="N2490" s="28" t="n">
        <x:v>4.656612873077393e-10</x:v>
      </x:c>
      <x:c r="O2490" s="28" t="n">
        <x:v>7.450580596923828e-9</x:v>
      </x:c>
      <x:c r="P2490" s="28" t="n">
        <x:v>0</x:v>
      </x:c>
      <x:c r="Q2490" s="62" t="b">
        <x:v>1</x:v>
      </x:c>
      <x:c r="R2490" s="28" t="n">
        <x:v>0</x:v>
      </x:c>
      <x:c r="S2490" s="28" t="str">
        <x:v>eea8501fb43454ee</x:v>
      </x:c>
    </x:row>
    <x:row r="2491" ht="21" customHeight="1">
      <x:c r="A2491" s="60" t="n">
        <x:v>0.69</x:v>
      </x:c>
      <x:c r="B2491" s="28" t="str">
        <x:v>level_low</x:v>
      </x:c>
      <x:c r="C2491" s="60" t="n">
        <x:v>0.25</x:v>
      </x:c>
      <x:c r="D2491" s="60" t="n">
        <x:v>0.25</x:v>
      </x:c>
      <x:c r="E2491" s="62" t="b">
        <x:v>1</x:v>
      </x:c>
      <x:c r="F2491" s="62" t="b">
        <x:v>1</x:v>
      </x:c>
      <x:c r="G2491" s="85" t="n">
        <x:v>0</x:v>
      </x:c>
      <x:c r="H2491" s="85" t="n">
        <x:v>0</x:v>
      </x:c>
      <x:c r="I2491" s="85" t="n">
        <x:v>2039765.8912205894</x:v>
      </x:c>
      <x:c r="J2491" s="85" t="n">
        <x:v>2954237.1027116273</x:v>
      </x:c>
      <x:c r="K2491" s="85" t="n">
        <x:v>200947.70754828714</x:v>
      </x:c>
      <x:c r="L2491" s="28" t="n">
        <x:v>0</x:v>
      </x:c>
      <x:c r="M2491" s="28" t="n">
        <x:v>0</x:v>
      </x:c>
      <x:c r="N2491" s="28" t="n">
        <x:v>4.656612873077393e-10</x:v>
      </x:c>
      <x:c r="O2491" s="28" t="n">
        <x:v>7.450580596923828e-9</x:v>
      </x:c>
      <x:c r="P2491" s="28" t="n">
        <x:v>0</x:v>
      </x:c>
      <x:c r="Q2491" s="62" t="b">
        <x:v>1</x:v>
      </x:c>
      <x:c r="R2491" s="28" t="n">
        <x:v>0</x:v>
      </x:c>
      <x:c r="S2491" s="28" t="str">
        <x:v>1b51dbd7fa489e0c</x:v>
      </x:c>
    </x:row>
    <x:row r="2492" ht="21" customHeight="1">
      <x:c r="A2492" s="60" t="n">
        <x:v>0.69</x:v>
      </x:c>
      <x:c r="B2492" s="28" t="str">
        <x:v>level_low</x:v>
      </x:c>
      <x:c r="C2492" s="60" t="n">
        <x:v>0.3</x:v>
      </x:c>
      <x:c r="D2492" s="60" t="n">
        <x:v>0.3</x:v>
      </x:c>
      <x:c r="E2492" s="62" t="b">
        <x:v>1</x:v>
      </x:c>
      <x:c r="F2492" s="62" t="b">
        <x:v>1</x:v>
      </x:c>
      <x:c r="G2492" s="85" t="n">
        <x:v>0</x:v>
      </x:c>
      <x:c r="H2492" s="85" t="n">
        <x:v>0</x:v>
      </x:c>
      <x:c r="I2492" s="85" t="n">
        <x:v>2771545.2177696545</x:v>
      </x:c>
      <x:c r="J2492" s="85" t="n">
        <x:v>4659964.523253948</x:v>
      </x:c>
      <x:c r="K2492" s="85" t="n">
        <x:v>164333.4783401371</x:v>
      </x:c>
      <x:c r="L2492" s="28" t="n">
        <x:v>0</x:v>
      </x:c>
      <x:c r="M2492" s="28" t="n">
        <x:v>0</x:v>
      </x:c>
      <x:c r="N2492" s="28" t="n">
        <x:v>4.656612873077393e-10</x:v>
      </x:c>
      <x:c r="O2492" s="28" t="n">
        <x:v>7.450580596923828e-9</x:v>
      </x:c>
      <x:c r="P2492" s="28" t="n">
        <x:v>0</x:v>
      </x:c>
      <x:c r="Q2492" s="62" t="b">
        <x:v>1</x:v>
      </x:c>
      <x:c r="R2492" s="28" t="n">
        <x:v>0</x:v>
      </x:c>
      <x:c r="S2492" s="28" t="str">
        <x:v>1169756d26d2fa5f</x:v>
      </x:c>
    </x:row>
    <x:row r="2493" ht="21" customHeight="1">
      <x:c r="A2493" s="60" t="n">
        <x:v>0.69</x:v>
      </x:c>
      <x:c r="B2493" s="28" t="str">
        <x:v>level_low</x:v>
      </x:c>
      <x:c r="C2493" s="60" t="n">
        <x:v>0.35</x:v>
      </x:c>
      <x:c r="D2493" s="60" t="n">
        <x:v>0.35</x:v>
      </x:c>
      <x:c r="E2493" s="62" t="b">
        <x:v>1</x:v>
      </x:c>
      <x:c r="F2493" s="62" t="b">
        <x:v>1</x:v>
      </x:c>
      <x:c r="G2493" s="85" t="n">
        <x:v>0</x:v>
      </x:c>
      <x:c r="H2493" s="85" t="n">
        <x:v>0</x:v>
      </x:c>
      <x:c r="I2493" s="85" t="n">
        <x:v>3883151.685354811</x:v>
      </x:c>
      <x:c r="J2493" s="85" t="n">
        <x:v>5770459.563201341</x:v>
      </x:c>
      <x:c r="K2493" s="85" t="n">
        <x:v>132112.95687034255</x:v>
      </x:c>
      <x:c r="L2493" s="28" t="n">
        <x:v>5</x:v>
      </x:c>
      <x:c r="M2493" s="28" t="n">
        <x:v>0</x:v>
      </x:c>
      <x:c r="N2493" s="28" t="n">
        <x:v>9.313225746154785e-10</x:v>
      </x:c>
      <x:c r="O2493" s="28" t="n">
        <x:v>7.450580596923828e-9</x:v>
      </x:c>
      <x:c r="P2493" s="28" t="n">
        <x:v>0</x:v>
      </x:c>
      <x:c r="Q2493" s="62" t="b">
        <x:v>1</x:v>
      </x:c>
      <x:c r="R2493" s="28" t="n">
        <x:v>0</x:v>
      </x:c>
      <x:c r="S2493" s="28" t="str">
        <x:v>aa63741825882af0</x:v>
      </x:c>
    </x:row>
    <x:row r="2494" ht="21" customHeight="1">
      <x:c r="A2494" s="60" t="n">
        <x:v>0.69</x:v>
      </x:c>
      <x:c r="B2494" s="28" t="str">
        <x:v>level_low</x:v>
      </x:c>
      <x:c r="C2494" s="60" t="n">
        <x:v>0.4</x:v>
      </x:c>
      <x:c r="D2494" s="60" t="n">
        <x:v>0.4</x:v>
      </x:c>
      <x:c r="E2494" s="62" t="b">
        <x:v>1</x:v>
      </x:c>
      <x:c r="F2494" s="62" t="b">
        <x:v>1</x:v>
      </x:c>
      <x:c r="G2494" s="85" t="n">
        <x:v>0</x:v>
      </x:c>
      <x:c r="H2494" s="85" t="n">
        <x:v>0</x:v>
      </x:c>
      <x:c r="I2494" s="85" t="n">
        <x:v>5053018.141012665</x:v>
      </x:c>
      <x:c r="J2494" s="85" t="n">
        <x:v>6794520.473506535</x:v>
      </x:c>
      <x:c r="K2494" s="85" t="n">
        <x:v>109935.16882246545</x:v>
      </x:c>
      <x:c r="L2494" s="28" t="n">
        <x:v>11</x:v>
      </x:c>
      <x:c r="M2494" s="28" t="n">
        <x:v>0</x:v>
      </x:c>
      <x:c r="N2494" s="28" t="n">
        <x:v>9.313225746154785e-10</x:v>
      </x:c>
      <x:c r="O2494" s="28" t="n">
        <x:v>7.450580596923828e-9</x:v>
      </x:c>
      <x:c r="P2494" s="28" t="n">
        <x:v>0</x:v>
      </x:c>
      <x:c r="Q2494" s="62" t="b">
        <x:v>1</x:v>
      </x:c>
      <x:c r="R2494" s="28" t="n">
        <x:v>0</x:v>
      </x:c>
      <x:c r="S2494" s="28" t="str">
        <x:v>fb58fbaf32b5c6d7</x:v>
      </x:c>
    </x:row>
    <x:row r="2495" ht="21" customHeight="1">
      <x:c r="A2495" s="60" t="n">
        <x:v>0.69</x:v>
      </x:c>
      <x:c r="B2495" s="28" t="str">
        <x:v>level_low</x:v>
      </x:c>
      <x:c r="C2495" s="60" t="n">
        <x:v>0.45</x:v>
      </x:c>
      <x:c r="D2495" s="60" t="n">
        <x:v>0.45</x:v>
      </x:c>
      <x:c r="E2495" s="62" t="b">
        <x:v>1</x:v>
      </x:c>
      <x:c r="F2495" s="62" t="b">
        <x:v>1</x:v>
      </x:c>
      <x:c r="G2495" s="85" t="n">
        <x:v>0</x:v>
      </x:c>
      <x:c r="H2495" s="85" t="n">
        <x:v>0</x:v>
      </x:c>
      <x:c r="I2495" s="85" t="n">
        <x:v>5978471.158709706</x:v>
      </x:c>
      <x:c r="J2495" s="85" t="n">
        <x:v>8195379.105863233</x:v>
      </x:c>
      <x:c r="K2495" s="85" t="n">
        <x:v>93401.34787671214</x:v>
      </x:c>
      <x:c r="L2495" s="28" t="n">
        <x:v>15</x:v>
      </x:c>
      <x:c r="M2495" s="28" t="n">
        <x:v>0</x:v>
      </x:c>
      <x:c r="N2495" s="28" t="n">
        <x:v>9.313225746154785e-10</x:v>
      </x:c>
      <x:c r="O2495" s="28" t="n">
        <x:v>3.725290298461914e-9</x:v>
      </x:c>
      <x:c r="P2495" s="28" t="n">
        <x:v>0</x:v>
      </x:c>
      <x:c r="Q2495" s="62" t="b">
        <x:v>1</x:v>
      </x:c>
      <x:c r="R2495" s="28" t="n">
        <x:v>0</x:v>
      </x:c>
      <x:c r="S2495" s="28" t="str">
        <x:v>90f27af96105f1c7</x:v>
      </x:c>
    </x:row>
    <x:row r="2496" ht="21" customHeight="1">
      <x:c r="A2496" s="60" t="n">
        <x:v>0.69</x:v>
      </x:c>
      <x:c r="B2496" s="28" t="str">
        <x:v>level_low</x:v>
      </x:c>
      <x:c r="C2496" s="60" t="n">
        <x:v>0.5</x:v>
      </x:c>
      <x:c r="D2496" s="60" t="n">
        <x:v>0.5</x:v>
      </x:c>
      <x:c r="E2496" s="62" t="b">
        <x:v>1</x:v>
      </x:c>
      <x:c r="F2496" s="62" t="b">
        <x:v>1</x:v>
      </x:c>
      <x:c r="G2496" s="85" t="n">
        <x:v>0</x:v>
      </x:c>
      <x:c r="H2496" s="85" t="n">
        <x:v>0</x:v>
      </x:c>
      <x:c r="I2496" s="85" t="n">
        <x:v>6771036.673046964</x:v>
      </x:c>
      <x:c r="J2496" s="85" t="n">
        <x:v>9837762.638210028</x:v>
      </x:c>
      <x:c r="K2496" s="85" t="n">
        <x:v>82474.07986301345</x:v>
      </x:c>
      <x:c r="L2496" s="28" t="n">
        <x:v>18</x:v>
      </x:c>
      <x:c r="M2496" s="28" t="n">
        <x:v>0</x:v>
      </x:c>
      <x:c r="N2496" s="28" t="n">
        <x:v>2.3283064365386963e-10</x:v>
      </x:c>
      <x:c r="O2496" s="28" t="n">
        <x:v>3.725290298461914e-9</x:v>
      </x:c>
      <x:c r="P2496" s="28" t="n">
        <x:v>0</x:v>
      </x:c>
      <x:c r="Q2496" s="62" t="b">
        <x:v>1</x:v>
      </x:c>
      <x:c r="R2496" s="28" t="n">
        <x:v>0</x:v>
      </x:c>
      <x:c r="S2496" s="28" t="str">
        <x:v>4cc68833e2188d10</x:v>
      </x:c>
    </x:row>
    <x:row r="2497" ht="21" customHeight="1">
      <x:c r="A2497" s="60" t="n">
        <x:v>0.69</x:v>
      </x:c>
      <x:c r="B2497" s="28" t="str">
        <x:v>level_low</x:v>
      </x:c>
      <x:c r="C2497" s="60" t="n">
        <x:v>0.55</x:v>
      </x:c>
      <x:c r="D2497" s="60" t="n">
        <x:v>0.55</x:v>
      </x:c>
      <x:c r="E2497" s="62" t="b">
        <x:v>1</x:v>
      </x:c>
      <x:c r="F2497" s="62" t="b">
        <x:v>1</x:v>
      </x:c>
      <x:c r="G2497" s="85" t="n">
        <x:v>0</x:v>
      </x:c>
      <x:c r="H2497" s="85" t="n">
        <x:v>0</x:v>
      </x:c>
      <x:c r="I2497" s="85" t="n">
        <x:v>7509793.086292083</x:v>
      </x:c>
      <x:c r="J2497" s="85" t="n">
        <x:v>11519863.506076043</x:v>
      </x:c>
      <x:c r="K2497" s="85" t="n">
        <x:v>71546.81184931507</x:v>
      </x:c>
      <x:c r="L2497" s="28" t="n">
        <x:v>24</x:v>
      </x:c>
      <x:c r="M2497" s="28" t="n">
        <x:v>1</x:v>
      </x:c>
      <x:c r="N2497" s="28" t="n">
        <x:v>4.656612873077393e-10</x:v>
      </x:c>
      <x:c r="O2497" s="28" t="n">
        <x:v>3.725290298461914e-9</x:v>
      </x:c>
      <x:c r="P2497" s="28" t="n">
        <x:v>0</x:v>
      </x:c>
      <x:c r="Q2497" s="62" t="b">
        <x:v>1</x:v>
      </x:c>
      <x:c r="R2497" s="28" t="n">
        <x:v>0</x:v>
      </x:c>
      <x:c r="S2497" s="28" t="str">
        <x:v>8ea6a20e9c628d5c</x:v>
      </x:c>
    </x:row>
    <x:row r="2498" ht="21" customHeight="1">
      <x:c r="A2498" s="60" t="n">
        <x:v>0.69</x:v>
      </x:c>
      <x:c r="B2498" s="28" t="str">
        <x:v>level_low</x:v>
      </x:c>
      <x:c r="C2498" s="60" t="n">
        <x:v>0.6</x:v>
      </x:c>
      <x:c r="D2498" s="60" t="n">
        <x:v>0.6</x:v>
      </x:c>
      <x:c r="E2498" s="62" t="b">
        <x:v>1</x:v>
      </x:c>
      <x:c r="F2498" s="62" t="b">
        <x:v>0</x:v>
      </x:c>
      <x:c r="G2498" s="85" t="n">
        <x:v>131922.41719659447</x:v>
      </x:c>
      <x:c r="H2498" s="85" t="n">
        <x:v>1645133.4117892415</x:v>
      </x:c>
      <x:c r="I2498" s="85" t="n">
        <x:v>7731891.340273975</x:v>
      </x:c>
      <x:c r="J2498" s="85" t="n">
        <x:v>11706240.000000002</x:v>
      </x:c>
      <x:c r="K2498" s="85" t="n">
        <x:v>60619.54383561626</x:v>
      </x:c>
      <x:c r="L2498" s="28" t="n">
        <x:v>44</x:v>
      </x:c>
      <x:c r="M2498" s="28" t="n">
        <x:v>30</x:v>
      </x:c>
      <x:c r="N2498" s="28" t="n">
        <x:v>4.656612873077393e-10</x:v>
      </x:c>
      <x:c r="O2498" s="28" t="n">
        <x:v>7.450580596923828e-9</x:v>
      </x:c>
      <x:c r="P2498" s="28" t="n">
        <x:v>0</x:v>
      </x:c>
      <x:c r="Q2498" s="62" t="b">
        <x:v>1</x:v>
      </x:c>
      <x:c r="R2498" s="28" t="n">
        <x:v>0</x:v>
      </x:c>
      <x:c r="S2498" s="28" t="str">
        <x:v>dd287b095542dc7f</x:v>
      </x:c>
    </x:row>
    <x:row r="2499" ht="21" customHeight="1">
      <x:c r="A2499" s="60" t="n">
        <x:v>0.69</x:v>
      </x:c>
      <x:c r="B2499" s="28" t="str">
        <x:v>level_low</x:v>
      </x:c>
      <x:c r="C2499" s="60" t="n">
        <x:v>0.65</x:v>
      </x:c>
      <x:c r="D2499" s="60" t="n">
        <x:v>0.65</x:v>
      </x:c>
      <x:c r="E2499" s="62" t="b">
        <x:v>1</x:v>
      </x:c>
      <x:c r="F2499" s="62" t="b">
        <x:v>0</x:v>
      </x:c>
      <x:c r="G2499" s="85" t="n">
        <x:v>296538.8888755261</x:v>
      </x:c>
      <x:c r="H2499" s="85" t="n">
        <x:v>3692101.0476533147</x:v>
      </x:c>
      <x:c r="I2499" s="85" t="n">
        <x:v>7731891.340273975</x:v>
      </x:c>
      <x:c r="J2499" s="85" t="n">
        <x:v>11706240.000000002</x:v>
      </x:c>
      <x:c r="K2499" s="85" t="n">
        <x:v>51009.345301369525</x:v>
      </x:c>
      <x:c r="L2499" s="28" t="n">
        <x:v>44</x:v>
      </x:c>
      <x:c r="M2499" s="28" t="n">
        <x:v>31</x:v>
      </x:c>
      <x:c r="N2499" s="28" t="n">
        <x:v>4.656612873077393e-10</x:v>
      </x:c>
      <x:c r="O2499" s="28" t="n">
        <x:v>3.725290298461914e-9</x:v>
      </x:c>
      <x:c r="P2499" s="28" t="n">
        <x:v>0</x:v>
      </x:c>
      <x:c r="Q2499" s="62" t="b">
        <x:v>1</x:v>
      </x:c>
      <x:c r="R2499" s="28" t="n">
        <x:v>0</x:v>
      </x:c>
      <x:c r="S2499" s="28" t="str">
        <x:v>a0983d66aeef1280</x:v>
      </x:c>
    </x:row>
    <x:row r="2500" ht="21" customHeight="1">
      <x:c r="A2500" s="60" t="n">
        <x:v>0.69</x:v>
      </x:c>
      <x:c r="B2500" s="28" t="str">
        <x:v>level_low</x:v>
      </x:c>
      <x:c r="C2500" s="60" t="n">
        <x:v>0.7</x:v>
      </x:c>
      <x:c r="D2500" s="60" t="n">
        <x:v>0.7</x:v>
      </x:c>
      <x:c r="E2500" s="62" t="b">
        <x:v>1</x:v>
      </x:c>
      <x:c r="F2500" s="62" t="b">
        <x:v>0</x:v>
      </x:c>
      <x:c r="G2500" s="85" t="n">
        <x:v>443405.4030994051</x:v>
      </x:c>
      <x:c r="H2500" s="85" t="n">
        <x:v>5518275.762247083</x:v>
      </x:c>
      <x:c r="I2500" s="85" t="n">
        <x:v>7908928.175342469</x:v>
      </x:c>
      <x:c r="J2500" s="85" t="n">
        <x:v>11706240.000000002</x:v>
      </x:c>
      <x:c r="K2500" s="85" t="n">
        <x:v>47618.88112328762</x:v>
      </x:c>
      <x:c r="L2500" s="28" t="n">
        <x:v>45</x:v>
      </x:c>
      <x:c r="M2500" s="28" t="n">
        <x:v>32</x:v>
      </x:c>
      <x:c r="N2500" s="28" t="n">
        <x:v>4.656612873077393e-10</x:v>
      </x:c>
      <x:c r="O2500" s="28" t="n">
        <x:v>3.725290298461914e-9</x:v>
      </x:c>
      <x:c r="P2500" s="28" t="n">
        <x:v>0</x:v>
      </x:c>
      <x:c r="Q2500" s="62" t="b">
        <x:v>1</x:v>
      </x:c>
      <x:c r="R2500" s="28" t="n">
        <x:v>0</x:v>
      </x:c>
      <x:c r="S2500" s="28" t="str">
        <x:v>8cfc95bfa0b97c5d</x:v>
      </x:c>
    </x:row>
    <x:row r="2501" ht="21" customHeight="1">
      <x:c r="A2501" s="60" t="n">
        <x:v>0.69</x:v>
      </x:c>
      <x:c r="B2501" s="28" t="str">
        <x:v>level_low</x:v>
      </x:c>
      <x:c r="C2501" s="60" t="n">
        <x:v>0.75</x:v>
      </x:c>
      <x:c r="D2501" s="60" t="n">
        <x:v>0.75</x:v>
      </x:c>
      <x:c r="E2501" s="62" t="b">
        <x:v>1</x:v>
      </x:c>
      <x:c r="F2501" s="62" t="b">
        <x:v>0</x:v>
      </x:c>
      <x:c r="G2501" s="85" t="n">
        <x:v>642120.1437153233</x:v>
      </x:c>
      <x:c r="H2501" s="85" t="n">
        <x:v>7531794.458119095</x:v>
      </x:c>
      <x:c r="I2501" s="85" t="n">
        <x:v>7908928.175342469</x:v>
      </x:c>
      <x:c r="J2501" s="85" t="n">
        <x:v>11706240.000000002</x:v>
      </x:c>
      <x:c r="K2501" s="85" t="n">
        <x:v>44228.416945205245</x:v>
      </x:c>
      <x:c r="L2501" s="28" t="n">
        <x:v>45</x:v>
      </x:c>
      <x:c r="M2501" s="28" t="n">
        <x:v>33</x:v>
      </x:c>
      <x:c r="N2501" s="28" t="n">
        <x:v>2.3283064365386963e-10</x:v>
      </x:c>
      <x:c r="O2501" s="28" t="n">
        <x:v>3.725290298461914e-9</x:v>
      </x:c>
      <x:c r="P2501" s="28" t="n">
        <x:v>0</x:v>
      </x:c>
      <x:c r="Q2501" s="62" t="b">
        <x:v>1</x:v>
      </x:c>
      <x:c r="R2501" s="28" t="n">
        <x:v>0</x:v>
      </x:c>
      <x:c r="S2501" s="28" t="str">
        <x:v>11f1b009e147df47</x:v>
      </x:c>
    </x:row>
    <x:row r="2502" ht="21" customHeight="1">
      <x:c r="A2502" s="60" t="n">
        <x:v>0.69</x:v>
      </x:c>
      <x:c r="B2502" s="28" t="str">
        <x:v>level_low</x:v>
      </x:c>
      <x:c r="C2502" s="60" t="n">
        <x:v>0.8</x:v>
      </x:c>
      <x:c r="D2502" s="60" t="n">
        <x:v>0.8</x:v>
      </x:c>
      <x:c r="E2502" s="62" t="b">
        <x:v>1</x:v>
      </x:c>
      <x:c r="F2502" s="62" t="b">
        <x:v>0</x:v>
      </x:c>
      <x:c r="G2502" s="85" t="n">
        <x:v>812039.103897574</x:v>
      </x:c>
      <x:c r="H2502" s="85" t="n">
        <x:v>9509765.710492725</x:v>
      </x:c>
      <x:c r="I2502" s="85" t="n">
        <x:v>7908928.175342469</x:v>
      </x:c>
      <x:c r="J2502" s="85" t="n">
        <x:v>11706240.000000002</x:v>
      </x:c>
      <x:c r="K2502" s="85" t="n">
        <x:v>40837.95276712322</x:v>
      </x:c>
      <x:c r="L2502" s="28" t="n">
        <x:v>45</x:v>
      </x:c>
      <x:c r="M2502" s="28" t="n">
        <x:v>34</x:v>
      </x:c>
      <x:c r="N2502" s="28" t="n">
        <x:v>4.656612873077393e-10</x:v>
      </x:c>
      <x:c r="O2502" s="28" t="n">
        <x:v>3.725290298461914e-9</x:v>
      </x:c>
      <x:c r="P2502" s="28" t="n">
        <x:v>0</x:v>
      </x:c>
      <x:c r="Q2502" s="62" t="b">
        <x:v>1</x:v>
      </x:c>
      <x:c r="R2502" s="28" t="n">
        <x:v>0</x:v>
      </x:c>
      <x:c r="S2502" s="28" t="str">
        <x:v>7cdeca506c6027f4</x:v>
      </x:c>
    </x:row>
    <x:row r="2503" ht="21" customHeight="1">
      <x:c r="A2503" s="60" t="n">
        <x:v>0.69</x:v>
      </x:c>
      <x:c r="B2503" s="28" t="str">
        <x:v>level_low</x:v>
      </x:c>
      <x:c r="C2503" s="60" t="n">
        <x:v>0.85</x:v>
      </x:c>
      <x:c r="D2503" s="60" t="n">
        <x:v>0.85</x:v>
      </x:c>
      <x:c r="E2503" s="62" t="b">
        <x:v>1</x:v>
      </x:c>
      <x:c r="F2503" s="62" t="b">
        <x:v>0</x:v>
      </x:c>
      <x:c r="G2503" s="85" t="n">
        <x:v>1054032.027761285</x:v>
      </x:c>
      <x:c r="H2503" s="85" t="n">
        <x:v>11413440.38967956</x:v>
      </x:c>
      <x:c r="I2503" s="85" t="n">
        <x:v>7908928.175342469</x:v>
      </x:c>
      <x:c r="J2503" s="85" t="n">
        <x:v>11706240.000000002</x:v>
      </x:c>
      <x:c r="K2503" s="85" t="n">
        <x:v>37447.4885890412</x:v>
      </x:c>
      <x:c r="L2503" s="28" t="n">
        <x:v>45</x:v>
      </x:c>
      <x:c r="M2503" s="28" t="n">
        <x:v>35</x:v>
      </x:c>
      <x:c r="N2503" s="28" t="n">
        <x:v>4.656612873077393e-10</x:v>
      </x:c>
      <x:c r="O2503" s="28" t="n">
        <x:v>3.725290298461914e-9</x:v>
      </x:c>
      <x:c r="P2503" s="28" t="n">
        <x:v>0</x:v>
      </x:c>
      <x:c r="Q2503" s="62" t="b">
        <x:v>1</x:v>
      </x:c>
      <x:c r="R2503" s="28" t="n">
        <x:v>0</x:v>
      </x:c>
      <x:c r="S2503" s="28" t="str">
        <x:v>b5c408c7a0fdd14b</x:v>
      </x:c>
    </x:row>
    <x:row r="2504" ht="21" customHeight="1">
      <x:c r="A2504" s="60" t="n">
        <x:v>0.69</x:v>
      </x:c>
      <x:c r="B2504" s="28" t="str">
        <x:v>level_low</x:v>
      </x:c>
      <x:c r="C2504" s="60" t="n">
        <x:v>0.9</x:v>
      </x:c>
      <x:c r="D2504" s="60" t="n">
        <x:v>0.8949513562027351</x:v>
      </x:c>
      <x:c r="E2504" s="62" t="b">
        <x:v>0</x:v>
      </x:c>
      <x:c r="F2504" s="62" t="b">
        <x:v>0</x:v>
      </x:c>
      <x:c r="G2504" s="85" t="n">
        <x:v>1465979.6126538015</x:v>
      </x:c>
      <x:c r="H2504" s="85" t="n">
        <x:v>12853601.06220754</x:v>
      </x:c>
      <x:c r="I2504" s="85" t="n">
        <x:v>7908928.175342469</x:v>
      </x:c>
      <x:c r="J2504" s="85" t="n">
        <x:v>11706240.000000002</x:v>
      </x:c>
      <x:c r="K2504" s="85" t="n">
        <x:v>34057.02441095894</x:v>
      </x:c>
      <x:c r="L2504" s="28" t="n">
        <x:v>45</x:v>
      </x:c>
      <x:c r="M2504" s="28" t="n">
        <x:v>36</x:v>
      </x:c>
      <x:c r="N2504" s="28" t="n">
        <x:v>4.656612873077393e-10</x:v>
      </x:c>
      <x:c r="O2504" s="28" t="n">
        <x:v>3.725290298461914e-9</x:v>
      </x:c>
      <x:c r="P2504" s="28" t="n">
        <x:v>0</x:v>
      </x:c>
      <x:c r="Q2504" s="62" t="b">
        <x:v>1</x:v>
      </x:c>
      <x:c r="R2504" s="28" t="n">
        <x:v>281431.5998347327</x:v>
      </x:c>
      <x:c r="S2504" s="28" t="str">
        <x:v>e0003f71a17cffa1</x:v>
      </x:c>
    </x:row>
    <x:row r="2505" ht="21" customHeight="1">
      <x:c r="A2505" s="60" t="n">
        <x:v>0.69</x:v>
      </x:c>
      <x:c r="B2505" s="28" t="str">
        <x:v>level_low</x:v>
      </x:c>
      <x:c r="C2505" s="60" t="n">
        <x:v>0.95</x:v>
      </x:c>
      <x:c r="D2505" s="60" t="n">
        <x:v>0.9109811515371262</x:v>
      </x:c>
      <x:c r="E2505" s="62" t="b">
        <x:v>0</x:v>
      </x:c>
      <x:c r="F2505" s="62" t="b">
        <x:v>0</x:v>
      </x:c>
      <x:c r="G2505" s="85" t="n">
        <x:v>1528788.7155106266</x:v>
      </x:c>
      <x:c r="H2505" s="85" t="n">
        <x:v>13404306.641076617</x:v>
      </x:c>
      <x:c r="I2505" s="85" t="n">
        <x:v>8085965.010410962</x:v>
      </x:c>
      <x:c r="J2505" s="85" t="n">
        <x:v>11706240.000000002</x:v>
      </x:c>
      <x:c r="K2505" s="85" t="n">
        <x:v>30666.560232876513</x:v>
      </x:c>
      <x:c r="L2505" s="28" t="n">
        <x:v>46</x:v>
      </x:c>
      <x:c r="M2505" s="28" t="n">
        <x:v>36</x:v>
      </x:c>
      <x:c r="N2505" s="28" t="n">
        <x:v>2.3283064365386963e-10</x:v>
      </x:c>
      <x:c r="O2505" s="28" t="n">
        <x:v>3.725290298461914e-9</x:v>
      </x:c>
      <x:c r="P2505" s="28" t="n">
        <x:v>0</x:v>
      </x:c>
      <x:c r="Q2505" s="62" t="b">
        <x:v>1</x:v>
      </x:c>
      <x:c r="R2505" s="28" t="n">
        <x:v>2175066.688714437</x:v>
      </x:c>
      <x:c r="S2505" s="28" t="str">
        <x:v>9f2b51e973329026</x:v>
      </x:c>
    </x:row>
    <x:row r="2506" ht="21" customHeight="1">
      <x:c r="A2506" s="60" t="n">
        <x:v>0.69</x:v>
      </x:c>
      <x:c r="B2506" s="28" t="str">
        <x:v>level_low</x:v>
      </x:c>
      <x:c r="C2506" s="60" t="n">
        <x:v>1</x:v>
      </x:c>
      <x:c r="D2506" s="60" t="n">
        <x:v>0.9258453085724337</x:v>
      </x:c>
      <x:c r="E2506" s="62" t="b">
        <x:v>0</x:v>
      </x:c>
      <x:c r="F2506" s="62" t="b">
        <x:v>0</x:v>
      </x:c>
      <x:c r="G2506" s="85" t="n">
        <x:v>1667012.857261498</x:v>
      </x:c>
      <x:c r="H2506" s="85" t="n">
        <x:v>14027242.384223133</x:v>
      </x:c>
      <x:c r="I2506" s="85" t="n">
        <x:v>8085965.010410962</x:v>
      </x:c>
      <x:c r="J2506" s="85" t="n">
        <x:v>11706240.000000002</x:v>
      </x:c>
      <x:c r="K2506" s="85" t="n">
        <x:v>27276.096054794372</x:v>
      </x:c>
      <x:c r="L2506" s="28" t="n">
        <x:v>46</x:v>
      </x:c>
      <x:c r="M2506" s="28" t="n">
        <x:v>37</x:v>
      </x:c>
      <x:c r="N2506" s="28" t="n">
        <x:v>2.3283064365386963e-10</x:v>
      </x:c>
      <x:c r="O2506" s="28" t="n">
        <x:v>1.862645149230957e-9</x:v>
      </x:c>
      <x:c r="P2506" s="28" t="n">
        <x:v>0</x:v>
      </x:c>
      <x:c r="Q2506" s="62" t="b">
        <x:v>1</x:v>
      </x:c>
      <x:c r="R2506" s="28" t="n">
        <x:v>4133679.1189382523</x:v>
      </x:c>
      <x:c r="S2506" s="28" t="str">
        <x:v>cfe23e7806cc7a37</x:v>
      </x:c>
    </x:row>
    <x:row r="2507" ht="21" customHeight="1">
      <x:c r="A2507" s="60" t="n">
        <x:v>0.69</x:v>
      </x:c>
      <x:c r="B2507" s="28" t="str">
        <x:v>level_high</x:v>
      </x:c>
      <x:c r="C2507" s="60" t="n">
        <x:v>0</x:v>
      </x:c>
      <x:c r="D2507" s="60" t="n">
        <x:v>0</x:v>
      </x:c>
      <x:c r="E2507" s="62" t="b">
        <x:v>1</x:v>
      </x:c>
      <x:c r="F2507" s="62" t="b">
        <x:v>1</x:v>
      </x:c>
      <x:c r="G2507" s="85" t="n">
        <x:v>0</x:v>
      </x:c>
      <x:c r="H2507" s="85" t="n">
        <x:v>0</x:v>
      </x:c>
      <x:c r="I2507" s="85" t="n">
        <x:v>0</x:v>
      </x:c>
      <x:c r="J2507" s="85" t="n">
        <x:v>0</x:v>
      </x:c>
      <x:c r="K2507" s="85" t="n">
        <x:v>7690531.387178079</x:v>
      </x:c>
      <x:c r="L2507" s="28" t="n">
        <x:v>0</x:v>
      </x:c>
      <x:c r="M2507" s="28" t="n">
        <x:v>0</x:v>
      </x:c>
      <x:c r="N2507" s="28" t="n">
        <x:v>9.313225746154785e-10</x:v>
      </x:c>
      <x:c r="O2507" s="28" t="n">
        <x:v>0</x:v>
      </x:c>
      <x:c r="P2507" s="28" t="n">
        <x:v>0</x:v>
      </x:c>
      <x:c r="Q2507" s="62" t="b">
        <x:v>1</x:v>
      </x:c>
      <x:c r="R2507" s="28" t="n">
        <x:v>0</x:v>
      </x:c>
      <x:c r="S2507" s="28" t="str">
        <x:v>34b774acbe925a1e</x:v>
      </x:c>
    </x:row>
    <x:row r="2508" ht="21" customHeight="1">
      <x:c r="A2508" s="60" t="n">
        <x:v>0.69</x:v>
      </x:c>
      <x:c r="B2508" s="28" t="str">
        <x:v>level_high</x:v>
      </x:c>
      <x:c r="C2508" s="60" t="n">
        <x:v>0.05</x:v>
      </x:c>
      <x:c r="D2508" s="60" t="n">
        <x:v>0.05</x:v>
      </x:c>
      <x:c r="E2508" s="62" t="b">
        <x:v>1</x:v>
      </x:c>
      <x:c r="F2508" s="62" t="b">
        <x:v>1</x:v>
      </x:c>
      <x:c r="G2508" s="85" t="n">
        <x:v>0</x:v>
      </x:c>
      <x:c r="H2508" s="85" t="n">
        <x:v>0</x:v>
      </x:c>
      <x:c r="I2508" s="85" t="n">
        <x:v>0</x:v>
      </x:c>
      <x:c r="J2508" s="85" t="n">
        <x:v>0</x:v>
      </x:c>
      <x:c r="K2508" s="85" t="n">
        <x:v>5198971.824192575</x:v>
      </x:c>
      <x:c r="L2508" s="28" t="n">
        <x:v>0</x:v>
      </x:c>
      <x:c r="M2508" s="28" t="n">
        <x:v>0</x:v>
      </x:c>
      <x:c r="N2508" s="28" t="n">
        <x:v>4.656612873077393e-10</x:v>
      </x:c>
      <x:c r="O2508" s="28" t="n">
        <x:v>7.450580596923828e-9</x:v>
      </x:c>
      <x:c r="P2508" s="28" t="n">
        <x:v>0</x:v>
      </x:c>
      <x:c r="Q2508" s="62" t="b">
        <x:v>1</x:v>
      </x:c>
      <x:c r="R2508" s="28" t="n">
        <x:v>0</x:v>
      </x:c>
      <x:c r="S2508" s="28" t="str">
        <x:v>132e442699cc7955</x:v>
      </x:c>
    </x:row>
    <x:row r="2509" ht="21" customHeight="1">
      <x:c r="A2509" s="60" t="n">
        <x:v>0.69</x:v>
      </x:c>
      <x:c r="B2509" s="28" t="str">
        <x:v>level_high</x:v>
      </x:c>
      <x:c r="C2509" s="60" t="n">
        <x:v>0.1</x:v>
      </x:c>
      <x:c r="D2509" s="60" t="n">
        <x:v>0.1</x:v>
      </x:c>
      <x:c r="E2509" s="62" t="b">
        <x:v>1</x:v>
      </x:c>
      <x:c r="F2509" s="62" t="b">
        <x:v>1</x:v>
      </x:c>
      <x:c r="G2509" s="85" t="n">
        <x:v>0</x:v>
      </x:c>
      <x:c r="H2509" s="85" t="n">
        <x:v>0</x:v>
      </x:c>
      <x:c r="I2509" s="85" t="n">
        <x:v>0</x:v>
      </x:c>
      <x:c r="J2509" s="85" t="n">
        <x:v>0</x:v>
      </x:c>
      <x:c r="K2509" s="85" t="n">
        <x:v>2707257.3642130196</x:v>
      </x:c>
      <x:c r="L2509" s="28" t="n">
        <x:v>0</x:v>
      </x:c>
      <x:c r="M2509" s="28" t="n">
        <x:v>0</x:v>
      </x:c>
      <x:c r="N2509" s="28" t="n">
        <x:v>4.656612873077393e-10</x:v>
      </x:c>
      <x:c r="O2509" s="28" t="n">
        <x:v>7.450580596923828e-9</x:v>
      </x:c>
      <x:c r="P2509" s="28" t="n">
        <x:v>0</x:v>
      </x:c>
      <x:c r="Q2509" s="62" t="b">
        <x:v>1</x:v>
      </x:c>
      <x:c r="R2509" s="28" t="n">
        <x:v>0</x:v>
      </x:c>
      <x:c r="S2509" s="28" t="str">
        <x:v>85c3521fb97776a5</x:v>
      </x:c>
    </x:row>
    <x:row r="2510" ht="21" customHeight="1">
      <x:c r="A2510" s="60" t="n">
        <x:v>0.69</x:v>
      </x:c>
      <x:c r="B2510" s="28" t="str">
        <x:v>level_high</x:v>
      </x:c>
      <x:c r="C2510" s="60" t="n">
        <x:v>0.15</x:v>
      </x:c>
      <x:c r="D2510" s="60" t="n">
        <x:v>0.15</x:v>
      </x:c>
      <x:c r="E2510" s="62" t="b">
        <x:v>1</x:v>
      </x:c>
      <x:c r="F2510" s="62" t="b">
        <x:v>1</x:v>
      </x:c>
      <x:c r="G2510" s="85" t="n">
        <x:v>0</x:v>
      </x:c>
      <x:c r="H2510" s="85" t="n">
        <x:v>0</x:v>
      </x:c>
      <x:c r="I2510" s="85" t="n">
        <x:v>489513.46907751885</x:v>
      </x:c>
      <x:c r="J2510" s="85" t="n">
        <x:v>0</x:v>
      </x:c>
      <x:c r="K2510" s="85" t="n">
        <x:v>729764.3670025375</x:v>
      </x:c>
      <x:c r="L2510" s="28" t="n">
        <x:v>0</x:v>
      </x:c>
      <x:c r="M2510" s="28" t="n">
        <x:v>0</x:v>
      </x:c>
      <x:c r="N2510" s="28" t="n">
        <x:v>9.313225746154785e-10</x:v>
      </x:c>
      <x:c r="O2510" s="28" t="n">
        <x:v>7.450580596923828e-9</x:v>
      </x:c>
      <x:c r="P2510" s="28" t="n">
        <x:v>0</x:v>
      </x:c>
      <x:c r="Q2510" s="62" t="b">
        <x:v>1</x:v>
      </x:c>
      <x:c r="R2510" s="28" t="n">
        <x:v>0</x:v>
      </x:c>
      <x:c r="S2510" s="28" t="str">
        <x:v>1219d9be8ebaf450</x:v>
      </x:c>
    </x:row>
    <x:row r="2511" ht="21" customHeight="1">
      <x:c r="A2511" s="60" t="n">
        <x:v>0.69</x:v>
      </x:c>
      <x:c r="B2511" s="28" t="str">
        <x:v>level_high</x:v>
      </x:c>
      <x:c r="C2511" s="60" t="n">
        <x:v>0.2</x:v>
      </x:c>
      <x:c r="D2511" s="60" t="n">
        <x:v>0.2</x:v>
      </x:c>
      <x:c r="E2511" s="62" t="b">
        <x:v>1</x:v>
      </x:c>
      <x:c r="F2511" s="62" t="b">
        <x:v>1</x:v>
      </x:c>
      <x:c r="G2511" s="85" t="n">
        <x:v>0</x:v>
      </x:c>
      <x:c r="H2511" s="85" t="n">
        <x:v>0</x:v>
      </x:c>
      <x:c r="I2511" s="85" t="n">
        <x:v>2298605.1191789117</x:v>
      </x:c>
      <x:c r="J2511" s="85" t="n">
        <x:v>1248509.6821693014</x:v>
      </x:c>
      <x:c r="K2511" s="85" t="n">
        <x:v>548407.5302635265</x:v>
      </x:c>
      <x:c r="L2511" s="28" t="n">
        <x:v>0</x:v>
      </x:c>
      <x:c r="M2511" s="28" t="n">
        <x:v>0</x:v>
      </x:c>
      <x:c r="N2511" s="28" t="n">
        <x:v>9.313225746154785e-10</x:v>
      </x:c>
      <x:c r="O2511" s="28" t="n">
        <x:v>7.450580596923828e-9</x:v>
      </x:c>
      <x:c r="P2511" s="28" t="n">
        <x:v>0</x:v>
      </x:c>
      <x:c r="Q2511" s="62" t="b">
        <x:v>1</x:v>
      </x:c>
      <x:c r="R2511" s="28" t="n">
        <x:v>0</x:v>
      </x:c>
      <x:c r="S2511" s="28" t="str">
        <x:v>58690435d2c89442</x:v>
      </x:c>
    </x:row>
    <x:row r="2512" ht="21" customHeight="1">
      <x:c r="A2512" s="60" t="n">
        <x:v>0.69</x:v>
      </x:c>
      <x:c r="B2512" s="28" t="str">
        <x:v>level_high</x:v>
      </x:c>
      <x:c r="C2512" s="60" t="n">
        <x:v>0.25</x:v>
      </x:c>
      <x:c r="D2512" s="60" t="n">
        <x:v>0.25</x:v>
      </x:c>
      <x:c r="E2512" s="62" t="b">
        <x:v>1</x:v>
      </x:c>
      <x:c r="F2512" s="62" t="b">
        <x:v>1</x:v>
      </x:c>
      <x:c r="G2512" s="85" t="n">
        <x:v>0</x:v>
      </x:c>
      <x:c r="H2512" s="85" t="n">
        <x:v>0</x:v>
      </x:c>
      <x:c r="I2512" s="85" t="n">
        <x:v>3888475.2770692385</x:v>
      </x:c>
      <x:c r="J2512" s="85" t="n">
        <x:v>2954237.1027116273</x:v>
      </x:c>
      <x:c r="K2512" s="85" t="n">
        <x:v>425708.43256369804</x:v>
      </x:c>
      <x:c r="L2512" s="28" t="n">
        <x:v>0</x:v>
      </x:c>
      <x:c r="M2512" s="28" t="n">
        <x:v>0</x:v>
      </x:c>
      <x:c r="N2512" s="28" t="n">
        <x:v>4.656612873077393e-10</x:v>
      </x:c>
      <x:c r="O2512" s="28" t="n">
        <x:v>7.450580596923828e-9</x:v>
      </x:c>
      <x:c r="P2512" s="28" t="n">
        <x:v>0</x:v>
      </x:c>
      <x:c r="Q2512" s="62" t="b">
        <x:v>1</x:v>
      </x:c>
      <x:c r="R2512" s="28" t="n">
        <x:v>0</x:v>
      </x:c>
      <x:c r="S2512" s="28" t="str">
        <x:v>c5c056adcd08b84d</x:v>
      </x:c>
    </x:row>
    <x:row r="2513" ht="21" customHeight="1">
      <x:c r="A2513" s="60" t="n">
        <x:v>0.69</x:v>
      </x:c>
      <x:c r="B2513" s="28" t="str">
        <x:v>level_high</x:v>
      </x:c>
      <x:c r="C2513" s="60" t="n">
        <x:v>0.3</x:v>
      </x:c>
      <x:c r="D2513" s="60" t="n">
        <x:v>0.3</x:v>
      </x:c>
      <x:c r="E2513" s="62" t="b">
        <x:v>1</x:v>
      </x:c>
      <x:c r="F2513" s="62" t="b">
        <x:v>1</x:v>
      </x:c>
      <x:c r="G2513" s="85" t="n">
        <x:v>0</x:v>
      </x:c>
      <x:c r="H2513" s="85" t="n">
        <x:v>0</x:v>
      </x:c>
      <x:c r="I2513" s="85" t="n">
        <x:v>5529035.078249509</x:v>
      </x:c>
      <x:c r="J2513" s="85" t="n">
        <x:v>4659964.523253948</x:v>
      </x:c>
      <x:c r="K2513" s="85" t="n">
        <x:v>327463.69095041184</x:v>
      </x:c>
      <x:c r="L2513" s="28" t="n">
        <x:v>0</x:v>
      </x:c>
      <x:c r="M2513" s="28" t="n">
        <x:v>0</x:v>
      </x:c>
      <x:c r="N2513" s="28" t="n">
        <x:v>4.656612873077393e-10</x:v>
      </x:c>
      <x:c r="O2513" s="28" t="n">
        <x:v>7.450580596923828e-9</x:v>
      </x:c>
      <x:c r="P2513" s="28" t="n">
        <x:v>0</x:v>
      </x:c>
      <x:c r="Q2513" s="62" t="b">
        <x:v>1</x:v>
      </x:c>
      <x:c r="R2513" s="28" t="n">
        <x:v>0</x:v>
      </x:c>
      <x:c r="S2513" s="28" t="str">
        <x:v>a0a2ace77f861145</x:v>
      </x:c>
    </x:row>
    <x:row r="2514" ht="21" customHeight="1">
      <x:c r="A2514" s="60" t="n">
        <x:v>0.69</x:v>
      </x:c>
      <x:c r="B2514" s="28" t="str">
        <x:v>level_high</x:v>
      </x:c>
      <x:c r="C2514" s="60" t="n">
        <x:v>0.35</x:v>
      </x:c>
      <x:c r="D2514" s="60" t="n">
        <x:v>0.35</x:v>
      </x:c>
      <x:c r="E2514" s="62" t="b">
        <x:v>1</x:v>
      </x:c>
      <x:c r="F2514" s="62" t="b">
        <x:v>1</x:v>
      </x:c>
      <x:c r="G2514" s="85" t="n">
        <x:v>0</x:v>
      </x:c>
      <x:c r="H2514" s="85" t="n">
        <x:v>0</x:v>
      </x:c>
      <x:c r="I2514" s="85" t="n">
        <x:v>7317341.962460785</x:v>
      </x:c>
      <x:c r="J2514" s="85" t="n">
        <x:v>5592946.188972524</x:v>
      </x:c>
      <x:c r="K2514" s="85" t="n">
        <x:v>266224.64778917853</x:v>
      </x:c>
      <x:c r="L2514" s="28" t="n">
        <x:v>4</x:v>
      </x:c>
      <x:c r="M2514" s="28" t="n">
        <x:v>0</x:v>
      </x:c>
      <x:c r="N2514" s="28" t="n">
        <x:v>2.3283064365386963e-10</x:v>
      </x:c>
      <x:c r="O2514" s="28" t="n">
        <x:v>7.450580596923828e-9</x:v>
      </x:c>
      <x:c r="P2514" s="28" t="n">
        <x:v>0</x:v>
      </x:c>
      <x:c r="Q2514" s="62" t="b">
        <x:v>1</x:v>
      </x:c>
      <x:c r="R2514" s="28" t="n">
        <x:v>0</x:v>
      </x:c>
      <x:c r="S2514" s="28" t="str">
        <x:v>9528ee2e9e246a3c</x:v>
      </x:c>
    </x:row>
    <x:row r="2515" ht="21" customHeight="1">
      <x:c r="A2515" s="60" t="n">
        <x:v>0.69</x:v>
      </x:c>
      <x:c r="B2515" s="28" t="str">
        <x:v>level_high</x:v>
      </x:c>
      <x:c r="C2515" s="60" t="n">
        <x:v>0.4</x:v>
      </x:c>
      <x:c r="D2515" s="60" t="n">
        <x:v>0.4</x:v>
      </x:c>
      <x:c r="E2515" s="62" t="b">
        <x:v>1</x:v>
      </x:c>
      <x:c r="F2515" s="62" t="b">
        <x:v>1</x:v>
      </x:c>
      <x:c r="G2515" s="85" t="n">
        <x:v>0</x:v>
      </x:c>
      <x:c r="H2515" s="85" t="n">
        <x:v>0</x:v>
      </x:c>
      <x:c r="I2515" s="85" t="n">
        <x:v>9151399.612332674</x:v>
      </x:c>
      <x:c r="J2515" s="85" t="n">
        <x:v>6128764.515136373</x:v>
      </x:c>
      <x:c r="K2515" s="85" t="n">
        <x:v>224125.7764383564</x:v>
      </x:c>
      <x:c r="L2515" s="28" t="n">
        <x:v>10</x:v>
      </x:c>
      <x:c r="M2515" s="28" t="n">
        <x:v>0</x:v>
      </x:c>
      <x:c r="N2515" s="28" t="n">
        <x:v>2.3283064365386963e-10</x:v>
      </x:c>
      <x:c r="O2515" s="28" t="n">
        <x:v>7.450580596923828e-9</x:v>
      </x:c>
      <x:c r="P2515" s="28" t="n">
        <x:v>0</x:v>
      </x:c>
      <x:c r="Q2515" s="62" t="b">
        <x:v>1</x:v>
      </x:c>
      <x:c r="R2515" s="28" t="n">
        <x:v>0</x:v>
      </x:c>
      <x:c r="S2515" s="28" t="str">
        <x:v>400df65aa2f7b391</x:v>
      </x:c>
    </x:row>
    <x:row r="2516" ht="21" customHeight="1">
      <x:c r="A2516" s="60" t="n">
        <x:v>0.69</x:v>
      </x:c>
      <x:c r="B2516" s="28" t="str">
        <x:v>level_high</x:v>
      </x:c>
      <x:c r="C2516" s="60" t="n">
        <x:v>0.45</x:v>
      </x:c>
      <x:c r="D2516" s="60" t="n">
        <x:v>0.45</x:v>
      </x:c>
      <x:c r="E2516" s="62" t="b">
        <x:v>1</x:v>
      </x:c>
      <x:c r="F2516" s="62" t="b">
        <x:v>1</x:v>
      </x:c>
      <x:c r="G2516" s="85" t="n">
        <x:v>0</x:v>
      </x:c>
      <x:c r="H2516" s="85" t="n">
        <x:v>0</x:v>
      </x:c>
      <x:c r="I2516" s="85" t="n">
        <x:v>10869478.037992602</x:v>
      </x:c>
      <x:c r="J2516" s="85" t="n">
        <x:v>7378303.40795928</x:v>
      </x:c>
      <x:c r="K2516" s="85" t="n">
        <x:v>194180.40349315086</x:v>
      </x:c>
      <x:c r="L2516" s="28" t="n">
        <x:v>14</x:v>
      </x:c>
      <x:c r="M2516" s="28" t="n">
        <x:v>0</x:v>
      </x:c>
      <x:c r="N2516" s="28" t="n">
        <x:v>4.656612873077393e-10</x:v>
      </x:c>
      <x:c r="O2516" s="28" t="n">
        <x:v>3.725290298461914e-9</x:v>
      </x:c>
      <x:c r="P2516" s="28" t="n">
        <x:v>0</x:v>
      </x:c>
      <x:c r="Q2516" s="62" t="b">
        <x:v>1</x:v>
      </x:c>
      <x:c r="R2516" s="28" t="n">
        <x:v>0</x:v>
      </x:c>
      <x:c r="S2516" s="28" t="str">
        <x:v>e9a0386bddda64f2</x:v>
      </x:c>
    </x:row>
    <x:row r="2517" ht="21" customHeight="1">
      <x:c r="A2517" s="60" t="n">
        <x:v>0.69</x:v>
      </x:c>
      <x:c r="B2517" s="28" t="str">
        <x:v>level_high</x:v>
      </x:c>
      <x:c r="C2517" s="60" t="n">
        <x:v>0.5</x:v>
      </x:c>
      <x:c r="D2517" s="60" t="n">
        <x:v>0.5</x:v>
      </x:c>
      <x:c r="E2517" s="62" t="b">
        <x:v>1</x:v>
      </x:c>
      <x:c r="F2517" s="62" t="b">
        <x:v>1</x:v>
      </x:c>
      <x:c r="G2517" s="85" t="n">
        <x:v>0</x:v>
      </x:c>
      <x:c r="H2517" s="85" t="n">
        <x:v>0</x:v>
      </x:c>
      <x:c r="I2517" s="85" t="n">
        <x:v>12530219.8412367</x:v>
      </x:c>
      <x:c r="J2517" s="85" t="n">
        <x:v>9126303.600727955</x:v>
      </x:c>
      <x:c r="K2517" s="85" t="n">
        <x:v>164235.03054794483</x:v>
      </x:c>
      <x:c r="L2517" s="28" t="n">
        <x:v>17</x:v>
      </x:c>
      <x:c r="M2517" s="28" t="n">
        <x:v>5</x:v>
      </x:c>
      <x:c r="N2517" s="28" t="n">
        <x:v>4.656612873077393e-10</x:v>
      </x:c>
      <x:c r="O2517" s="28" t="n">
        <x:v>3.725290298461914e-9</x:v>
      </x:c>
      <x:c r="P2517" s="28" t="n">
        <x:v>0</x:v>
      </x:c>
      <x:c r="Q2517" s="62" t="b">
        <x:v>1</x:v>
      </x:c>
      <x:c r="R2517" s="28" t="n">
        <x:v>0</x:v>
      </x:c>
      <x:c r="S2517" s="28" t="str">
        <x:v>77f136ba0554f9de</x:v>
      </x:c>
    </x:row>
    <x:row r="2518" ht="21" customHeight="1">
      <x:c r="A2518" s="60" t="n">
        <x:v>0.69</x:v>
      </x:c>
      <x:c r="B2518" s="28" t="str">
        <x:v>level_high</x:v>
      </x:c>
      <x:c r="C2518" s="60" t="n">
        <x:v>0.55</x:v>
      </x:c>
      <x:c r="D2518" s="60" t="n">
        <x:v>0.55</x:v>
      </x:c>
      <x:c r="E2518" s="62" t="b">
        <x:v>1</x:v>
      </x:c>
      <x:c r="F2518" s="62" t="b">
        <x:v>1</x:v>
      </x:c>
      <x:c r="G2518" s="85" t="n">
        <x:v>0</x:v>
      </x:c>
      <x:c r="H2518" s="85" t="n">
        <x:v>0</x:v>
      </x:c>
      <x:c r="I2518" s="85" t="n">
        <x:v>14145030.571618915</x:v>
      </x:c>
      <x:c r="J2518" s="85" t="n">
        <x:v>11002089.71029218</x:v>
      </x:c>
      <x:c r="K2518" s="85" t="n">
        <x:v>142014.03809589005</x:v>
      </x:c>
      <x:c r="L2518" s="28" t="n">
        <x:v>23</x:v>
      </x:c>
      <x:c r="M2518" s="28" t="n">
        <x:v>11</x:v>
      </x:c>
      <x:c r="N2518" s="28" t="n">
        <x:v>4.656612873077393e-10</x:v>
      </x:c>
      <x:c r="O2518" s="28" t="n">
        <x:v>3.725290298461914e-9</x:v>
      </x:c>
      <x:c r="P2518" s="28" t="n">
        <x:v>0</x:v>
      </x:c>
      <x:c r="Q2518" s="62" t="b">
        <x:v>1</x:v>
      </x:c>
      <x:c r="R2518" s="28" t="n">
        <x:v>0</x:v>
      </x:c>
      <x:c r="S2518" s="28" t="str">
        <x:v>2b0fd9449939d6d8</x:v>
      </x:c>
    </x:row>
    <x:row r="2519" ht="21" customHeight="1">
      <x:c r="A2519" s="60" t="n">
        <x:v>0.69</x:v>
      </x:c>
      <x:c r="B2519" s="28" t="str">
        <x:v>level_high</x:v>
      </x:c>
      <x:c r="C2519" s="60" t="n">
        <x:v>0.6</x:v>
      </x:c>
      <x:c r="D2519" s="60" t="n">
        <x:v>0.6</x:v>
      </x:c>
      <x:c r="E2519" s="62" t="b">
        <x:v>1</x:v>
      </x:c>
      <x:c r="F2519" s="62" t="b">
        <x:v>0</x:v>
      </x:c>
      <x:c r="G2519" s="85" t="n">
        <x:v>505033.4233951746</x:v>
      </x:c>
      <x:c r="H2519" s="85" t="n">
        <x:v>1617130.175011777</x:v>
      </x:c>
      <x:c r="I2519" s="85" t="n">
        <x:v>14819987.838246573</x:v>
      </x:c>
      <x:c r="J2519" s="85" t="n">
        <x:v>11706240.000000002</x:v>
      </x:c>
      <x:c r="K2519" s="85" t="n">
        <x:v>124052.71117808281</x:v>
      </x:c>
      <x:c r="L2519" s="28" t="n">
        <x:v>44</x:v>
      </x:c>
      <x:c r="M2519" s="28" t="n">
        <x:v>34</x:v>
      </x:c>
      <x:c r="N2519" s="28" t="n">
        <x:v>4.656612873077393e-10</x:v>
      </x:c>
      <x:c r="O2519" s="28" t="n">
        <x:v>7.450580596923828e-9</x:v>
      </x:c>
      <x:c r="P2519" s="28" t="n">
        <x:v>0</x:v>
      </x:c>
      <x:c r="Q2519" s="62" t="b">
        <x:v>1</x:v>
      </x:c>
      <x:c r="R2519" s="28" t="n">
        <x:v>0</x:v>
      </x:c>
      <x:c r="S2519" s="28" t="str">
        <x:v>70f813ee98f3f385</x:v>
      </x:c>
    </x:row>
    <x:row r="2520" ht="21" customHeight="1">
      <x:c r="A2520" s="60" t="n">
        <x:v>0.69</x:v>
      </x:c>
      <x:c r="B2520" s="28" t="str">
        <x:v>level_high</x:v>
      </x:c>
      <x:c r="C2520" s="60" t="n">
        <x:v>0.65</x:v>
      </x:c>
      <x:c r="D2520" s="60" t="n">
        <x:v>0.65</x:v>
      </x:c>
      <x:c r="E2520" s="62" t="b">
        <x:v>1</x:v>
      </x:c>
      <x:c r="F2520" s="62" t="b">
        <x:v>0</x:v>
      </x:c>
      <x:c r="G2520" s="85" t="n">
        <x:v>1460023.3666011551</x:v>
      </x:c>
      <x:c r="H2520" s="85" t="n">
        <x:v>4413945.4779390525</x:v>
      </x:c>
      <x:c r="I2520" s="85" t="n">
        <x:v>14832129.95287671</x:v>
      </x:c>
      <x:c r="J2520" s="85" t="n">
        <x:v>11706240.000000002</x:v>
      </x:c>
      <x:c r="K2520" s="85" t="n">
        <x:v>112447.9074931506</x:v>
      </x:c>
      <x:c r="L2520" s="28" t="n">
        <x:v>44</x:v>
      </x:c>
      <x:c r="M2520" s="28" t="n">
        <x:v>36</x:v>
      </x:c>
      <x:c r="N2520" s="28" t="n">
        <x:v>4.656612873077393e-10</x:v>
      </x:c>
      <x:c r="O2520" s="28" t="n">
        <x:v>3.725290298461914e-9</x:v>
      </x:c>
      <x:c r="P2520" s="28" t="n">
        <x:v>0</x:v>
      </x:c>
      <x:c r="Q2520" s="62" t="b">
        <x:v>1</x:v>
      </x:c>
      <x:c r="R2520" s="28" t="n">
        <x:v>0</x:v>
      </x:c>
      <x:c r="S2520" s="28" t="str">
        <x:v>b45bcec2bf991b24</x:v>
      </x:c>
    </x:row>
    <x:row r="2521" ht="21" customHeight="1">
      <x:c r="A2521" s="60" t="n">
        <x:v>0.69</x:v>
      </x:c>
      <x:c r="B2521" s="28" t="str">
        <x:v>level_high</x:v>
      </x:c>
      <x:c r="C2521" s="60" t="n">
        <x:v>0.7</x:v>
      </x:c>
      <x:c r="D2521" s="60" t="n">
        <x:v>0.7</x:v>
      </x:c>
      <x:c r="E2521" s="62" t="b">
        <x:v>1</x:v>
      </x:c>
      <x:c r="F2521" s="62" t="b">
        <x:v>0</x:v>
      </x:c>
      <x:c r="G2521" s="85" t="n">
        <x:v>2187639.7187607894</x:v>
      </x:c>
      <x:c r="H2521" s="85" t="n">
        <x:v>6596205.410151461</x:v>
      </x:c>
      <x:c r="I2521" s="85" t="n">
        <x:v>15158779.002739724</x:v>
      </x:c>
      <x:c r="J2521" s="85" t="n">
        <x:v>11706240.000000002</x:v>
      </x:c>
      <x:c r="K2521" s="85" t="n">
        <x:v>103410.14578082194</x:v>
      </x:c>
      <x:c r="L2521" s="28" t="n">
        <x:v>45</x:v>
      </x:c>
      <x:c r="M2521" s="28" t="n">
        <x:v>38</x:v>
      </x:c>
      <x:c r="N2521" s="28" t="n">
        <x:v>4.656612873077393e-10</x:v>
      </x:c>
      <x:c r="O2521" s="28" t="n">
        <x:v>3.725290298461914e-9</x:v>
      </x:c>
      <x:c r="P2521" s="28" t="n">
        <x:v>0</x:v>
      </x:c>
      <x:c r="Q2521" s="62" t="b">
        <x:v>1</x:v>
      </x:c>
      <x:c r="R2521" s="28" t="n">
        <x:v>0</x:v>
      </x:c>
      <x:c r="S2521" s="28" t="str">
        <x:v>0e6eaeb25d2f5d88</x:v>
      </x:c>
    </x:row>
    <x:row r="2522" ht="21" customHeight="1">
      <x:c r="A2522" s="60" t="n">
        <x:v>0.69</x:v>
      </x:c>
      <x:c r="B2522" s="28" t="str">
        <x:v>level_high</x:v>
      </x:c>
      <x:c r="C2522" s="60" t="n">
        <x:v>0.75</x:v>
      </x:c>
      <x:c r="D2522" s="60" t="n">
        <x:v>0.75</x:v>
      </x:c>
      <x:c r="E2522" s="62" t="b">
        <x:v>1</x:v>
      </x:c>
      <x:c r="F2522" s="62" t="b">
        <x:v>0</x:v>
      </x:c>
      <x:c r="G2522" s="85" t="n">
        <x:v>3266263.6298939465</x:v>
      </x:c>
      <x:c r="H2522" s="85" t="n">
        <x:v>9112499.423660766</x:v>
      </x:c>
      <x:c r="I2522" s="85" t="n">
        <x:v>15163487.528712325</x:v>
      </x:c>
      <x:c r="J2522" s="85" t="n">
        <x:v>11706240.000000002</x:v>
      </x:c>
      <x:c r="K2522" s="85" t="n">
        <x:v>94372.38406849283</x:v>
      </x:c>
      <x:c r="L2522" s="28" t="n">
        <x:v>45</x:v>
      </x:c>
      <x:c r="M2522" s="28" t="n">
        <x:v>38</x:v>
      </x:c>
      <x:c r="N2522" s="28" t="n">
        <x:v>4.656612873077393e-10</x:v>
      </x:c>
      <x:c r="O2522" s="28" t="n">
        <x:v>3.725290298461914e-9</x:v>
      </x:c>
      <x:c r="P2522" s="28" t="n">
        <x:v>0</x:v>
      </x:c>
      <x:c r="Q2522" s="62" t="b">
        <x:v>1</x:v>
      </x:c>
      <x:c r="R2522" s="28" t="n">
        <x:v>0</x:v>
      </x:c>
      <x:c r="S2522" s="28" t="str">
        <x:v>7ac3803c9ab055a8</x:v>
      </x:c>
    </x:row>
    <x:row r="2523" ht="21" customHeight="1">
      <x:c r="A2523" s="60" t="n">
        <x:v>0.69</x:v>
      </x:c>
      <x:c r="B2523" s="28" t="str">
        <x:v>level_high</x:v>
      </x:c>
      <x:c r="C2523" s="60" t="n">
        <x:v>0.8</x:v>
      </x:c>
      <x:c r="D2523" s="60" t="n">
        <x:v>0.8</x:v>
      </x:c>
      <x:c r="E2523" s="62" t="b">
        <x:v>1</x:v>
      </x:c>
      <x:c r="F2523" s="62" t="b">
        <x:v>0</x:v>
      </x:c>
      <x:c r="G2523" s="85" t="n">
        <x:v>4297450.917064578</x:v>
      </x:c>
      <x:c r="H2523" s="85" t="n">
        <x:v>11582325.783230301</x:v>
      </x:c>
      <x:c r="I2523" s="85" t="n">
        <x:v>15172516.472986298</x:v>
      </x:c>
      <x:c r="J2523" s="85" t="n">
        <x:v>11706240.000000002</x:v>
      </x:c>
      <x:c r="K2523" s="85" t="n">
        <x:v>85334.6223561651</x:v>
      </x:c>
      <x:c r="L2523" s="28" t="n">
        <x:v>45</x:v>
      </x:c>
      <x:c r="M2523" s="28" t="n">
        <x:v>40</x:v>
      </x:c>
      <x:c r="N2523" s="28" t="n">
        <x:v>4.656612873077393e-10</x:v>
      </x:c>
      <x:c r="O2523" s="28" t="n">
        <x:v>3.725290298461914e-9</x:v>
      </x:c>
      <x:c r="P2523" s="28" t="n">
        <x:v>0</x:v>
      </x:c>
      <x:c r="Q2523" s="62" t="b">
        <x:v>1</x:v>
      </x:c>
      <x:c r="R2523" s="28" t="n">
        <x:v>0</x:v>
      </x:c>
      <x:c r="S2523" s="28" t="str">
        <x:v>c36938beba7836f5</x:v>
      </x:c>
    </x:row>
    <x:row r="2524" ht="21" customHeight="1">
      <x:c r="A2524" s="60" t="n">
        <x:v>0.69</x:v>
      </x:c>
      <x:c r="B2524" s="28" t="str">
        <x:v>level_high</x:v>
      </x:c>
      <x:c r="C2524" s="60" t="n">
        <x:v>0.85</x:v>
      </x:c>
      <x:c r="D2524" s="60" t="n">
        <x:v>0.85</x:v>
      </x:c>
      <x:c r="E2524" s="62" t="b">
        <x:v>1</x:v>
      </x:c>
      <x:c r="F2524" s="62" t="b">
        <x:v>0</x:v>
      </x:c>
      <x:c r="G2524" s="85" t="n">
        <x:v>5675445.917126937</x:v>
      </x:c>
      <x:c r="H2524" s="85" t="n">
        <x:v>13857565.110400712</x:v>
      </x:c>
      <x:c r="I2524" s="85" t="n">
        <x:v>15181545.41726027</x:v>
      </x:c>
      <x:c r="J2524" s="85" t="n">
        <x:v>11706240.000000002</x:v>
      </x:c>
      <x:c r="K2524" s="85" t="n">
        <x:v>76296.86064383574</x:v>
      </x:c>
      <x:c r="L2524" s="28" t="n">
        <x:v>45</x:v>
      </x:c>
      <x:c r="M2524" s="28" t="n">
        <x:v>40</x:v>
      </x:c>
      <x:c r="N2524" s="28" t="n">
        <x:v>4.656612873077393e-10</x:v>
      </x:c>
      <x:c r="O2524" s="28" t="n">
        <x:v>3.725290298461914e-9</x:v>
      </x:c>
      <x:c r="P2524" s="28" t="n">
        <x:v>0</x:v>
      </x:c>
      <x:c r="Q2524" s="62" t="b">
        <x:v>1</x:v>
      </x:c>
      <x:c r="R2524" s="28" t="n">
        <x:v>0</x:v>
      </x:c>
      <x:c r="S2524" s="28" t="str">
        <x:v>6b0b09fc24026a5c</x:v>
      </x:c>
    </x:row>
    <x:row r="2525" ht="21" customHeight="1">
      <x:c r="A2525" s="60" t="n">
        <x:v>0.69</x:v>
      </x:c>
      <x:c r="B2525" s="28" t="str">
        <x:v>level_high</x:v>
      </x:c>
      <x:c r="C2525" s="60" t="n">
        <x:v>0.9</x:v>
      </x:c>
      <x:c r="D2525" s="60" t="n">
        <x:v>0.8949513562027351</x:v>
      </x:c>
      <x:c r="E2525" s="62" t="b">
        <x:v>0</x:v>
      </x:c>
      <x:c r="F2525" s="62" t="b">
        <x:v>0</x:v>
      </x:c>
      <x:c r="G2525" s="85" t="n">
        <x:v>6743035.102807715</x:v>
      </x:c>
      <x:c r="H2525" s="85" t="n">
        <x:v>15180084.451902848</x:v>
      </x:c>
      <x:c r="I2525" s="85" t="n">
        <x:v>15190574.361534243</x:v>
      </x:c>
      <x:c r="J2525" s="85" t="n">
        <x:v>11706240.000000002</x:v>
      </x:c>
      <x:c r="K2525" s="85" t="n">
        <x:v>67259.09893150684</x:v>
      </x:c>
      <x:c r="L2525" s="28" t="n">
        <x:v>45</x:v>
      </x:c>
      <x:c r="M2525" s="28" t="n">
        <x:v>41</x:v>
      </x:c>
      <x:c r="N2525" s="28" t="n">
        <x:v>4.656612873077393e-10</x:v>
      </x:c>
      <x:c r="O2525" s="28" t="n">
        <x:v>3.725290298461914e-9</x:v>
      </x:c>
      <x:c r="P2525" s="28" t="n">
        <x:v>0</x:v>
      </x:c>
      <x:c r="Q2525" s="62" t="b">
        <x:v>1</x:v>
      </x:c>
      <x:c r="R2525" s="28" t="n">
        <x:v>281431.5998347327</x:v>
      </x:c>
      <x:c r="S2525" s="28" t="str">
        <x:v>ae11bc9879c96c8b</x:v>
      </x:c>
    </x:row>
    <x:row r="2526" ht="21" customHeight="1">
      <x:c r="A2526" s="60" t="n">
        <x:v>0.69</x:v>
      </x:c>
      <x:c r="B2526" s="28" t="str">
        <x:v>level_high</x:v>
      </x:c>
      <x:c r="C2526" s="60" t="n">
        <x:v>0.95</x:v>
      </x:c>
      <x:c r="D2526" s="60" t="n">
        <x:v>0.9109811515371262</x:v>
      </x:c>
      <x:c r="E2526" s="62" t="b">
        <x:v>0</x:v>
      </x:c>
      <x:c r="F2526" s="62" t="b">
        <x:v>0</x:v>
      </x:c>
      <x:c r="G2526" s="85" t="n">
        <x:v>7093306.28429471</x:v>
      </x:c>
      <x:c r="H2526" s="85" t="n">
        <x:v>15738453.756274436</x:v>
      </x:c>
      <x:c r="I2526" s="85" t="n">
        <x:v>15498099.603287669</x:v>
      </x:c>
      <x:c r="J2526" s="85" t="n">
        <x:v>11706240.000000002</x:v>
      </x:c>
      <x:c r="K2526" s="85" t="n">
        <x:v>58221.33721917795</x:v>
      </x:c>
      <x:c r="L2526" s="28" t="n">
        <x:v>46</x:v>
      </x:c>
      <x:c r="M2526" s="28" t="n">
        <x:v>42</x:v>
      </x:c>
      <x:c r="N2526" s="28" t="n">
        <x:v>2.3283064365386963e-10</x:v>
      </x:c>
      <x:c r="O2526" s="28" t="n">
        <x:v>3.725290298461914e-9</x:v>
      </x:c>
      <x:c r="P2526" s="28" t="n">
        <x:v>0</x:v>
      </x:c>
      <x:c r="Q2526" s="62" t="b">
        <x:v>1</x:v>
      </x:c>
      <x:c r="R2526" s="28" t="n">
        <x:v>2175066.688714437</x:v>
      </x:c>
      <x:c r="S2526" s="28" t="str">
        <x:v>2c6bec38f18e0eb0</x:v>
      </x:c>
    </x:row>
    <x:row r="2527" ht="21" customHeight="1">
      <x:c r="A2527" s="60" t="n">
        <x:v>0.69</x:v>
      </x:c>
      <x:c r="B2527" s="28" t="str">
        <x:v>level_high</x:v>
      </x:c>
      <x:c r="C2527" s="60" t="n">
        <x:v>1</x:v>
      </x:c>
      <x:c r="D2527" s="60" t="n">
        <x:v>0.9258453085724337</x:v>
      </x:c>
      <x:c r="E2527" s="62" t="b">
        <x:v>0</x:v>
      </x:c>
      <x:c r="F2527" s="62" t="b">
        <x:v>0</x:v>
      </x:c>
      <x:c r="G2527" s="85" t="n">
        <x:v>7668410.2544648005</x:v>
      </x:c>
      <x:c r="H2527" s="85" t="n">
        <x:v>16567637.075917492</x:v>
      </x:c>
      <x:c r="I2527" s="85" t="n">
        <x:v>15498099.603287669</x:v>
      </x:c>
      <x:c r="J2527" s="85" t="n">
        <x:v>11706240.000000002</x:v>
      </x:c>
      <x:c r="K2527" s="85" t="n">
        <x:v>49183.575506849054</x:v>
      </x:c>
      <x:c r="L2527" s="28" t="n">
        <x:v>46</x:v>
      </x:c>
      <x:c r="M2527" s="28" t="n">
        <x:v>42</x:v>
      </x:c>
      <x:c r="N2527" s="28" t="n">
        <x:v>2.3283064365386963e-10</x:v>
      </x:c>
      <x:c r="O2527" s="28" t="n">
        <x:v>1.862645149230957e-9</x:v>
      </x:c>
      <x:c r="P2527" s="28" t="n">
        <x:v>0</x:v>
      </x:c>
      <x:c r="Q2527" s="62" t="b">
        <x:v>1</x:v>
      </x:c>
      <x:c r="R2527" s="28" t="n">
        <x:v>4133679.1189382523</x:v>
      </x:c>
      <x:c r="S2527" s="28" t="str">
        <x:v>4ac61a261c4c4833</x:v>
      </x:c>
    </x:row>
    <x:row r="2528" ht="21" customHeight="1">
      <x:c r="A2528" s="60" t="n">
        <x:v>0.7</x:v>
      </x:c>
      <x:c r="B2528" s="28" t="str">
        <x:v>front_flat</x:v>
      </x:c>
      <x:c r="C2528" s="60" t="n">
        <x:v>0</x:v>
      </x:c>
      <x:c r="D2528" s="60" t="n">
        <x:v>0</x:v>
      </x:c>
      <x:c r="E2528" s="62" t="b">
        <x:v>1</x:v>
      </x:c>
      <x:c r="F2528" s="62" t="b">
        <x:v>1</x:v>
      </x:c>
      <x:c r="G2528" s="85" t="n">
        <x:v>0</x:v>
      </x:c>
      <x:c r="H2528" s="85" t="n">
        <x:v>0</x:v>
      </x:c>
      <x:c r="I2528" s="85" t="n">
        <x:v>0</x:v>
      </x:c>
      <x:c r="J2528" s="85" t="n">
        <x:v>0</x:v>
      </x:c>
      <x:c r="K2528" s="85" t="n">
        <x:v>6911987.818082191</x:v>
      </x:c>
      <x:c r="L2528" s="28" t="n">
        <x:v>0</x:v>
      </x:c>
      <x:c r="M2528" s="28" t="n">
        <x:v>0</x:v>
      </x:c>
      <x:c r="N2528" s="28" t="n">
        <x:v>9.313225746154785e-10</x:v>
      </x:c>
      <x:c r="O2528" s="28" t="n">
        <x:v>0</x:v>
      </x:c>
      <x:c r="P2528" s="28" t="n">
        <x:v>0</x:v>
      </x:c>
      <x:c r="Q2528" s="62" t="b">
        <x:v>1</x:v>
      </x:c>
      <x:c r="R2528" s="28" t="n">
        <x:v>0</x:v>
      </x:c>
      <x:c r="S2528" s="28" t="str">
        <x:v>902cb1a08fe8aae4</x:v>
      </x:c>
    </x:row>
    <x:row r="2529" ht="21" customHeight="1">
      <x:c r="A2529" s="60" t="n">
        <x:v>0.7</x:v>
      </x:c>
      <x:c r="B2529" s="28" t="str">
        <x:v>front_flat</x:v>
      </x:c>
      <x:c r="C2529" s="60" t="n">
        <x:v>0.05</x:v>
      </x:c>
      <x:c r="D2529" s="60" t="n">
        <x:v>0.05</x:v>
      </x:c>
      <x:c r="E2529" s="62" t="b">
        <x:v>1</x:v>
      </x:c>
      <x:c r="F2529" s="62" t="b">
        <x:v>1</x:v>
      </x:c>
      <x:c r="G2529" s="85" t="n">
        <x:v>0</x:v>
      </x:c>
      <x:c r="H2529" s="85" t="n">
        <x:v>0</x:v>
      </x:c>
      <x:c r="I2529" s="85" t="n">
        <x:v>0</x:v>
      </x:c>
      <x:c r="J2529" s="85" t="n">
        <x:v>0</x:v>
      </x:c>
      <x:c r="K2529" s="85" t="n">
        <x:v>4619623.542612223</x:v>
      </x:c>
      <x:c r="L2529" s="28" t="n">
        <x:v>0</x:v>
      </x:c>
      <x:c r="M2529" s="28" t="n">
        <x:v>0</x:v>
      </x:c>
      <x:c r="N2529" s="28" t="n">
        <x:v>9.313225746154785e-10</x:v>
      </x:c>
      <x:c r="O2529" s="28" t="n">
        <x:v>7.450580596923828e-9</x:v>
      </x:c>
      <x:c r="P2529" s="28" t="n">
        <x:v>0</x:v>
      </x:c>
      <x:c r="Q2529" s="62" t="b">
        <x:v>1</x:v>
      </x:c>
      <x:c r="R2529" s="28" t="n">
        <x:v>0</x:v>
      </x:c>
      <x:c r="S2529" s="28" t="str">
        <x:v>4430dffdc5101d71</x:v>
      </x:c>
    </x:row>
    <x:row r="2530" ht="21" customHeight="1">
      <x:c r="A2530" s="60" t="n">
        <x:v>0.7</x:v>
      </x:c>
      <x:c r="B2530" s="28" t="str">
        <x:v>front_flat</x:v>
      </x:c>
      <x:c r="C2530" s="60" t="n">
        <x:v>0.1</x:v>
      </x:c>
      <x:c r="D2530" s="60" t="n">
        <x:v>0.1</x:v>
      </x:c>
      <x:c r="E2530" s="62" t="b">
        <x:v>1</x:v>
      </x:c>
      <x:c r="F2530" s="62" t="b">
        <x:v>1</x:v>
      </x:c>
      <x:c r="G2530" s="85" t="n">
        <x:v>0</x:v>
      </x:c>
      <x:c r="H2530" s="85" t="n">
        <x:v>0</x:v>
      </x:c>
      <x:c r="I2530" s="85" t="n">
        <x:v>0</x:v>
      </x:c>
      <x:c r="J2530" s="85" t="n">
        <x:v>0</x:v>
      </x:c>
      <x:c r="K2530" s="85" t="n">
        <x:v>2326804.35911018</x:v>
      </x:c>
      <x:c r="L2530" s="28" t="n">
        <x:v>0</x:v>
      </x:c>
      <x:c r="M2530" s="28" t="n">
        <x:v>0</x:v>
      </x:c>
      <x:c r="N2530" s="28" t="n">
        <x:v>9.313225746154785e-10</x:v>
      </x:c>
      <x:c r="O2530" s="28" t="n">
        <x:v>7.450580596923828e-9</x:v>
      </x:c>
      <x:c r="P2530" s="28" t="n">
        <x:v>0</x:v>
      </x:c>
      <x:c r="Q2530" s="62" t="b">
        <x:v>1</x:v>
      </x:c>
      <x:c r="R2530" s="28" t="n">
        <x:v>0</x:v>
      </x:c>
      <x:c r="S2530" s="28" t="str">
        <x:v>6aea1af384b436e4</x:v>
      </x:c>
    </x:row>
    <x:row r="2531" ht="21" customHeight="1">
      <x:c r="A2531" s="60" t="n">
        <x:v>0.7</x:v>
      </x:c>
      <x:c r="B2531" s="28" t="str">
        <x:v>front_flat</x:v>
      </x:c>
      <x:c r="C2531" s="60" t="n">
        <x:v>0.15</x:v>
      </x:c>
      <x:c r="D2531" s="60" t="n">
        <x:v>0.15</x:v>
      </x:c>
      <x:c r="E2531" s="62" t="b">
        <x:v>1</x:v>
      </x:c>
      <x:c r="F2531" s="62" t="b">
        <x:v>1</x:v>
      </x:c>
      <x:c r="G2531" s="85" t="n">
        <x:v>0</x:v>
      </x:c>
      <x:c r="H2531" s="85" t="n">
        <x:v>0</x:v>
      </x:c>
      <x:c r="I2531" s="85" t="n">
        <x:v>287977.9020731705</x:v>
      </x:c>
      <x:c r="J2531" s="85" t="n">
        <x:v>0</x:v>
      </x:c>
      <x:c r="K2531" s="85" t="n">
        <x:v>387694.90659730637</x:v>
      </x:c>
      <x:c r="L2531" s="28" t="n">
        <x:v>0</x:v>
      </x:c>
      <x:c r="M2531" s="28" t="n">
        <x:v>0</x:v>
      </x:c>
      <x:c r="N2531" s="28" t="n">
        <x:v>4.656612873077393e-10</x:v>
      </x:c>
      <x:c r="O2531" s="28" t="n">
        <x:v>7.450580596923828e-9</x:v>
      </x:c>
      <x:c r="P2531" s="28" t="n">
        <x:v>0</x:v>
      </x:c>
      <x:c r="Q2531" s="62" t="b">
        <x:v>1</x:v>
      </x:c>
      <x:c r="R2531" s="28" t="n">
        <x:v>0</x:v>
      </x:c>
      <x:c r="S2531" s="28" t="str">
        <x:v>33496b50b5046b5d</x:v>
      </x:c>
    </x:row>
    <x:row r="2532" ht="21" customHeight="1">
      <x:c r="A2532" s="60" t="n">
        <x:v>0.7</x:v>
      </x:c>
      <x:c r="B2532" s="28" t="str">
        <x:v>front_flat</x:v>
      </x:c>
      <x:c r="C2532" s="60" t="n">
        <x:v>0.2</x:v>
      </x:c>
      <x:c r="D2532" s="60" t="n">
        <x:v>0.2</x:v>
      </x:c>
      <x:c r="E2532" s="62" t="b">
        <x:v>1</x:v>
      </x:c>
      <x:c r="F2532" s="62" t="b">
        <x:v>1</x:v>
      </x:c>
      <x:c r="G2532" s="85" t="n">
        <x:v>0</x:v>
      </x:c>
      <x:c r="H2532" s="85" t="n">
        <x:v>0</x:v>
      </x:c>
      <x:c r="I2532" s="85" t="n">
        <x:v>1699760.5525599695</x:v>
      </x:c>
      <x:c r="J2532" s="85" t="n">
        <x:v>1254093.4388721122</x:v>
      </x:c>
      <x:c r="K2532" s="85" t="n">
        <x:v>231564.91480005436</x:v>
      </x:c>
      <x:c r="L2532" s="28" t="n">
        <x:v>0</x:v>
      </x:c>
      <x:c r="M2532" s="28" t="n">
        <x:v>0</x:v>
      </x:c>
      <x:c r="N2532" s="28" t="n">
        <x:v>4.656612873077393e-10</x:v>
      </x:c>
      <x:c r="O2532" s="28" t="n">
        <x:v>7.450580596923828e-9</x:v>
      </x:c>
      <x:c r="P2532" s="28" t="n">
        <x:v>0</x:v>
      </x:c>
      <x:c r="Q2532" s="62" t="b">
        <x:v>1</x:v>
      </x:c>
      <x:c r="R2532" s="28" t="n">
        <x:v>0</x:v>
      </x:c>
      <x:c r="S2532" s="28" t="str">
        <x:v>8955ba058fc1e4e5</x:v>
      </x:c>
    </x:row>
    <x:row r="2533" ht="21" customHeight="1">
      <x:c r="A2533" s="60" t="n">
        <x:v>0.7</x:v>
      </x:c>
      <x:c r="B2533" s="28" t="str">
        <x:v>front_flat</x:v>
      </x:c>
      <x:c r="C2533" s="60" t="n">
        <x:v>0.25</x:v>
      </x:c>
      <x:c r="D2533" s="60" t="n">
        <x:v>0.25</x:v>
      </x:c>
      <x:c r="E2533" s="62" t="b">
        <x:v>1</x:v>
      </x:c>
      <x:c r="F2533" s="62" t="b">
        <x:v>1</x:v>
      </x:c>
      <x:c r="G2533" s="85" t="n">
        <x:v>0</x:v>
      </x:c>
      <x:c r="H2533" s="85" t="n">
        <x:v>0</x:v>
      </x:c>
      <x:c r="I2533" s="85" t="n">
        <x:v>2859872.135887982</x:v>
      </x:c>
      <x:c r="J2533" s="85" t="n">
        <x:v>2961216.7985901413</x:v>
      </x:c>
      <x:c r="K2533" s="85" t="n">
        <x:v>147386.15364726036</x:v>
      </x:c>
      <x:c r="L2533" s="28" t="n">
        <x:v>0</x:v>
      </x:c>
      <x:c r="M2533" s="28" t="n">
        <x:v>0</x:v>
      </x:c>
      <x:c r="N2533" s="28" t="n">
        <x:v>9.313225746154785e-10</x:v>
      </x:c>
      <x:c r="O2533" s="28" t="n">
        <x:v>3.725290298461914e-9</x:v>
      </x:c>
      <x:c r="P2533" s="28" t="n">
        <x:v>0</x:v>
      </x:c>
      <x:c r="Q2533" s="62" t="b">
        <x:v>1</x:v>
      </x:c>
      <x:c r="R2533" s="28" t="n">
        <x:v>0</x:v>
      </x:c>
      <x:c r="S2533" s="28" t="str">
        <x:v>16684977cfb02aa5</x:v>
      </x:c>
    </x:row>
    <x:row r="2534" ht="21" customHeight="1">
      <x:c r="A2534" s="60" t="n">
        <x:v>0.7</x:v>
      </x:c>
      <x:c r="B2534" s="28" t="str">
        <x:v>front_flat</x:v>
      </x:c>
      <x:c r="C2534" s="60" t="n">
        <x:v>0.3</x:v>
      </x:c>
      <x:c r="D2534" s="60" t="n">
        <x:v>0.3</x:v>
      </x:c>
      <x:c r="E2534" s="62" t="b">
        <x:v>1</x:v>
      </x:c>
      <x:c r="F2534" s="62" t="b">
        <x:v>1</x:v>
      </x:c>
      <x:c r="G2534" s="85" t="n">
        <x:v>0</x:v>
      </x:c>
      <x:c r="H2534" s="85" t="n">
        <x:v>0</x:v>
      </x:c>
      <x:c r="I2534" s="85" t="n">
        <x:v>4293242.945315996</x:v>
      </x:c>
      <x:c r="J2534" s="85" t="n">
        <x:v>4045352.453135996</x:v>
      </x:c>
      <x:c r="K2534" s="85" t="n">
        <x:v>109221.02437671294</x:v>
      </x:c>
      <x:c r="L2534" s="28" t="n">
        <x:v>3</x:v>
      </x:c>
      <x:c r="M2534" s="28" t="n">
        <x:v>0</x:v>
      </x:c>
      <x:c r="N2534" s="28" t="n">
        <x:v>4.656612873077393e-10</x:v>
      </x:c>
      <x:c r="O2534" s="28" t="n">
        <x:v>7.450580596923828e-9</x:v>
      </x:c>
      <x:c r="P2534" s="28" t="n">
        <x:v>0</x:v>
      </x:c>
      <x:c r="Q2534" s="62" t="b">
        <x:v>1</x:v>
      </x:c>
      <x:c r="R2534" s="28" t="n">
        <x:v>0</x:v>
      </x:c>
      <x:c r="S2534" s="28" t="str">
        <x:v>90ab2ac771f00261</x:v>
      </x:c>
    </x:row>
    <x:row r="2535" ht="21" customHeight="1">
      <x:c r="A2535" s="60" t="n">
        <x:v>0.7</x:v>
      </x:c>
      <x:c r="B2535" s="28" t="str">
        <x:v>front_flat</x:v>
      </x:c>
      <x:c r="C2535" s="60" t="n">
        <x:v>0.35</x:v>
      </x:c>
      <x:c r="D2535" s="60" t="n">
        <x:v>0.35</x:v>
      </x:c>
      <x:c r="E2535" s="62" t="b">
        <x:v>1</x:v>
      </x:c>
      <x:c r="F2535" s="62" t="b">
        <x:v>1</x:v>
      </x:c>
      <x:c r="G2535" s="85" t="n">
        <x:v>0</x:v>
      </x:c>
      <x:c r="H2535" s="85" t="n">
        <x:v>0</x:v>
      </x:c>
      <x:c r="I2535" s="85" t="n">
        <x:v>5898221.523720257</x:v>
      </x:c>
      <x:c r="J2535" s="85" t="n">
        <x:v>4670782.69462413</x:v>
      </x:c>
      <x:c r="K2535" s="85" t="n">
        <x:v>86397.23821575314</x:v>
      </x:c>
      <x:c r="L2535" s="28" t="n">
        <x:v>8</x:v>
      </x:c>
      <x:c r="M2535" s="28" t="n">
        <x:v>0</x:v>
      </x:c>
      <x:c r="N2535" s="28" t="n">
        <x:v>9.313225746154785e-10</x:v>
      </x:c>
      <x:c r="O2535" s="28" t="n">
        <x:v>7.450580596923828e-9</x:v>
      </x:c>
      <x:c r="P2535" s="28" t="n">
        <x:v>0</x:v>
      </x:c>
      <x:c r="Q2535" s="62" t="b">
        <x:v>1</x:v>
      </x:c>
      <x:c r="R2535" s="28" t="n">
        <x:v>0</x:v>
      </x:c>
      <x:c r="S2535" s="28" t="str">
        <x:v>ab7f5cfc165144e1</x:v>
      </x:c>
    </x:row>
    <x:row r="2536" ht="21" customHeight="1">
      <x:c r="A2536" s="60" t="n">
        <x:v>0.7</x:v>
      </x:c>
      <x:c r="B2536" s="28" t="str">
        <x:v>front_flat</x:v>
      </x:c>
      <x:c r="C2536" s="60" t="n">
        <x:v>0.4</x:v>
      </x:c>
      <x:c r="D2536" s="60" t="n">
        <x:v>0.4</x:v>
      </x:c>
      <x:c r="E2536" s="62" t="b">
        <x:v>1</x:v>
      </x:c>
      <x:c r="F2536" s="62" t="b">
        <x:v>1</x:v>
      </x:c>
      <x:c r="G2536" s="85" t="n">
        <x:v>0</x:v>
      </x:c>
      <x:c r="H2536" s="85" t="n">
        <x:v>0</x:v>
      </x:c>
      <x:c r="I2536" s="85" t="n">
        <x:v>7474949.744371783</x:v>
      </x:c>
      <x:c r="J2536" s="85" t="n">
        <x:v>5668253.276900304</x:v>
      </x:c>
      <x:c r="K2536" s="85" t="n">
        <x:v>74780.27389041091</x:v>
      </x:c>
      <x:c r="L2536" s="28" t="n">
        <x:v>14</x:v>
      </x:c>
      <x:c r="M2536" s="28" t="n">
        <x:v>0</x:v>
      </x:c>
      <x:c r="N2536" s="28" t="n">
        <x:v>2.3283064365386963e-10</x:v>
      </x:c>
      <x:c r="O2536" s="28" t="n">
        <x:v>7.450580596923828e-9</x:v>
      </x:c>
      <x:c r="P2536" s="28" t="n">
        <x:v>0</x:v>
      </x:c>
      <x:c r="Q2536" s="62" t="b">
        <x:v>1</x:v>
      </x:c>
      <x:c r="R2536" s="28" t="n">
        <x:v>0</x:v>
      </x:c>
      <x:c r="S2536" s="28" t="str">
        <x:v>aa38668ab921bd19</x:v>
      </x:c>
    </x:row>
    <x:row r="2537" ht="21" customHeight="1">
      <x:c r="A2537" s="60" t="n">
        <x:v>0.7</x:v>
      </x:c>
      <x:c r="B2537" s="28" t="str">
        <x:v>front_flat</x:v>
      </x:c>
      <x:c r="C2537" s="60" t="n">
        <x:v>0.45</x:v>
      </x:c>
      <x:c r="D2537" s="60" t="n">
        <x:v>0.45</x:v>
      </x:c>
      <x:c r="E2537" s="62" t="b">
        <x:v>1</x:v>
      </x:c>
      <x:c r="F2537" s="62" t="b">
        <x:v>1</x:v>
      </x:c>
      <x:c r="G2537" s="85" t="n">
        <x:v>0</x:v>
      </x:c>
      <x:c r="H2537" s="85" t="n">
        <x:v>0</x:v>
      </x:c>
      <x:c r="I2537" s="85" t="n">
        <x:v>8805265.035345307</x:v>
      </x:c>
      <x:c r="J2537" s="85" t="n">
        <x:v>7198153.862531069</x:v>
      </x:c>
      <x:c r="K2537" s="85" t="n">
        <x:v>63163.30956506811</x:v>
      </x:c>
      <x:c r="L2537" s="28" t="n">
        <x:v>18</x:v>
      </x:c>
      <x:c r="M2537" s="28" t="n">
        <x:v>0</x:v>
      </x:c>
      <x:c r="N2537" s="28" t="n">
        <x:v>4.656612873077393e-10</x:v>
      </x:c>
      <x:c r="O2537" s="28" t="n">
        <x:v>3.725290298461914e-9</x:v>
      </x:c>
      <x:c r="P2537" s="28" t="n">
        <x:v>0</x:v>
      </x:c>
      <x:c r="Q2537" s="62" t="b">
        <x:v>1</x:v>
      </x:c>
      <x:c r="R2537" s="28" t="n">
        <x:v>0</x:v>
      </x:c>
      <x:c r="S2537" s="28" t="str">
        <x:v>f05e09ea0ef55c7e</x:v>
      </x:c>
    </x:row>
    <x:row r="2538" ht="21" customHeight="1">
      <x:c r="A2538" s="60" t="n">
        <x:v>0.7</x:v>
      </x:c>
      <x:c r="B2538" s="28" t="str">
        <x:v>front_flat</x:v>
      </x:c>
      <x:c r="C2538" s="60" t="n">
        <x:v>0.5</x:v>
      </x:c>
      <x:c r="D2538" s="60" t="n">
        <x:v>0.5</x:v>
      </x:c>
      <x:c r="E2538" s="62" t="b">
        <x:v>1</x:v>
      </x:c>
      <x:c r="F2538" s="62" t="b">
        <x:v>1</x:v>
      </x:c>
      <x:c r="G2538" s="85" t="n">
        <x:v>0</x:v>
      </x:c>
      <x:c r="H2538" s="85" t="n">
        <x:v>0</x:v>
      </x:c>
      <x:c r="I2538" s="85" t="n">
        <x:v>9992161.372079322</x:v>
      </x:c>
      <x:c r="J2538" s="85" t="n">
        <x:v>9156406.073859964</x:v>
      </x:c>
      <x:c r="K2538" s="85" t="n">
        <x:v>51546.34523972601</x:v>
      </x:c>
      <x:c r="L2538" s="28" t="n">
        <x:v>22</x:v>
      </x:c>
      <x:c r="M2538" s="28" t="n">
        <x:v>0</x:v>
      </x:c>
      <x:c r="N2538" s="28" t="n">
        <x:v>4.656612873077393e-10</x:v>
      </x:c>
      <x:c r="O2538" s="28" t="n">
        <x:v>7.450580596923828e-9</x:v>
      </x:c>
      <x:c r="P2538" s="28" t="n">
        <x:v>0</x:v>
      </x:c>
      <x:c r="Q2538" s="62" t="b">
        <x:v>1</x:v>
      </x:c>
      <x:c r="R2538" s="28" t="n">
        <x:v>0</x:v>
      </x:c>
      <x:c r="S2538" s="28" t="str">
        <x:v>7c3d0ba4d5e837a2</x:v>
      </x:c>
    </x:row>
    <x:row r="2539" ht="21" customHeight="1">
      <x:c r="A2539" s="60" t="n">
        <x:v>0.7</x:v>
      </x:c>
      <x:c r="B2539" s="28" t="str">
        <x:v>front_flat</x:v>
      </x:c>
      <x:c r="C2539" s="60" t="n">
        <x:v>0.55</x:v>
      </x:c>
      <x:c r="D2539" s="60" t="n">
        <x:v>0.55</x:v>
      </x:c>
      <x:c r="E2539" s="62" t="b">
        <x:v>1</x:v>
      </x:c>
      <x:c r="F2539" s="62" t="b">
        <x:v>0</x:v>
      </x:c>
      <x:c r="G2539" s="85" t="n">
        <x:v>44980.80726614935</x:v>
      </x:c>
      <x:c r="H2539" s="85" t="n">
        <x:v>248292.06543909735</x:v>
      </x:c>
      <x:c r="I2539" s="85" t="n">
        <x:v>10909635.331506848</x:v>
      </x:c>
      <x:c r="J2539" s="85" t="n">
        <x:v>11148800.000000002</x:v>
      </x:c>
      <x:c r="K2539" s="85" t="n">
        <x:v>39929.38091438297</x:v>
      </x:c>
      <x:c r="L2539" s="28" t="n">
        <x:v>46</x:v>
      </x:c>
      <x:c r="M2539" s="28" t="n">
        <x:v>32</x:v>
      </x:c>
      <x:c r="N2539" s="28" t="n">
        <x:v>4.656612873077393e-10</x:v>
      </x:c>
      <x:c r="O2539" s="28" t="n">
        <x:v>3.725290298461914e-9</x:v>
      </x:c>
      <x:c r="P2539" s="28" t="n">
        <x:v>0</x:v>
      </x:c>
      <x:c r="Q2539" s="62" t="b">
        <x:v>1</x:v>
      </x:c>
      <x:c r="R2539" s="28" t="n">
        <x:v>0</x:v>
      </x:c>
      <x:c r="S2539" s="28" t="str">
        <x:v>181ab28ac14f2395</x:v>
      </x:c>
    </x:row>
    <x:row r="2540" ht="21" customHeight="1">
      <x:c r="A2540" s="60" t="n">
        <x:v>0.7</x:v>
      </x:c>
      <x:c r="B2540" s="28" t="str">
        <x:v>front_flat</x:v>
      </x:c>
      <x:c r="C2540" s="60" t="n">
        <x:v>0.6</x:v>
      </x:c>
      <x:c r="D2540" s="60" t="n">
        <x:v>0.6</x:v>
      </x:c>
      <x:c r="E2540" s="62" t="b">
        <x:v>1</x:v>
      </x:c>
      <x:c r="F2540" s="62" t="b">
        <x:v>0</x:v>
      </x:c>
      <x:c r="G2540" s="85" t="n">
        <x:v>514540.42241269007</x:v>
      </x:c>
      <x:c r="H2540" s="85" t="n">
        <x:v>2767409.8654567157</x:v>
      </x:c>
      <x:c r="I2540" s="85" t="n">
        <x:v>10909635.331506848</x:v>
      </x:c>
      <x:c r="J2540" s="85" t="n">
        <x:v>11148800.000000002</x:v>
      </x:c>
      <x:c r="K2540" s="85" t="n">
        <x:v>29405.649452055084</x:v>
      </x:c>
      <x:c r="L2540" s="28" t="n">
        <x:v>46</x:v>
      </x:c>
      <x:c r="M2540" s="28" t="n">
        <x:v>36</x:v>
      </x:c>
      <x:c r="N2540" s="28" t="n">
        <x:v>4.656612873077393e-10</x:v>
      </x:c>
      <x:c r="O2540" s="28" t="n">
        <x:v>3.725290298461914e-9</x:v>
      </x:c>
      <x:c r="P2540" s="28" t="n">
        <x:v>0</x:v>
      </x:c>
      <x:c r="Q2540" s="62" t="b">
        <x:v>1</x:v>
      </x:c>
      <x:c r="R2540" s="28" t="n">
        <x:v>0</x:v>
      </x:c>
      <x:c r="S2540" s="28" t="str">
        <x:v>a4e8734e181fdf71</x:v>
      </x:c>
    </x:row>
    <x:row r="2541" ht="21" customHeight="1">
      <x:c r="A2541" s="60" t="n">
        <x:v>0.7</x:v>
      </x:c>
      <x:c r="B2541" s="28" t="str">
        <x:v>front_flat</x:v>
      </x:c>
      <x:c r="C2541" s="60" t="n">
        <x:v>0.65</x:v>
      </x:c>
      <x:c r="D2541" s="60" t="n">
        <x:v>0.65</x:v>
      </x:c>
      <x:c r="E2541" s="62" t="b">
        <x:v>1</x:v>
      </x:c>
      <x:c r="F2541" s="62" t="b">
        <x:v>0</x:v>
      </x:c>
      <x:c r="G2541" s="85" t="n">
        <x:v>923803.2344129968</x:v>
      </x:c>
      <x:c r="H2541" s="85" t="n">
        <x:v>4921709.192191344</x:v>
      </x:c>
      <x:c r="I2541" s="85" t="n">
        <x:v>11145898.257534245</x:v>
      </x:c>
      <x:c r="J2541" s="85" t="n">
        <x:v>11148800.000000002</x:v>
      </x:c>
      <x:c r="K2541" s="85" t="n">
        <x:v>25495.56955479444</x:v>
      </x:c>
      <x:c r="L2541" s="28" t="n">
        <x:v>47</x:v>
      </x:c>
      <x:c r="M2541" s="28" t="n">
        <x:v>38</x:v>
      </x:c>
      <x:c r="N2541" s="28" t="n">
        <x:v>2.3283064365386963e-10</x:v>
      </x:c>
      <x:c r="O2541" s="28" t="n">
        <x:v>3.725290298461914e-9</x:v>
      </x:c>
      <x:c r="P2541" s="28" t="n">
        <x:v>0</x:v>
      </x:c>
      <x:c r="Q2541" s="62" t="b">
        <x:v>1</x:v>
      </x:c>
      <x:c r="R2541" s="28" t="n">
        <x:v>0</x:v>
      </x:c>
      <x:c r="S2541" s="28" t="str">
        <x:v>3885395f40414517</x:v>
      </x:c>
    </x:row>
    <x:row r="2542" ht="21" customHeight="1">
      <x:c r="A2542" s="60" t="n">
        <x:v>0.7</x:v>
      </x:c>
      <x:c r="B2542" s="28" t="str">
        <x:v>front_flat</x:v>
      </x:c>
      <x:c r="C2542" s="60" t="n">
        <x:v>0.7</x:v>
      </x:c>
      <x:c r="D2542" s="60" t="n">
        <x:v>0.7</x:v>
      </x:c>
      <x:c r="E2542" s="62" t="b">
        <x:v>1</x:v>
      </x:c>
      <x:c r="F2542" s="62" t="b">
        <x:v>0</x:v>
      </x:c>
      <x:c r="G2542" s="85" t="n">
        <x:v>1441877.9621351594</x:v>
      </x:c>
      <x:c r="H2542" s="85" t="n">
        <x:v>7311222.152353565</x:v>
      </x:c>
      <x:c r="I2542" s="85" t="n">
        <x:v>11145898.257534245</x:v>
      </x:c>
      <x:c r="J2542" s="85" t="n">
        <x:v>11148800.000000002</x:v>
      </x:c>
      <x:c r="K2542" s="85" t="n">
        <x:v>21585.489657534265</x:v>
      </x:c>
      <x:c r="L2542" s="28" t="n">
        <x:v>47</x:v>
      </x:c>
      <x:c r="M2542" s="28" t="n">
        <x:v>42</x:v>
      </x:c>
      <x:c r="N2542" s="28" t="n">
        <x:v>2.3283064365386963e-10</x:v>
      </x:c>
      <x:c r="O2542" s="28" t="n">
        <x:v>1.862645149230957e-9</x:v>
      </x:c>
      <x:c r="P2542" s="28" t="n">
        <x:v>0</x:v>
      </x:c>
      <x:c r="Q2542" s="62" t="b">
        <x:v>1</x:v>
      </x:c>
      <x:c r="R2542" s="28" t="n">
        <x:v>0</x:v>
      </x:c>
      <x:c r="S2542" s="28" t="str">
        <x:v>03203d450379e848</x:v>
      </x:c>
    </x:row>
    <x:row r="2543" ht="21" customHeight="1">
      <x:c r="A2543" s="60" t="n">
        <x:v>0.7</x:v>
      </x:c>
      <x:c r="B2543" s="28" t="str">
        <x:v>front_flat</x:v>
      </x:c>
      <x:c r="C2543" s="60" t="n">
        <x:v>0.75</x:v>
      </x:c>
      <x:c r="D2543" s="60" t="n">
        <x:v>0.75</x:v>
      </x:c>
      <x:c r="E2543" s="62" t="b">
        <x:v>1</x:v>
      </x:c>
      <x:c r="F2543" s="62" t="b">
        <x:v>0</x:v>
      </x:c>
      <x:c r="G2543" s="85" t="n">
        <x:v>1915985.2414405644</x:v>
      </x:c>
      <x:c r="H2543" s="85" t="n">
        <x:v>9700735.112515835</x:v>
      </x:c>
      <x:c r="I2543" s="85" t="n">
        <x:v>11145898.257534245</x:v>
      </x:c>
      <x:c r="J2543" s="85" t="n">
        <x:v>11148800.000000002</x:v>
      </x:c>
      <x:c r="K2543" s="85" t="n">
        <x:v>17675.409760274088</x:v>
      </x:c>
      <x:c r="L2543" s="28" t="n">
        <x:v>47</x:v>
      </x:c>
      <x:c r="M2543" s="28" t="n">
        <x:v>44</x:v>
      </x:c>
      <x:c r="N2543" s="28" t="n">
        <x:v>2.3283064365386963e-10</x:v>
      </x:c>
      <x:c r="O2543" s="28" t="n">
        <x:v>3.725290298461914e-9</x:v>
      </x:c>
      <x:c r="P2543" s="28" t="n">
        <x:v>0</x:v>
      </x:c>
      <x:c r="Q2543" s="62" t="b">
        <x:v>1</x:v>
      </x:c>
      <x:c r="R2543" s="28" t="n">
        <x:v>0</x:v>
      </x:c>
      <x:c r="S2543" s="28" t="str">
        <x:v>e0de07e0eff2a805</x:v>
      </x:c>
    </x:row>
    <x:row r="2544" ht="21" customHeight="1">
      <x:c r="A2544" s="60" t="n">
        <x:v>0.7</x:v>
      </x:c>
      <x:c r="B2544" s="28" t="str">
        <x:v>front_flat</x:v>
      </x:c>
      <x:c r="C2544" s="60" t="n">
        <x:v>0.8</x:v>
      </x:c>
      <x:c r="D2544" s="60" t="n">
        <x:v>0.8</x:v>
      </x:c>
      <x:c r="E2544" s="62" t="b">
        <x:v>1</x:v>
      </x:c>
      <x:c r="F2544" s="62" t="b">
        <x:v>0</x:v>
      </x:c>
      <x:c r="G2544" s="85" t="n">
        <x:v>2522350.7752116034</x:v>
      </x:c>
      <x:c r="H2544" s="85" t="n">
        <x:v>11972608.077105714</x:v>
      </x:c>
      <x:c r="I2544" s="85" t="n">
        <x:v>11145898.257534245</x:v>
      </x:c>
      <x:c r="J2544" s="85" t="n">
        <x:v>11148800.000000002</x:v>
      </x:c>
      <x:c r="K2544" s="85" t="n">
        <x:v>13765.329863013678</x:v>
      </x:c>
      <x:c r="L2544" s="28" t="n">
        <x:v>47</x:v>
      </x:c>
      <x:c r="M2544" s="28" t="n">
        <x:v>44</x:v>
      </x:c>
      <x:c r="N2544" s="28" t="n">
        <x:v>4.656612873077393e-10</x:v>
      </x:c>
      <x:c r="O2544" s="28" t="n">
        <x:v>3.725290298461914e-9</x:v>
      </x:c>
      <x:c r="P2544" s="28" t="n">
        <x:v>0</x:v>
      </x:c>
      <x:c r="Q2544" s="62" t="b">
        <x:v>1</x:v>
      </x:c>
      <x:c r="R2544" s="28" t="n">
        <x:v>0</x:v>
      </x:c>
      <x:c r="S2544" s="28" t="str">
        <x:v>4c709a63833c1743</x:v>
      </x:c>
    </x:row>
    <x:row r="2545" ht="21" customHeight="1">
      <x:c r="A2545" s="60" t="n">
        <x:v>0.7</x:v>
      </x:c>
      <x:c r="B2545" s="28" t="str">
        <x:v>front_flat</x:v>
      </x:c>
      <x:c r="C2545" s="60" t="n">
        <x:v>0.85</x:v>
      </x:c>
      <x:c r="D2545" s="60" t="n">
        <x:v>0.85</x:v>
      </x:c>
      <x:c r="E2545" s="62" t="b">
        <x:v>1</x:v>
      </x:c>
      <x:c r="F2545" s="62" t="b">
        <x:v>0</x:v>
      </x:c>
      <x:c r="G2545" s="85" t="n">
        <x:v>3098452.2972666556</x:v>
      </x:c>
      <x:c r="H2545" s="85" t="n">
        <x:v>14187614.967674373</x:v>
      </x:c>
      <x:c r="I2545" s="85" t="n">
        <x:v>11145898.257534245</x:v>
      </x:c>
      <x:c r="J2545" s="85" t="n">
        <x:v>11148800.000000002</x:v>
      </x:c>
      <x:c r="K2545" s="85" t="n">
        <x:v>9855.249965753384</x:v>
      </x:c>
      <x:c r="L2545" s="28" t="n">
        <x:v>47</x:v>
      </x:c>
      <x:c r="M2545" s="28" t="n">
        <x:v>44</x:v>
      </x:c>
      <x:c r="N2545" s="28" t="n">
        <x:v>2.3283064365386963e-10</x:v>
      </x:c>
      <x:c r="O2545" s="28" t="n">
        <x:v>1.862645149230957e-9</x:v>
      </x:c>
      <x:c r="P2545" s="28" t="n">
        <x:v>0</x:v>
      </x:c>
      <x:c r="Q2545" s="62" t="b">
        <x:v>1</x:v>
      </x:c>
      <x:c r="R2545" s="28" t="n">
        <x:v>0</x:v>
      </x:c>
      <x:c r="S2545" s="28" t="str">
        <x:v>5e783a7bde1ed17e</x:v>
      </x:c>
    </x:row>
    <x:row r="2546" ht="21" customHeight="1">
      <x:c r="A2546" s="60" t="n">
        <x:v>0.7</x:v>
      </x:c>
      <x:c r="B2546" s="28" t="str">
        <x:v>front_flat</x:v>
      </x:c>
      <x:c r="C2546" s="60" t="n">
        <x:v>0.9</x:v>
      </x:c>
      <x:c r="D2546" s="60" t="n">
        <x:v>0.9</x:v>
      </x:c>
      <x:c r="E2546" s="62" t="b">
        <x:v>1</x:v>
      </x:c>
      <x:c r="F2546" s="62" t="b">
        <x:v>0</x:v>
      </x:c>
      <x:c r="G2546" s="85" t="n">
        <x:v>3817657.5479631</x:v>
      </x:c>
      <x:c r="H2546" s="85" t="n">
        <x:v>16363687.1556929</x:v>
      </x:c>
      <x:c r="I2546" s="85" t="n">
        <x:v>11145898.257534245</x:v>
      </x:c>
      <x:c r="J2546" s="85" t="n">
        <x:v>11148800.000000002</x:v>
      </x:c>
      <x:c r="K2546" s="85" t="n">
        <x:v>5945.1700684932075</x:v>
      </x:c>
      <x:c r="L2546" s="28" t="n">
        <x:v>47</x:v>
      </x:c>
      <x:c r="M2546" s="28" t="n">
        <x:v>45</x:v>
      </x:c>
      <x:c r="N2546" s="28" t="n">
        <x:v>2.3283064365386963e-10</x:v>
      </x:c>
      <x:c r="O2546" s="28" t="n">
        <x:v>3.725290298461914e-9</x:v>
      </x:c>
      <x:c r="P2546" s="28" t="n">
        <x:v>0</x:v>
      </x:c>
      <x:c r="Q2546" s="62" t="b">
        <x:v>1</x:v>
      </x:c>
      <x:c r="R2546" s="28" t="n">
        <x:v>0</x:v>
      </x:c>
      <x:c r="S2546" s="28" t="str">
        <x:v>58a9e1de1a663ed5</x:v>
      </x:c>
    </x:row>
    <x:row r="2547" ht="21" customHeight="1">
      <x:c r="A2547" s="60" t="n">
        <x:v>0.7</x:v>
      </x:c>
      <x:c r="B2547" s="28" t="str">
        <x:v>front_flat</x:v>
      </x:c>
      <x:c r="C2547" s="60" t="n">
        <x:v>0.95</x:v>
      </x:c>
      <x:c r="D2547" s="60" t="n">
        <x:v>0.9427119459478259</x:v>
      </x:c>
      <x:c r="E2547" s="62" t="b">
        <x:v>0</x:v>
      </x:c>
      <x:c r="F2547" s="62" t="b">
        <x:v>0</x:v>
      </x:c>
      <x:c r="G2547" s="85" t="n">
        <x:v>4643302.758675115</x:v>
      </x:c>
      <x:c r="H2547" s="85" t="n">
        <x:v>17580240.518198594</x:v>
      </x:c>
      <x:c r="I2547" s="85" t="n">
        <x:v>11145898.257534245</x:v>
      </x:c>
      <x:c r="J2547" s="85" t="n">
        <x:v>11148800.000000002</x:v>
      </x:c>
      <x:c r="K2547" s="85" t="n">
        <x:v>2035.0901712327977</x:v>
      </x:c>
      <x:c r="L2547" s="28" t="n">
        <x:v>47</x:v>
      </x:c>
      <x:c r="M2547" s="28" t="n">
        <x:v>45</x:v>
      </x:c>
      <x:c r="N2547" s="28" t="n">
        <x:v>4.656612873077393e-10</x:v>
      </x:c>
      <x:c r="O2547" s="28" t="n">
        <x:v>1.862645149230957e-9</x:v>
      </x:c>
      <x:c r="P2547" s="28" t="n">
        <x:v>0</x:v>
      </x:c>
      <x:c r="Q2547" s="62" t="b">
        <x:v>1</x:v>
      </x:c>
      <x:c r="R2547" s="28" t="n">
        <x:v>406265.28508438915</x:v>
      </x:c>
      <x:c r="S2547" s="28" t="str">
        <x:v>3e0d80cc9f69a0ff</x:v>
      </x:c>
    </x:row>
    <x:row r="2548" ht="21" customHeight="1">
      <x:c r="A2548" s="60" t="n">
        <x:v>0.7</x:v>
      </x:c>
      <x:c r="B2548" s="28" t="str">
        <x:v>front_flat</x:v>
      </x:c>
      <x:c r="C2548" s="60" t="n">
        <x:v>1</x:v>
      </x:c>
      <x:c r="D2548" s="60" t="n">
        <x:v>0.9596721012870685</x:v>
      </x:c>
      <x:c r="E2548" s="62" t="b">
        <x:v>0</x:v>
      </x:c>
      <x:c r="F2548" s="62" t="b">
        <x:v>0</x:v>
      </x:c>
      <x:c r="G2548" s="85" t="n">
        <x:v>5059579.761494096</x:v>
      </x:c>
      <x:c r="H2548" s="85" t="n">
        <x:v>18384368.7825563</x:v>
      </x:c>
      <x:c r="I2548" s="85" t="n">
        <x:v>11145898.257534245</x:v>
      </x:c>
      <x:c r="J2548" s="85" t="n">
        <x:v>11148800.000000002</x:v>
      </x:c>
      <x:c r="K2548" s="85" t="n">
        <x:v>0</x:v>
      </x:c>
      <x:c r="L2548" s="28" t="n">
        <x:v>47</x:v>
      </x:c>
      <x:c r="M2548" s="28" t="n">
        <x:v>45</x:v>
      </x:c>
      <x:c r="N2548" s="28" t="n">
        <x:v>2.3283064365386963e-10</x:v>
      </x:c>
      <x:c r="O2548" s="28" t="n">
        <x:v>1.862645149230957e-9</x:v>
      </x:c>
      <x:c r="P2548" s="28" t="n">
        <x:v>0</x:v>
      </x:c>
      <x:c r="Q2548" s="62" t="b">
        <x:v>1</x:v>
      </x:c>
      <x:c r="R2548" s="28" t="n">
        <x:v>2248038.3858536556</x:v>
      </x:c>
      <x:c r="S2548" s="28" t="str">
        <x:v>1e0055ec9c536075</x:v>
      </x:c>
    </x:row>
    <x:row r="2549" ht="21" customHeight="1">
      <x:c r="A2549" s="60" t="n">
        <x:v>0.7</x:v>
      </x:c>
      <x:c r="B2549" s="28" t="str">
        <x:v>front_low</x:v>
      </x:c>
      <x:c r="C2549" s="60" t="n">
        <x:v>0</x:v>
      </x:c>
      <x:c r="D2549" s="60" t="n">
        <x:v>0</x:v>
      </x:c>
      <x:c r="E2549" s="62" t="b">
        <x:v>1</x:v>
      </x:c>
      <x:c r="F2549" s="62" t="b">
        <x:v>1</x:v>
      </x:c>
      <x:c r="G2549" s="85" t="n">
        <x:v>0</x:v>
      </x:c>
      <x:c r="H2549" s="85" t="n">
        <x:v>0</x:v>
      </x:c>
      <x:c r="I2549" s="85" t="n">
        <x:v>0</x:v>
      </x:c>
      <x:c r="J2549" s="85" t="n">
        <x:v>0</x:v>
      </x:c>
      <x:c r="K2549" s="85" t="n">
        <x:v>6144125.708493149</x:v>
      </x:c>
      <x:c r="L2549" s="28" t="n">
        <x:v>0</x:v>
      </x:c>
      <x:c r="M2549" s="28" t="n">
        <x:v>0</x:v>
      </x:c>
      <x:c r="N2549" s="28" t="n">
        <x:v>9.313225746154785e-10</x:v>
      </x:c>
      <x:c r="O2549" s="28" t="n">
        <x:v>0</x:v>
      </x:c>
      <x:c r="P2549" s="28" t="n">
        <x:v>0</x:v>
      </x:c>
      <x:c r="Q2549" s="62" t="b">
        <x:v>1</x:v>
      </x:c>
      <x:c r="R2549" s="28" t="n">
        <x:v>0</x:v>
      </x:c>
      <x:c r="S2549" s="28" t="str">
        <x:v>fb4d343ed97245f6</x:v>
      </x:c>
    </x:row>
    <x:row r="2550" ht="21" customHeight="1">
      <x:c r="A2550" s="60" t="n">
        <x:v>0.7</x:v>
      </x:c>
      <x:c r="B2550" s="28" t="str">
        <x:v>front_low</x:v>
      </x:c>
      <x:c r="C2550" s="60" t="n">
        <x:v>0.05</x:v>
      </x:c>
      <x:c r="D2550" s="60" t="n">
        <x:v>0.05</x:v>
      </x:c>
      <x:c r="E2550" s="62" t="b">
        <x:v>1</x:v>
      </x:c>
      <x:c r="F2550" s="62" t="b">
        <x:v>1</x:v>
      </x:c>
      <x:c r="G2550" s="85" t="n">
        <x:v>0</x:v>
      </x:c>
      <x:c r="H2550" s="85" t="n">
        <x:v>0</x:v>
      </x:c>
      <x:c r="I2550" s="85" t="n">
        <x:v>0</x:v>
      </x:c>
      <x:c r="J2550" s="85" t="n">
        <x:v>0</x:v>
      </x:c>
      <x:c r="K2550" s="85" t="n">
        <x:v>4102875.3773768265</x:v>
      </x:c>
      <x:c r="L2550" s="28" t="n">
        <x:v>0</x:v>
      </x:c>
      <x:c r="M2550" s="28" t="n">
        <x:v>0</x:v>
      </x:c>
      <x:c r="N2550" s="28" t="n">
        <x:v>9.313225746154785e-10</x:v>
      </x:c>
      <x:c r="O2550" s="28" t="n">
        <x:v>7.450580596923828e-9</x:v>
      </x:c>
      <x:c r="P2550" s="28" t="n">
        <x:v>0</x:v>
      </x:c>
      <x:c r="Q2550" s="62" t="b">
        <x:v>1</x:v>
      </x:c>
      <x:c r="R2550" s="28" t="n">
        <x:v>0</x:v>
      </x:c>
      <x:c r="S2550" s="28" t="str">
        <x:v>fd49299ed509fa0e</x:v>
      </x:c>
    </x:row>
    <x:row r="2551" ht="21" customHeight="1">
      <x:c r="A2551" s="60" t="n">
        <x:v>0.7</x:v>
      </x:c>
      <x:c r="B2551" s="28" t="str">
        <x:v>front_low</x:v>
      </x:c>
      <x:c r="C2551" s="60" t="n">
        <x:v>0.1</x:v>
      </x:c>
      <x:c r="D2551" s="60" t="n">
        <x:v>0.1</x:v>
      </x:c>
      <x:c r="E2551" s="62" t="b">
        <x:v>1</x:v>
      </x:c>
      <x:c r="F2551" s="62" t="b">
        <x:v>1</x:v>
      </x:c>
      <x:c r="G2551" s="85" t="n">
        <x:v>0</x:v>
      </x:c>
      <x:c r="H2551" s="85" t="n">
        <x:v>0</x:v>
      </x:c>
      <x:c r="I2551" s="85" t="n">
        <x:v>0</x:v>
      </x:c>
      <x:c r="J2551" s="85" t="n">
        <x:v>0</x:v>
      </x:c>
      <x:c r="K2551" s="85" t="n">
        <x:v>2061303.934708449</x:v>
      </x:c>
      <x:c r="L2551" s="28" t="n">
        <x:v>0</x:v>
      </x:c>
      <x:c r="M2551" s="28" t="n">
        <x:v>0</x:v>
      </x:c>
      <x:c r="N2551" s="28" t="n">
        <x:v>9.313225746154785e-10</x:v>
      </x:c>
      <x:c r="O2551" s="28" t="n">
        <x:v>7.450580596923828e-9</x:v>
      </x:c>
      <x:c r="P2551" s="28" t="n">
        <x:v>0</x:v>
      </x:c>
      <x:c r="Q2551" s="62" t="b">
        <x:v>1</x:v>
      </x:c>
      <x:c r="R2551" s="28" t="n">
        <x:v>0</x:v>
      </x:c>
      <x:c r="S2551" s="28" t="str">
        <x:v>166aef8deee1d6b9</x:v>
      </x:c>
    </x:row>
    <x:row r="2552" ht="21" customHeight="1">
      <x:c r="A2552" s="60" t="n">
        <x:v>0.7</x:v>
      </x:c>
      <x:c r="B2552" s="28" t="str">
        <x:v>front_low</x:v>
      </x:c>
      <x:c r="C2552" s="60" t="n">
        <x:v>0.15</x:v>
      </x:c>
      <x:c r="D2552" s="60" t="n">
        <x:v>0.15</x:v>
      </x:c>
      <x:c r="E2552" s="62" t="b">
        <x:v>1</x:v>
      </x:c>
      <x:c r="F2552" s="62" t="b">
        <x:v>1</x:v>
      </x:c>
      <x:c r="G2552" s="85" t="n">
        <x:v>0</x:v>
      </x:c>
      <x:c r="H2552" s="85" t="n">
        <x:v>0</x:v>
      </x:c>
      <x:c r="I2552" s="85" t="n">
        <x:v>186882.9066183922</x:v>
      </x:c>
      <x:c r="J2552" s="85" t="n">
        <x:v>0</x:v>
      </x:c>
      <x:c r="K2552" s="85" t="n">
        <x:v>286997.0636476999</x:v>
      </x:c>
      <x:c r="L2552" s="28" t="n">
        <x:v>0</x:v>
      </x:c>
      <x:c r="M2552" s="28" t="n">
        <x:v>0</x:v>
      </x:c>
      <x:c r="N2552" s="28" t="n">
        <x:v>4.656612873077393e-10</x:v>
      </x:c>
      <x:c r="O2552" s="28" t="n">
        <x:v>7.450580596923828e-9</x:v>
      </x:c>
      <x:c r="P2552" s="28" t="n">
        <x:v>0</x:v>
      </x:c>
      <x:c r="Q2552" s="62" t="b">
        <x:v>1</x:v>
      </x:c>
      <x:c r="R2552" s="28" t="n">
        <x:v>0</x:v>
      </x:c>
      <x:c r="S2552" s="28" t="str">
        <x:v>d45b1d628f986123</x:v>
      </x:c>
    </x:row>
    <x:row r="2553" ht="21" customHeight="1">
      <x:c r="A2553" s="60" t="n">
        <x:v>0.7</x:v>
      </x:c>
      <x:c r="B2553" s="28" t="str">
        <x:v>front_low</x:v>
      </x:c>
      <x:c r="C2553" s="60" t="n">
        <x:v>0.2</x:v>
      </x:c>
      <x:c r="D2553" s="60" t="n">
        <x:v>0.2</x:v>
      </x:c>
      <x:c r="E2553" s="62" t="b">
        <x:v>1</x:v>
      </x:c>
      <x:c r="F2553" s="62" t="b">
        <x:v>1</x:v>
      </x:c>
      <x:c r="G2553" s="85" t="n">
        <x:v>0</x:v>
      </x:c>
      <x:c r="H2553" s="85" t="n">
        <x:v>0</x:v>
      </x:c>
      <x:c r="I2553" s="85" t="n">
        <x:v>1248483.3734549896</x:v>
      </x:c>
      <x:c r="J2553" s="85" t="n">
        <x:v>1254093.4388721122</x:v>
      </x:c>
      <x:c r="K2553" s="85" t="n">
        <x:v>185799.33316008677</x:v>
      </x:c>
      <x:c r="L2553" s="28" t="n">
        <x:v>0</x:v>
      </x:c>
      <x:c r="M2553" s="28" t="n">
        <x:v>0</x:v>
      </x:c>
      <x:c r="N2553" s="28" t="n">
        <x:v>4.656612873077393e-10</x:v>
      </x:c>
      <x:c r="O2553" s="28" t="n">
        <x:v>7.450580596923828e-9</x:v>
      </x:c>
      <x:c r="P2553" s="28" t="n">
        <x:v>0</x:v>
      </x:c>
      <x:c r="Q2553" s="62" t="b">
        <x:v>1</x:v>
      </x:c>
      <x:c r="R2553" s="28" t="n">
        <x:v>0</x:v>
      </x:c>
      <x:c r="S2553" s="28" t="str">
        <x:v>6cf6b98a7252f5b6</x:v>
      </x:c>
    </x:row>
    <x:row r="2554" ht="21" customHeight="1">
      <x:c r="A2554" s="60" t="n">
        <x:v>0.7</x:v>
      </x:c>
      <x:c r="B2554" s="28" t="str">
        <x:v>front_low</x:v>
      </x:c>
      <x:c r="C2554" s="60" t="n">
        <x:v>0.25</x:v>
      </x:c>
      <x:c r="D2554" s="60" t="n">
        <x:v>0.25</x:v>
      </x:c>
      <x:c r="E2554" s="62" t="b">
        <x:v>1</x:v>
      </x:c>
      <x:c r="F2554" s="62" t="b">
        <x:v>1</x:v>
      </x:c>
      <x:c r="G2554" s="85" t="n">
        <x:v>0</x:v>
      </x:c>
      <x:c r="H2554" s="85" t="n">
        <x:v>0</x:v>
      </x:c>
      <x:c r="I2554" s="85" t="n">
        <x:v>1978070.1877776412</x:v>
      </x:c>
      <x:c r="J2554" s="85" t="n">
        <x:v>2961216.7985901413</x:v>
      </x:c>
      <x:c r="K2554" s="85" t="n">
        <x:v>119841.01297155833</x:v>
      </x:c>
      <x:c r="L2554" s="28" t="n">
        <x:v>0</x:v>
      </x:c>
      <x:c r="M2554" s="28" t="n">
        <x:v>0</x:v>
      </x:c>
      <x:c r="N2554" s="28" t="n">
        <x:v>4.656612873077393e-10</x:v>
      </x:c>
      <x:c r="O2554" s="28" t="n">
        <x:v>3.725290298461914e-9</x:v>
      </x:c>
      <x:c r="P2554" s="28" t="n">
        <x:v>0</x:v>
      </x:c>
      <x:c r="Q2554" s="62" t="b">
        <x:v>1</x:v>
      </x:c>
      <x:c r="R2554" s="28" t="n">
        <x:v>0</x:v>
      </x:c>
      <x:c r="S2554" s="28" t="str">
        <x:v>f1f3ee3af9802381</x:v>
      </x:c>
    </x:row>
    <x:row r="2555" ht="21" customHeight="1">
      <x:c r="A2555" s="60" t="n">
        <x:v>0.7</x:v>
      </x:c>
      <x:c r="B2555" s="28" t="str">
        <x:v>front_low</x:v>
      </x:c>
      <x:c r="C2555" s="60" t="n">
        <x:v>0.3</x:v>
      </x:c>
      <x:c r="D2555" s="60" t="n">
        <x:v>0.3</x:v>
      </x:c>
      <x:c r="E2555" s="62" t="b">
        <x:v>1</x:v>
      </x:c>
      <x:c r="F2555" s="62" t="b">
        <x:v>1</x:v>
      </x:c>
      <x:c r="G2555" s="85" t="n">
        <x:v>0</x:v>
      </x:c>
      <x:c r="H2555" s="85" t="n">
        <x:v>0</x:v>
      </x:c>
      <x:c r="I2555" s="85" t="n">
        <x:v>3022047.8056706768</x:v>
      </x:c>
      <x:c r="J2555" s="85" t="n">
        <x:v>4162740.148937016</x:v>
      </x:c>
      <x:c r="K2555" s="85" t="n">
        <x:v>86752.76423972589</x:v>
      </x:c>
      <x:c r="L2555" s="28" t="n">
        <x:v>3</x:v>
      </x:c>
      <x:c r="M2555" s="28" t="n">
        <x:v>0</x:v>
      </x:c>
      <x:c r="N2555" s="28" t="n">
        <x:v>4.656612873077393e-10</x:v>
      </x:c>
      <x:c r="O2555" s="28" t="n">
        <x:v>7.450580596923828e-9</x:v>
      </x:c>
      <x:c r="P2555" s="28" t="n">
        <x:v>0</x:v>
      </x:c>
      <x:c r="Q2555" s="62" t="b">
        <x:v>1</x:v>
      </x:c>
      <x:c r="R2555" s="28" t="n">
        <x:v>0</x:v>
      </x:c>
      <x:c r="S2555" s="28" t="str">
        <x:v>9983a5a47c1a9b54</x:v>
      </x:c>
    </x:row>
    <x:row r="2556" ht="21" customHeight="1">
      <x:c r="A2556" s="60" t="n">
        <x:v>0.7</x:v>
      </x:c>
      <x:c r="B2556" s="28" t="str">
        <x:v>front_low</x:v>
      </x:c>
      <x:c r="C2556" s="60" t="n">
        <x:v>0.35</x:v>
      </x:c>
      <x:c r="D2556" s="60" t="n">
        <x:v>0.35</x:v>
      </x:c>
      <x:c r="E2556" s="62" t="b">
        <x:v>1</x:v>
      </x:c>
      <x:c r="F2556" s="62" t="b">
        <x:v>1</x:v>
      </x:c>
      <x:c r="G2556" s="85" t="n">
        <x:v>0</x:v>
      </x:c>
      <x:c r="H2556" s="85" t="n">
        <x:v>0</x:v>
      </x:c>
      <x:c r="I2556" s="85" t="n">
        <x:v>4510300.688335573</x:v>
      </x:c>
      <x:c r="J2556" s="85" t="n">
        <x:v>4656316.525217991</x:v>
      </x:c>
      <x:c r="K2556" s="85" t="n">
        <x:v>63417.95890068472</x:v>
      </x:c>
      <x:c r="L2556" s="28" t="n">
        <x:v>11</x:v>
      </x:c>
      <x:c r="M2556" s="28" t="n">
        <x:v>0</x:v>
      </x:c>
      <x:c r="N2556" s="28" t="n">
        <x:v>2.3283064365386963e-10</x:v>
      </x:c>
      <x:c r="O2556" s="28" t="n">
        <x:v>7.450580596923828e-9</x:v>
      </x:c>
      <x:c r="P2556" s="28" t="n">
        <x:v>0</x:v>
      </x:c>
      <x:c r="Q2556" s="62" t="b">
        <x:v>1</x:v>
      </x:c>
      <x:c r="R2556" s="28" t="n">
        <x:v>0</x:v>
      </x:c>
      <x:c r="S2556" s="28" t="str">
        <x:v>0620e66782b78176</x:v>
      </x:c>
    </x:row>
    <x:row r="2557" ht="21" customHeight="1">
      <x:c r="A2557" s="60" t="n">
        <x:v>0.7</x:v>
      </x:c>
      <x:c r="B2557" s="28" t="str">
        <x:v>front_low</x:v>
      </x:c>
      <x:c r="C2557" s="60" t="n">
        <x:v>0.4</x:v>
      </x:c>
      <x:c r="D2557" s="60" t="n">
        <x:v>0.4</x:v>
      </x:c>
      <x:c r="E2557" s="62" t="b">
        <x:v>1</x:v>
      </x:c>
      <x:c r="F2557" s="62" t="b">
        <x:v>1</x:v>
      </x:c>
      <x:c r="G2557" s="85" t="n">
        <x:v>0</x:v>
      </x:c>
      <x:c r="H2557" s="85" t="n">
        <x:v>0</x:v>
      </x:c>
      <x:c r="I2557" s="85" t="n">
        <x:v>5506033.031289414</x:v>
      </x:c>
      <x:c r="J2557" s="85" t="n">
        <x:v>6082184.941907001</x:v>
      </x:c>
      <x:c r="K2557" s="85" t="n">
        <x:v>53527.73361643833</x:v>
      </x:c>
      <x:c r="L2557" s="28" t="n">
        <x:v>15</x:v>
      </x:c>
      <x:c r="M2557" s="28" t="n">
        <x:v>0</x:v>
      </x:c>
      <x:c r="N2557" s="28" t="n">
        <x:v>4.656612873077393e-10</x:v>
      </x:c>
      <x:c r="O2557" s="28" t="n">
        <x:v>7.450580596923828e-9</x:v>
      </x:c>
      <x:c r="P2557" s="28" t="n">
        <x:v>0</x:v>
      </x:c>
      <x:c r="Q2557" s="62" t="b">
        <x:v>1</x:v>
      </x:c>
      <x:c r="R2557" s="28" t="n">
        <x:v>0</x:v>
      </x:c>
      <x:c r="S2557" s="28" t="str">
        <x:v>0210e82a61ae342c</x:v>
      </x:c>
    </x:row>
    <x:row r="2558" ht="21" customHeight="1">
      <x:c r="A2558" s="60" t="n">
        <x:v>0.7</x:v>
      </x:c>
      <x:c r="B2558" s="28" t="str">
        <x:v>front_low</x:v>
      </x:c>
      <x:c r="C2558" s="60" t="n">
        <x:v>0.45</x:v>
      </x:c>
      <x:c r="D2558" s="60" t="n">
        <x:v>0.45</x:v>
      </x:c>
      <x:c r="E2558" s="62" t="b">
        <x:v>1</x:v>
      </x:c>
      <x:c r="F2558" s="62" t="b">
        <x:v>1</x:v>
      </x:c>
      <x:c r="G2558" s="85" t="n">
        <x:v>0</x:v>
      </x:c>
      <x:c r="H2558" s="85" t="n">
        <x:v>0</x:v>
      </x:c>
      <x:c r="I2558" s="85" t="n">
        <x:v>6407787.803093957</x:v>
      </x:c>
      <x:c r="J2558" s="85" t="n">
        <x:v>7620271.517950689</x:v>
      </x:c>
      <x:c r="K2558" s="85" t="n">
        <x:v>46916.3284691778</x:v>
      </x:c>
      <x:c r="L2558" s="28" t="n">
        <x:v>19</x:v>
      </x:c>
      <x:c r="M2558" s="28" t="n">
        <x:v>0</x:v>
      </x:c>
      <x:c r="N2558" s="28" t="n">
        <x:v>4.656612873077393e-10</x:v>
      </x:c>
      <x:c r="O2558" s="28" t="n">
        <x:v>3.725290298461914e-9</x:v>
      </x:c>
      <x:c r="P2558" s="28" t="n">
        <x:v>0</x:v>
      </x:c>
      <x:c r="Q2558" s="62" t="b">
        <x:v>1</x:v>
      </x:c>
      <x:c r="R2558" s="28" t="n">
        <x:v>0</x:v>
      </x:c>
      <x:c r="S2558" s="28" t="str">
        <x:v>2a28dea3ea8c36b5</x:v>
      </x:c>
    </x:row>
    <x:row r="2559" ht="21" customHeight="1">
      <x:c r="A2559" s="60" t="n">
        <x:v>0.7</x:v>
      </x:c>
      <x:c r="B2559" s="28" t="str">
        <x:v>front_low</x:v>
      </x:c>
      <x:c r="C2559" s="60" t="n">
        <x:v>0.5</x:v>
      </x:c>
      <x:c r="D2559" s="60" t="n">
        <x:v>0.5</x:v>
      </x:c>
      <x:c r="E2559" s="62" t="b">
        <x:v>1</x:v>
      </x:c>
      <x:c r="F2559" s="62" t="b">
        <x:v>1</x:v>
      </x:c>
      <x:c r="G2559" s="85" t="n">
        <x:v>0</x:v>
      </x:c>
      <x:c r="H2559" s="85" t="n">
        <x:v>0</x:v>
      </x:c>
      <x:c r="I2559" s="85" t="n">
        <x:v>7159968.129689863</x:v>
      </x:c>
      <x:c r="J2559" s="85" t="n">
        <x:v>9435913.054120557</x:v>
      </x:c>
      <x:c r="K2559" s="85" t="n">
        <x:v>40304.92332191774</x:v>
      </x:c>
      <x:c r="L2559" s="28" t="n">
        <x:v>23</x:v>
      </x:c>
      <x:c r="M2559" s="28" t="n">
        <x:v>0</x:v>
      </x:c>
      <x:c r="N2559" s="28" t="n">
        <x:v>4.656612873077393e-10</x:v>
      </x:c>
      <x:c r="O2559" s="28" t="n">
        <x:v>7.450580596923828e-9</x:v>
      </x:c>
      <x:c r="P2559" s="28" t="n">
        <x:v>0</x:v>
      </x:c>
      <x:c r="Q2559" s="62" t="b">
        <x:v>1</x:v>
      </x:c>
      <x:c r="R2559" s="28" t="n">
        <x:v>0</x:v>
      </x:c>
      <x:c r="S2559" s="28" t="str">
        <x:v>2fa57ee0bc7ff1a7</x:v>
      </x:c>
    </x:row>
    <x:row r="2560" ht="21" customHeight="1">
      <x:c r="A2560" s="60" t="n">
        <x:v>0.7</x:v>
      </x:c>
      <x:c r="B2560" s="28" t="str">
        <x:v>front_low</x:v>
      </x:c>
      <x:c r="C2560" s="60" t="n">
        <x:v>0.55</x:v>
      </x:c>
      <x:c r="D2560" s="60" t="n">
        <x:v>0.55</x:v>
      </x:c>
      <x:c r="E2560" s="62" t="b">
        <x:v>1</x:v>
      </x:c>
      <x:c r="F2560" s="62" t="b">
        <x:v>0</x:v>
      </x:c>
      <x:c r="G2560" s="85" t="n">
        <x:v>16032.484385701946</x:v>
      </x:c>
      <x:c r="H2560" s="85" t="n">
        <x:v>259252.91515068267</x:v>
      </x:c>
      <x:c r="I2560" s="85" t="n">
        <x:v>7700919.057534252</x:v>
      </x:c>
      <x:c r="J2560" s="85" t="n">
        <x:v>11148800.000000002</x:v>
      </x:c>
      <x:c r="K2560" s="85" t="n">
        <x:v>33693.51817465732</x:v>
      </x:c>
      <x:c r="L2560" s="28" t="n">
        <x:v>46</x:v>
      </x:c>
      <x:c r="M2560" s="28" t="n">
        <x:v>21</x:v>
      </x:c>
      <x:c r="N2560" s="28" t="n">
        <x:v>4.656612873077393e-10</x:v>
      </x:c>
      <x:c r="O2560" s="28" t="n">
        <x:v>3.725290298461914e-9</x:v>
      </x:c>
      <x:c r="P2560" s="28" t="n">
        <x:v>0</x:v>
      </x:c>
      <x:c r="Q2560" s="62" t="b">
        <x:v>1</x:v>
      </x:c>
      <x:c r="R2560" s="28" t="n">
        <x:v>0</x:v>
      </x:c>
      <x:c r="S2560" s="28" t="str">
        <x:v>da8931d786228365</x:v>
      </x:c>
    </x:row>
    <x:row r="2561" ht="21" customHeight="1">
      <x:c r="A2561" s="60" t="n">
        <x:v>0.7</x:v>
      </x:c>
      <x:c r="B2561" s="28" t="str">
        <x:v>front_low</x:v>
      </x:c>
      <x:c r="C2561" s="60" t="n">
        <x:v>0.6</x:v>
      </x:c>
      <x:c r="D2561" s="60" t="n">
        <x:v>0.6</x:v>
      </x:c>
      <x:c r="E2561" s="62" t="b">
        <x:v>1</x:v>
      </x:c>
      <x:c r="F2561" s="62" t="b">
        <x:v>0</x:v>
      </x:c>
      <x:c r="G2561" s="85" t="n">
        <x:v>189284.59261514107</x:v>
      </x:c>
      <x:c r="H2561" s="85" t="n">
        <x:v>2359082.946872783</x:v>
      </x:c>
      <x:c r="I2561" s="85" t="n">
        <x:v>7700919.057534252</x:v>
      </x:c>
      <x:c r="J2561" s="85" t="n">
        <x:v>11148800.000000002</x:v>
      </x:c>
      <x:c r="K2561" s="85" t="n">
        <x:v>27082.113027397085</x:v>
      </x:c>
      <x:c r="L2561" s="28" t="n">
        <x:v>46</x:v>
      </x:c>
      <x:c r="M2561" s="28" t="n">
        <x:v>30</x:v>
      </x:c>
      <x:c r="N2561" s="28" t="n">
        <x:v>2.3283064365386963e-10</x:v>
      </x:c>
      <x:c r="O2561" s="28" t="n">
        <x:v>3.725290298461914e-9</x:v>
      </x:c>
      <x:c r="P2561" s="28" t="n">
        <x:v>0</x:v>
      </x:c>
      <x:c r="Q2561" s="62" t="b">
        <x:v>1</x:v>
      </x:c>
      <x:c r="R2561" s="28" t="n">
        <x:v>0</x:v>
      </x:c>
      <x:c r="S2561" s="28" t="str">
        <x:v>aa3b4c884e716926</x:v>
      </x:c>
    </x:row>
    <x:row r="2562" ht="21" customHeight="1">
      <x:c r="A2562" s="60" t="n">
        <x:v>0.7</x:v>
      </x:c>
      <x:c r="B2562" s="28" t="str">
        <x:v>front_low</x:v>
      </x:c>
      <x:c r="C2562" s="60" t="n">
        <x:v>0.65</x:v>
      </x:c>
      <x:c r="D2562" s="60" t="n">
        <x:v>0.65</x:v>
      </x:c>
      <x:c r="E2562" s="62" t="b">
        <x:v>1</x:v>
      </x:c>
      <x:c r="F2562" s="62" t="b">
        <x:v>0</x:v>
      </x:c>
      <x:c r="G2562" s="85" t="n">
        <x:v>340267.1351371844</x:v>
      </x:c>
      <x:c r="H2562" s="85" t="n">
        <x:v>4236492.012136296</x:v>
      </x:c>
      <x:c r="I2562" s="85" t="n">
        <x:v>7867692.88767124</x:v>
      </x:c>
      <x:c r="J2562" s="85" t="n">
        <x:v>11148800.000000002</x:v>
      </x:c>
      <x:c r="K2562" s="85" t="n">
        <x:v>16547.65705479461</x:v>
      </x:c>
      <x:c r="L2562" s="28" t="n">
        <x:v>47</x:v>
      </x:c>
      <x:c r="M2562" s="28" t="n">
        <x:v>31</x:v>
      </x:c>
      <x:c r="N2562" s="28" t="n">
        <x:v>4.656612873077393e-10</x:v>
      </x:c>
      <x:c r="O2562" s="28" t="n">
        <x:v>3.725290298461914e-9</x:v>
      </x:c>
      <x:c r="P2562" s="28" t="n">
        <x:v>0</x:v>
      </x:c>
      <x:c r="Q2562" s="62" t="b">
        <x:v>1</x:v>
      </x:c>
      <x:c r="R2562" s="28" t="n">
        <x:v>0</x:v>
      </x:c>
      <x:c r="S2562" s="28" t="str">
        <x:v>3920c299204335dc</x:v>
      </x:c>
    </x:row>
    <x:row r="2563" ht="21" customHeight="1">
      <x:c r="A2563" s="60" t="n">
        <x:v>0.7</x:v>
      </x:c>
      <x:c r="B2563" s="28" t="str">
        <x:v>front_low</x:v>
      </x:c>
      <x:c r="C2563" s="60" t="n">
        <x:v>0.7</x:v>
      </x:c>
      <x:c r="D2563" s="60" t="n">
        <x:v>0.7</x:v>
      </x:c>
      <x:c r="E2563" s="62" t="b">
        <x:v>1</x:v>
      </x:c>
      <x:c r="F2563" s="62" t="b">
        <x:v>0</x:v>
      </x:c>
      <x:c r="G2563" s="85" t="n">
        <x:v>509549.459681383</x:v>
      </x:c>
      <x:c r="H2563" s="85" t="n">
        <x:v>6341533.303646713</x:v>
      </x:c>
      <x:c r="I2563" s="85" t="n">
        <x:v>7867692.88767124</x:v>
      </x:c>
      <x:c r="J2563" s="85" t="n">
        <x:v>11148800.000000002</x:v>
      </x:c>
      <x:c r="K2563" s="85" t="n">
        <x:v>14293.828356164282</x:v>
      </x:c>
      <x:c r="L2563" s="28" t="n">
        <x:v>47</x:v>
      </x:c>
      <x:c r="M2563" s="28" t="n">
        <x:v>34</x:v>
      </x:c>
      <x:c r="N2563" s="28" t="n">
        <x:v>2.3283064365386963e-10</x:v>
      </x:c>
      <x:c r="O2563" s="28" t="n">
        <x:v>1.862645149230957e-9</x:v>
      </x:c>
      <x:c r="P2563" s="28" t="n">
        <x:v>0</x:v>
      </x:c>
      <x:c r="Q2563" s="62" t="b">
        <x:v>1</x:v>
      </x:c>
      <x:c r="R2563" s="28" t="n">
        <x:v>0</x:v>
      </x:c>
      <x:c r="S2563" s="28" t="str">
        <x:v>9d8129c6d39f34f4</x:v>
      </x:c>
    </x:row>
    <x:row r="2564" ht="21" customHeight="1">
      <x:c r="A2564" s="60" t="n">
        <x:v>0.7</x:v>
      </x:c>
      <x:c r="B2564" s="28" t="str">
        <x:v>front_low</x:v>
      </x:c>
      <x:c r="C2564" s="60" t="n">
        <x:v>0.75</x:v>
      </x:c>
      <x:c r="D2564" s="60" t="n">
        <x:v>0.75</x:v>
      </x:c>
      <x:c r="E2564" s="62" t="b">
        <x:v>1</x:v>
      </x:c>
      <x:c r="F2564" s="62" t="b">
        <x:v>0</x:v>
      </x:c>
      <x:c r="G2564" s="85" t="n">
        <x:v>705560.9231791637</x:v>
      </x:c>
      <x:c r="H2564" s="85" t="n">
        <x:v>8418083.538006317</x:v>
      </x:c>
      <x:c r="I2564" s="85" t="n">
        <x:v>7867692.88767124</x:v>
      </x:c>
      <x:c r="J2564" s="85" t="n">
        <x:v>11148800.000000002</x:v>
      </x:c>
      <x:c r="K2564" s="85" t="n">
        <x:v>12039.999657534187</x:v>
      </x:c>
      <x:c r="L2564" s="28" t="n">
        <x:v>47</x:v>
      </x:c>
      <x:c r="M2564" s="28" t="n">
        <x:v>36</x:v>
      </x:c>
      <x:c r="N2564" s="28" t="n">
        <x:v>2.3283064365386963e-10</x:v>
      </x:c>
      <x:c r="O2564" s="28" t="n">
        <x:v>3.725290298461914e-9</x:v>
      </x:c>
      <x:c r="P2564" s="28" t="n">
        <x:v>0</x:v>
      </x:c>
      <x:c r="Q2564" s="62" t="b">
        <x:v>1</x:v>
      </x:c>
      <x:c r="R2564" s="28" t="n">
        <x:v>0</x:v>
      </x:c>
      <x:c r="S2564" s="28" t="str">
        <x:v>94c1e6e0a890e419</x:v>
      </x:c>
    </x:row>
    <x:row r="2565" ht="21" customHeight="1">
      <x:c r="A2565" s="60" t="n">
        <x:v>0.7</x:v>
      </x:c>
      <x:c r="B2565" s="28" t="str">
        <x:v>front_low</x:v>
      </x:c>
      <x:c r="C2565" s="60" t="n">
        <x:v>0.8</x:v>
      </x:c>
      <x:c r="D2565" s="60" t="n">
        <x:v>0.8</x:v>
      </x:c>
      <x:c r="E2565" s="62" t="b">
        <x:v>1</x:v>
      </x:c>
      <x:c r="F2565" s="62" t="b">
        <x:v>0</x:v>
      </x:c>
      <x:c r="G2565" s="85" t="n">
        <x:v>891855.3256066759</x:v>
      </x:c>
      <x:c r="H2565" s="85" t="n">
        <x:v>10449696.461320978</x:v>
      </x:c>
      <x:c r="I2565" s="85" t="n">
        <x:v>7867692.88767124</x:v>
      </x:c>
      <x:c r="J2565" s="85" t="n">
        <x:v>11148800.000000002</x:v>
      </x:c>
      <x:c r="K2565" s="85" t="n">
        <x:v>9786.170958904091</x:v>
      </x:c>
      <x:c r="L2565" s="28" t="n">
        <x:v>47</x:v>
      </x:c>
      <x:c r="M2565" s="28" t="n">
        <x:v>37</x:v>
      </x:c>
      <x:c r="N2565" s="28" t="n">
        <x:v>2.3283064365386963e-10</x:v>
      </x:c>
      <x:c r="O2565" s="28" t="n">
        <x:v>3.725290298461914e-9</x:v>
      </x:c>
      <x:c r="P2565" s="28" t="n">
        <x:v>0</x:v>
      </x:c>
      <x:c r="Q2565" s="62" t="b">
        <x:v>1</x:v>
      </x:c>
      <x:c r="R2565" s="28" t="n">
        <x:v>0</x:v>
      </x:c>
      <x:c r="S2565" s="28" t="str">
        <x:v>30c7cd33507b8099</x:v>
      </x:c>
    </x:row>
    <x:row r="2566" ht="21" customHeight="1">
      <x:c r="A2566" s="60" t="n">
        <x:v>0.7</x:v>
      </x:c>
      <x:c r="B2566" s="28" t="str">
        <x:v>front_low</x:v>
      </x:c>
      <x:c r="C2566" s="60" t="n">
        <x:v>0.85</x:v>
      </x:c>
      <x:c r="D2566" s="60" t="n">
        <x:v>0.85</x:v>
      </x:c>
      <x:c r="E2566" s="62" t="b">
        <x:v>1</x:v>
      </x:c>
      <x:c r="F2566" s="62" t="b">
        <x:v>0</x:v>
      </x:c>
      <x:c r="G2566" s="85" t="n">
        <x:v>1071810.0042226717</x:v>
      </x:c>
      <x:c r="H2566" s="85" t="n">
        <x:v>12475963.763002846</x:v>
      </x:c>
      <x:c r="I2566" s="85" t="n">
        <x:v>7867692.88767124</x:v>
      </x:c>
      <x:c r="J2566" s="85" t="n">
        <x:v>11148800.000000002</x:v>
      </x:c>
      <x:c r="K2566" s="85" t="n">
        <x:v>7532.342260274112</x:v>
      </x:c>
      <x:c r="L2566" s="28" t="n">
        <x:v>47</x:v>
      </x:c>
      <x:c r="M2566" s="28" t="n">
        <x:v>38</x:v>
      </x:c>
      <x:c r="N2566" s="28" t="n">
        <x:v>2.3283064365386963e-10</x:v>
      </x:c>
      <x:c r="O2566" s="28" t="n">
        <x:v>1.862645149230957e-9</x:v>
      </x:c>
      <x:c r="P2566" s="28" t="n">
        <x:v>0</x:v>
      </x:c>
      <x:c r="Q2566" s="62" t="b">
        <x:v>1</x:v>
      </x:c>
      <x:c r="R2566" s="28" t="n">
        <x:v>0</x:v>
      </x:c>
      <x:c r="S2566" s="28" t="str">
        <x:v>585f56b21159f5c6</x:v>
      </x:c>
    </x:row>
    <x:row r="2567" ht="21" customHeight="1">
      <x:c r="A2567" s="60" t="n">
        <x:v>0.7</x:v>
      </x:c>
      <x:c r="B2567" s="28" t="str">
        <x:v>front_low</x:v>
      </x:c>
      <x:c r="C2567" s="60" t="n">
        <x:v>0.9</x:v>
      </x:c>
      <x:c r="D2567" s="60" t="n">
        <x:v>0.9</x:v>
      </x:c>
      <x:c r="E2567" s="62" t="b">
        <x:v>1</x:v>
      </x:c>
      <x:c r="F2567" s="62" t="b">
        <x:v>0</x:v>
      </x:c>
      <x:c r="G2567" s="85" t="n">
        <x:v>1358517.5379051962</x:v>
      </x:c>
      <x:c r="H2567" s="85" t="n">
        <x:v>14384237.563178193</x:v>
      </x:c>
      <x:c r="I2567" s="85" t="n">
        <x:v>7867692.88767124</x:v>
      </x:c>
      <x:c r="J2567" s="85" t="n">
        <x:v>11148800.000000002</x:v>
      </x:c>
      <x:c r="K2567" s="85" t="n">
        <x:v>5278.513561643842</x:v>
      </x:c>
      <x:c r="L2567" s="28" t="n">
        <x:v>47</x:v>
      </x:c>
      <x:c r="M2567" s="28" t="n">
        <x:v>40</x:v>
      </x:c>
      <x:c r="N2567" s="28" t="n">
        <x:v>2.3283064365386963e-10</x:v>
      </x:c>
      <x:c r="O2567" s="28" t="n">
        <x:v>3.725290298461914e-9</x:v>
      </x:c>
      <x:c r="P2567" s="28" t="n">
        <x:v>0</x:v>
      </x:c>
      <x:c r="Q2567" s="62" t="b">
        <x:v>1</x:v>
      </x:c>
      <x:c r="R2567" s="28" t="n">
        <x:v>0</x:v>
      </x:c>
      <x:c r="S2567" s="28" t="str">
        <x:v>3074b062d1196ce8</x:v>
      </x:c>
    </x:row>
    <x:row r="2568" ht="21" customHeight="1">
      <x:c r="A2568" s="60" t="n">
        <x:v>0.7</x:v>
      </x:c>
      <x:c r="B2568" s="28" t="str">
        <x:v>front_low</x:v>
      </x:c>
      <x:c r="C2568" s="60" t="n">
        <x:v>0.95</x:v>
      </x:c>
      <x:c r="D2568" s="60" t="n">
        <x:v>0.9427119459478259</x:v>
      </x:c>
      <x:c r="E2568" s="62" t="b">
        <x:v>0</x:v>
      </x:c>
      <x:c r="F2568" s="62" t="b">
        <x:v>0</x:v>
      </x:c>
      <x:c r="G2568" s="85" t="n">
        <x:v>1796909.8140391314</x:v>
      </x:c>
      <x:c r="H2568" s="85" t="n">
        <x:v>15755172.64705573</x:v>
      </x:c>
      <x:c r="I2568" s="85" t="n">
        <x:v>7867692.88767124</x:v>
      </x:c>
      <x:c r="J2568" s="85" t="n">
        <x:v>11148800.000000002</x:v>
      </x:c>
      <x:c r="K2568" s="85" t="n">
        <x:v>3024.6848630136883</x:v>
      </x:c>
      <x:c r="L2568" s="28" t="n">
        <x:v>47</x:v>
      </x:c>
      <x:c r="M2568" s="28" t="n">
        <x:v>42</x:v>
      </x:c>
      <x:c r="N2568" s="28" t="n">
        <x:v>2.3283064365386963e-10</x:v>
      </x:c>
      <x:c r="O2568" s="28" t="n">
        <x:v>1.862645149230957e-9</x:v>
      </x:c>
      <x:c r="P2568" s="28" t="n">
        <x:v>0</x:v>
      </x:c>
      <x:c r="Q2568" s="62" t="b">
        <x:v>1</x:v>
      </x:c>
      <x:c r="R2568" s="28" t="n">
        <x:v>406265.28508438915</x:v>
      </x:c>
      <x:c r="S2568" s="28" t="str">
        <x:v>49a47b8d47b2d772</x:v>
      </x:c>
    </x:row>
    <x:row r="2569" ht="21" customHeight="1">
      <x:c r="A2569" s="60" t="n">
        <x:v>0.7</x:v>
      </x:c>
      <x:c r="B2569" s="28" t="str">
        <x:v>front_low</x:v>
      </x:c>
      <x:c r="C2569" s="60" t="n">
        <x:v>1</x:v>
      </x:c>
      <x:c r="D2569" s="60" t="n">
        <x:v>0.9596721012870685</x:v>
      </x:c>
      <x:c r="E2569" s="62" t="b">
        <x:v>0</x:v>
      </x:c>
      <x:c r="F2569" s="62" t="b">
        <x:v>0</x:v>
      </x:c>
      <x:c r="G2569" s="85" t="n">
        <x:v>1960120.1165994462</x:v>
      </x:c>
      <x:c r="H2569" s="85" t="n">
        <x:v>16493622.024547523</x:v>
      </x:c>
      <x:c r="I2569" s="85" t="n">
        <x:v>7867692.88767124</x:v>
      </x:c>
      <x:c r="J2569" s="85" t="n">
        <x:v>11148800.000000002</x:v>
      </x:c>
      <x:c r="K2569" s="85" t="n">
        <x:v>770.8561643835346</x:v>
      </x:c>
      <x:c r="L2569" s="28" t="n">
        <x:v>47</x:v>
      </x:c>
      <x:c r="M2569" s="28" t="n">
        <x:v>42</x:v>
      </x:c>
      <x:c r="N2569" s="28" t="n">
        <x:v>2.3283064365386963e-10</x:v>
      </x:c>
      <x:c r="O2569" s="28" t="n">
        <x:v>1.862645149230957e-9</x:v>
      </x:c>
      <x:c r="P2569" s="28" t="n">
        <x:v>0</x:v>
      </x:c>
      <x:c r="Q2569" s="62" t="b">
        <x:v>1</x:v>
      </x:c>
      <x:c r="R2569" s="28" t="n">
        <x:v>2248038.3858536556</x:v>
      </x:c>
      <x:c r="S2569" s="28" t="str">
        <x:v>d1ea0416d79189a3</x:v>
      </x:c>
    </x:row>
    <x:row r="2570" ht="21" customHeight="1">
      <x:c r="A2570" s="60" t="n">
        <x:v>0.7</x:v>
      </x:c>
      <x:c r="B2570" s="28" t="str">
        <x:v>front_high</x:v>
      </x:c>
      <x:c r="C2570" s="60" t="n">
        <x:v>0</x:v>
      </x:c>
      <x:c r="D2570" s="60" t="n">
        <x:v>0</x:v>
      </x:c>
      <x:c r="E2570" s="62" t="b">
        <x:v>1</x:v>
      </x:c>
      <x:c r="F2570" s="62" t="b">
        <x:v>1</x:v>
      </x:c>
      <x:c r="G2570" s="85" t="n">
        <x:v>0</x:v>
      </x:c>
      <x:c r="H2570" s="85" t="n">
        <x:v>0</x:v>
      </x:c>
      <x:c r="I2570" s="85" t="n">
        <x:v>0</x:v>
      </x:c>
      <x:c r="J2570" s="85" t="n">
        <x:v>0</x:v>
      </x:c>
      <x:c r="K2570" s="85" t="n">
        <x:v>7833422.349589038</x:v>
      </x:c>
      <x:c r="L2570" s="28" t="n">
        <x:v>0</x:v>
      </x:c>
      <x:c r="M2570" s="28" t="n">
        <x:v>0</x:v>
      </x:c>
      <x:c r="N2570" s="28" t="n">
        <x:v>4.656612873077393e-10</x:v>
      </x:c>
      <x:c r="O2570" s="28" t="n">
        <x:v>0</x:v>
      </x:c>
      <x:c r="P2570" s="28" t="n">
        <x:v>0</x:v>
      </x:c>
      <x:c r="Q2570" s="62" t="b">
        <x:v>1</x:v>
      </x:c>
      <x:c r="R2570" s="28" t="n">
        <x:v>0</x:v>
      </x:c>
      <x:c r="S2570" s="28" t="str">
        <x:v>8e4fc0ff1beeea52</x:v>
      </x:c>
    </x:row>
    <x:row r="2571" ht="21" customHeight="1">
      <x:c r="A2571" s="60" t="n">
        <x:v>0.7</x:v>
      </x:c>
      <x:c r="B2571" s="28" t="str">
        <x:v>front_high</x:v>
      </x:c>
      <x:c r="C2571" s="60" t="n">
        <x:v>0.05</x:v>
      </x:c>
      <x:c r="D2571" s="60" t="n">
        <x:v>0.05</x:v>
      </x:c>
      <x:c r="E2571" s="62" t="b">
        <x:v>1</x:v>
      </x:c>
      <x:c r="F2571" s="62" t="b">
        <x:v>1</x:v>
      </x:c>
      <x:c r="G2571" s="85" t="n">
        <x:v>0</x:v>
      </x:c>
      <x:c r="H2571" s="85" t="n">
        <x:v>0</x:v>
      </x:c>
      <x:c r="I2571" s="85" t="n">
        <x:v>0</x:v>
      </x:c>
      <x:c r="J2571" s="85" t="n">
        <x:v>0</x:v>
      </x:c>
      <x:c r="K2571" s="85" t="n">
        <x:v>5239721.3408947</x:v>
      </x:c>
      <x:c r="L2571" s="28" t="n">
        <x:v>0</x:v>
      </x:c>
      <x:c r="M2571" s="28" t="n">
        <x:v>0</x:v>
      </x:c>
      <x:c r="N2571" s="28" t="n">
        <x:v>9.313225746154785e-10</x:v>
      </x:c>
      <x:c r="O2571" s="28" t="n">
        <x:v>7.450580596923828e-9</x:v>
      </x:c>
      <x:c r="P2571" s="28" t="n">
        <x:v>0</x:v>
      </x:c>
      <x:c r="Q2571" s="62" t="b">
        <x:v>1</x:v>
      </x:c>
      <x:c r="R2571" s="28" t="n">
        <x:v>0</x:v>
      </x:c>
      <x:c r="S2571" s="28" t="str">
        <x:v>9b0195410cc57c96</x:v>
      </x:c>
    </x:row>
    <x:row r="2572" ht="21" customHeight="1">
      <x:c r="A2572" s="60" t="n">
        <x:v>0.7</x:v>
      </x:c>
      <x:c r="B2572" s="28" t="str">
        <x:v>front_high</x:v>
      </x:c>
      <x:c r="C2572" s="60" t="n">
        <x:v>0.1</x:v>
      </x:c>
      <x:c r="D2572" s="60" t="n">
        <x:v>0.1</x:v>
      </x:c>
      <x:c r="E2572" s="62" t="b">
        <x:v>1</x:v>
      </x:c>
      <x:c r="F2572" s="62" t="b">
        <x:v>1</x:v>
      </x:c>
      <x:c r="G2572" s="85" t="n">
        <x:v>0</x:v>
      </x:c>
      <x:c r="H2572" s="85" t="n">
        <x:v>0</x:v>
      </x:c>
      <x:c r="I2572" s="85" t="n">
        <x:v>0</x:v>
      </x:c>
      <x:c r="J2572" s="85" t="n">
        <x:v>0</x:v>
      </x:c>
      <x:c r="K2572" s="85" t="n">
        <x:v>2645404.868392256</x:v>
      </x:c>
      <x:c r="L2572" s="28" t="n">
        <x:v>0</x:v>
      </x:c>
      <x:c r="M2572" s="28" t="n">
        <x:v>0</x:v>
      </x:c>
      <x:c r="N2572" s="28" t="n">
        <x:v>4.656612873077393e-10</x:v>
      </x:c>
      <x:c r="O2572" s="28" t="n">
        <x:v>7.450580596923828e-9</x:v>
      </x:c>
      <x:c r="P2572" s="28" t="n">
        <x:v>0</x:v>
      </x:c>
      <x:c r="Q2572" s="62" t="b">
        <x:v>1</x:v>
      </x:c>
      <x:c r="R2572" s="28" t="n">
        <x:v>0</x:v>
      </x:c>
      <x:c r="S2572" s="28" t="str">
        <x:v>35a535f3a08614fc</x:v>
      </x:c>
    </x:row>
    <x:row r="2573" ht="21" customHeight="1">
      <x:c r="A2573" s="60" t="n">
        <x:v>0.7</x:v>
      </x:c>
      <x:c r="B2573" s="28" t="str">
        <x:v>front_high</x:v>
      </x:c>
      <x:c r="C2573" s="60" t="n">
        <x:v>0.15</x:v>
      </x:c>
      <x:c r="D2573" s="60" t="n">
        <x:v>0.15</x:v>
      </x:c>
      <x:c r="E2573" s="62" t="b">
        <x:v>1</x:v>
      </x:c>
      <x:c r="F2573" s="62" t="b">
        <x:v>1</x:v>
      </x:c>
      <x:c r="G2573" s="85" t="n">
        <x:v>0</x:v>
      </x:c>
      <x:c r="H2573" s="85" t="n">
        <x:v>0</x:v>
      </x:c>
      <x:c r="I2573" s="85" t="n">
        <x:v>418828.5704274484</x:v>
      </x:c>
      <x:c r="J2573" s="85" t="n">
        <x:v>0</x:v>
      </x:c>
      <x:c r="K2573" s="85" t="n">
        <x:v>508532.3181368337</x:v>
      </x:c>
      <x:c r="L2573" s="28" t="n">
        <x:v>0</x:v>
      </x:c>
      <x:c r="M2573" s="28" t="n">
        <x:v>0</x:v>
      </x:c>
      <x:c r="N2573" s="28" t="n">
        <x:v>9.313225746154785e-10</x:v>
      </x:c>
      <x:c r="O2573" s="28" t="n">
        <x:v>7.450580596923828e-9</x:v>
      </x:c>
      <x:c r="P2573" s="28" t="n">
        <x:v>0</x:v>
      </x:c>
      <x:c r="Q2573" s="62" t="b">
        <x:v>1</x:v>
      </x:c>
      <x:c r="R2573" s="28" t="n">
        <x:v>0</x:v>
      </x:c>
      <x:c r="S2573" s="28" t="str">
        <x:v>6e32f58d842efe5f</x:v>
      </x:c>
    </x:row>
    <x:row r="2574" ht="21" customHeight="1">
      <x:c r="A2574" s="60" t="n">
        <x:v>0.7</x:v>
      </x:c>
      <x:c r="B2574" s="28" t="str">
        <x:v>front_high</x:v>
      </x:c>
      <x:c r="C2574" s="60" t="n">
        <x:v>0.2</x:v>
      </x:c>
      <x:c r="D2574" s="60" t="n">
        <x:v>0.2</x:v>
      </x:c>
      <x:c r="E2574" s="62" t="b">
        <x:v>1</x:v>
      </x:c>
      <x:c r="F2574" s="62" t="b">
        <x:v>1</x:v>
      </x:c>
      <x:c r="G2574" s="85" t="n">
        <x:v>0</x:v>
      </x:c>
      <x:c r="H2574" s="85" t="n">
        <x:v>0</x:v>
      </x:c>
      <x:c r="I2574" s="85" t="n">
        <x:v>2261382.5565897576</x:v>
      </x:c>
      <x:c r="J2574" s="85" t="n">
        <x:v>1254093.4388721122</x:v>
      </x:c>
      <x:c r="K2574" s="85" t="n">
        <x:v>291764.88548813754</x:v>
      </x:c>
      <x:c r="L2574" s="28" t="n">
        <x:v>0</x:v>
      </x:c>
      <x:c r="M2574" s="28" t="n">
        <x:v>0</x:v>
      </x:c>
      <x:c r="N2574" s="28" t="n">
        <x:v>4.656612873077393e-10</x:v>
      </x:c>
      <x:c r="O2574" s="28" t="n">
        <x:v>7.450580596923828e-9</x:v>
      </x:c>
      <x:c r="P2574" s="28" t="n">
        <x:v>0</x:v>
      </x:c>
      <x:c r="Q2574" s="62" t="b">
        <x:v>1</x:v>
      </x:c>
      <x:c r="R2574" s="28" t="n">
        <x:v>0</x:v>
      </x:c>
      <x:c r="S2574" s="28" t="str">
        <x:v>6d75bb9d672b77ed</x:v>
      </x:c>
    </x:row>
    <x:row r="2575" ht="21" customHeight="1">
      <x:c r="A2575" s="60" t="n">
        <x:v>0.7</x:v>
      </x:c>
      <x:c r="B2575" s="28" t="str">
        <x:v>front_high</x:v>
      </x:c>
      <x:c r="C2575" s="60" t="n">
        <x:v>0.25</x:v>
      </x:c>
      <x:c r="D2575" s="60" t="n">
        <x:v>0.25</x:v>
      </x:c>
      <x:c r="E2575" s="62" t="b">
        <x:v>1</x:v>
      </x:c>
      <x:c r="F2575" s="62" t="b">
        <x:v>1</x:v>
      </x:c>
      <x:c r="G2575" s="85" t="n">
        <x:v>0</x:v>
      </x:c>
      <x:c r="H2575" s="85" t="n">
        <x:v>0</x:v>
      </x:c>
      <x:c r="I2575" s="85" t="n">
        <x:v>3950575.056882367</x:v>
      </x:c>
      <x:c r="J2575" s="85" t="n">
        <x:v>2961216.7985901413</x:v>
      </x:c>
      <x:c r="K2575" s="85" t="n">
        <x:v>194576.41378424724</x:v>
      </x:c>
      <x:c r="L2575" s="28" t="n">
        <x:v>0</x:v>
      </x:c>
      <x:c r="M2575" s="28" t="n">
        <x:v>0</x:v>
      </x:c>
      <x:c r="N2575" s="28" t="n">
        <x:v>9.313225746154785e-10</x:v>
      </x:c>
      <x:c r="O2575" s="28" t="n">
        <x:v>3.725290298461914e-9</x:v>
      </x:c>
      <x:c r="P2575" s="28" t="n">
        <x:v>0</x:v>
      </x:c>
      <x:c r="Q2575" s="62" t="b">
        <x:v>1</x:v>
      </x:c>
      <x:c r="R2575" s="28" t="n">
        <x:v>0</x:v>
      </x:c>
      <x:c r="S2575" s="28" t="str">
        <x:v>cabb3d3f3130ccd7</x:v>
      </x:c>
    </x:row>
    <x:row r="2576" ht="21" customHeight="1">
      <x:c r="A2576" s="60" t="n">
        <x:v>0.7</x:v>
      </x:c>
      <x:c r="B2576" s="28" t="str">
        <x:v>front_high</x:v>
      </x:c>
      <x:c r="C2576" s="60" t="n">
        <x:v>0.3</x:v>
      </x:c>
      <x:c r="D2576" s="60" t="n">
        <x:v>0.3</x:v>
      </x:c>
      <x:c r="E2576" s="62" t="b">
        <x:v>1</x:v>
      </x:c>
      <x:c r="F2576" s="62" t="b">
        <x:v>1</x:v>
      </x:c>
      <x:c r="G2576" s="85" t="n">
        <x:v>0</x:v>
      </x:c>
      <x:c r="H2576" s="85" t="n">
        <x:v>0</x:v>
      </x:c>
      <x:c r="I2576" s="85" t="n">
        <x:v>5753599.8032725435</x:v>
      </x:c>
      <x:c r="J2576" s="85" t="n">
        <x:v>4127484.9651847174</x:v>
      </x:c>
      <x:c r="K2576" s="85" t="n">
        <x:v>146535.4268424661</x:v>
      </x:c>
      <x:c r="L2576" s="28" t="n">
        <x:v>2</x:v>
      </x:c>
      <x:c r="M2576" s="28" t="n">
        <x:v>0</x:v>
      </x:c>
      <x:c r="N2576" s="28" t="n">
        <x:v>4.656612873077393e-10</x:v>
      </x:c>
      <x:c r="O2576" s="28" t="n">
        <x:v>7.450580596923828e-9</x:v>
      </x:c>
      <x:c r="P2576" s="28" t="n">
        <x:v>0</x:v>
      </x:c>
      <x:c r="Q2576" s="62" t="b">
        <x:v>1</x:v>
      </x:c>
      <x:c r="R2576" s="28" t="n">
        <x:v>0</x:v>
      </x:c>
      <x:c r="S2576" s="28" t="str">
        <x:v>2821f8e907fcbd15</x:v>
      </x:c>
    </x:row>
    <x:row r="2577" ht="21" customHeight="1">
      <x:c r="A2577" s="60" t="n">
        <x:v>0.7</x:v>
      </x:c>
      <x:c r="B2577" s="28" t="str">
        <x:v>front_high</x:v>
      </x:c>
      <x:c r="C2577" s="60" t="n">
        <x:v>0.35</x:v>
      </x:c>
      <x:c r="D2577" s="60" t="n">
        <x:v>0.35</x:v>
      </x:c>
      <x:c r="E2577" s="62" t="b">
        <x:v>1</x:v>
      </x:c>
      <x:c r="F2577" s="62" t="b">
        <x:v>1</x:v>
      </x:c>
      <x:c r="G2577" s="85" t="n">
        <x:v>0</x:v>
      </x:c>
      <x:c r="H2577" s="85" t="n">
        <x:v>0</x:v>
      </x:c>
      <x:c r="I2577" s="85" t="n">
        <x:v>7567373.922855165</x:v>
      </x:c>
      <x:c r="J2577" s="85" t="n">
        <x:v>4717455.663831763</x:v>
      </x:c>
      <x:c r="K2577" s="85" t="n">
        <x:v>117906.95755821954</x:v>
      </x:c>
      <x:c r="L2577" s="28" t="n">
        <x:v>6</x:v>
      </x:c>
      <x:c r="M2577" s="28" t="n">
        <x:v>0</x:v>
      </x:c>
      <x:c r="N2577" s="28" t="n">
        <x:v>2.3283064365386963e-10</x:v>
      </x:c>
      <x:c r="O2577" s="28" t="n">
        <x:v>7.450580596923828e-9</x:v>
      </x:c>
      <x:c r="P2577" s="28" t="n">
        <x:v>0</x:v>
      </x:c>
      <x:c r="Q2577" s="62" t="b">
        <x:v>1</x:v>
      </x:c>
      <x:c r="R2577" s="28" t="n">
        <x:v>0</x:v>
      </x:c>
      <x:c r="S2577" s="28" t="str">
        <x:v>1fb82c6c4dad4c91</x:v>
      </x:c>
    </x:row>
    <x:row r="2578" ht="21" customHeight="1">
      <x:c r="A2578" s="60" t="n">
        <x:v>0.7</x:v>
      </x:c>
      <x:c r="B2578" s="28" t="str">
        <x:v>front_high</x:v>
      </x:c>
      <x:c r="C2578" s="60" t="n">
        <x:v>0.4</x:v>
      </x:c>
      <x:c r="D2578" s="60" t="n">
        <x:v>0.4</x:v>
      </x:c>
      <x:c r="E2578" s="62" t="b">
        <x:v>1</x:v>
      </x:c>
      <x:c r="F2578" s="62" t="b">
        <x:v>1</x:v>
      </x:c>
      <x:c r="G2578" s="85" t="n">
        <x:v>0</x:v>
      </x:c>
      <x:c r="H2578" s="85" t="n">
        <x:v>0</x:v>
      </x:c>
      <x:c r="I2578" s="85" t="n">
        <x:v>9562435.520818438</x:v>
      </x:c>
      <x:c r="J2578" s="85" t="n">
        <x:v>5173850.671760333</x:v>
      </x:c>
      <x:c r="K2578" s="85" t="n">
        <x:v>100283.32221917794</x:v>
      </x:c>
      <x:c r="L2578" s="28" t="n">
        <x:v>13</x:v>
      </x:c>
      <x:c r="M2578" s="28" t="n">
        <x:v>0</x:v>
      </x:c>
      <x:c r="N2578" s="28" t="n">
        <x:v>4.656612873077393e-10</x:v>
      </x:c>
      <x:c r="O2578" s="28" t="n">
        <x:v>7.450580596923828e-9</x:v>
      </x:c>
      <x:c r="P2578" s="28" t="n">
        <x:v>0</x:v>
      </x:c>
      <x:c r="Q2578" s="62" t="b">
        <x:v>1</x:v>
      </x:c>
      <x:c r="R2578" s="28" t="n">
        <x:v>0</x:v>
      </x:c>
      <x:c r="S2578" s="28" t="str">
        <x:v>cc031263b561a795</x:v>
      </x:c>
    </x:row>
    <x:row r="2579" ht="21" customHeight="1">
      <x:c r="A2579" s="60" t="n">
        <x:v>0.7</x:v>
      </x:c>
      <x:c r="B2579" s="28" t="str">
        <x:v>front_high</x:v>
      </x:c>
      <x:c r="C2579" s="60" t="n">
        <x:v>0.45</x:v>
      </x:c>
      <x:c r="D2579" s="60" t="n">
        <x:v>0.45</x:v>
      </x:c>
      <x:c r="E2579" s="62" t="b">
        <x:v>1</x:v>
      </x:c>
      <x:c r="F2579" s="62" t="b">
        <x:v>1</x:v>
      </x:c>
      <x:c r="G2579" s="85" t="n">
        <x:v>0</x:v>
      </x:c>
      <x:c r="H2579" s="85" t="n">
        <x:v>0</x:v>
      </x:c>
      <x:c r="I2579" s="85" t="n">
        <x:v>11438174.398953576</x:v>
      </x:c>
      <x:c r="J2579" s="85" t="n">
        <x:v>6535794.254844925</x:v>
      </x:c>
      <x:c r="K2579" s="85" t="n">
        <x:v>82659.68688013728</x:v>
      </x:c>
      <x:c r="L2579" s="28" t="n">
        <x:v>18</x:v>
      </x:c>
      <x:c r="M2579" s="28" t="n">
        <x:v>0</x:v>
      </x:c>
      <x:c r="N2579" s="28" t="n">
        <x:v>2.3283064365386963e-10</x:v>
      </x:c>
      <x:c r="O2579" s="28" t="n">
        <x:v>3.725290298461914e-9</x:v>
      </x:c>
      <x:c r="P2579" s="28" t="n">
        <x:v>0</x:v>
      </x:c>
      <x:c r="Q2579" s="62" t="b">
        <x:v>1</x:v>
      </x:c>
      <x:c r="R2579" s="28" t="n">
        <x:v>0</x:v>
      </x:c>
      <x:c r="S2579" s="28" t="str">
        <x:v>0e497c5a56cb61ba</x:v>
      </x:c>
    </x:row>
    <x:row r="2580" ht="21" customHeight="1">
      <x:c r="A2580" s="60" t="n">
        <x:v>0.7</x:v>
      </x:c>
      <x:c r="B2580" s="28" t="str">
        <x:v>front_high</x:v>
      </x:c>
      <x:c r="C2580" s="60" t="n">
        <x:v>0.5</x:v>
      </x:c>
      <x:c r="D2580" s="60" t="n">
        <x:v>0.5</x:v>
      </x:c>
      <x:c r="E2580" s="62" t="b">
        <x:v>1</x:v>
      </x:c>
      <x:c r="F2580" s="62" t="b">
        <x:v>1</x:v>
      </x:c>
      <x:c r="G2580" s="85" t="n">
        <x:v>0</x:v>
      </x:c>
      <x:c r="H2580" s="85" t="n">
        <x:v>0</x:v>
      </x:c>
      <x:c r="I2580" s="85" t="n">
        <x:v>13228953.31039757</x:v>
      </x:c>
      <x:c r="J2580" s="85" t="n">
        <x:v>8703641.377825174</x:v>
      </x:c>
      <x:c r="K2580" s="85" t="n">
        <x:v>65036.051541095454</x:v>
      </x:c>
      <x:c r="L2580" s="28" t="n">
        <x:v>22</x:v>
      </x:c>
      <x:c r="M2580" s="28" t="n">
        <x:v>3</x:v>
      </x:c>
      <x:c r="N2580" s="28" t="n">
        <x:v>4.656612873077393e-10</x:v>
      </x:c>
      <x:c r="O2580" s="28" t="n">
        <x:v>7.450580596923828e-9</x:v>
      </x:c>
      <x:c r="P2580" s="28" t="n">
        <x:v>0</x:v>
      </x:c>
      <x:c r="Q2580" s="62" t="b">
        <x:v>1</x:v>
      </x:c>
      <x:c r="R2580" s="28" t="n">
        <x:v>0</x:v>
      </x:c>
      <x:c r="S2580" s="28" t="str">
        <x:v>f51d83937b42be29</x:v>
      </x:c>
    </x:row>
    <x:row r="2581" ht="21" customHeight="1">
      <x:c r="A2581" s="60" t="n">
        <x:v>0.7</x:v>
      </x:c>
      <x:c r="B2581" s="28" t="str">
        <x:v>front_high</x:v>
      </x:c>
      <x:c r="C2581" s="60" t="n">
        <x:v>0.55</x:v>
      </x:c>
      <x:c r="D2581" s="60" t="n">
        <x:v>0.55</x:v>
      </x:c>
      <x:c r="E2581" s="62" t="b">
        <x:v>1</x:v>
      </x:c>
      <x:c r="F2581" s="62" t="b">
        <x:v>0</x:v>
      </x:c>
      <x:c r="G2581" s="85" t="n">
        <x:v>51494.42285173467</x:v>
      </x:c>
      <x:c r="H2581" s="85" t="n">
        <x:v>166772.7621053193</x:v>
      </x:c>
      <x:c r="I2581" s="85" t="n">
        <x:v>14760094.860273981</x:v>
      </x:c>
      <x:c r="J2581" s="85" t="n">
        <x:v>11148800.000000002</x:v>
      </x:c>
      <x:c r="K2581" s="85" t="n">
        <x:v>48028.22722602715</x:v>
      </x:c>
      <x:c r="L2581" s="28" t="n">
        <x:v>46</x:v>
      </x:c>
      <x:c r="M2581" s="28" t="n">
        <x:v>38</x:v>
      </x:c>
      <x:c r="N2581" s="28" t="n">
        <x:v>4.656612873077393e-10</x:v>
      </x:c>
      <x:c r="O2581" s="28" t="n">
        <x:v>3.725290298461914e-9</x:v>
      </x:c>
      <x:c r="P2581" s="28" t="n">
        <x:v>0</x:v>
      </x:c>
      <x:c r="Q2581" s="62" t="b">
        <x:v>1</x:v>
      </x:c>
      <x:c r="R2581" s="28" t="n">
        <x:v>0</x:v>
      </x:c>
      <x:c r="S2581" s="28" t="str">
        <x:v>6361ebd788d7f45b</x:v>
      </x:c>
    </x:row>
    <x:row r="2582" ht="21" customHeight="1">
      <x:c r="A2582" s="60" t="n">
        <x:v>0.7</x:v>
      </x:c>
      <x:c r="B2582" s="28" t="str">
        <x:v>front_high</x:v>
      </x:c>
      <x:c r="C2582" s="60" t="n">
        <x:v>0.6</x:v>
      </x:c>
      <x:c r="D2582" s="60" t="n">
        <x:v>0.6</x:v>
      </x:c>
      <x:c r="E2582" s="62" t="b">
        <x:v>1</x:v>
      </x:c>
      <x:c r="F2582" s="62" t="b">
        <x:v>0</x:v>
      </x:c>
      <x:c r="G2582" s="85" t="n">
        <x:v>1025463.5560098923</x:v>
      </x:c>
      <x:c r="H2582" s="85" t="n">
        <x:v>3299859.8312764685</x:v>
      </x:c>
      <x:c r="I2582" s="85" t="n">
        <x:v>14760094.860273981</x:v>
      </x:c>
      <x:c r="J2582" s="85" t="n">
        <x:v>11148800.000000002</x:v>
      </x:c>
      <x:c r="K2582" s="85" t="n">
        <x:v>42130.645890411084</x:v>
      </x:c>
      <x:c r="L2582" s="28" t="n">
        <x:v>46</x:v>
      </x:c>
      <x:c r="M2582" s="28" t="n">
        <x:v>42</x:v>
      </x:c>
      <x:c r="N2582" s="28" t="n">
        <x:v>4.656612873077393e-10</x:v>
      </x:c>
      <x:c r="O2582" s="28" t="n">
        <x:v>3.725290298461914e-9</x:v>
      </x:c>
      <x:c r="P2582" s="28" t="n">
        <x:v>0</x:v>
      </x:c>
      <x:c r="Q2582" s="62" t="b">
        <x:v>1</x:v>
      </x:c>
      <x:c r="R2582" s="28" t="n">
        <x:v>0</x:v>
      </x:c>
      <x:c r="S2582" s="28" t="str">
        <x:v>2befb872ba47fc92</x:v>
      </x:c>
    </x:row>
    <x:row r="2583" ht="21" customHeight="1">
      <x:c r="A2583" s="60" t="n">
        <x:v>0.7</x:v>
      </x:c>
      <x:c r="B2583" s="28" t="str">
        <x:v>front_high</x:v>
      </x:c>
      <x:c r="C2583" s="60" t="n">
        <x:v>0.65</x:v>
      </x:c>
      <x:c r="D2583" s="60" t="n">
        <x:v>0.65</x:v>
      </x:c>
      <x:c r="E2583" s="62" t="b">
        <x:v>1</x:v>
      </x:c>
      <x:c r="F2583" s="62" t="b">
        <x:v>0</x:v>
      </x:c>
      <x:c r="G2583" s="85" t="n">
        <x:v>1870281.721889295</x:v>
      </x:c>
      <x:c r="H2583" s="85" t="n">
        <x:v>5650537.752377225</x:v>
      </x:c>
      <x:c r="I2583" s="85" t="n">
        <x:v>15079744.701369872</x:v>
      </x:c>
      <x:c r="J2583" s="85" t="n">
        <x:v>11148800.000000002</x:v>
      </x:c>
      <x:c r="K2583" s="85" t="n">
        <x:v>36233.06455479455</x:v>
      </x:c>
      <x:c r="L2583" s="28" t="n">
        <x:v>47</x:v>
      </x:c>
      <x:c r="M2583" s="28" t="n">
        <x:v>44</x:v>
      </x:c>
      <x:c r="N2583" s="28" t="n">
        <x:v>2.3283064365386963e-10</x:v>
      </x:c>
      <x:c r="O2583" s="28" t="n">
        <x:v>3.725290298461914e-9</x:v>
      </x:c>
      <x:c r="P2583" s="28" t="n">
        <x:v>0</x:v>
      </x:c>
      <x:c r="Q2583" s="62" t="b">
        <x:v>1</x:v>
      </x:c>
      <x:c r="R2583" s="28" t="n">
        <x:v>0</x:v>
      </x:c>
      <x:c r="S2583" s="28" t="str">
        <x:v>bbe38cca5d28d28c</x:v>
      </x:c>
    </x:row>
    <x:row r="2584" ht="21" customHeight="1">
      <x:c r="A2584" s="60" t="n">
        <x:v>0.7</x:v>
      </x:c>
      <x:c r="B2584" s="28" t="str">
        <x:v>front_high</x:v>
      </x:c>
      <x:c r="C2584" s="60" t="n">
        <x:v>0.7</x:v>
      </x:c>
      <x:c r="D2584" s="60" t="n">
        <x:v>0.7</x:v>
      </x:c>
      <x:c r="E2584" s="62" t="b">
        <x:v>1</x:v>
      </x:c>
      <x:c r="F2584" s="62" t="b">
        <x:v>0</x:v>
      </x:c>
      <x:c r="G2584" s="85" t="n">
        <x:v>2842149.01475629</x:v>
      </x:c>
      <x:c r="H2584" s="85" t="n">
        <x:v>8551059.512796931</x:v>
      </x:c>
      <x:c r="I2584" s="85" t="n">
        <x:v>15079744.701369872</x:v>
      </x:c>
      <x:c r="J2584" s="85" t="n">
        <x:v>11148800.000000002</x:v>
      </x:c>
      <x:c r="K2584" s="85" t="n">
        <x:v>30335.48321917779</x:v>
      </x:c>
      <x:c r="L2584" s="28" t="n">
        <x:v>47</x:v>
      </x:c>
      <x:c r="M2584" s="28" t="n">
        <x:v>44</x:v>
      </x:c>
      <x:c r="N2584" s="28" t="n">
        <x:v>4.656612873077393e-10</x:v>
      </x:c>
      <x:c r="O2584" s="28" t="n">
        <x:v>1.862645149230957e-9</x:v>
      </x:c>
      <x:c r="P2584" s="28" t="n">
        <x:v>0</x:v>
      </x:c>
      <x:c r="Q2584" s="62" t="b">
        <x:v>1</x:v>
      </x:c>
      <x:c r="R2584" s="28" t="n">
        <x:v>0</x:v>
      </x:c>
      <x:c r="S2584" s="28" t="str">
        <x:v>2129c47f60767c71</x:v>
      </x:c>
    </x:row>
    <x:row r="2585" ht="21" customHeight="1">
      <x:c r="A2585" s="60" t="n">
        <x:v>0.7</x:v>
      </x:c>
      <x:c r="B2585" s="28" t="str">
        <x:v>front_high</x:v>
      </x:c>
      <x:c r="C2585" s="60" t="n">
        <x:v>0.75</x:v>
      </x:c>
      <x:c r="D2585" s="60" t="n">
        <x:v>0.75</x:v>
      </x:c>
      <x:c r="E2585" s="62" t="b">
        <x:v>1</x:v>
      </x:c>
      <x:c r="F2585" s="62" t="b">
        <x:v>0</x:v>
      </x:c>
      <x:c r="G2585" s="85" t="n">
        <x:v>4017677.88176998</x:v>
      </x:c>
      <x:c r="H2585" s="85" t="n">
        <x:v>11217132.011029178</x:v>
      </x:c>
      <x:c r="I2585" s="85" t="n">
        <x:v>15079744.701369872</x:v>
      </x:c>
      <x:c r="J2585" s="85" t="n">
        <x:v>11148800.000000002</x:v>
      </x:c>
      <x:c r="K2585" s="85" t="n">
        <x:v>24437.901883561026</x:v>
      </x:c>
      <x:c r="L2585" s="28" t="n">
        <x:v>47</x:v>
      </x:c>
      <x:c r="M2585" s="28" t="n">
        <x:v>45</x:v>
      </x:c>
      <x:c r="N2585" s="28" t="n">
        <x:v>4.656612873077393e-10</x:v>
      </x:c>
      <x:c r="O2585" s="28" t="n">
        <x:v>3.725290298461914e-9</x:v>
      </x:c>
      <x:c r="P2585" s="28" t="n">
        <x:v>0</x:v>
      </x:c>
      <x:c r="Q2585" s="62" t="b">
        <x:v>1</x:v>
      </x:c>
      <x:c r="R2585" s="28" t="n">
        <x:v>0</x:v>
      </x:c>
      <x:c r="S2585" s="28" t="str">
        <x:v>115181239b63541a</x:v>
      </x:c>
    </x:row>
    <x:row r="2586" ht="21" customHeight="1">
      <x:c r="A2586" s="60" t="n">
        <x:v>0.7</x:v>
      </x:c>
      <x:c r="B2586" s="28" t="str">
        <x:v>front_high</x:v>
      </x:c>
      <x:c r="C2586" s="60" t="n">
        <x:v>0.8</x:v>
      </x:c>
      <x:c r="D2586" s="60" t="n">
        <x:v>0.8</x:v>
      </x:c>
      <x:c r="E2586" s="62" t="b">
        <x:v>1</x:v>
      </x:c>
      <x:c r="F2586" s="62" t="b">
        <x:v>0</x:v>
      </x:c>
      <x:c r="G2586" s="85" t="n">
        <x:v>5100164.364781601</x:v>
      </x:c>
      <x:c r="H2586" s="85" t="n">
        <x:v>13867586.910624113</x:v>
      </x:c>
      <x:c r="I2586" s="85" t="n">
        <x:v>15079744.701369872</x:v>
      </x:c>
      <x:c r="J2586" s="85" t="n">
        <x:v>11148800.000000002</x:v>
      </x:c>
      <x:c r="K2586" s="85" t="n">
        <x:v>18540.320547945426</x:v>
      </x:c>
      <x:c r="L2586" s="28" t="n">
        <x:v>47</x:v>
      </x:c>
      <x:c r="M2586" s="28" t="n">
        <x:v>45</x:v>
      </x:c>
      <x:c r="N2586" s="28" t="n">
        <x:v>4.656612873077393e-10</x:v>
      </x:c>
      <x:c r="O2586" s="28" t="n">
        <x:v>3.725290298461914e-9</x:v>
      </x:c>
      <x:c r="P2586" s="28" t="n">
        <x:v>0</x:v>
      </x:c>
      <x:c r="Q2586" s="62" t="b">
        <x:v>1</x:v>
      </x:c>
      <x:c r="R2586" s="28" t="n">
        <x:v>0</x:v>
      </x:c>
      <x:c r="S2586" s="28" t="str">
        <x:v>366452e7a68644c9</x:v>
      </x:c>
    </x:row>
    <x:row r="2587" ht="21" customHeight="1">
      <x:c r="A2587" s="60" t="n">
        <x:v>0.7</x:v>
      </x:c>
      <x:c r="B2587" s="28" t="str">
        <x:v>front_high</x:v>
      </x:c>
      <x:c r="C2587" s="60" t="n">
        <x:v>0.85</x:v>
      </x:c>
      <x:c r="D2587" s="60" t="n">
        <x:v>0.85</x:v>
      </x:c>
      <x:c r="E2587" s="62" t="b">
        <x:v>1</x:v>
      </x:c>
      <x:c r="F2587" s="62" t="b">
        <x:v>0</x:v>
      </x:c>
      <x:c r="G2587" s="85" t="n">
        <x:v>6230687.761626176</x:v>
      </x:c>
      <x:c r="H2587" s="85" t="n">
        <x:v>16517139.593224011</x:v>
      </x:c>
      <x:c r="I2587" s="85" t="n">
        <x:v>15079744.701369872</x:v>
      </x:c>
      <x:c r="J2587" s="85" t="n">
        <x:v>11148800.000000002</x:v>
      </x:c>
      <x:c r="K2587" s="85" t="n">
        <x:v>12642.73921232843</x:v>
      </x:c>
      <x:c r="L2587" s="28" t="n">
        <x:v>47</x:v>
      </x:c>
      <x:c r="M2587" s="28" t="n">
        <x:v>45</x:v>
      </x:c>
      <x:c r="N2587" s="28" t="n">
        <x:v>4.656612873077393e-10</x:v>
      </x:c>
      <x:c r="O2587" s="28" t="n">
        <x:v>1.862645149230957e-9</x:v>
      </x:c>
      <x:c r="P2587" s="28" t="n">
        <x:v>0</x:v>
      </x:c>
      <x:c r="Q2587" s="62" t="b">
        <x:v>1</x:v>
      </x:c>
      <x:c r="R2587" s="28" t="n">
        <x:v>0</x:v>
      </x:c>
      <x:c r="S2587" s="28" t="str">
        <x:v>21b69a56ff0f8735</x:v>
      </x:c>
    </x:row>
    <x:row r="2588" ht="21" customHeight="1">
      <x:c r="A2588" s="60" t="n">
        <x:v>0.7</x:v>
      </x:c>
      <x:c r="B2588" s="28" t="str">
        <x:v>front_high</x:v>
      </x:c>
      <x:c r="C2588" s="60" t="n">
        <x:v>0.9</x:v>
      </x:c>
      <x:c r="D2588" s="60" t="n">
        <x:v>0.9</x:v>
      </x:c>
      <x:c r="E2588" s="62" t="b">
        <x:v>1</x:v>
      </x:c>
      <x:c r="F2588" s="62" t="b">
        <x:v>0</x:v>
      </x:c>
      <x:c r="G2588" s="85" t="n">
        <x:v>7982567.425001649</x:v>
      </x:c>
      <x:c r="H2588" s="85" t="n">
        <x:v>18505224.198549975</x:v>
      </x:c>
      <x:c r="I2588" s="85" t="n">
        <x:v>15079744.701369872</x:v>
      </x:c>
      <x:c r="J2588" s="85" t="n">
        <x:v>11148800.000000002</x:v>
      </x:c>
      <x:c r="K2588" s="85" t="n">
        <x:v>6745.157876711899</x:v>
      </x:c>
      <x:c r="L2588" s="28" t="n">
        <x:v>47</x:v>
      </x:c>
      <x:c r="M2588" s="28" t="n">
        <x:v>45</x:v>
      </x:c>
      <x:c r="N2588" s="28" t="n">
        <x:v>4.656612873077393e-10</x:v>
      </x:c>
      <x:c r="O2588" s="28" t="n">
        <x:v>3.725290298461914e-9</x:v>
      </x:c>
      <x:c r="P2588" s="28" t="n">
        <x:v>0</x:v>
      </x:c>
      <x:c r="Q2588" s="62" t="b">
        <x:v>1</x:v>
      </x:c>
      <x:c r="R2588" s="28" t="n">
        <x:v>0</x:v>
      </x:c>
      <x:c r="S2588" s="28" t="str">
        <x:v>3c275831f9c48efe</x:v>
      </x:c>
    </x:row>
    <x:row r="2589" ht="21" customHeight="1">
      <x:c r="A2589" s="60" t="n">
        <x:v>0.7</x:v>
      </x:c>
      <x:c r="B2589" s="28" t="str">
        <x:v>front_high</x:v>
      </x:c>
      <x:c r="C2589" s="60" t="n">
        <x:v>0.95</x:v>
      </x:c>
      <x:c r="D2589" s="60" t="n">
        <x:v>0.9427119459478259</x:v>
      </x:c>
      <x:c r="E2589" s="62" t="b">
        <x:v>0</x:v>
      </x:c>
      <x:c r="F2589" s="62" t="b">
        <x:v>0</x:v>
      </x:c>
      <x:c r="G2589" s="85" t="n">
        <x:v>8895920.179546077</x:v>
      </x:c>
      <x:c r="H2589" s="85" t="n">
        <x:v>20021956.210467868</x:v>
      </x:c>
      <x:c r="I2589" s="85" t="n">
        <x:v>15079744.701369872</x:v>
      </x:c>
      <x:c r="J2589" s="85" t="n">
        <x:v>11148800.000000002</x:v>
      </x:c>
      <x:c r="K2589" s="85" t="n">
        <x:v>847.5765410962995</x:v>
      </x:c>
      <x:c r="L2589" s="28" t="n">
        <x:v>47</x:v>
      </x:c>
      <x:c r="M2589" s="28" t="n">
        <x:v>46</x:v>
      </x:c>
      <x:c r="N2589" s="28" t="n">
        <x:v>4.656612873077393e-10</x:v>
      </x:c>
      <x:c r="O2589" s="28" t="n">
        <x:v>1.862645149230957e-9</x:v>
      </x:c>
      <x:c r="P2589" s="28" t="n">
        <x:v>0</x:v>
      </x:c>
      <x:c r="Q2589" s="62" t="b">
        <x:v>1</x:v>
      </x:c>
      <x:c r="R2589" s="28" t="n">
        <x:v>406265.28508438915</x:v>
      </x:c>
      <x:c r="S2589" s="28" t="str">
        <x:v>0307597437c7c56d</x:v>
      </x:c>
    </x:row>
    <x:row r="2590" ht="21" customHeight="1">
      <x:c r="A2590" s="60" t="n">
        <x:v>0.7</x:v>
      </x:c>
      <x:c r="B2590" s="28" t="str">
        <x:v>front_high</x:v>
      </x:c>
      <x:c r="C2590" s="60" t="n">
        <x:v>1</x:v>
      </x:c>
      <x:c r="D2590" s="60" t="n">
        <x:v>0.9596721012870685</x:v>
      </x:c>
      <x:c r="E2590" s="62" t="b">
        <x:v>0</x:v>
      </x:c>
      <x:c r="F2590" s="62" t="b">
        <x:v>0</x:v>
      </x:c>
      <x:c r="G2590" s="85" t="n">
        <x:v>9771946.32772551</x:v>
      </x:c>
      <x:c r="H2590" s="85" t="n">
        <x:v>20737991.650584005</x:v>
      </x:c>
      <x:c r="I2590" s="85" t="n">
        <x:v>15079744.701369872</x:v>
      </x:c>
      <x:c r="J2590" s="85" t="n">
        <x:v>11148800.000000002</x:v>
      </x:c>
      <x:c r="K2590" s="85" t="n">
        <x:v>0</x:v>
      </x:c>
      <x:c r="L2590" s="28" t="n">
        <x:v>47</x:v>
      </x:c>
      <x:c r="M2590" s="28" t="n">
        <x:v>46</x:v>
      </x:c>
      <x:c r="N2590" s="28" t="n">
        <x:v>2.3283064365386963e-10</x:v>
      </x:c>
      <x:c r="O2590" s="28" t="n">
        <x:v>1.862645149230957e-9</x:v>
      </x:c>
      <x:c r="P2590" s="28" t="n">
        <x:v>0</x:v>
      </x:c>
      <x:c r="Q2590" s="62" t="b">
        <x:v>1</x:v>
      </x:c>
      <x:c r="R2590" s="28" t="n">
        <x:v>2248038.3858536556</x:v>
      </x:c>
      <x:c r="S2590" s="28" t="str">
        <x:v>1fb3b001554b8c48</x:v>
      </x:c>
    </x:row>
    <x:row r="2591" ht="21" customHeight="1">
      <x:c r="A2591" s="60" t="n">
        <x:v>0.7</x:v>
      </x:c>
      <x:c r="B2591" s="28" t="str">
        <x:v>middle_flat</x:v>
      </x:c>
      <x:c r="C2591" s="60" t="n">
        <x:v>0</x:v>
      </x:c>
      <x:c r="D2591" s="60" t="n">
        <x:v>0</x:v>
      </x:c>
      <x:c r="E2591" s="62" t="b">
        <x:v>1</x:v>
      </x:c>
      <x:c r="F2591" s="62" t="b">
        <x:v>1</x:v>
      </x:c>
      <x:c r="G2591" s="85" t="n">
        <x:v>0</x:v>
      </x:c>
      <x:c r="H2591" s="85" t="n">
        <x:v>0</x:v>
      </x:c>
      <x:c r="I2591" s="85" t="n">
        <x:v>0</x:v>
      </x:c>
      <x:c r="J2591" s="85" t="n">
        <x:v>0</x:v>
      </x:c>
      <x:c r="K2591" s="85" t="n">
        <x:v>6911987.818082191</x:v>
      </x:c>
      <x:c r="L2591" s="28" t="n">
        <x:v>0</x:v>
      </x:c>
      <x:c r="M2591" s="28" t="n">
        <x:v>0</x:v>
      </x:c>
      <x:c r="N2591" s="28" t="n">
        <x:v>9.313225746154785e-10</x:v>
      </x:c>
      <x:c r="O2591" s="28" t="n">
        <x:v>0</x:v>
      </x:c>
      <x:c r="P2591" s="28" t="n">
        <x:v>0</x:v>
      </x:c>
      <x:c r="Q2591" s="62" t="b">
        <x:v>1</x:v>
      </x:c>
      <x:c r="R2591" s="28" t="n">
        <x:v>0</x:v>
      </x:c>
      <x:c r="S2591" s="28" t="str">
        <x:v>225399cc3cab1106</x:v>
      </x:c>
    </x:row>
    <x:row r="2592" ht="21" customHeight="1">
      <x:c r="A2592" s="60" t="n">
        <x:v>0.7</x:v>
      </x:c>
      <x:c r="B2592" s="28" t="str">
        <x:v>middle_flat</x:v>
      </x:c>
      <x:c r="C2592" s="60" t="n">
        <x:v>0.05</x:v>
      </x:c>
      <x:c r="D2592" s="60" t="n">
        <x:v>0.05</x:v>
      </x:c>
      <x:c r="E2592" s="62" t="b">
        <x:v>1</x:v>
      </x:c>
      <x:c r="F2592" s="62" t="b">
        <x:v>1</x:v>
      </x:c>
      <x:c r="G2592" s="85" t="n">
        <x:v>0</x:v>
      </x:c>
      <x:c r="H2592" s="85" t="n">
        <x:v>0</x:v>
      </x:c>
      <x:c r="I2592" s="85" t="n">
        <x:v>0</x:v>
      </x:c>
      <x:c r="J2592" s="85" t="n">
        <x:v>0</x:v>
      </x:c>
      <x:c r="K2592" s="85" t="n">
        <x:v>4680310.093259266</x:v>
      </x:c>
      <x:c r="L2592" s="28" t="n">
        <x:v>0</x:v>
      </x:c>
      <x:c r="M2592" s="28" t="n">
        <x:v>0</x:v>
      </x:c>
      <x:c r="N2592" s="28" t="n">
        <x:v>9.313225746154785e-10</x:v>
      </x:c>
      <x:c r="O2592" s="28" t="n">
        <x:v>7.450580596923828e-9</x:v>
      </x:c>
      <x:c r="P2592" s="28" t="n">
        <x:v>0</x:v>
      </x:c>
      <x:c r="Q2592" s="62" t="b">
        <x:v>1</x:v>
      </x:c>
      <x:c r="R2592" s="28" t="n">
        <x:v>0</x:v>
      </x:c>
      <x:c r="S2592" s="28" t="str">
        <x:v>cb29c08ded5f578f</x:v>
      </x:c>
    </x:row>
    <x:row r="2593" ht="21" customHeight="1">
      <x:c r="A2593" s="60" t="n">
        <x:v>0.7</x:v>
      </x:c>
      <x:c r="B2593" s="28" t="str">
        <x:v>middle_flat</x:v>
      </x:c>
      <x:c r="C2593" s="60" t="n">
        <x:v>0.1</x:v>
      </x:c>
      <x:c r="D2593" s="60" t="n">
        <x:v>0.1</x:v>
      </x:c>
      <x:c r="E2593" s="62" t="b">
        <x:v>1</x:v>
      </x:c>
      <x:c r="F2593" s="62" t="b">
        <x:v>1</x:v>
      </x:c>
      <x:c r="G2593" s="85" t="n">
        <x:v>0</x:v>
      </x:c>
      <x:c r="H2593" s="85" t="n">
        <x:v>0</x:v>
      </x:c>
      <x:c r="I2593" s="85" t="n">
        <x:v>0</x:v>
      </x:c>
      <x:c r="J2593" s="85" t="n">
        <x:v>0</x:v>
      </x:c>
      <x:c r="K2593" s="85" t="n">
        <x:v>2448326.2918579495</x:v>
      </x:c>
      <x:c r="L2593" s="28" t="n">
        <x:v>0</x:v>
      </x:c>
      <x:c r="M2593" s="28" t="n">
        <x:v>0</x:v>
      </x:c>
      <x:c r="N2593" s="28" t="n">
        <x:v>9.313225746154785e-10</x:v>
      </x:c>
      <x:c r="O2593" s="28" t="n">
        <x:v>7.450580596923828e-9</x:v>
      </x:c>
      <x:c r="P2593" s="28" t="n">
        <x:v>0</x:v>
      </x:c>
      <x:c r="Q2593" s="62" t="b">
        <x:v>1</x:v>
      </x:c>
      <x:c r="R2593" s="28" t="n">
        <x:v>0</x:v>
      </x:c>
      <x:c r="S2593" s="28" t="str">
        <x:v>06fa84569c10703c</x:v>
      </x:c>
    </x:row>
    <x:row r="2594" ht="21" customHeight="1">
      <x:c r="A2594" s="60" t="n">
        <x:v>0.7</x:v>
      </x:c>
      <x:c r="B2594" s="28" t="str">
        <x:v>middle_flat</x:v>
      </x:c>
      <x:c r="C2594" s="60" t="n">
        <x:v>0.15</x:v>
      </x:c>
      <x:c r="D2594" s="60" t="n">
        <x:v>0.15</x:v>
      </x:c>
      <x:c r="E2594" s="62" t="b">
        <x:v>1</x:v>
      </x:c>
      <x:c r="F2594" s="62" t="b">
        <x:v>1</x:v>
      </x:c>
      <x:c r="G2594" s="85" t="n">
        <x:v>0</x:v>
      </x:c>
      <x:c r="H2594" s="85" t="n">
        <x:v>0</x:v>
      </x:c>
      <x:c r="I2594" s="85" t="n">
        <x:v>301466.1361975819</x:v>
      </x:c>
      <x:c r="J2594" s="85" t="n">
        <x:v>0</x:v>
      </x:c>
      <x:c r="K2594" s="85" t="n">
        <x:v>580217.3352491884</x:v>
      </x:c>
      <x:c r="L2594" s="28" t="n">
        <x:v>0</x:v>
      </x:c>
      <x:c r="M2594" s="28" t="n">
        <x:v>0</x:v>
      </x:c>
      <x:c r="N2594" s="28" t="n">
        <x:v>4.656612873077393e-10</x:v>
      </x:c>
      <x:c r="O2594" s="28" t="n">
        <x:v>7.450580596923828e-9</x:v>
      </x:c>
      <x:c r="P2594" s="28" t="n">
        <x:v>0</x:v>
      </x:c>
      <x:c r="Q2594" s="62" t="b">
        <x:v>1</x:v>
      </x:c>
      <x:c r="R2594" s="28" t="n">
        <x:v>0</x:v>
      </x:c>
      <x:c r="S2594" s="28" t="str">
        <x:v>9778831da94f8763</x:v>
      </x:c>
    </x:row>
    <x:row r="2595" ht="21" customHeight="1">
      <x:c r="A2595" s="60" t="n">
        <x:v>0.7</x:v>
      </x:c>
      <x:c r="B2595" s="28" t="str">
        <x:v>middle_flat</x:v>
      </x:c>
      <x:c r="C2595" s="60" t="n">
        <x:v>0.2</x:v>
      </x:c>
      <x:c r="D2595" s="60" t="n">
        <x:v>0.2</x:v>
      </x:c>
      <x:c r="E2595" s="62" t="b">
        <x:v>1</x:v>
      </x:c>
      <x:c r="F2595" s="62" t="b">
        <x:v>1</x:v>
      </x:c>
      <x:c r="G2595" s="85" t="n">
        <x:v>0</x:v>
      </x:c>
      <x:c r="H2595" s="85" t="n">
        <x:v>0</x:v>
      </x:c>
      <x:c r="I2595" s="85" t="n">
        <x:v>1713182.25989875</x:v>
      </x:c>
      <x:c r="J2595" s="85" t="n">
        <x:v>1253157.2790409059</x:v>
      </x:c>
      <x:c r="K2595" s="85" t="n">
        <x:v>462200.6086224632</x:v>
      </x:c>
      <x:c r="L2595" s="28" t="n">
        <x:v>0</x:v>
      </x:c>
      <x:c r="M2595" s="28" t="n">
        <x:v>0</x:v>
      </x:c>
      <x:c r="N2595" s="28" t="n">
        <x:v>2.3283064365386963e-10</x:v>
      </x:c>
      <x:c r="O2595" s="28" t="n">
        <x:v>7.450580596923828e-9</x:v>
      </x:c>
      <x:c r="P2595" s="28" t="n">
        <x:v>0</x:v>
      </x:c>
      <x:c r="Q2595" s="62" t="b">
        <x:v>1</x:v>
      </x:c>
      <x:c r="R2595" s="28" t="n">
        <x:v>0</x:v>
      </x:c>
      <x:c r="S2595" s="28" t="str">
        <x:v>eeedd37c2b336220</x:v>
      </x:c>
    </x:row>
    <x:row r="2596" ht="21" customHeight="1">
      <x:c r="A2596" s="60" t="n">
        <x:v>0.7</x:v>
      </x:c>
      <x:c r="B2596" s="28" t="str">
        <x:v>middle_flat</x:v>
      </x:c>
      <x:c r="C2596" s="60" t="n">
        <x:v>0.25</x:v>
      </x:c>
      <x:c r="D2596" s="60" t="n">
        <x:v>0.25</x:v>
      </x:c>
      <x:c r="E2596" s="62" t="b">
        <x:v>1</x:v>
      </x:c>
      <x:c r="F2596" s="62" t="b">
        <x:v>1</x:v>
      </x:c>
      <x:c r="G2596" s="85" t="n">
        <x:v>0</x:v>
      </x:c>
      <x:c r="H2596" s="85" t="n">
        <x:v>0</x:v>
      </x:c>
      <x:c r="I2596" s="85" t="n">
        <x:v>2839473.4133631033</x:v>
      </x:c>
      <x:c r="J2596" s="85" t="n">
        <x:v>2960046.5988011523</x:v>
      </x:c>
      <x:c r="K2596" s="85" t="n">
        <x:v>380287.10393109586</x:v>
      </x:c>
      <x:c r="L2596" s="28" t="n">
        <x:v>0</x:v>
      </x:c>
      <x:c r="M2596" s="28" t="n">
        <x:v>0</x:v>
      </x:c>
      <x:c r="N2596" s="28" t="n">
        <x:v>2.3283064365386963e-10</x:v>
      </x:c>
      <x:c r="O2596" s="28" t="n">
        <x:v>7.450580596923828e-9</x:v>
      </x:c>
      <x:c r="P2596" s="28" t="n">
        <x:v>0</x:v>
      </x:c>
      <x:c r="Q2596" s="62" t="b">
        <x:v>1</x:v>
      </x:c>
      <x:c r="R2596" s="28" t="n">
        <x:v>0</x:v>
      </x:c>
      <x:c r="S2596" s="28" t="str">
        <x:v>c46497d6fd3474fe</x:v>
      </x:c>
    </x:row>
    <x:row r="2597" ht="21" customHeight="1">
      <x:c r="A2597" s="60" t="n">
        <x:v>0.7</x:v>
      </x:c>
      <x:c r="B2597" s="28" t="str">
        <x:v>middle_flat</x:v>
      </x:c>
      <x:c r="C2597" s="60" t="n">
        <x:v>0.3</x:v>
      </x:c>
      <x:c r="D2597" s="60" t="n">
        <x:v>0.3</x:v>
      </x:c>
      <x:c r="E2597" s="62" t="b">
        <x:v>1</x:v>
      </x:c>
      <x:c r="F2597" s="62" t="b">
        <x:v>1</x:v>
      </x:c>
      <x:c r="G2597" s="85" t="n">
        <x:v>0</x:v>
      </x:c>
      <x:c r="H2597" s="85" t="n">
        <x:v>0</x:v>
      </x:c>
      <x:c r="I2597" s="85" t="n">
        <x:v>4283413.043119544</x:v>
      </x:c>
      <x:c r="J2597" s="85" t="n">
        <x:v>3943194.589027391</x:v>
      </x:c>
      <x:c r="K2597" s="85" t="n">
        <x:v>320874.4831830694</x:v>
      </x:c>
      <x:c r="L2597" s="28" t="n">
        <x:v>4</x:v>
      </x:c>
      <x:c r="M2597" s="28" t="n">
        <x:v>0</x:v>
      </x:c>
      <x:c r="N2597" s="28" t="n">
        <x:v>4.656612873077393e-10</x:v>
      </x:c>
      <x:c r="O2597" s="28" t="n">
        <x:v>7.450580596923828e-9</x:v>
      </x:c>
      <x:c r="P2597" s="28" t="n">
        <x:v>0</x:v>
      </x:c>
      <x:c r="Q2597" s="62" t="b">
        <x:v>1</x:v>
      </x:c>
      <x:c r="R2597" s="28" t="n">
        <x:v>0</x:v>
      </x:c>
      <x:c r="S2597" s="28" t="str">
        <x:v>8ba10ad457398024</x:v>
      </x:c>
    </x:row>
    <x:row r="2598" ht="21" customHeight="1">
      <x:c r="A2598" s="60" t="n">
        <x:v>0.7</x:v>
      </x:c>
      <x:c r="B2598" s="28" t="str">
        <x:v>middle_flat</x:v>
      </x:c>
      <x:c r="C2598" s="60" t="n">
        <x:v>0.35</x:v>
      </x:c>
      <x:c r="D2598" s="60" t="n">
        <x:v>0.35</x:v>
      </x:c>
      <x:c r="E2598" s="62" t="b">
        <x:v>1</x:v>
      </x:c>
      <x:c r="F2598" s="62" t="b">
        <x:v>1</x:v>
      </x:c>
      <x:c r="G2598" s="85" t="n">
        <x:v>0</x:v>
      </x:c>
      <x:c r="H2598" s="85" t="n">
        <x:v>0</x:v>
      </x:c>
      <x:c r="I2598" s="85" t="n">
        <x:v>5757126.158964558</x:v>
      </x:c>
      <x:c r="J2598" s="85" t="n">
        <x:v>4895634.7921556765</x:v>
      </x:c>
      <x:c r="K2598" s="85" t="n">
        <x:v>268578.9133846292</x:v>
      </x:c>
      <x:c r="L2598" s="28" t="n">
        <x:v>9</x:v>
      </x:c>
      <x:c r="M2598" s="28" t="n">
        <x:v>0</x:v>
      </x:c>
      <x:c r="N2598" s="28" t="n">
        <x:v>9.313225746154785e-10</x:v>
      </x:c>
      <x:c r="O2598" s="28" t="n">
        <x:v>7.450580596923828e-9</x:v>
      </x:c>
      <x:c r="P2598" s="28" t="n">
        <x:v>0</x:v>
      </x:c>
      <x:c r="Q2598" s="62" t="b">
        <x:v>1</x:v>
      </x:c>
      <x:c r="R2598" s="28" t="n">
        <x:v>0</x:v>
      </x:c>
      <x:c r="S2598" s="28" t="str">
        <x:v>f8f0f9eb045d5fab</x:v>
      </x:c>
    </x:row>
    <x:row r="2599" ht="21" customHeight="1">
      <x:c r="A2599" s="60" t="n">
        <x:v>0.7</x:v>
      </x:c>
      <x:c r="B2599" s="28" t="str">
        <x:v>middle_flat</x:v>
      </x:c>
      <x:c r="C2599" s="60" t="n">
        <x:v>0.4</x:v>
      </x:c>
      <x:c r="D2599" s="60" t="n">
        <x:v>0.4</x:v>
      </x:c>
      <x:c r="E2599" s="62" t="b">
        <x:v>1</x:v>
      </x:c>
      <x:c r="F2599" s="62" t="b">
        <x:v>1</x:v>
      </x:c>
      <x:c r="G2599" s="85" t="n">
        <x:v>0</x:v>
      </x:c>
      <x:c r="H2599" s="85" t="n">
        <x:v>0</x:v>
      </x:c>
      <x:c r="I2599" s="85" t="n">
        <x:v>7083346.579789219</x:v>
      </x:c>
      <x:c r="J2599" s="85" t="n">
        <x:v>6168398.423974059</x:v>
      </x:c>
      <x:c r="K2599" s="85" t="n">
        <x:v>234539.55870180836</x:v>
      </x:c>
      <x:c r="L2599" s="28" t="n">
        <x:v>13</x:v>
      </x:c>
      <x:c r="M2599" s="28" t="n">
        <x:v>0</x:v>
      </x:c>
      <x:c r="N2599" s="28" t="n">
        <x:v>4.656612873077393e-10</x:v>
      </x:c>
      <x:c r="O2599" s="28" t="n">
        <x:v>3.725290298461914e-9</x:v>
      </x:c>
      <x:c r="P2599" s="28" t="n">
        <x:v>0</x:v>
      </x:c>
      <x:c r="Q2599" s="62" t="b">
        <x:v>1</x:v>
      </x:c>
      <x:c r="R2599" s="28" t="n">
        <x:v>0</x:v>
      </x:c>
      <x:c r="S2599" s="28" t="str">
        <x:v>a7f936ec3ca99fb1</x:v>
      </x:c>
    </x:row>
    <x:row r="2600" ht="21" customHeight="1">
      <x:c r="A2600" s="60" t="n">
        <x:v>0.7</x:v>
      </x:c>
      <x:c r="B2600" s="28" t="str">
        <x:v>middle_flat</x:v>
      </x:c>
      <x:c r="C2600" s="60" t="n">
        <x:v>0.45</x:v>
      </x:c>
      <x:c r="D2600" s="60" t="n">
        <x:v>0.45</x:v>
      </x:c>
      <x:c r="E2600" s="62" t="b">
        <x:v>1</x:v>
      </x:c>
      <x:c r="F2600" s="62" t="b">
        <x:v>1</x:v>
      </x:c>
      <x:c r="G2600" s="85" t="n">
        <x:v>0</x:v>
      </x:c>
      <x:c r="H2600" s="85" t="n">
        <x:v>0</x:v>
      </x:c>
      <x:c r="I2600" s="85" t="n">
        <x:v>8289028.79083147</x:v>
      </x:c>
      <x:c r="J2600" s="85" t="n">
        <x:v>7793704.557695355</x:v>
      </x:c>
      <x:c r="K2600" s="85" t="n">
        <x:v>200500.2040189863</x:v>
      </x:c>
      <x:c r="L2600" s="28" t="n">
        <x:v>16</x:v>
      </x:c>
      <x:c r="M2600" s="28" t="n">
        <x:v>0</x:v>
      </x:c>
      <x:c r="N2600" s="28" t="n">
        <x:v>9.313225746154785e-10</x:v>
      </x:c>
      <x:c r="O2600" s="28" t="n">
        <x:v>1.862645149230957e-9</x:v>
      </x:c>
      <x:c r="P2600" s="28" t="n">
        <x:v>0</x:v>
      </x:c>
      <x:c r="Q2600" s="62" t="b">
        <x:v>1</x:v>
      </x:c>
      <x:c r="R2600" s="28" t="n">
        <x:v>0</x:v>
      </x:c>
      <x:c r="S2600" s="28" t="str">
        <x:v>fa4d173699f3a2d9</x:v>
      </x:c>
    </x:row>
    <x:row r="2601" ht="21" customHeight="1">
      <x:c r="A2601" s="60" t="n">
        <x:v>0.7</x:v>
      </x:c>
      <x:c r="B2601" s="28" t="str">
        <x:v>middle_flat</x:v>
      </x:c>
      <x:c r="C2601" s="60" t="n">
        <x:v>0.5</x:v>
      </x:c>
      <x:c r="D2601" s="60" t="n">
        <x:v>0.5</x:v>
      </x:c>
      <x:c r="E2601" s="62" t="b">
        <x:v>1</x:v>
      </x:c>
      <x:c r="F2601" s="62" t="b">
        <x:v>1</x:v>
      </x:c>
      <x:c r="G2601" s="85" t="n">
        <x:v>0</x:v>
      </x:c>
      <x:c r="H2601" s="85" t="n">
        <x:v>0</x:v>
      </x:c>
      <x:c r="I2601" s="85" t="n">
        <x:v>9359511.61482028</x:v>
      </x:c>
      <x:c r="J2601" s="85" t="n">
        <x:v>9781590.217628587</x:v>
      </x:c>
      <x:c r="K2601" s="85" t="n">
        <x:v>181636.91068493173</x:v>
      </x:c>
      <x:c r="L2601" s="28" t="n">
        <x:v>19</x:v>
      </x:c>
      <x:c r="M2601" s="28" t="n">
        <x:v>4</x:v>
      </x:c>
      <x:c r="N2601" s="28" t="n">
        <x:v>4.656612873077393e-10</x:v>
      </x:c>
      <x:c r="O2601" s="28" t="n">
        <x:v>7.450580596923828e-9</x:v>
      </x:c>
      <x:c r="P2601" s="28" t="n">
        <x:v>0</x:v>
      </x:c>
      <x:c r="Q2601" s="62" t="b">
        <x:v>1</x:v>
      </x:c>
      <x:c r="R2601" s="28" t="n">
        <x:v>0</x:v>
      </x:c>
      <x:c r="S2601" s="28" t="str">
        <x:v>bf2fbdba2b664323</x:v>
      </x:c>
    </x:row>
    <x:row r="2602" ht="21" customHeight="1">
      <x:c r="A2602" s="60" t="n">
        <x:v>0.7</x:v>
      </x:c>
      <x:c r="B2602" s="28" t="str">
        <x:v>middle_flat</x:v>
      </x:c>
      <x:c r="C2602" s="60" t="n">
        <x:v>0.55</x:v>
      </x:c>
      <x:c r="D2602" s="60" t="n">
        <x:v>0.55</x:v>
      </x:c>
      <x:c r="E2602" s="62" t="b">
        <x:v>1</x:v>
      </x:c>
      <x:c r="F2602" s="62" t="b">
        <x:v>0</x:v>
      </x:c>
      <x:c r="G2602" s="85" t="n">
        <x:v>102761.27805383295</x:v>
      </x:c>
      <x:c r="H2602" s="85" t="n">
        <x:v>540296.113397236</x:v>
      </x:c>
      <x:c r="I2602" s="85" t="n">
        <x:v>10195653.961643836</x:v>
      </x:c>
      <x:c r="J2602" s="85" t="n">
        <x:v>11148800.000000002</x:v>
      </x:c>
      <x:c r="K2602" s="85" t="n">
        <x:v>165979.42175342466</x:v>
      </x:c>
      <x:c r="L2602" s="28" t="n">
        <x:v>43</x:v>
      </x:c>
      <x:c r="M2602" s="28" t="n">
        <x:v>34</x:v>
      </x:c>
      <x:c r="N2602" s="28" t="n">
        <x:v>4.656612873077393e-10</x:v>
      </x:c>
      <x:c r="O2602" s="28" t="n">
        <x:v>7.450580596923828e-9</x:v>
      </x:c>
      <x:c r="P2602" s="28" t="n">
        <x:v>0</x:v>
      </x:c>
      <x:c r="Q2602" s="62" t="b">
        <x:v>1</x:v>
      </x:c>
      <x:c r="R2602" s="28" t="n">
        <x:v>0</x:v>
      </x:c>
      <x:c r="S2602" s="28" t="str">
        <x:v>c70141bbdfd31b2f</x:v>
      </x:c>
    </x:row>
    <x:row r="2603" ht="21" customHeight="1">
      <x:c r="A2603" s="60" t="n">
        <x:v>0.7</x:v>
      </x:c>
      <x:c r="B2603" s="28" t="str">
        <x:v>middle_flat</x:v>
      </x:c>
      <x:c r="C2603" s="60" t="n">
        <x:v>0.6</x:v>
      </x:c>
      <x:c r="D2603" s="60" t="n">
        <x:v>0.6</x:v>
      </x:c>
      <x:c r="E2603" s="62" t="b">
        <x:v>1</x:v>
      </x:c>
      <x:c r="F2603" s="62" t="b">
        <x:v>0</x:v>
      </x:c>
      <x:c r="G2603" s="85" t="n">
        <x:v>549183.6619612307</x:v>
      </x:c>
      <x:c r="H2603" s="85" t="n">
        <x:v>2955273.800910976</x:v>
      </x:c>
      <x:c r="I2603" s="85" t="n">
        <x:v>10198795.713208219</x:v>
      </x:c>
      <x:c r="J2603" s="85" t="n">
        <x:v>11148800.000000002</x:v>
      </x:c>
      <x:c r="K2603" s="85" t="n">
        <x:v>150321.932821918</x:v>
      </x:c>
      <x:c r="L2603" s="28" t="n">
        <x:v>43</x:v>
      </x:c>
      <x:c r="M2603" s="28" t="n">
        <x:v>36</x:v>
      </x:c>
      <x:c r="N2603" s="28" t="n">
        <x:v>4.656612873077393e-10</x:v>
      </x:c>
      <x:c r="O2603" s="28" t="n">
        <x:v>3.725290298461914e-9</x:v>
      </x:c>
      <x:c r="P2603" s="28" t="n">
        <x:v>0</x:v>
      </x:c>
      <x:c r="Q2603" s="62" t="b">
        <x:v>1</x:v>
      </x:c>
      <x:c r="R2603" s="28" t="n">
        <x:v>0</x:v>
      </x:c>
      <x:c r="S2603" s="28" t="str">
        <x:v>0a54305c4b60608f</x:v>
      </x:c>
    </x:row>
    <x:row r="2604" ht="21" customHeight="1">
      <x:c r="A2604" s="60" t="n">
        <x:v>0.7</x:v>
      </x:c>
      <x:c r="B2604" s="28" t="str">
        <x:v>middle_flat</x:v>
      </x:c>
      <x:c r="C2604" s="60" t="n">
        <x:v>0.65</x:v>
      </x:c>
      <x:c r="D2604" s="60" t="n">
        <x:v>0.65</x:v>
      </x:c>
      <x:c r="E2604" s="62" t="b">
        <x:v>1</x:v>
      </x:c>
      <x:c r="F2604" s="62" t="b">
        <x:v>0</x:v>
      </x:c>
      <x:c r="G2604" s="85" t="n">
        <x:v>961276.1571230956</x:v>
      </x:c>
      <x:c r="H2604" s="85" t="n">
        <x:v>5031219.53198172</x:v>
      </x:c>
      <x:c r="I2604" s="85" t="n">
        <x:v>10431916.887671232</x:v>
      </x:c>
      <x:c r="J2604" s="85" t="n">
        <x:v>11148800.000000002</x:v>
      </x:c>
      <x:c r="K2604" s="85" t="n">
        <x:v>134664.44389041144</x:v>
      </x:c>
      <x:c r="L2604" s="28" t="n">
        <x:v>44</x:v>
      </x:c>
      <x:c r="M2604" s="28" t="n">
        <x:v>36</x:v>
      </x:c>
      <x:c r="N2604" s="28" t="n">
        <x:v>4.656612873077393e-10</x:v>
      </x:c>
      <x:c r="O2604" s="28" t="n">
        <x:v>1.862645149230957e-9</x:v>
      </x:c>
      <x:c r="P2604" s="28" t="n">
        <x:v>0</x:v>
      </x:c>
      <x:c r="Q2604" s="62" t="b">
        <x:v>1</x:v>
      </x:c>
      <x:c r="R2604" s="28" t="n">
        <x:v>0</x:v>
      </x:c>
      <x:c r="S2604" s="28" t="str">
        <x:v>40d64ff77f1693e1</x:v>
      </x:c>
    </x:row>
    <x:row r="2605" ht="21" customHeight="1">
      <x:c r="A2605" s="60" t="n">
        <x:v>0.7</x:v>
      </x:c>
      <x:c r="B2605" s="28" t="str">
        <x:v>middle_flat</x:v>
      </x:c>
      <x:c r="C2605" s="60" t="n">
        <x:v>0.7</x:v>
      </x:c>
      <x:c r="D2605" s="60" t="n">
        <x:v>0.7</x:v>
      </x:c>
      <x:c r="E2605" s="62" t="b">
        <x:v>1</x:v>
      </x:c>
      <x:c r="F2605" s="62" t="b">
        <x:v>0</x:v>
      </x:c>
      <x:c r="G2605" s="85" t="n">
        <x:v>1444130.9345418222</x:v>
      </x:c>
      <x:c r="H2605" s="85" t="n">
        <x:v>7320588.897020389</x:v>
      </x:c>
      <x:c r="I2605" s="85" t="n">
        <x:v>10431916.887671232</x:v>
      </x:c>
      <x:c r="J2605" s="85" t="n">
        <x:v>11148800.000000002</x:v>
      </x:c>
      <x:c r="K2605" s="85" t="n">
        <x:v>119006.9549589038</x:v>
      </x:c>
      <x:c r="L2605" s="28" t="n">
        <x:v>44</x:v>
      </x:c>
      <x:c r="M2605" s="28" t="n">
        <x:v>38</x:v>
      </x:c>
      <x:c r="N2605" s="28" t="n">
        <x:v>4.656612873077393e-10</x:v>
      </x:c>
      <x:c r="O2605" s="28" t="n">
        <x:v>3.725290298461914e-9</x:v>
      </x:c>
      <x:c r="P2605" s="28" t="n">
        <x:v>0</x:v>
      </x:c>
      <x:c r="Q2605" s="62" t="b">
        <x:v>1</x:v>
      </x:c>
      <x:c r="R2605" s="28" t="n">
        <x:v>0</x:v>
      </x:c>
      <x:c r="S2605" s="28" t="str">
        <x:v>27a2c8857366e991</x:v>
      </x:c>
    </x:row>
    <x:row r="2606" ht="21" customHeight="1">
      <x:c r="A2606" s="60" t="n">
        <x:v>0.7</x:v>
      </x:c>
      <x:c r="B2606" s="28" t="str">
        <x:v>middle_flat</x:v>
      </x:c>
      <x:c r="C2606" s="60" t="n">
        <x:v>0.75</x:v>
      </x:c>
      <x:c r="D2606" s="60" t="n">
        <x:v>0.75</x:v>
      </x:c>
      <x:c r="E2606" s="62" t="b">
        <x:v>1</x:v>
      </x:c>
      <x:c r="F2606" s="62" t="b">
        <x:v>0</x:v>
      </x:c>
      <x:c r="G2606" s="85" t="n">
        <x:v>1898443.8768463153</x:v>
      </x:c>
      <x:c r="H2606" s="85" t="n">
        <x:v>9609958.262059065</x:v>
      </x:c>
      <x:c r="I2606" s="85" t="n">
        <x:v>10431916.887671232</x:v>
      </x:c>
      <x:c r="J2606" s="85" t="n">
        <x:v>11148800.000000002</x:v>
      </x:c>
      <x:c r="K2606" s="85" t="n">
        <x:v>104674.66931506847</x:v>
      </x:c>
      <x:c r="L2606" s="28" t="n">
        <x:v>44</x:v>
      </x:c>
      <x:c r="M2606" s="28" t="n">
        <x:v>38</x:v>
      </x:c>
      <x:c r="N2606" s="28" t="n">
        <x:v>2.3283064365386963e-10</x:v>
      </x:c>
      <x:c r="O2606" s="28" t="n">
        <x:v>3.725290298461914e-9</x:v>
      </x:c>
      <x:c r="P2606" s="28" t="n">
        <x:v>0</x:v>
      </x:c>
      <x:c r="Q2606" s="62" t="b">
        <x:v>1</x:v>
      </x:c>
      <x:c r="R2606" s="28" t="n">
        <x:v>0</x:v>
      </x:c>
      <x:c r="S2606" s="28" t="str">
        <x:v>690f882f577a1122</x:v>
      </x:c>
    </x:row>
    <x:row r="2607" ht="21" customHeight="1">
      <x:c r="A2607" s="60" t="n">
        <x:v>0.7</x:v>
      </x:c>
      <x:c r="B2607" s="28" t="str">
        <x:v>middle_flat</x:v>
      </x:c>
      <x:c r="C2607" s="60" t="n">
        <x:v>0.8</x:v>
      </x:c>
      <x:c r="D2607" s="60" t="n">
        <x:v>0.8</x:v>
      </x:c>
      <x:c r="E2607" s="62" t="b">
        <x:v>1</x:v>
      </x:c>
      <x:c r="F2607" s="62" t="b">
        <x:v>0</x:v>
      </x:c>
      <x:c r="G2607" s="85" t="n">
        <x:v>2431415.555157738</x:v>
      </x:c>
      <x:c r="H2607" s="85" t="n">
        <x:v>11422495.23443015</x:v>
      </x:c>
      <x:c r="I2607" s="85" t="n">
        <x:v>10670776.109589042</x:v>
      </x:c>
      <x:c r="J2607" s="85" t="n">
        <x:v>11148800.000000002</x:v>
      </x:c>
      <x:c r="K2607" s="85" t="n">
        <x:v>95270.39769863032</x:v>
      </x:c>
      <x:c r="L2607" s="28" t="n">
        <x:v>45</x:v>
      </x:c>
      <x:c r="M2607" s="28" t="n">
        <x:v>39</x:v>
      </x:c>
      <x:c r="N2607" s="28" t="n">
        <x:v>4.656612873077393e-10</x:v>
      </x:c>
      <x:c r="O2607" s="28" t="n">
        <x:v>1.862645149230957e-9</x:v>
      </x:c>
      <x:c r="P2607" s="28" t="n">
        <x:v>0</x:v>
      </x:c>
      <x:c r="Q2607" s="62" t="b">
        <x:v>1</x:v>
      </x:c>
      <x:c r="R2607" s="28" t="n">
        <x:v>0</x:v>
      </x:c>
      <x:c r="S2607" s="28" t="str">
        <x:v>fad670d1c4aa4b80</x:v>
      </x:c>
    </x:row>
    <x:row r="2608" ht="21" customHeight="1">
      <x:c r="A2608" s="60" t="n">
        <x:v>0.7</x:v>
      </x:c>
      <x:c r="B2608" s="28" t="str">
        <x:v>middle_flat</x:v>
      </x:c>
      <x:c r="C2608" s="60" t="n">
        <x:v>0.85</x:v>
      </x:c>
      <x:c r="D2608" s="60" t="n">
        <x:v>0.85</x:v>
      </x:c>
      <x:c r="E2608" s="62" t="b">
        <x:v>1</x:v>
      </x:c>
      <x:c r="F2608" s="62" t="b">
        <x:v>0</x:v>
      </x:c>
      <x:c r="G2608" s="85" t="n">
        <x:v>2993889.7303378466</x:v>
      </x:c>
      <x:c r="H2608" s="85" t="n">
        <x:v>13546146.937682355</x:v>
      </x:c>
      <x:c r="I2608" s="85" t="n">
        <x:v>10670776.109589042</x:v>
      </x:c>
      <x:c r="J2608" s="85" t="n">
        <x:v>11148800.000000002</x:v>
      </x:c>
      <x:c r="K2608" s="85" t="n">
        <x:v>86695.10909589034</x:v>
      </x:c>
      <x:c r="L2608" s="28" t="n">
        <x:v>45</x:v>
      </x:c>
      <x:c r="M2608" s="28" t="n">
        <x:v>40</x:v>
      </x:c>
      <x:c r="N2608" s="28" t="n">
        <x:v>4.656612873077393e-10</x:v>
      </x:c>
      <x:c r="O2608" s="28" t="n">
        <x:v>3.725290298461914e-9</x:v>
      </x:c>
      <x:c r="P2608" s="28" t="n">
        <x:v>0</x:v>
      </x:c>
      <x:c r="Q2608" s="62" t="b">
        <x:v>1</x:v>
      </x:c>
      <x:c r="R2608" s="28" t="n">
        <x:v>0</x:v>
      </x:c>
      <x:c r="S2608" s="28" t="str">
        <x:v>2fc85a5dc3f26d24</x:v>
      </x:c>
    </x:row>
    <x:row r="2609" ht="21" customHeight="1">
      <x:c r="A2609" s="60" t="n">
        <x:v>0.7</x:v>
      </x:c>
      <x:c r="B2609" s="28" t="str">
        <x:v>middle_flat</x:v>
      </x:c>
      <x:c r="C2609" s="60" t="n">
        <x:v>0.9</x:v>
      </x:c>
      <x:c r="D2609" s="60" t="n">
        <x:v>0.9</x:v>
      </x:c>
      <x:c r="E2609" s="62" t="b">
        <x:v>1</x:v>
      </x:c>
      <x:c r="F2609" s="62" t="b">
        <x:v>0</x:v>
      </x:c>
      <x:c r="G2609" s="85" t="n">
        <x:v>3952904.428105743</x:v>
      </x:c>
      <x:c r="H2609" s="85" t="n">
        <x:v>15280587.428217867</x:v>
      </x:c>
      <x:c r="I2609" s="85" t="n">
        <x:v>10670776.109589042</x:v>
      </x:c>
      <x:c r="J2609" s="85" t="n">
        <x:v>11148800.000000002</x:v>
      </x:c>
      <x:c r="K2609" s="85" t="n">
        <x:v>81929.17501369886</x:v>
      </x:c>
      <x:c r="L2609" s="28" t="n">
        <x:v>45</x:v>
      </x:c>
      <x:c r="M2609" s="28" t="n">
        <x:v>40</x:v>
      </x:c>
      <x:c r="N2609" s="28" t="n">
        <x:v>2.3283064365386963e-10</x:v>
      </x:c>
      <x:c r="O2609" s="28" t="n">
        <x:v>3.725290298461914e-9</x:v>
      </x:c>
      <x:c r="P2609" s="28" t="n">
        <x:v>0</x:v>
      </x:c>
      <x:c r="Q2609" s="62" t="b">
        <x:v>1</x:v>
      </x:c>
      <x:c r="R2609" s="28" t="n">
        <x:v>0</x:v>
      </x:c>
      <x:c r="S2609" s="28" t="str">
        <x:v>e3d35523768bc65e</x:v>
      </x:c>
    </x:row>
    <x:row r="2610" ht="21" customHeight="1">
      <x:c r="A2610" s="60" t="n">
        <x:v>0.7</x:v>
      </x:c>
      <x:c r="B2610" s="28" t="str">
        <x:v>middle_flat</x:v>
      </x:c>
      <x:c r="C2610" s="60" t="n">
        <x:v>0.95</x:v>
      </x:c>
      <x:c r="D2610" s="60" t="n">
        <x:v>0.9270639118581285</x:v>
      </x:c>
      <x:c r="E2610" s="62" t="b">
        <x:v>0</x:v>
      </x:c>
      <x:c r="F2610" s="62" t="b">
        <x:v>0</x:v>
      </x:c>
      <x:c r="G2610" s="85" t="n">
        <x:v>4299215.2288331445</x:v>
      </x:c>
      <x:c r="H2610" s="85" t="n">
        <x:v>16272230.725605335</x:v>
      </x:c>
      <x:c r="I2610" s="85" t="n">
        <x:v>10670776.109589042</x:v>
      </x:c>
      <x:c r="J2610" s="85" t="n">
        <x:v>11148800.000000002</x:v>
      </x:c>
      <x:c r="K2610" s="85" t="n">
        <x:v>77163.24093150666</x:v>
      </x:c>
      <x:c r="L2610" s="28" t="n">
        <x:v>45</x:v>
      </x:c>
      <x:c r="M2610" s="28" t="n">
        <x:v>40</x:v>
      </x:c>
      <x:c r="N2610" s="28" t="n">
        <x:v>2.3283064365386963e-10</x:v>
      </x:c>
      <x:c r="O2610" s="28" t="n">
        <x:v>3.725290298461914e-9</x:v>
      </x:c>
      <x:c r="P2610" s="28" t="n">
        <x:v>0</x:v>
      </x:c>
      <x:c r="Q2610" s="62" t="b">
        <x:v>1</x:v>
      </x:c>
      <x:c r="R2610" s="28" t="n">
        <x:v>1278549.2973804846</x:v>
      </x:c>
      <x:c r="S2610" s="28" t="str">
        <x:v>9c211ace8355a5ca</x:v>
      </x:c>
    </x:row>
    <x:row r="2611" ht="21" customHeight="1">
      <x:c r="A2611" s="60" t="n">
        <x:v>0.7</x:v>
      </x:c>
      <x:c r="B2611" s="28" t="str">
        <x:v>middle_flat</x:v>
      </x:c>
      <x:c r="C2611" s="60" t="n">
        <x:v>1</x:v>
      </x:c>
      <x:c r="D2611" s="60" t="n">
        <x:v>0.9427455891708479</x:v>
      </x:c>
      <x:c r="E2611" s="62" t="b">
        <x:v>0</x:v>
      </x:c>
      <x:c r="F2611" s="62" t="b">
        <x:v>0</x:v>
      </x:c>
      <x:c r="G2611" s="85" t="n">
        <x:v>4677848.182481012</x:v>
      </x:c>
      <x:c r="H2611" s="85" t="n">
        <x:v>16936187.673834648</x:v>
      </x:c>
      <x:c r="I2611" s="85" t="n">
        <x:v>10670776.109589042</x:v>
      </x:c>
      <x:c r="J2611" s="85" t="n">
        <x:v>11148800.000000002</x:v>
      </x:c>
      <x:c r="K2611" s="85" t="n">
        <x:v>72397.30684931517</x:v>
      </x:c>
      <x:c r="L2611" s="28" t="n">
        <x:v>45</x:v>
      </x:c>
      <x:c r="M2611" s="28" t="n">
        <x:v>41</x:v>
      </x:c>
      <x:c r="N2611" s="28" t="n">
        <x:v>2.3283064365386963e-10</x:v>
      </x:c>
      <x:c r="O2611" s="28" t="n">
        <x:v>9.313225746154785e-10</x:v>
      </x:c>
      <x:c r="P2611" s="28" t="n">
        <x:v>0</x:v>
      </x:c>
      <x:c r="Q2611" s="62" t="b">
        <x:v>1</x:v>
      </x:c>
      <x:c r="R2611" s="28" t="n">
        <x:v>3191589.877260253</x:v>
      </x:c>
      <x:c r="S2611" s="28" t="str">
        <x:v>3d8262767db49b70</x:v>
      </x:c>
    </x:row>
    <x:row r="2612" ht="21" customHeight="1">
      <x:c r="A2612" s="60" t="n">
        <x:v>0.7</x:v>
      </x:c>
      <x:c r="B2612" s="28" t="str">
        <x:v>middle_low</x:v>
      </x:c>
      <x:c r="C2612" s="60" t="n">
        <x:v>0</x:v>
      </x:c>
      <x:c r="D2612" s="60" t="n">
        <x:v>0</x:v>
      </x:c>
      <x:c r="E2612" s="62" t="b">
        <x:v>1</x:v>
      </x:c>
      <x:c r="F2612" s="62" t="b">
        <x:v>1</x:v>
      </x:c>
      <x:c r="G2612" s="85" t="n">
        <x:v>0</x:v>
      </x:c>
      <x:c r="H2612" s="85" t="n">
        <x:v>0</x:v>
      </x:c>
      <x:c r="I2612" s="85" t="n">
        <x:v>0</x:v>
      </x:c>
      <x:c r="J2612" s="85" t="n">
        <x:v>0</x:v>
      </x:c>
      <x:c r="K2612" s="85" t="n">
        <x:v>6144125.708493149</x:v>
      </x:c>
      <x:c r="L2612" s="28" t="n">
        <x:v>0</x:v>
      </x:c>
      <x:c r="M2612" s="28" t="n">
        <x:v>0</x:v>
      </x:c>
      <x:c r="N2612" s="28" t="n">
        <x:v>9.313225746154785e-10</x:v>
      </x:c>
      <x:c r="O2612" s="28" t="n">
        <x:v>0</x:v>
      </x:c>
      <x:c r="P2612" s="28" t="n">
        <x:v>0</x:v>
      </x:c>
      <x:c r="Q2612" s="62" t="b">
        <x:v>1</x:v>
      </x:c>
      <x:c r="R2612" s="28" t="n">
        <x:v>0</x:v>
      </x:c>
      <x:c r="S2612" s="28" t="str">
        <x:v>c18f21f1eb3b3ce6</x:v>
      </x:c>
    </x:row>
    <x:row r="2613" ht="21" customHeight="1">
      <x:c r="A2613" s="60" t="n">
        <x:v>0.7</x:v>
      </x:c>
      <x:c r="B2613" s="28" t="str">
        <x:v>middle_low</x:v>
      </x:c>
      <x:c r="C2613" s="60" t="n">
        <x:v>0.05</x:v>
      </x:c>
      <x:c r="D2613" s="60" t="n">
        <x:v>0.05</x:v>
      </x:c>
      <x:c r="E2613" s="62" t="b">
        <x:v>1</x:v>
      </x:c>
      <x:c r="F2613" s="62" t="b">
        <x:v>1</x:v>
      </x:c>
      <x:c r="G2613" s="85" t="n">
        <x:v>0</x:v>
      </x:c>
      <x:c r="H2613" s="85" t="n">
        <x:v>0</x:v>
      </x:c>
      <x:c r="I2613" s="85" t="n">
        <x:v>0</x:v>
      </x:c>
      <x:c r="J2613" s="85" t="n">
        <x:v>0</x:v>
      </x:c>
      <x:c r="K2613" s="85" t="n">
        <x:v>4138402.5354531007</x:v>
      </x:c>
      <x:c r="L2613" s="28" t="n">
        <x:v>0</x:v>
      </x:c>
      <x:c r="M2613" s="28" t="n">
        <x:v>0</x:v>
      </x:c>
      <x:c r="N2613" s="28" t="n">
        <x:v>9.313225746154785e-10</x:v>
      </x:c>
      <x:c r="O2613" s="28" t="n">
        <x:v>7.450580596923828e-9</x:v>
      </x:c>
      <x:c r="P2613" s="28" t="n">
        <x:v>0</x:v>
      </x:c>
      <x:c r="Q2613" s="62" t="b">
        <x:v>1</x:v>
      </x:c>
      <x:c r="R2613" s="28" t="n">
        <x:v>0</x:v>
      </x:c>
      <x:c r="S2613" s="28" t="str">
        <x:v>5087687d72b4c049</x:v>
      </x:c>
    </x:row>
    <x:row r="2614" ht="21" customHeight="1">
      <x:c r="A2614" s="60" t="n">
        <x:v>0.7</x:v>
      </x:c>
      <x:c r="B2614" s="28" t="str">
        <x:v>middle_low</x:v>
      </x:c>
      <x:c r="C2614" s="60" t="n">
        <x:v>0.1</x:v>
      </x:c>
      <x:c r="D2614" s="60" t="n">
        <x:v>0.1</x:v>
      </x:c>
      <x:c r="E2614" s="62" t="b">
        <x:v>1</x:v>
      </x:c>
      <x:c r="F2614" s="62" t="b">
        <x:v>1</x:v>
      </x:c>
      <x:c r="G2614" s="85" t="n">
        <x:v>0</x:v>
      </x:c>
      <x:c r="H2614" s="85" t="n">
        <x:v>0</x:v>
      </x:c>
      <x:c r="I2614" s="85" t="n">
        <x:v>0</x:v>
      </x:c>
      <x:c r="J2614" s="85" t="n">
        <x:v>0</x:v>
      </x:c>
      <x:c r="K2614" s="85" t="n">
        <x:v>2132463.3083577077</x:v>
      </x:c>
      <x:c r="L2614" s="28" t="n">
        <x:v>0</x:v>
      </x:c>
      <x:c r="M2614" s="28" t="n">
        <x:v>0</x:v>
      </x:c>
      <x:c r="N2614" s="28" t="n">
        <x:v>9.313225746154785e-10</x:v>
      </x:c>
      <x:c r="O2614" s="28" t="n">
        <x:v>7.450580596923828e-9</x:v>
      </x:c>
      <x:c r="P2614" s="28" t="n">
        <x:v>0</x:v>
      </x:c>
      <x:c r="Q2614" s="62" t="b">
        <x:v>1</x:v>
      </x:c>
      <x:c r="R2614" s="28" t="n">
        <x:v>0</x:v>
      </x:c>
      <x:c r="S2614" s="28" t="str">
        <x:v>7652311abe13339e</x:v>
      </x:c>
    </x:row>
    <x:row r="2615" ht="21" customHeight="1">
      <x:c r="A2615" s="60" t="n">
        <x:v>0.7</x:v>
      </x:c>
      <x:c r="B2615" s="28" t="str">
        <x:v>middle_low</x:v>
      </x:c>
      <x:c r="C2615" s="60" t="n">
        <x:v>0.15</x:v>
      </x:c>
      <x:c r="D2615" s="60" t="n">
        <x:v>0.15</x:v>
      </x:c>
      <x:c r="E2615" s="62" t="b">
        <x:v>1</x:v>
      </x:c>
      <x:c r="F2615" s="62" t="b">
        <x:v>1</x:v>
      </x:c>
      <x:c r="G2615" s="85" t="n">
        <x:v>0</x:v>
      </x:c>
      <x:c r="H2615" s="85" t="n">
        <x:v>0</x:v>
      </x:c>
      <x:c r="I2615" s="85" t="n">
        <x:v>191920.73470503336</x:v>
      </x:c>
      <x:c r="J2615" s="85" t="n">
        <x:v>0</x:v>
      </x:c>
      <x:c r="K2615" s="85" t="n">
        <x:v>396520.00218763895</x:v>
      </x:c>
      <x:c r="L2615" s="28" t="n">
        <x:v>0</x:v>
      </x:c>
      <x:c r="M2615" s="28" t="n">
        <x:v>0</x:v>
      </x:c>
      <x:c r="N2615" s="28" t="n">
        <x:v>4.656612873077393e-10</x:v>
      </x:c>
      <x:c r="O2615" s="28" t="n">
        <x:v>7.450580596923828e-9</x:v>
      </x:c>
      <x:c r="P2615" s="28" t="n">
        <x:v>0</x:v>
      </x:c>
      <x:c r="Q2615" s="62" t="b">
        <x:v>1</x:v>
      </x:c>
      <x:c r="R2615" s="28" t="n">
        <x:v>0</x:v>
      </x:c>
      <x:c r="S2615" s="28" t="str">
        <x:v>4f181e2496a329cd</x:v>
      </x:c>
    </x:row>
    <x:row r="2616" ht="21" customHeight="1">
      <x:c r="A2616" s="60" t="n">
        <x:v>0.7</x:v>
      </x:c>
      <x:c r="B2616" s="28" t="str">
        <x:v>middle_low</x:v>
      </x:c>
      <x:c r="C2616" s="60" t="n">
        <x:v>0.2</x:v>
      </x:c>
      <x:c r="D2616" s="60" t="n">
        <x:v>0.2</x:v>
      </x:c>
      <x:c r="E2616" s="62" t="b">
        <x:v>1</x:v>
      </x:c>
      <x:c r="F2616" s="62" t="b">
        <x:v>1</x:v>
      </x:c>
      <x:c r="G2616" s="85" t="n">
        <x:v>0</x:v>
      </x:c>
      <x:c r="H2616" s="85" t="n">
        <x:v>0</x:v>
      </x:c>
      <x:c r="I2616" s="85" t="n">
        <x:v>1254712.4378243696</x:v>
      </x:c>
      <x:c r="J2616" s="85" t="n">
        <x:v>1253157.2790409059</x:v>
      </x:c>
      <x:c r="K2616" s="85" t="n">
        <x:v>323291.10355612176</x:v>
      </x:c>
      <x:c r="L2616" s="28" t="n">
        <x:v>0</x:v>
      </x:c>
      <x:c r="M2616" s="28" t="n">
        <x:v>0</x:v>
      </x:c>
      <x:c r="N2616" s="28" t="n">
        <x:v>4.656612873077393e-10</x:v>
      </x:c>
      <x:c r="O2616" s="28" t="n">
        <x:v>7.450580596923828e-9</x:v>
      </x:c>
      <x:c r="P2616" s="28" t="n">
        <x:v>0</x:v>
      </x:c>
      <x:c r="Q2616" s="62" t="b">
        <x:v>1</x:v>
      </x:c>
      <x:c r="R2616" s="28" t="n">
        <x:v>0</x:v>
      </x:c>
      <x:c r="S2616" s="28" t="str">
        <x:v>d901988a80771668</x:v>
      </x:c>
    </x:row>
    <x:row r="2617" ht="21" customHeight="1">
      <x:c r="A2617" s="60" t="n">
        <x:v>0.7</x:v>
      </x:c>
      <x:c r="B2617" s="28" t="str">
        <x:v>middle_low</x:v>
      </x:c>
      <x:c r="C2617" s="60" t="n">
        <x:v>0.25</x:v>
      </x:c>
      <x:c r="D2617" s="60" t="n">
        <x:v>0.25</x:v>
      </x:c>
      <x:c r="E2617" s="62" t="b">
        <x:v>1</x:v>
      </x:c>
      <x:c r="F2617" s="62" t="b">
        <x:v>1</x:v>
      </x:c>
      <x:c r="G2617" s="85" t="n">
        <x:v>0</x:v>
      </x:c>
      <x:c r="H2617" s="85" t="n">
        <x:v>0</x:v>
      </x:c>
      <x:c r="I2617" s="85" t="n">
        <x:v>1982821.5570123438</x:v>
      </x:c>
      <x:c r="J2617" s="85" t="n">
        <x:v>2960046.5988011523</x:v>
      </x:c>
      <x:c r="K2617" s="85" t="n">
        <x:v>269576.6117693607</x:v>
      </x:c>
      <x:c r="L2617" s="28" t="n">
        <x:v>0</x:v>
      </x:c>
      <x:c r="M2617" s="28" t="n">
        <x:v>0</x:v>
      </x:c>
      <x:c r="N2617" s="28" t="n">
        <x:v>4.656612873077393e-10</x:v>
      </x:c>
      <x:c r="O2617" s="28" t="n">
        <x:v>7.450580596923828e-9</x:v>
      </x:c>
      <x:c r="P2617" s="28" t="n">
        <x:v>0</x:v>
      </x:c>
      <x:c r="Q2617" s="62" t="b">
        <x:v>1</x:v>
      </x:c>
      <x:c r="R2617" s="28" t="n">
        <x:v>0</x:v>
      </x:c>
      <x:c r="S2617" s="28" t="str">
        <x:v>bd546104db9dc03c</x:v>
      </x:c>
    </x:row>
    <x:row r="2618" ht="21" customHeight="1">
      <x:c r="A2618" s="60" t="n">
        <x:v>0.7</x:v>
      </x:c>
      <x:c r="B2618" s="28" t="str">
        <x:v>middle_low</x:v>
      </x:c>
      <x:c r="C2618" s="60" t="n">
        <x:v>0.3</x:v>
      </x:c>
      <x:c r="D2618" s="60" t="n">
        <x:v>0.3</x:v>
      </x:c>
      <x:c r="E2618" s="62" t="b">
        <x:v>1</x:v>
      </x:c>
      <x:c r="F2618" s="62" t="b">
        <x:v>1</x:v>
      </x:c>
      <x:c r="G2618" s="85" t="n">
        <x:v>0</x:v>
      </x:c>
      <x:c r="H2618" s="85" t="n">
        <x:v>0</x:v>
      </x:c>
      <x:c r="I2618" s="85" t="n">
        <x:v>3157940.3251710394</x:v>
      </x:c>
      <x:c r="J2618" s="85" t="n">
        <x:v>3952953.283523434</x:v>
      </x:c>
      <x:c r="K2618" s="85" t="n">
        <x:v>231068.1936090956</x:v>
      </x:c>
      <x:c r="L2618" s="28" t="n">
        <x:v>5</x:v>
      </x:c>
      <x:c r="M2618" s="28" t="n">
        <x:v>0</x:v>
      </x:c>
      <x:c r="N2618" s="28" t="n">
        <x:v>2.3283064365386963e-10</x:v>
      </x:c>
      <x:c r="O2618" s="28" t="n">
        <x:v>7.450580596923828e-9</x:v>
      </x:c>
      <x:c r="P2618" s="28" t="n">
        <x:v>0</x:v>
      </x:c>
      <x:c r="Q2618" s="62" t="b">
        <x:v>1</x:v>
      </x:c>
      <x:c r="R2618" s="28" t="n">
        <x:v>0</x:v>
      </x:c>
      <x:c r="S2618" s="28" t="str">
        <x:v>d023fed565778a7f</x:v>
      </x:c>
    </x:row>
    <x:row r="2619" ht="21" customHeight="1">
      <x:c r="A2619" s="60" t="n">
        <x:v>0.7</x:v>
      </x:c>
      <x:c r="B2619" s="28" t="str">
        <x:v>middle_low</x:v>
      </x:c>
      <x:c r="C2619" s="60" t="n">
        <x:v>0.35</x:v>
      </x:c>
      <x:c r="D2619" s="60" t="n">
        <x:v>0.35</x:v>
      </x:c>
      <x:c r="E2619" s="62" t="b">
        <x:v>1</x:v>
      </x:c>
      <x:c r="F2619" s="62" t="b">
        <x:v>1</x:v>
      </x:c>
      <x:c r="G2619" s="85" t="n">
        <x:v>0</x:v>
      </x:c>
      <x:c r="H2619" s="85" t="n">
        <x:v>0</x:v>
      </x:c>
      <x:c r="I2619" s="85" t="n">
        <x:v>4179107.243916875</x:v>
      </x:c>
      <x:c r="J2619" s="85" t="n">
        <x:v>5201127.587505274</x:v>
      </x:c>
      <x:c r="K2619" s="85" t="n">
        <x:v>197947.63418778026</x:v>
      </x:c>
      <x:c r="L2619" s="28" t="n">
        <x:v>9</x:v>
      </x:c>
      <x:c r="M2619" s="28" t="n">
        <x:v>0</x:v>
      </x:c>
      <x:c r="N2619" s="28" t="n">
        <x:v>4.656612873077393e-10</x:v>
      </x:c>
      <x:c r="O2619" s="28" t="n">
        <x:v>7.450580596923828e-9</x:v>
      </x:c>
      <x:c r="P2619" s="28" t="n">
        <x:v>0</x:v>
      </x:c>
      <x:c r="Q2619" s="62" t="b">
        <x:v>1</x:v>
      </x:c>
      <x:c r="R2619" s="28" t="n">
        <x:v>0</x:v>
      </x:c>
      <x:c r="S2619" s="28" t="str">
        <x:v>f954fb076a913bf6</x:v>
      </x:c>
    </x:row>
    <x:row r="2620" ht="21" customHeight="1">
      <x:c r="A2620" s="60" t="n">
        <x:v>0.7</x:v>
      </x:c>
      <x:c r="B2620" s="28" t="str">
        <x:v>middle_low</x:v>
      </x:c>
      <x:c r="C2620" s="60" t="n">
        <x:v>0.4</x:v>
      </x:c>
      <x:c r="D2620" s="60" t="n">
        <x:v>0.4</x:v>
      </x:c>
      <x:c r="E2620" s="62" t="b">
        <x:v>1</x:v>
      </x:c>
      <x:c r="F2620" s="62" t="b">
        <x:v>1</x:v>
      </x:c>
      <x:c r="G2620" s="85" t="n">
        <x:v>0</x:v>
      </x:c>
      <x:c r="H2620" s="85" t="n">
        <x:v>0</x:v>
      </x:c>
      <x:c r="I2620" s="85" t="n">
        <x:v>5138134.233919495</x:v>
      </x:c>
      <x:c r="J2620" s="85" t="n">
        <x:v>6539594.102725203</x:v>
      </x:c>
      <x:c r="K2620" s="85" t="n">
        <x:v>170140.52372646506</x:v>
      </x:c>
      <x:c r="L2620" s="28" t="n">
        <x:v>13</x:v>
      </x:c>
      <x:c r="M2620" s="28" t="n">
        <x:v>0</x:v>
      </x:c>
      <x:c r="N2620" s="28" t="n">
        <x:v>2.3283064365386963e-10</x:v>
      </x:c>
      <x:c r="O2620" s="28" t="n">
        <x:v>3.725290298461914e-9</x:v>
      </x:c>
      <x:c r="P2620" s="28" t="n">
        <x:v>0</x:v>
      </x:c>
      <x:c r="Q2620" s="62" t="b">
        <x:v>1</x:v>
      </x:c>
      <x:c r="R2620" s="28" t="n">
        <x:v>0</x:v>
      </x:c>
      <x:c r="S2620" s="28" t="str">
        <x:v>e671bd5aa619da52</x:v>
      </x:c>
    </x:row>
    <x:row r="2621" ht="21" customHeight="1">
      <x:c r="A2621" s="60" t="n">
        <x:v>0.7</x:v>
      </x:c>
      <x:c r="B2621" s="28" t="str">
        <x:v>middle_low</x:v>
      </x:c>
      <x:c r="C2621" s="60" t="n">
        <x:v>0.45</x:v>
      </x:c>
      <x:c r="D2621" s="60" t="n">
        <x:v>0.45</x:v>
      </x:c>
      <x:c r="E2621" s="62" t="b">
        <x:v>1</x:v>
      </x:c>
      <x:c r="F2621" s="62" t="b">
        <x:v>1</x:v>
      </x:c>
      <x:c r="G2621" s="85" t="n">
        <x:v>0</x:v>
      </x:c>
      <x:c r="H2621" s="85" t="n">
        <x:v>0</x:v>
      </x:c>
      <x:c r="I2621" s="85" t="n">
        <x:v>5959743.137357666</x:v>
      </x:c>
      <x:c r="J2621" s="85" t="n">
        <x:v>8128512.995479669</x:v>
      </x:c>
      <x:c r="K2621" s="85" t="n">
        <x:v>151206.998575835</x:v>
      </x:c>
      <x:c r="L2621" s="28" t="n">
        <x:v>16</x:v>
      </x:c>
      <x:c r="M2621" s="28" t="n">
        <x:v>0</x:v>
      </x:c>
      <x:c r="N2621" s="28" t="n">
        <x:v>2.3283064365386963e-10</x:v>
      </x:c>
      <x:c r="O2621" s="28" t="n">
        <x:v>1.862645149230957e-9</x:v>
      </x:c>
      <x:c r="P2621" s="28" t="n">
        <x:v>0</x:v>
      </x:c>
      <x:c r="Q2621" s="62" t="b">
        <x:v>1</x:v>
      </x:c>
      <x:c r="R2621" s="28" t="n">
        <x:v>0</x:v>
      </x:c>
      <x:c r="S2621" s="28" t="str">
        <x:v>3b8cc079451e1d5f</x:v>
      </x:c>
    </x:row>
    <x:row r="2622" ht="21" customHeight="1">
      <x:c r="A2622" s="60" t="n">
        <x:v>0.7</x:v>
      </x:c>
      <x:c r="B2622" s="28" t="str">
        <x:v>middle_low</x:v>
      </x:c>
      <x:c r="C2622" s="60" t="n">
        <x:v>0.5</x:v>
      </x:c>
      <x:c r="D2622" s="60" t="n">
        <x:v>0.5</x:v>
      </x:c>
      <x:c r="E2622" s="62" t="b">
        <x:v>1</x:v>
      </x:c>
      <x:c r="F2622" s="62" t="b">
        <x:v>1</x:v>
      </x:c>
      <x:c r="G2622" s="85" t="n">
        <x:v>0</x:v>
      </x:c>
      <x:c r="H2622" s="85" t="n">
        <x:v>0</x:v>
      </x:c>
      <x:c r="I2622" s="85" t="n">
        <x:v>6668570.600179295</x:v>
      </x:c>
      <x:c r="J2622" s="85" t="n">
        <x:v>9928214.779751515</x:v>
      </x:c>
      <x:c r="K2622" s="85" t="n">
        <x:v>132273.4734252052</x:v>
      </x:c>
      <x:c r="L2622" s="28" t="n">
        <x:v>20</x:v>
      </x:c>
      <x:c r="M2622" s="28" t="n">
        <x:v>0</x:v>
      </x:c>
      <x:c r="N2622" s="28" t="n">
        <x:v>4.656612873077393e-10</x:v>
      </x:c>
      <x:c r="O2622" s="28" t="n">
        <x:v>7.450580596923828e-9</x:v>
      </x:c>
      <x:c r="P2622" s="28" t="n">
        <x:v>0</x:v>
      </x:c>
      <x:c r="Q2622" s="62" t="b">
        <x:v>1</x:v>
      </x:c>
      <x:c r="R2622" s="28" t="n">
        <x:v>0</x:v>
      </x:c>
      <x:c r="S2622" s="28" t="str">
        <x:v>8854d678a76bef44</x:v>
      </x:c>
    </x:row>
    <x:row r="2623" ht="21" customHeight="1">
      <x:c r="A2623" s="60" t="n">
        <x:v>0.7</x:v>
      </x:c>
      <x:c r="B2623" s="28" t="str">
        <x:v>middle_low</x:v>
      </x:c>
      <x:c r="C2623" s="60" t="n">
        <x:v>0.55</x:v>
      </x:c>
      <x:c r="D2623" s="60" t="n">
        <x:v>0.55</x:v>
      </x:c>
      <x:c r="E2623" s="62" t="b">
        <x:v>1</x:v>
      </x:c>
      <x:c r="F2623" s="62" t="b">
        <x:v>0</x:v>
      </x:c>
      <x:c r="G2623" s="85" t="n">
        <x:v>41494.03467034055</x:v>
      </x:c>
      <x:c r="H2623" s="85" t="n">
        <x:v>533985.1986438785</x:v>
      </x:c>
      <x:c r="I2623" s="85" t="n">
        <x:v>7196932.208219184</x:v>
      </x:c>
      <x:c r="J2623" s="85" t="n">
        <x:v>11148800.000000002</x:v>
      </x:c>
      <x:c r="K2623" s="85" t="n">
        <x:v>118441.84147945218</x:v>
      </x:c>
      <x:c r="L2623" s="28" t="n">
        <x:v>43</x:v>
      </x:c>
      <x:c r="M2623" s="28" t="n">
        <x:v>21</x:v>
      </x:c>
      <x:c r="N2623" s="28" t="n">
        <x:v>4.656612873077393e-10</x:v>
      </x:c>
      <x:c r="O2623" s="28" t="n">
        <x:v>7.450580596923828e-9</x:v>
      </x:c>
      <x:c r="P2623" s="28" t="n">
        <x:v>0</x:v>
      </x:c>
      <x:c r="Q2623" s="62" t="b">
        <x:v>1</x:v>
      </x:c>
      <x:c r="R2623" s="28" t="n">
        <x:v>0</x:v>
      </x:c>
      <x:c r="S2623" s="28" t="str">
        <x:v>926f27765be63952</x:v>
      </x:c>
    </x:row>
    <x:row r="2624" ht="21" customHeight="1">
      <x:c r="A2624" s="60" t="n">
        <x:v>0.7</x:v>
      </x:c>
      <x:c r="B2624" s="28" t="str">
        <x:v>middle_low</x:v>
      </x:c>
      <x:c r="C2624" s="60" t="n">
        <x:v>0.6</x:v>
      </x:c>
      <x:c r="D2624" s="60" t="n">
        <x:v>0.6</x:v>
      </x:c>
      <x:c r="E2624" s="62" t="b">
        <x:v>1</x:v>
      </x:c>
      <x:c r="F2624" s="62" t="b">
        <x:v>0</x:v>
      </x:c>
      <x:c r="G2624" s="85" t="n">
        <x:v>207287.71890675306</x:v>
      </x:c>
      <x:c r="H2624" s="85" t="n">
        <x:v>2582819.1350414</x:v>
      </x:c>
      <x:c r="I2624" s="85" t="n">
        <x:v>7196932.208219184</x:v>
      </x:c>
      <x:c r="J2624" s="85" t="n">
        <x:v>11148800.000000002</x:v>
      </x:c>
      <x:c r="K2624" s="85" t="n">
        <x:v>109700.02706849322</x:v>
      </x:c>
      <x:c r="L2624" s="28" t="n">
        <x:v>43</x:v>
      </x:c>
      <x:c r="M2624" s="28" t="n">
        <x:v>30</x:v>
      </x:c>
      <x:c r="N2624" s="28" t="n">
        <x:v>4.656612873077393e-10</x:v>
      </x:c>
      <x:c r="O2624" s="28" t="n">
        <x:v>3.725290298461914e-9</x:v>
      </x:c>
      <x:c r="P2624" s="28" t="n">
        <x:v>0</x:v>
      </x:c>
      <x:c r="Q2624" s="62" t="b">
        <x:v>1</x:v>
      </x:c>
      <x:c r="R2624" s="28" t="n">
        <x:v>0</x:v>
      </x:c>
      <x:c r="S2624" s="28" t="str">
        <x:v>69040c420654e97f</x:v>
      </x:c>
    </x:row>
    <x:row r="2625" ht="21" customHeight="1">
      <x:c r="A2625" s="60" t="n">
        <x:v>0.7</x:v>
      </x:c>
      <x:c r="B2625" s="28" t="str">
        <x:v>middle_low</x:v>
      </x:c>
      <x:c r="C2625" s="60" t="n">
        <x:v>0.65</x:v>
      </x:c>
      <x:c r="D2625" s="60" t="n">
        <x:v>0.65</x:v>
      </x:c>
      <x:c r="E2625" s="62" t="b">
        <x:v>1</x:v>
      </x:c>
      <x:c r="F2625" s="62" t="b">
        <x:v>0</x:v>
      </x:c>
      <x:c r="G2625" s="85" t="n">
        <x:v>356026.3836944287</x:v>
      </x:c>
      <x:c r="H2625" s="85" t="n">
        <x:v>4432299.293624564</x:v>
      </x:c>
      <x:c r="I2625" s="85" t="n">
        <x:v>7363706.03835617</x:v>
      </x:c>
      <x:c r="J2625" s="85" t="n">
        <x:v>11148800.000000002</x:v>
      </x:c>
      <x:c r="K2625" s="85" t="n">
        <x:v>100958.21265753392</x:v>
      </x:c>
      <x:c r="L2625" s="28" t="n">
        <x:v>44</x:v>
      </x:c>
      <x:c r="M2625" s="28" t="n">
        <x:v>32</x:v>
      </x:c>
      <x:c r="N2625" s="28" t="n">
        <x:v>4.656612873077393e-10</x:v>
      </x:c>
      <x:c r="O2625" s="28" t="n">
        <x:v>1.862645149230957e-9</x:v>
      </x:c>
      <x:c r="P2625" s="28" t="n">
        <x:v>0</x:v>
      </x:c>
      <x:c r="Q2625" s="62" t="b">
        <x:v>1</x:v>
      </x:c>
      <x:c r="R2625" s="28" t="n">
        <x:v>0</x:v>
      </x:c>
      <x:c r="S2625" s="28" t="str">
        <x:v>33e4aeb09c6f888f</x:v>
      </x:c>
    </x:row>
    <x:row r="2626" ht="21" customHeight="1">
      <x:c r="A2626" s="60" t="n">
        <x:v>0.7</x:v>
      </x:c>
      <x:c r="B2626" s="28" t="str">
        <x:v>middle_low</x:v>
      </x:c>
      <x:c r="C2626" s="60" t="n">
        <x:v>0.7</x:v>
      </x:c>
      <x:c r="D2626" s="60" t="n">
        <x:v>0.7</x:v>
      </x:c>
      <x:c r="E2626" s="62" t="b">
        <x:v>1</x:v>
      </x:c>
      <x:c r="F2626" s="62" t="b">
        <x:v>0</x:v>
      </x:c>
      <x:c r="G2626" s="85" t="n">
        <x:v>521226.4914991753</x:v>
      </x:c>
      <x:c r="H2626" s="85" t="n">
        <x:v>6486544.455237587</x:v>
      </x:c>
      <x:c r="I2626" s="85" t="n">
        <x:v>7363706.03835617</x:v>
      </x:c>
      <x:c r="J2626" s="85" t="n">
        <x:v>11148800.000000002</x:v>
      </x:c>
      <x:c r="K2626" s="85" t="n">
        <x:v>92216.39824657491</x:v>
      </x:c>
      <x:c r="L2626" s="28" t="n">
        <x:v>44</x:v>
      </x:c>
      <x:c r="M2626" s="28" t="n">
        <x:v>34</x:v>
      </x:c>
      <x:c r="N2626" s="28" t="n">
        <x:v>4.656612873077393e-10</x:v>
      </x:c>
      <x:c r="O2626" s="28" t="n">
        <x:v>3.725290298461914e-9</x:v>
      </x:c>
      <x:c r="P2626" s="28" t="n">
        <x:v>0</x:v>
      </x:c>
      <x:c r="Q2626" s="62" t="b">
        <x:v>1</x:v>
      </x:c>
      <x:c r="R2626" s="28" t="n">
        <x:v>0</x:v>
      </x:c>
      <x:c r="S2626" s="28" t="str">
        <x:v>9d65ca6179793221</x:v>
      </x:c>
    </x:row>
    <x:row r="2627" ht="21" customHeight="1">
      <x:c r="A2627" s="60" t="n">
        <x:v>0.7</x:v>
      </x:c>
      <x:c r="B2627" s="28" t="str">
        <x:v>middle_low</x:v>
      </x:c>
      <x:c r="C2627" s="60" t="n">
        <x:v>0.75</x:v>
      </x:c>
      <x:c r="D2627" s="60" t="n">
        <x:v>0.75</x:v>
      </x:c>
      <x:c r="E2627" s="62" t="b">
        <x:v>1</x:v>
      </x:c>
      <x:c r="F2627" s="62" t="b">
        <x:v>0</x:v>
      </x:c>
      <x:c r="G2627" s="85" t="n">
        <x:v>724442.3867103911</x:v>
      </x:c>
      <x:c r="H2627" s="85" t="n">
        <x:v>8497469.804067167</x:v>
      </x:c>
      <x:c r="I2627" s="85" t="n">
        <x:v>7363706.03835617</x:v>
      </x:c>
      <x:c r="J2627" s="85" t="n">
        <x:v>11148800.000000002</x:v>
      </x:c>
      <x:c r="K2627" s="85" t="n">
        <x:v>83474.58383561626</x:v>
      </x:c>
      <x:c r="L2627" s="28" t="n">
        <x:v>44</x:v>
      </x:c>
      <x:c r="M2627" s="28" t="n">
        <x:v>34</x:v>
      </x:c>
      <x:c r="N2627" s="28" t="n">
        <x:v>4.656612873077393e-10</x:v>
      </x:c>
      <x:c r="O2627" s="28" t="n">
        <x:v>3.725290298461914e-9</x:v>
      </x:c>
      <x:c r="P2627" s="28" t="n">
        <x:v>0</x:v>
      </x:c>
      <x:c r="Q2627" s="62" t="b">
        <x:v>1</x:v>
      </x:c>
      <x:c r="R2627" s="28" t="n">
        <x:v>0</x:v>
      </x:c>
      <x:c r="S2627" s="28" t="str">
        <x:v>9f8474e82b611c80</x:v>
      </x:c>
    </x:row>
    <x:row r="2628" ht="21" customHeight="1">
      <x:c r="A2628" s="60" t="n">
        <x:v>0.7</x:v>
      </x:c>
      <x:c r="B2628" s="28" t="str">
        <x:v>middle_low</x:v>
      </x:c>
      <x:c r="C2628" s="60" t="n">
        <x:v>0.8</x:v>
      </x:c>
      <x:c r="D2628" s="60" t="n">
        <x:v>0.8</x:v>
      </x:c>
      <x:c r="E2628" s="62" t="b">
        <x:v>1</x:v>
      </x:c>
      <x:c r="F2628" s="62" t="b">
        <x:v>0</x:v>
      </x:c>
      <x:c r="G2628" s="85" t="n">
        <x:v>875794.1997107838</x:v>
      </x:c>
      <x:c r="H2628" s="85" t="n">
        <x:v>10258580.72242803</x:v>
      </x:c>
      <x:c r="I2628" s="85" t="n">
        <x:v>7532312.547945212</x:v>
      </x:c>
      <x:c r="J2628" s="85" t="n">
        <x:v>11148800.000000002</x:v>
      </x:c>
      <x:c r="K2628" s="85" t="n">
        <x:v>69014.08975342444</x:v>
      </x:c>
      <x:c r="L2628" s="28" t="n">
        <x:v>45</x:v>
      </x:c>
      <x:c r="M2628" s="28" t="n">
        <x:v>36</x:v>
      </x:c>
      <x:c r="N2628" s="28" t="n">
        <x:v>4.656612873077393e-10</x:v>
      </x:c>
      <x:c r="O2628" s="28" t="n">
        <x:v>1.862645149230957e-9</x:v>
      </x:c>
      <x:c r="P2628" s="28" t="n">
        <x:v>0</x:v>
      </x:c>
      <x:c r="Q2628" s="62" t="b">
        <x:v>1</x:v>
      </x:c>
      <x:c r="R2628" s="28" t="n">
        <x:v>0</x:v>
      </x:c>
      <x:c r="S2628" s="28" t="str">
        <x:v>1023b087593dd9eb</x:v>
      </x:c>
    </x:row>
    <x:row r="2629" ht="21" customHeight="1">
      <x:c r="A2629" s="60" t="n">
        <x:v>0.7</x:v>
      </x:c>
      <x:c r="B2629" s="28" t="str">
        <x:v>middle_low</x:v>
      </x:c>
      <x:c r="C2629" s="60" t="n">
        <x:v>0.85</x:v>
      </x:c>
      <x:c r="D2629" s="60" t="n">
        <x:v>0.85</x:v>
      </x:c>
      <x:c r="E2629" s="62" t="b">
        <x:v>1</x:v>
      </x:c>
      <x:c r="F2629" s="62" t="b">
        <x:v>0</x:v>
      </x:c>
      <x:c r="G2629" s="85" t="n">
        <x:v>1096653.9906218585</x:v>
      </x:c>
      <x:c r="H2629" s="85" t="n">
        <x:v>12202015.553013403</x:v>
      </x:c>
      <x:c r="I2629" s="85" t="n">
        <x:v>7532312.547945212</x:v>
      </x:c>
      <x:c r="J2629" s="85" t="n">
        <x:v>11148800.000000002</x:v>
      </x:c>
      <x:c r="K2629" s="85" t="n">
        <x:v>63747.143068493235</x:v>
      </x:c>
      <x:c r="L2629" s="28" t="n">
        <x:v>45</x:v>
      </x:c>
      <x:c r="M2629" s="28" t="n">
        <x:v>36</x:v>
      </x:c>
      <x:c r="N2629" s="28" t="n">
        <x:v>4.656612873077393e-10</x:v>
      </x:c>
      <x:c r="O2629" s="28" t="n">
        <x:v>3.725290298461914e-9</x:v>
      </x:c>
      <x:c r="P2629" s="28" t="n">
        <x:v>0</x:v>
      </x:c>
      <x:c r="Q2629" s="62" t="b">
        <x:v>1</x:v>
      </x:c>
      <x:c r="R2629" s="28" t="n">
        <x:v>0</x:v>
      </x:c>
      <x:c r="S2629" s="28" t="str">
        <x:v>ae7c06883d8c6a6b</x:v>
      </x:c>
    </x:row>
    <x:row r="2630" ht="21" customHeight="1">
      <x:c r="A2630" s="60" t="n">
        <x:v>0.7</x:v>
      </x:c>
      <x:c r="B2630" s="28" t="str">
        <x:v>middle_low</x:v>
      </x:c>
      <x:c r="C2630" s="60" t="n">
        <x:v>0.9</x:v>
      </x:c>
      <x:c r="D2630" s="60" t="n">
        <x:v>0.9</x:v>
      </x:c>
      <x:c r="E2630" s="62" t="b">
        <x:v>1</x:v>
      </x:c>
      <x:c r="F2630" s="62" t="b">
        <x:v>0</x:v>
      </x:c>
      <x:c r="G2630" s="85" t="n">
        <x:v>1382061.5547296382</x:v>
      </x:c>
      <x:c r="H2630" s="85" t="n">
        <x:v>14058999.523375826</x:v>
      </x:c>
      <x:c r="I2630" s="85" t="n">
        <x:v>7532312.547945212</x:v>
      </x:c>
      <x:c r="J2630" s="85" t="n">
        <x:v>11148800.000000002</x:v>
      </x:c>
      <x:c r="K2630" s="85" t="n">
        <x:v>58480.19638356155</x:v>
      </x:c>
      <x:c r="L2630" s="28" t="n">
        <x:v>45</x:v>
      </x:c>
      <x:c r="M2630" s="28" t="n">
        <x:v>37</x:v>
      </x:c>
      <x:c r="N2630" s="28" t="n">
        <x:v>4.656612873077393e-10</x:v>
      </x:c>
      <x:c r="O2630" s="28" t="n">
        <x:v>3.725290298461914e-9</x:v>
      </x:c>
      <x:c r="P2630" s="28" t="n">
        <x:v>0</x:v>
      </x:c>
      <x:c r="Q2630" s="62" t="b">
        <x:v>1</x:v>
      </x:c>
      <x:c r="R2630" s="28" t="n">
        <x:v>0</x:v>
      </x:c>
      <x:c r="S2630" s="28" t="str">
        <x:v>16ee26bb2c6df4d1</x:v>
      </x:c>
    </x:row>
    <x:row r="2631" ht="21" customHeight="1">
      <x:c r="A2631" s="60" t="n">
        <x:v>0.7</x:v>
      </x:c>
      <x:c r="B2631" s="28" t="str">
        <x:v>middle_low</x:v>
      </x:c>
      <x:c r="C2631" s="60" t="n">
        <x:v>0.95</x:v>
      </x:c>
      <x:c r="D2631" s="60" t="n">
        <x:v>0.9270639118581285</x:v>
      </x:c>
      <x:c r="E2631" s="62" t="b">
        <x:v>0</x:v>
      </x:c>
      <x:c r="F2631" s="62" t="b">
        <x:v>0</x:v>
      </x:c>
      <x:c r="G2631" s="85" t="n">
        <x:v>1699035.5241771296</x:v>
      </x:c>
      <x:c r="H2631" s="85" t="n">
        <x:v>14897018.096150579</x:v>
      </x:c>
      <x:c r="I2631" s="85" t="n">
        <x:v>7532312.547945212</x:v>
      </x:c>
      <x:c r="J2631" s="85" t="n">
        <x:v>11148800.000000002</x:v>
      </x:c>
      <x:c r="K2631" s="85" t="n">
        <x:v>54883.91928767129</x:v>
      </x:c>
      <x:c r="L2631" s="28" t="n">
        <x:v>45</x:v>
      </x:c>
      <x:c r="M2631" s="28" t="n">
        <x:v>38</x:v>
      </x:c>
      <x:c r="N2631" s="28" t="n">
        <x:v>2.3283064365386963e-10</x:v>
      </x:c>
      <x:c r="O2631" s="28" t="n">
        <x:v>3.725290298461914e-9</x:v>
      </x:c>
      <x:c r="P2631" s="28" t="n">
        <x:v>0</x:v>
      </x:c>
      <x:c r="Q2631" s="62" t="b">
        <x:v>1</x:v>
      </x:c>
      <x:c r="R2631" s="28" t="n">
        <x:v>1278549.2973804846</x:v>
      </x:c>
      <x:c r="S2631" s="28" t="str">
        <x:v>4f761762159cb077</x:v>
      </x:c>
    </x:row>
    <x:row r="2632" ht="21" customHeight="1">
      <x:c r="A2632" s="60" t="n">
        <x:v>0.7</x:v>
      </x:c>
      <x:c r="B2632" s="28" t="str">
        <x:v>middle_low</x:v>
      </x:c>
      <x:c r="C2632" s="60" t="n">
        <x:v>1</x:v>
      </x:c>
      <x:c r="D2632" s="60" t="n">
        <x:v>0.9427455891708479</x:v>
      </x:c>
      <x:c r="E2632" s="62" t="b">
        <x:v>0</x:v>
      </x:c>
      <x:c r="F2632" s="62" t="b">
        <x:v>0</x:v>
      </x:c>
      <x:c r="G2632" s="85" t="n">
        <x:v>1847201.9730030724</x:v>
      </x:c>
      <x:c r="H2632" s="85" t="n">
        <x:v>15543461.284692846</x:v>
      </x:c>
      <x:c r="I2632" s="85" t="n">
        <x:v>7532312.547945212</x:v>
      </x:c>
      <x:c r="J2632" s="85" t="n">
        <x:v>11148800.000000002</x:v>
      </x:c>
      <x:c r="K2632" s="85" t="n">
        <x:v>52171.54794520543</x:v>
      </x:c>
      <x:c r="L2632" s="28" t="n">
        <x:v>45</x:v>
      </x:c>
      <x:c r="M2632" s="28" t="n">
        <x:v>38</x:v>
      </x:c>
      <x:c r="N2632" s="28" t="n">
        <x:v>4.656612873077393e-10</x:v>
      </x:c>
      <x:c r="O2632" s="28" t="n">
        <x:v>9.313225746154785e-10</x:v>
      </x:c>
      <x:c r="P2632" s="28" t="n">
        <x:v>0</x:v>
      </x:c>
      <x:c r="Q2632" s="62" t="b">
        <x:v>1</x:v>
      </x:c>
      <x:c r="R2632" s="28" t="n">
        <x:v>3191589.877260253</x:v>
      </x:c>
      <x:c r="S2632" s="28" t="str">
        <x:v>b7d40f148d365030</x:v>
      </x:c>
    </x:row>
    <x:row r="2633" ht="21" customHeight="1">
      <x:c r="A2633" s="60" t="n">
        <x:v>0.7</x:v>
      </x:c>
      <x:c r="B2633" s="28" t="str">
        <x:v>middle_high</x:v>
      </x:c>
      <x:c r="C2633" s="60" t="n">
        <x:v>0</x:v>
      </x:c>
      <x:c r="D2633" s="60" t="n">
        <x:v>0</x:v>
      </x:c>
      <x:c r="E2633" s="62" t="b">
        <x:v>1</x:v>
      </x:c>
      <x:c r="F2633" s="62" t="b">
        <x:v>1</x:v>
      </x:c>
      <x:c r="G2633" s="85" t="n">
        <x:v>0</x:v>
      </x:c>
      <x:c r="H2633" s="85" t="n">
        <x:v>0</x:v>
      </x:c>
      <x:c r="I2633" s="85" t="n">
        <x:v>0</x:v>
      </x:c>
      <x:c r="J2633" s="85" t="n">
        <x:v>0</x:v>
      </x:c>
      <x:c r="K2633" s="85" t="n">
        <x:v>7833422.349589038</x:v>
      </x:c>
      <x:c r="L2633" s="28" t="n">
        <x:v>0</x:v>
      </x:c>
      <x:c r="M2633" s="28" t="n">
        <x:v>0</x:v>
      </x:c>
      <x:c r="N2633" s="28" t="n">
        <x:v>4.656612873077393e-10</x:v>
      </x:c>
      <x:c r="O2633" s="28" t="n">
        <x:v>0</x:v>
      </x:c>
      <x:c r="P2633" s="28" t="n">
        <x:v>0</x:v>
      </x:c>
      <x:c r="Q2633" s="62" t="b">
        <x:v>1</x:v>
      </x:c>
      <x:c r="R2633" s="28" t="n">
        <x:v>0</x:v>
      </x:c>
      <x:c r="S2633" s="28" t="str">
        <x:v>b8095e103ccdc4ca</x:v>
      </x:c>
    </x:row>
    <x:row r="2634" ht="21" customHeight="1">
      <x:c r="A2634" s="60" t="n">
        <x:v>0.7</x:v>
      </x:c>
      <x:c r="B2634" s="28" t="str">
        <x:v>middle_high</x:v>
      </x:c>
      <x:c r="C2634" s="60" t="n">
        <x:v>0.05</x:v>
      </x:c>
      <x:c r="D2634" s="60" t="n">
        <x:v>0.05</x:v>
      </x:c>
      <x:c r="E2634" s="62" t="b">
        <x:v>1</x:v>
      </x:c>
      <x:c r="F2634" s="62" t="b">
        <x:v>1</x:v>
      </x:c>
      <x:c r="G2634" s="85" t="n">
        <x:v>0</x:v>
      </x:c>
      <x:c r="H2634" s="85" t="n">
        <x:v>0</x:v>
      </x:c>
      <x:c r="I2634" s="85" t="n">
        <x:v>0</x:v>
      </x:c>
      <x:c r="J2634" s="85" t="n">
        <x:v>0</x:v>
      </x:c>
      <x:c r="K2634" s="85" t="n">
        <x:v>5330599.162626663</x:v>
      </x:c>
      <x:c r="L2634" s="28" t="n">
        <x:v>0</x:v>
      </x:c>
      <x:c r="M2634" s="28" t="n">
        <x:v>0</x:v>
      </x:c>
      <x:c r="N2634" s="28" t="n">
        <x:v>9.313225746154785e-10</x:v>
      </x:c>
      <x:c r="O2634" s="28" t="n">
        <x:v>7.450580596923828e-9</x:v>
      </x:c>
      <x:c r="P2634" s="28" t="n">
        <x:v>0</x:v>
      </x:c>
      <x:c r="Q2634" s="62" t="b">
        <x:v>1</x:v>
      </x:c>
      <x:c r="R2634" s="28" t="n">
        <x:v>0</x:v>
      </x:c>
      <x:c r="S2634" s="28" t="str">
        <x:v>69337dfd3e0bdcc4</x:v>
      </x:c>
    </x:row>
    <x:row r="2635" ht="21" customHeight="1">
      <x:c r="A2635" s="60" t="n">
        <x:v>0.7</x:v>
      </x:c>
      <x:c r="B2635" s="28" t="str">
        <x:v>middle_high</x:v>
      </x:c>
      <x:c r="C2635" s="60" t="n">
        <x:v>0.1</x:v>
      </x:c>
      <x:c r="D2635" s="60" t="n">
        <x:v>0.1</x:v>
      </x:c>
      <x:c r="E2635" s="62" t="b">
        <x:v>1</x:v>
      </x:c>
      <x:c r="F2635" s="62" t="b">
        <x:v>1</x:v>
      </x:c>
      <x:c r="G2635" s="85" t="n">
        <x:v>0</x:v>
      </x:c>
      <x:c r="H2635" s="85" t="n">
        <x:v>0</x:v>
      </x:c>
      <x:c r="I2635" s="85" t="n">
        <x:v>0</x:v>
      </x:c>
      <x:c r="J2635" s="85" t="n">
        <x:v>0</x:v>
      </x:c>
      <x:c r="K2635" s="85" t="n">
        <x:v>2827361.8720582416</x:v>
      </x:c>
      <x:c r="L2635" s="28" t="n">
        <x:v>0</x:v>
      </x:c>
      <x:c r="M2635" s="28" t="n">
        <x:v>0</x:v>
      </x:c>
      <x:c r="N2635" s="28" t="n">
        <x:v>4.656612873077393e-10</x:v>
      </x:c>
      <x:c r="O2635" s="28" t="n">
        <x:v>7.450580596923828e-9</x:v>
      </x:c>
      <x:c r="P2635" s="28" t="n">
        <x:v>0</x:v>
      </x:c>
      <x:c r="Q2635" s="62" t="b">
        <x:v>1</x:v>
      </x:c>
      <x:c r="R2635" s="28" t="n">
        <x:v>0</x:v>
      </x:c>
      <x:c r="S2635" s="28" t="str">
        <x:v>f0bc84f02371e76b</x:v>
      </x:c>
    </x:row>
    <x:row r="2636" ht="21" customHeight="1">
      <x:c r="A2636" s="60" t="n">
        <x:v>0.7</x:v>
      </x:c>
      <x:c r="B2636" s="28" t="str">
        <x:v>middle_high</x:v>
      </x:c>
      <x:c r="C2636" s="60" t="n">
        <x:v>0.15</x:v>
      </x:c>
      <x:c r="D2636" s="60" t="n">
        <x:v>0.15</x:v>
      </x:c>
      <x:c r="E2636" s="62" t="b">
        <x:v>1</x:v>
      </x:c>
      <x:c r="F2636" s="62" t="b">
        <x:v>1</x:v>
      </x:c>
      <x:c r="G2636" s="85" t="n">
        <x:v>0</x:v>
      </x:c>
      <x:c r="H2636" s="85" t="n">
        <x:v>0</x:v>
      </x:c>
      <x:c r="I2636" s="85" t="n">
        <x:v>441577.4188532366</x:v>
      </x:c>
      <x:c r="J2636" s="85" t="n">
        <x:v>0</x:v>
      </x:c>
      <x:c r="K2636" s="85" t="n">
        <x:v>800654.1349230477</x:v>
      </x:c>
      <x:c r="L2636" s="28" t="n">
        <x:v>0</x:v>
      </x:c>
      <x:c r="M2636" s="28" t="n">
        <x:v>0</x:v>
      </x:c>
      <x:c r="N2636" s="28" t="n">
        <x:v>9.313225746154785e-10</x:v>
      </x:c>
      <x:c r="O2636" s="28" t="n">
        <x:v>7.450580596923828e-9</x:v>
      </x:c>
      <x:c r="P2636" s="28" t="n">
        <x:v>0</x:v>
      </x:c>
      <x:c r="Q2636" s="62" t="b">
        <x:v>1</x:v>
      </x:c>
      <x:c r="R2636" s="28" t="n">
        <x:v>0</x:v>
      </x:c>
      <x:c r="S2636" s="28" t="str">
        <x:v>d4ed464d5b2d8ed4</x:v>
      </x:c>
    </x:row>
    <x:row r="2637" ht="21" customHeight="1">
      <x:c r="A2637" s="60" t="n">
        <x:v>0.7</x:v>
      </x:c>
      <x:c r="B2637" s="28" t="str">
        <x:v>middle_high</x:v>
      </x:c>
      <x:c r="C2637" s="60" t="n">
        <x:v>0.2</x:v>
      </x:c>
      <x:c r="D2637" s="60" t="n">
        <x:v>0.2</x:v>
      </x:c>
      <x:c r="E2637" s="62" t="b">
        <x:v>1</x:v>
      </x:c>
      <x:c r="F2637" s="62" t="b">
        <x:v>1</x:v>
      </x:c>
      <x:c r="G2637" s="85" t="n">
        <x:v>0</x:v>
      </x:c>
      <x:c r="H2637" s="85" t="n">
        <x:v>0</x:v>
      </x:c>
      <x:c r="I2637" s="85" t="n">
        <x:v>2266259.6091659535</x:v>
      </x:c>
      <x:c r="J2637" s="85" t="n">
        <x:v>1253157.2790409059</x:v>
      </x:c>
      <x:c r="K2637" s="85" t="n">
        <x:v>632072.8216324759</x:v>
      </x:c>
      <x:c r="L2637" s="28" t="n">
        <x:v>0</x:v>
      </x:c>
      <x:c r="M2637" s="28" t="n">
        <x:v>0</x:v>
      </x:c>
      <x:c r="N2637" s="28" t="n">
        <x:v>4.656612873077393e-10</x:v>
      </x:c>
      <x:c r="O2637" s="28" t="n">
        <x:v>7.450580596923828e-9</x:v>
      </x:c>
      <x:c r="P2637" s="28" t="n">
        <x:v>0</x:v>
      </x:c>
      <x:c r="Q2637" s="62" t="b">
        <x:v>1</x:v>
      </x:c>
      <x:c r="R2637" s="28" t="n">
        <x:v>0</x:v>
      </x:c>
      <x:c r="S2637" s="28" t="str">
        <x:v>859ff286299ce64f</x:v>
      </x:c>
    </x:row>
    <x:row r="2638" ht="21" customHeight="1">
      <x:c r="A2638" s="60" t="n">
        <x:v>0.7</x:v>
      </x:c>
      <x:c r="B2638" s="28" t="str">
        <x:v>middle_high</x:v>
      </x:c>
      <x:c r="C2638" s="60" t="n">
        <x:v>0.25</x:v>
      </x:c>
      <x:c r="D2638" s="60" t="n">
        <x:v>0.25</x:v>
      </x:c>
      <x:c r="E2638" s="62" t="b">
        <x:v>1</x:v>
      </x:c>
      <x:c r="F2638" s="62" t="b">
        <x:v>1</x:v>
      </x:c>
      <x:c r="G2638" s="85" t="n">
        <x:v>0</x:v>
      </x:c>
      <x:c r="H2638" s="85" t="n">
        <x:v>0</x:v>
      </x:c>
      <x:c r="I2638" s="85" t="n">
        <x:v>3886225.6672098157</x:v>
      </x:c>
      <x:c r="J2638" s="85" t="n">
        <x:v>2960046.5988011523</x:v>
      </x:c>
      <x:c r="K2638" s="85" t="n">
        <x:v>519605.12501191755</x:v>
      </x:c>
      <x:c r="L2638" s="28" t="n">
        <x:v>0</x:v>
      </x:c>
      <x:c r="M2638" s="28" t="n">
        <x:v>0</x:v>
      </x:c>
      <x:c r="N2638" s="28" t="n">
        <x:v>4.656612873077393e-10</x:v>
      </x:c>
      <x:c r="O2638" s="28" t="n">
        <x:v>7.450580596923828e-9</x:v>
      </x:c>
      <x:c r="P2638" s="28" t="n">
        <x:v>0</x:v>
      </x:c>
      <x:c r="Q2638" s="62" t="b">
        <x:v>1</x:v>
      </x:c>
      <x:c r="R2638" s="28" t="n">
        <x:v>0</x:v>
      </x:c>
      <x:c r="S2638" s="28" t="str">
        <x:v>b52dbf03e360f9e6</x:v>
      </x:c>
    </x:row>
    <x:row r="2639" ht="21" customHeight="1">
      <x:c r="A2639" s="60" t="n">
        <x:v>0.7</x:v>
      </x:c>
      <x:c r="B2639" s="28" t="str">
        <x:v>middle_high</x:v>
      </x:c>
      <x:c r="C2639" s="60" t="n">
        <x:v>0.3</x:v>
      </x:c>
      <x:c r="D2639" s="60" t="n">
        <x:v>0.3</x:v>
      </x:c>
      <x:c r="E2639" s="62" t="b">
        <x:v>1</x:v>
      </x:c>
      <x:c r="F2639" s="62" t="b">
        <x:v>1</x:v>
      </x:c>
      <x:c r="G2639" s="85" t="n">
        <x:v>0</x:v>
      </x:c>
      <x:c r="H2639" s="85" t="n">
        <x:v>0</x:v>
      </x:c>
      <x:c r="I2639" s="85" t="n">
        <x:v>5649100.261216278</x:v>
      </x:c>
      <x:c r="J2639" s="85" t="n">
        <x:v>3954399.7012027474</x:v>
      </x:c>
      <x:c r="K2639" s="85" t="n">
        <x:v>428642.0306718365</x:v>
      </x:c>
      <x:c r="L2639" s="28" t="n">
        <x:v>3</x:v>
      </x:c>
      <x:c r="M2639" s="28" t="n">
        <x:v>0</x:v>
      </x:c>
      <x:c r="N2639" s="28" t="n">
        <x:v>9.313225746154785e-10</x:v>
      </x:c>
      <x:c r="O2639" s="28" t="n">
        <x:v>7.450580596923828e-9</x:v>
      </x:c>
      <x:c r="P2639" s="28" t="n">
        <x:v>0</x:v>
      </x:c>
      <x:c r="Q2639" s="62" t="b">
        <x:v>1</x:v>
      </x:c>
      <x:c r="R2639" s="28" t="n">
        <x:v>0</x:v>
      </x:c>
      <x:c r="S2639" s="28" t="str">
        <x:v>9237a35073279c7a</x:v>
      </x:c>
    </x:row>
    <x:row r="2640" ht="21" customHeight="1">
      <x:c r="A2640" s="60" t="n">
        <x:v>0.7</x:v>
      </x:c>
      <x:c r="B2640" s="28" t="str">
        <x:v>middle_high</x:v>
      </x:c>
      <x:c r="C2640" s="60" t="n">
        <x:v>0.35</x:v>
      </x:c>
      <x:c r="D2640" s="60" t="n">
        <x:v>0.35</x:v>
      </x:c>
      <x:c r="E2640" s="62" t="b">
        <x:v>1</x:v>
      </x:c>
      <x:c r="F2640" s="62" t="b">
        <x:v>1</x:v>
      </x:c>
      <x:c r="G2640" s="85" t="n">
        <x:v>0</x:v>
      </x:c>
      <x:c r="H2640" s="85" t="n">
        <x:v>0</x:v>
      </x:c>
      <x:c r="I2640" s="85" t="n">
        <x:v>7412680.158563096</x:v>
      </x:c>
      <x:c r="J2640" s="85" t="n">
        <x:v>4816513.2471684</x:v>
      </x:c>
      <x:c r="K2640" s="85" t="n">
        <x:v>363984.75079367205</x:v>
      </x:c>
      <x:c r="L2640" s="28" t="n">
        <x:v>7</x:v>
      </x:c>
      <x:c r="M2640" s="28" t="n">
        <x:v>0</x:v>
      </x:c>
      <x:c r="N2640" s="28" t="n">
        <x:v>9.313225746154785e-10</x:v>
      </x:c>
      <x:c r="O2640" s="28" t="n">
        <x:v>7.450580596923828e-9</x:v>
      </x:c>
      <x:c r="P2640" s="28" t="n">
        <x:v>0</x:v>
      </x:c>
      <x:c r="Q2640" s="62" t="b">
        <x:v>1</x:v>
      </x:c>
      <x:c r="R2640" s="28" t="n">
        <x:v>0</x:v>
      </x:c>
      <x:c r="S2640" s="28" t="str">
        <x:v>367a22929db3715a</x:v>
      </x:c>
    </x:row>
    <x:row r="2641" ht="21" customHeight="1">
      <x:c r="A2641" s="60" t="n">
        <x:v>0.7</x:v>
      </x:c>
      <x:c r="B2641" s="28" t="str">
        <x:v>middle_high</x:v>
      </x:c>
      <x:c r="C2641" s="60" t="n">
        <x:v>0.4</x:v>
      </x:c>
      <x:c r="D2641" s="60" t="n">
        <x:v>0.4</x:v>
      </x:c>
      <x:c r="E2641" s="62" t="b">
        <x:v>1</x:v>
      </x:c>
      <x:c r="F2641" s="62" t="b">
        <x:v>1</x:v>
      </x:c>
      <x:c r="G2641" s="85" t="n">
        <x:v>0</x:v>
      </x:c>
      <x:c r="H2641" s="85" t="n">
        <x:v>0</x:v>
      </x:c>
      <x:c r="I2641" s="85" t="n">
        <x:v>9162813.709505685</x:v>
      </x:c>
      <x:c r="J2641" s="85" t="n">
        <x:v>5885927.511506262</x:v>
      </x:c>
      <x:c r="K2641" s="85" t="n">
        <x:v>311818.4006722182</x:v>
      </x:c>
      <x:c r="L2641" s="28" t="n">
        <x:v>11</x:v>
      </x:c>
      <x:c r="M2641" s="28" t="n">
        <x:v>0</x:v>
      </x:c>
      <x:c r="N2641" s="28" t="n">
        <x:v>4.656612873077393e-10</x:v>
      </x:c>
      <x:c r="O2641" s="28" t="n">
        <x:v>3.725290298461914e-9</x:v>
      </x:c>
      <x:c r="P2641" s="28" t="n">
        <x:v>0</x:v>
      </x:c>
      <x:c r="Q2641" s="62" t="b">
        <x:v>1</x:v>
      </x:c>
      <x:c r="R2641" s="28" t="n">
        <x:v>0</x:v>
      </x:c>
      <x:c r="S2641" s="28" t="str">
        <x:v>c1f10b557c388a09</x:v>
      </x:c>
    </x:row>
    <x:row r="2642" ht="21" customHeight="1">
      <x:c r="A2642" s="60" t="n">
        <x:v>0.7</x:v>
      </x:c>
      <x:c r="B2642" s="28" t="str">
        <x:v>middle_high</x:v>
      </x:c>
      <x:c r="C2642" s="60" t="n">
        <x:v>0.45</x:v>
      </x:c>
      <x:c r="D2642" s="60" t="n">
        <x:v>0.45</x:v>
      </x:c>
      <x:c r="E2642" s="62" t="b">
        <x:v>1</x:v>
      </x:c>
      <x:c r="F2642" s="62" t="b">
        <x:v>1</x:v>
      </x:c>
      <x:c r="G2642" s="85" t="n">
        <x:v>0</x:v>
      </x:c>
      <x:c r="H2642" s="85" t="n">
        <x:v>0</x:v>
      </x:c>
      <x:c r="I2642" s="85" t="n">
        <x:v>10871960.536289671</x:v>
      </x:c>
      <x:c r="J2642" s="85" t="n">
        <x:v>7400264.499275668</x:v>
      </x:c>
      <x:c r="K2642" s="85" t="n">
        <x:v>270937.11479452136</x:v>
      </x:c>
      <x:c r="L2642" s="28" t="n">
        <x:v>15</x:v>
      </x:c>
      <x:c r="M2642" s="28" t="n">
        <x:v>1</x:v>
      </x:c>
      <x:c r="N2642" s="28" t="n">
        <x:v>9.313225746154785e-10</x:v>
      </x:c>
      <x:c r="O2642" s="28" t="n">
        <x:v>1.862645149230957e-9</x:v>
      </x:c>
      <x:c r="P2642" s="28" t="n">
        <x:v>0</x:v>
      </x:c>
      <x:c r="Q2642" s="62" t="b">
        <x:v>1</x:v>
      </x:c>
      <x:c r="R2642" s="28" t="n">
        <x:v>0</x:v>
      </x:c>
      <x:c r="S2642" s="28" t="str">
        <x:v>74952ed4ea24f525</x:v>
      </x:c>
    </x:row>
    <x:row r="2643" ht="21" customHeight="1">
      <x:c r="A2643" s="60" t="n">
        <x:v>0.7</x:v>
      </x:c>
      <x:c r="B2643" s="28" t="str">
        <x:v>middle_high</x:v>
      </x:c>
      <x:c r="C2643" s="60" t="n">
        <x:v>0.5</x:v>
      </x:c>
      <x:c r="D2643" s="60" t="n">
        <x:v>0.5</x:v>
      </x:c>
      <x:c r="E2643" s="62" t="b">
        <x:v>1</x:v>
      </x:c>
      <x:c r="F2643" s="62" t="b">
        <x:v>1</x:v>
      </x:c>
      <x:c r="G2643" s="85" t="n">
        <x:v>0</x:v>
      </x:c>
      <x:c r="H2643" s="85" t="n">
        <x:v>0</x:v>
      </x:c>
      <x:c r="I2643" s="85" t="n">
        <x:v>12512393.736049728</x:v>
      </x:c>
      <x:c r="J2643" s="85" t="n">
        <x:v>9525213.756970122</x:v>
      </x:c>
      <x:c r="K2643" s="85" t="n">
        <x:v>246980.81643835636</x:v>
      </x:c>
      <x:c r="L2643" s="28" t="n">
        <x:v>19</x:v>
      </x:c>
      <x:c r="M2643" s="28" t="n">
        <x:v>11</x:v>
      </x:c>
      <x:c r="N2643" s="28" t="n">
        <x:v>9.313225746154785e-10</x:v>
      </x:c>
      <x:c r="O2643" s="28" t="n">
        <x:v>7.450580596923828e-9</x:v>
      </x:c>
      <x:c r="P2643" s="28" t="n">
        <x:v>0</x:v>
      </x:c>
      <x:c r="Q2643" s="62" t="b">
        <x:v>1</x:v>
      </x:c>
      <x:c r="R2643" s="28" t="n">
        <x:v>0</x:v>
      </x:c>
      <x:c r="S2643" s="28" t="str">
        <x:v>672d92466ef0e359</x:v>
      </x:c>
    </x:row>
    <x:row r="2644" ht="21" customHeight="1">
      <x:c r="A2644" s="60" t="n">
        <x:v>0.7</x:v>
      </x:c>
      <x:c r="B2644" s="28" t="str">
        <x:v>middle_high</x:v>
      </x:c>
      <x:c r="C2644" s="60" t="n">
        <x:v>0.55</x:v>
      </x:c>
      <x:c r="D2644" s="60" t="n">
        <x:v>0.55</x:v>
      </x:c>
      <x:c r="E2644" s="62" t="b">
        <x:v>1</x:v>
      </x:c>
      <x:c r="F2644" s="62" t="b">
        <x:v>0</x:v>
      </x:c>
      <x:c r="G2644" s="85" t="n">
        <x:v>154921.37888330306</x:v>
      </x:c>
      <x:c r="H2644" s="85" t="n">
        <x:v>480090.92123206117</x:v>
      </x:c>
      <x:c r="I2644" s="85" t="n">
        <x:v>13801162.270100692</x:v>
      </x:c>
      <x:c r="J2644" s="85" t="n">
        <x:v>11148800.000000002</x:v>
      </x:c>
      <x:c r="K2644" s="85" t="n">
        <x:v>223024.5180821916</x:v>
      </x:c>
      <x:c r="L2644" s="28" t="n">
        <x:v>43</x:v>
      </x:c>
      <x:c r="M2644" s="28" t="n">
        <x:v>36</x:v>
      </x:c>
      <x:c r="N2644" s="28" t="n">
        <x:v>4.656612873077393e-10</x:v>
      </x:c>
      <x:c r="O2644" s="28" t="n">
        <x:v>7.450580596923828e-9</x:v>
      </x:c>
      <x:c r="P2644" s="28" t="n">
        <x:v>0</x:v>
      </x:c>
      <x:c r="Q2644" s="62" t="b">
        <x:v>1</x:v>
      </x:c>
      <x:c r="R2644" s="28" t="n">
        <x:v>0</x:v>
      </x:c>
      <x:c r="S2644" s="28" t="str">
        <x:v>0226d9f482eb15be</x:v>
      </x:c>
    </x:row>
    <x:row r="2645" ht="21" customHeight="1">
      <x:c r="A2645" s="60" t="n">
        <x:v>0.7</x:v>
      </x:c>
      <x:c r="B2645" s="28" t="str">
        <x:v>middle_high</x:v>
      </x:c>
      <x:c r="C2645" s="60" t="n">
        <x:v>0.6</x:v>
      </x:c>
      <x:c r="D2645" s="60" t="n">
        <x:v>0.6</x:v>
      </x:c>
      <x:c r="E2645" s="62" t="b">
        <x:v>1</x:v>
      </x:c>
      <x:c r="F2645" s="62" t="b">
        <x:v>0</x:v>
      </x:c>
      <x:c r="G2645" s="85" t="n">
        <x:v>1073278.8388672587</x:v>
      </x:c>
      <x:c r="H2645" s="85" t="n">
        <x:v>3404508.0570550933</x:v>
      </x:c>
      <x:c r="I2645" s="85" t="n">
        <x:v>13814075.453509597</x:v>
      </x:c>
      <x:c r="J2645" s="85" t="n">
        <x:v>11148800.000000002</x:v>
      </x:c>
      <x:c r="K2645" s="85" t="n">
        <x:v>199068.21972602754</x:v>
      </x:c>
      <x:c r="L2645" s="28" t="n">
        <x:v>43</x:v>
      </x:c>
      <x:c r="M2645" s="28" t="n">
        <x:v>38</x:v>
      </x:c>
      <x:c r="N2645" s="28" t="n">
        <x:v>4.656612873077393e-10</x:v>
      </x:c>
      <x:c r="O2645" s="28" t="n">
        <x:v>3.725290298461914e-9</x:v>
      </x:c>
      <x:c r="P2645" s="28" t="n">
        <x:v>0</x:v>
      </x:c>
      <x:c r="Q2645" s="62" t="b">
        <x:v>1</x:v>
      </x:c>
      <x:c r="R2645" s="28" t="n">
        <x:v>0</x:v>
      </x:c>
      <x:c r="S2645" s="28" t="str">
        <x:v>bb7de712a827939f</x:v>
      </x:c>
    </x:row>
    <x:row r="2646" ht="21" customHeight="1">
      <x:c r="A2646" s="60" t="n">
        <x:v>0.7</x:v>
      </x:c>
      <x:c r="B2646" s="28" t="str">
        <x:v>middle_high</x:v>
      </x:c>
      <x:c r="C2646" s="60" t="n">
        <x:v>0.65</x:v>
      </x:c>
      <x:c r="D2646" s="60" t="n">
        <x:v>0.65</x:v>
      </x:c>
      <x:c r="E2646" s="62" t="b">
        <x:v>1</x:v>
      </x:c>
      <x:c r="F2646" s="62" t="b">
        <x:v>0</x:v>
      </x:c>
      <x:c r="G2646" s="85" t="n">
        <x:v>1868734.6621143895</x:v>
      </x:c>
      <x:c r="H2646" s="85" t="n">
        <x:v>5644275.802223576</x:v>
      </x:c>
      <x:c r="I2646" s="85" t="n">
        <x:v>14113769.906849323</x:v>
      </x:c>
      <x:c r="J2646" s="85" t="n">
        <x:v>11148800.000000002</x:v>
      </x:c>
      <x:c r="K2646" s="85" t="n">
        <x:v>175111.92136986327</x:v>
      </x:c>
      <x:c r="L2646" s="28" t="n">
        <x:v>44</x:v>
      </x:c>
      <x:c r="M2646" s="28" t="n">
        <x:v>38</x:v>
      </x:c>
      <x:c r="N2646" s="28" t="n">
        <x:v>4.656612873077393e-10</x:v>
      </x:c>
      <x:c r="O2646" s="28" t="n">
        <x:v>1.862645149230957e-9</x:v>
      </x:c>
      <x:c r="P2646" s="28" t="n">
        <x:v>0</x:v>
      </x:c>
      <x:c r="Q2646" s="62" t="b">
        <x:v>1</x:v>
      </x:c>
      <x:c r="R2646" s="28" t="n">
        <x:v>0</x:v>
      </x:c>
      <x:c r="S2646" s="28" t="str">
        <x:v>13bbf67fe16c149d</x:v>
      </x:c>
    </x:row>
    <x:row r="2647" ht="21" customHeight="1">
      <x:c r="A2647" s="60" t="n">
        <x:v>0.7</x:v>
      </x:c>
      <x:c r="B2647" s="28" t="str">
        <x:v>middle_high</x:v>
      </x:c>
      <x:c r="C2647" s="60" t="n">
        <x:v>0.7</x:v>
      </x:c>
      <x:c r="D2647" s="60" t="n">
        <x:v>0.7</x:v>
      </x:c>
      <x:c r="E2647" s="62" t="b">
        <x:v>1</x:v>
      </x:c>
      <x:c r="F2647" s="62" t="b">
        <x:v>0</x:v>
      </x:c>
      <x:c r="G2647" s="85" t="n">
        <x:v>2792261.313703483</x:v>
      </x:c>
      <x:c r="H2647" s="85" t="n">
        <x:v>8348045.728380922</x:v>
      </x:c>
      <x:c r="I2647" s="85" t="n">
        <x:v>14113769.906849323</x:v>
      </x:c>
      <x:c r="J2647" s="85" t="n">
        <x:v>11148800.000000002</x:v>
      </x:c>
      <x:c r="K2647" s="85" t="n">
        <x:v>155516.09030136903</x:v>
      </x:c>
      <x:c r="L2647" s="28" t="n">
        <x:v>44</x:v>
      </x:c>
      <x:c r="M2647" s="28" t="n">
        <x:v>40</x:v>
      </x:c>
      <x:c r="N2647" s="28" t="n">
        <x:v>4.656612873077393e-10</x:v>
      </x:c>
      <x:c r="O2647" s="28" t="n">
        <x:v>3.725290298461914e-9</x:v>
      </x:c>
      <x:c r="P2647" s="28" t="n">
        <x:v>0</x:v>
      </x:c>
      <x:c r="Q2647" s="62" t="b">
        <x:v>1</x:v>
      </x:c>
      <x:c r="R2647" s="28" t="n">
        <x:v>0</x:v>
      </x:c>
      <x:c r="S2647" s="28" t="str">
        <x:v>431663d2091b7698</x:v>
      </x:c>
    </x:row>
    <x:row r="2648" ht="21" customHeight="1">
      <x:c r="A2648" s="60" t="n">
        <x:v>0.7</x:v>
      </x:c>
      <x:c r="B2648" s="28" t="str">
        <x:v>middle_high</x:v>
      </x:c>
      <x:c r="C2648" s="60" t="n">
        <x:v>0.75</x:v>
      </x:c>
      <x:c r="D2648" s="60" t="n">
        <x:v>0.75</x:v>
      </x:c>
      <x:c r="E2648" s="62" t="b">
        <x:v>1</x:v>
      </x:c>
      <x:c r="F2648" s="62" t="b">
        <x:v>0</x:v>
      </x:c>
      <x:c r="G2648" s="85" t="n">
        <x:v>3888612.5417289156</x:v>
      </x:c>
      <x:c r="H2648" s="85" t="n">
        <x:v>10831563.12947952</x:v>
      </x:c>
      <x:c r="I2648" s="85" t="n">
        <x:v>14113769.906849323</x:v>
      </x:c>
      <x:c r="J2648" s="85" t="n">
        <x:v>11148800.000000002</x:v>
      </x:c>
      <x:c r="K2648" s="85" t="n">
        <x:v>141147.0287671239</x:v>
      </x:c>
      <x:c r="L2648" s="28" t="n">
        <x:v>44</x:v>
      </x:c>
      <x:c r="M2648" s="28" t="n">
        <x:v>40</x:v>
      </x:c>
      <x:c r="N2648" s="28" t="n">
        <x:v>4.656612873077393e-10</x:v>
      </x:c>
      <x:c r="O2648" s="28" t="n">
        <x:v>3.725290298461914e-9</x:v>
      </x:c>
      <x:c r="P2648" s="28" t="n">
        <x:v>0</x:v>
      </x:c>
      <x:c r="Q2648" s="62" t="b">
        <x:v>1</x:v>
      </x:c>
      <x:c r="R2648" s="28" t="n">
        <x:v>0</x:v>
      </x:c>
      <x:c r="S2648" s="28" t="str">
        <x:v>6b7044efb51c262c</x:v>
      </x:c>
    </x:row>
    <x:row r="2649" ht="21" customHeight="1">
      <x:c r="A2649" s="60" t="n">
        <x:v>0.7</x:v>
      </x:c>
      <x:c r="B2649" s="28" t="str">
        <x:v>middle_high</x:v>
      </x:c>
      <x:c r="C2649" s="60" t="n">
        <x:v>0.8</x:v>
      </x:c>
      <x:c r="D2649" s="60" t="n">
        <x:v>0.8</x:v>
      </x:c>
      <x:c r="E2649" s="62" t="b">
        <x:v>1</x:v>
      </x:c>
      <x:c r="F2649" s="62" t="b">
        <x:v>0</x:v>
      </x:c>
      <x:c r="G2649" s="85" t="n">
        <x:v>4732492.87766254</x:v>
      </x:c>
      <x:c r="H2649" s="85" t="n">
        <x:v>12813222.001091452</x:v>
      </x:c>
      <x:c r="I2649" s="85" t="n">
        <x:v>14436932.383561652</x:v>
      </x:c>
      <x:c r="J2649" s="85" t="n">
        <x:v>11148800.000000002</x:v>
      </x:c>
      <x:c r="K2649" s="85" t="n">
        <x:v>126777.96723287666</x:v>
      </x:c>
      <x:c r="L2649" s="28" t="n">
        <x:v>45</x:v>
      </x:c>
      <x:c r="M2649" s="28" t="n">
        <x:v>40</x:v>
      </x:c>
      <x:c r="N2649" s="28" t="n">
        <x:v>4.656612873077393e-10</x:v>
      </x:c>
      <x:c r="O2649" s="28" t="n">
        <x:v>1.862645149230957e-9</x:v>
      </x:c>
      <x:c r="P2649" s="28" t="n">
        <x:v>0</x:v>
      </x:c>
      <x:c r="Q2649" s="62" t="b">
        <x:v>1</x:v>
      </x:c>
      <x:c r="R2649" s="28" t="n">
        <x:v>0</x:v>
      </x:c>
      <x:c r="S2649" s="28" t="str">
        <x:v>1a49379152f8d2d1</x:v>
      </x:c>
    </x:row>
    <x:row r="2650" ht="21" customHeight="1">
      <x:c r="A2650" s="60" t="n">
        <x:v>0.7</x:v>
      </x:c>
      <x:c r="B2650" s="28" t="str">
        <x:v>middle_high</x:v>
      </x:c>
      <x:c r="C2650" s="60" t="n">
        <x:v>0.85</x:v>
      </x:c>
      <x:c r="D2650" s="60" t="n">
        <x:v>0.85</x:v>
      </x:c>
      <x:c r="E2650" s="62" t="b">
        <x:v>1</x:v>
      </x:c>
      <x:c r="F2650" s="62" t="b">
        <x:v>0</x:v>
      </x:c>
      <x:c r="G2650" s="85" t="n">
        <x:v>5822626.389153176</x:v>
      </x:c>
      <x:c r="H2650" s="85" t="n">
        <x:v>15303872.244091392</x:v>
      </x:c>
      <x:c r="I2650" s="85" t="n">
        <x:v>14436932.383561652</x:v>
      </x:c>
      <x:c r="J2650" s="85" t="n">
        <x:v>11148800.000000002</x:v>
      </x:c>
      <x:c r="K2650" s="85" t="n">
        <x:v>118358.84564383549</x:v>
      </x:c>
      <x:c r="L2650" s="28" t="n">
        <x:v>45</x:v>
      </x:c>
      <x:c r="M2650" s="28" t="n">
        <x:v>41</x:v>
      </x:c>
      <x:c r="N2650" s="28" t="n">
        <x:v>4.656612873077393e-10</x:v>
      </x:c>
      <x:c r="O2650" s="28" t="n">
        <x:v>3.725290298461914e-9</x:v>
      </x:c>
      <x:c r="P2650" s="28" t="n">
        <x:v>0</x:v>
      </x:c>
      <x:c r="Q2650" s="62" t="b">
        <x:v>1</x:v>
      </x:c>
      <x:c r="R2650" s="28" t="n">
        <x:v>0</x:v>
      </x:c>
      <x:c r="S2650" s="28" t="str">
        <x:v>6e44e49ab2d95592</x:v>
      </x:c>
    </x:row>
    <x:row r="2651" ht="21" customHeight="1">
      <x:c r="A2651" s="60" t="n">
        <x:v>0.7</x:v>
      </x:c>
      <x:c r="B2651" s="28" t="str">
        <x:v>middle_high</x:v>
      </x:c>
      <x:c r="C2651" s="60" t="n">
        <x:v>0.9</x:v>
      </x:c>
      <x:c r="D2651" s="60" t="n">
        <x:v>0.9</x:v>
      </x:c>
      <x:c r="E2651" s="62" t="b">
        <x:v>1</x:v>
      </x:c>
      <x:c r="F2651" s="62" t="b">
        <x:v>0</x:v>
      </x:c>
      <x:c r="G2651" s="85" t="n">
        <x:v>7387740.72257858</x:v>
      </x:c>
      <x:c r="H2651" s="85" t="n">
        <x:v>16822732.224811703</x:v>
      </x:c>
      <x:c r="I2651" s="85" t="n">
        <x:v>14436932.383561652</x:v>
      </x:c>
      <x:c r="J2651" s="85" t="n">
        <x:v>11148800.000000002</x:v>
      </x:c>
      <x:c r="K2651" s="85" t="n">
        <x:v>111128.63627397275</x:v>
      </x:c>
      <x:c r="L2651" s="28" t="n">
        <x:v>45</x:v>
      </x:c>
      <x:c r="M2651" s="28" t="n">
        <x:v>41</x:v>
      </x:c>
      <x:c r="N2651" s="28" t="n">
        <x:v>4.656612873077393e-10</x:v>
      </x:c>
      <x:c r="O2651" s="28" t="n">
        <x:v>3.725290298461914e-9</x:v>
      </x:c>
      <x:c r="P2651" s="28" t="n">
        <x:v>0</x:v>
      </x:c>
      <x:c r="Q2651" s="62" t="b">
        <x:v>1</x:v>
      </x:c>
      <x:c r="R2651" s="28" t="n">
        <x:v>0</x:v>
      </x:c>
      <x:c r="S2651" s="28" t="str">
        <x:v>ec6f1b24962ee11a</x:v>
      </x:c>
    </x:row>
    <x:row r="2652" ht="21" customHeight="1">
      <x:c r="A2652" s="60" t="n">
        <x:v>0.7</x:v>
      </x:c>
      <x:c r="B2652" s="28" t="str">
        <x:v>middle_high</x:v>
      </x:c>
      <x:c r="C2652" s="60" t="n">
        <x:v>0.95</x:v>
      </x:c>
      <x:c r="D2652" s="60" t="n">
        <x:v>0.9270639118581285</x:v>
      </x:c>
      <x:c r="E2652" s="62" t="b">
        <x:v>0</x:v>
      </x:c>
      <x:c r="F2652" s="62" t="b">
        <x:v>0</x:v>
      </x:c>
      <x:c r="G2652" s="85" t="n">
        <x:v>8104243.376818374</x:v>
      </x:c>
      <x:c r="H2652" s="85" t="n">
        <x:v>17896161.966018613</x:v>
      </x:c>
      <x:c r="I2652" s="85" t="n">
        <x:v>14437685.975978091</x:v>
      </x:c>
      <x:c r="J2652" s="85" t="n">
        <x:v>11148800.000000002</x:v>
      </x:c>
      <x:c r="K2652" s="85" t="n">
        <x:v>103898.42690410954</x:v>
      </x:c>
      <x:c r="L2652" s="28" t="n">
        <x:v>45</x:v>
      </x:c>
      <x:c r="M2652" s="28" t="n">
        <x:v>42</x:v>
      </x:c>
      <x:c r="N2652" s="28" t="n">
        <x:v>4.656612873077393e-10</x:v>
      </x:c>
      <x:c r="O2652" s="28" t="n">
        <x:v>3.725290298461914e-9</x:v>
      </x:c>
      <x:c r="P2652" s="28" t="n">
        <x:v>0</x:v>
      </x:c>
      <x:c r="Q2652" s="62" t="b">
        <x:v>1</x:v>
      </x:c>
      <x:c r="R2652" s="28" t="n">
        <x:v>1278549.2973804846</x:v>
      </x:c>
      <x:c r="S2652" s="28" t="str">
        <x:v>2f2ac6ece91307e0</x:v>
      </x:c>
    </x:row>
    <x:row r="2653" ht="21" customHeight="1">
      <x:c r="A2653" s="60" t="n">
        <x:v>0.7</x:v>
      </x:c>
      <x:c r="B2653" s="28" t="str">
        <x:v>middle_high</x:v>
      </x:c>
      <x:c r="C2653" s="60" t="n">
        <x:v>1</x:v>
      </x:c>
      <x:c r="D2653" s="60" t="n">
        <x:v>0.9427455891708479</x:v>
      </x:c>
      <x:c r="E2653" s="62" t="b">
        <x:v>0</x:v>
      </x:c>
      <x:c r="F2653" s="62" t="b">
        <x:v>0</x:v>
      </x:c>
      <x:c r="G2653" s="85" t="n">
        <x:v>8782987.230240606</x:v>
      </x:c>
      <x:c r="H2653" s="85" t="n">
        <x:v>18595774.47708662</x:v>
      </x:c>
      <x:c r="I2653" s="85" t="n">
        <x:v>14444909.13139727</x:v>
      </x:c>
      <x:c r="J2653" s="85" t="n">
        <x:v>11148800.000000002</x:v>
      </x:c>
      <x:c r="K2653" s="85" t="n">
        <x:v>96668.21753424728</x:v>
      </x:c>
      <x:c r="L2653" s="28" t="n">
        <x:v>45</x:v>
      </x:c>
      <x:c r="M2653" s="28" t="n">
        <x:v>42</x:v>
      </x:c>
      <x:c r="N2653" s="28" t="n">
        <x:v>2.3283064365386963e-10</x:v>
      </x:c>
      <x:c r="O2653" s="28" t="n">
        <x:v>9.313225746154785e-10</x:v>
      </x:c>
      <x:c r="P2653" s="28" t="n">
        <x:v>0</x:v>
      </x:c>
      <x:c r="Q2653" s="62" t="b">
        <x:v>1</x:v>
      </x:c>
      <x:c r="R2653" s="28" t="n">
        <x:v>3191589.877260253</x:v>
      </x:c>
      <x:c r="S2653" s="28" t="str">
        <x:v>cc3e658949a1017a</x:v>
      </x:c>
    </x:row>
    <x:row r="2654" ht="21" customHeight="1">
      <x:c r="A2654" s="60" t="n">
        <x:v>0.7</x:v>
      </x:c>
      <x:c r="B2654" s="28" t="str">
        <x:v>back_flat</x:v>
      </x:c>
      <x:c r="C2654" s="60" t="n">
        <x:v>0</x:v>
      </x:c>
      <x:c r="D2654" s="60" t="n">
        <x:v>0</x:v>
      </x:c>
      <x:c r="E2654" s="62" t="b">
        <x:v>1</x:v>
      </x:c>
      <x:c r="F2654" s="62" t="b">
        <x:v>1</x:v>
      </x:c>
      <x:c r="G2654" s="85" t="n">
        <x:v>0</x:v>
      </x:c>
      <x:c r="H2654" s="85" t="n">
        <x:v>0</x:v>
      </x:c>
      <x:c r="I2654" s="85" t="n">
        <x:v>0</x:v>
      </x:c>
      <x:c r="J2654" s="85" t="n">
        <x:v>0</x:v>
      </x:c>
      <x:c r="K2654" s="85" t="n">
        <x:v>6911987.818082191</x:v>
      </x:c>
      <x:c r="L2654" s="28" t="n">
        <x:v>0</x:v>
      </x:c>
      <x:c r="M2654" s="28" t="n">
        <x:v>0</x:v>
      </x:c>
      <x:c r="N2654" s="28" t="n">
        <x:v>9.313225746154785e-10</x:v>
      </x:c>
      <x:c r="O2654" s="28" t="n">
        <x:v>0</x:v>
      </x:c>
      <x:c r="P2654" s="28" t="n">
        <x:v>0</x:v>
      </x:c>
      <x:c r="Q2654" s="62" t="b">
        <x:v>1</x:v>
      </x:c>
      <x:c r="R2654" s="28" t="n">
        <x:v>0</x:v>
      </x:c>
      <x:c r="S2654" s="28" t="str">
        <x:v>678f1944664a5c3d</x:v>
      </x:c>
    </x:row>
    <x:row r="2655" ht="21" customHeight="1">
      <x:c r="A2655" s="60" t="n">
        <x:v>0.7</x:v>
      </x:c>
      <x:c r="B2655" s="28" t="str">
        <x:v>back_flat</x:v>
      </x:c>
      <x:c r="C2655" s="60" t="n">
        <x:v>0.05</x:v>
      </x:c>
      <x:c r="D2655" s="60" t="n">
        <x:v>0.05</x:v>
      </x:c>
      <x:c r="E2655" s="62" t="b">
        <x:v>1</x:v>
      </x:c>
      <x:c r="F2655" s="62" t="b">
        <x:v>1</x:v>
      </x:c>
      <x:c r="G2655" s="85" t="n">
        <x:v>0</x:v>
      </x:c>
      <x:c r="H2655" s="85" t="n">
        <x:v>0</x:v>
      </x:c>
      <x:c r="I2655" s="85" t="n">
        <x:v>0</x:v>
      </x:c>
      <x:c r="J2655" s="85" t="n">
        <x:v>0</x:v>
      </x:c>
      <x:c r="K2655" s="85" t="n">
        <x:v>4719670.569347891</x:v>
      </x:c>
      <x:c r="L2655" s="28" t="n">
        <x:v>0</x:v>
      </x:c>
      <x:c r="M2655" s="28" t="n">
        <x:v>0</x:v>
      </x:c>
      <x:c r="N2655" s="28" t="n">
        <x:v>9.313225746154785e-10</x:v>
      </x:c>
      <x:c r="O2655" s="28" t="n">
        <x:v>7.450580596923828e-9</x:v>
      </x:c>
      <x:c r="P2655" s="28" t="n">
        <x:v>0</x:v>
      </x:c>
      <x:c r="Q2655" s="62" t="b">
        <x:v>1</x:v>
      </x:c>
      <x:c r="R2655" s="28" t="n">
        <x:v>0</x:v>
      </x:c>
      <x:c r="S2655" s="28" t="str">
        <x:v>038738e3cc13a39b</x:v>
      </x:c>
    </x:row>
    <x:row r="2656" ht="21" customHeight="1">
      <x:c r="A2656" s="60" t="n">
        <x:v>0.7</x:v>
      </x:c>
      <x:c r="B2656" s="28" t="str">
        <x:v>back_flat</x:v>
      </x:c>
      <x:c r="C2656" s="60" t="n">
        <x:v>0.1</x:v>
      </x:c>
      <x:c r="D2656" s="60" t="n">
        <x:v>0.1</x:v>
      </x:c>
      <x:c r="E2656" s="62" t="b">
        <x:v>1</x:v>
      </x:c>
      <x:c r="F2656" s="62" t="b">
        <x:v>1</x:v>
      </x:c>
      <x:c r="G2656" s="85" t="n">
        <x:v>0</x:v>
      </x:c>
      <x:c r="H2656" s="85" t="n">
        <x:v>0</x:v>
      </x:c>
      <x:c r="I2656" s="85" t="n">
        <x:v>0</x:v>
      </x:c>
      <x:c r="J2656" s="85" t="n">
        <x:v>0</x:v>
      </x:c>
      <x:c r="K2656" s="85" t="n">
        <x:v>2527353.3206136157</x:v>
      </x:c>
      <x:c r="L2656" s="28" t="n">
        <x:v>0</x:v>
      </x:c>
      <x:c r="M2656" s="28" t="n">
        <x:v>0</x:v>
      </x:c>
      <x:c r="N2656" s="28" t="n">
        <x:v>4.656612873077393e-10</x:v>
      </x:c>
      <x:c r="O2656" s="28" t="n">
        <x:v>7.450580596923828e-9</x:v>
      </x:c>
      <x:c r="P2656" s="28" t="n">
        <x:v>0</x:v>
      </x:c>
      <x:c r="Q2656" s="62" t="b">
        <x:v>1</x:v>
      </x:c>
      <x:c r="R2656" s="28" t="n">
        <x:v>0</x:v>
      </x:c>
      <x:c r="S2656" s="28" t="str">
        <x:v>16314331ef694c6c</x:v>
      </x:c>
    </x:row>
    <x:row r="2657" ht="21" customHeight="1">
      <x:c r="A2657" s="60" t="n">
        <x:v>0.7</x:v>
      </x:c>
      <x:c r="B2657" s="28" t="str">
        <x:v>back_flat</x:v>
      </x:c>
      <x:c r="C2657" s="60" t="n">
        <x:v>0.15</x:v>
      </x:c>
      <x:c r="D2657" s="60" t="n">
        <x:v>0.15</x:v>
      </x:c>
      <x:c r="E2657" s="62" t="b">
        <x:v>1</x:v>
      </x:c>
      <x:c r="F2657" s="62" t="b">
        <x:v>1</x:v>
      </x:c>
      <x:c r="G2657" s="85" t="n">
        <x:v>0</x:v>
      </x:c>
      <x:c r="H2657" s="85" t="n">
        <x:v>0</x:v>
      </x:c>
      <x:c r="I2657" s="85" t="n">
        <x:v>302530.51033017325</x:v>
      </x:c>
      <x:c r="J2657" s="85" t="n">
        <x:v>0</x:v>
      </x:c>
      <x:c r="K2657" s="85" t="n">
        <x:v>678919.1467166787</x:v>
      </x:c>
      <x:c r="L2657" s="28" t="n">
        <x:v>0</x:v>
      </x:c>
      <x:c r="M2657" s="28" t="n">
        <x:v>0</x:v>
      </x:c>
      <x:c r="N2657" s="28" t="n">
        <x:v>9.313225746154785e-10</x:v>
      </x:c>
      <x:c r="O2657" s="28" t="n">
        <x:v>7.450580596923828e-9</x:v>
      </x:c>
      <x:c r="P2657" s="28" t="n">
        <x:v>0</x:v>
      </x:c>
      <x:c r="Q2657" s="62" t="b">
        <x:v>1</x:v>
      </x:c>
      <x:c r="R2657" s="28" t="n">
        <x:v>0</x:v>
      </x:c>
      <x:c r="S2657" s="28" t="str">
        <x:v>b5e73203c06fbe87</x:v>
      </x:c>
    </x:row>
    <x:row r="2658" ht="21" customHeight="1">
      <x:c r="A2658" s="60" t="n">
        <x:v>0.7</x:v>
      </x:c>
      <x:c r="B2658" s="28" t="str">
        <x:v>back_flat</x:v>
      </x:c>
      <x:c r="C2658" s="60" t="n">
        <x:v>0.2</x:v>
      </x:c>
      <x:c r="D2658" s="60" t="n">
        <x:v>0.2</x:v>
      </x:c>
      <x:c r="E2658" s="62" t="b">
        <x:v>1</x:v>
      </x:c>
      <x:c r="F2658" s="62" t="b">
        <x:v>1</x:v>
      </x:c>
      <x:c r="G2658" s="85" t="n">
        <x:v>0</x:v>
      </x:c>
      <x:c r="H2658" s="85" t="n">
        <x:v>0</x:v>
      </x:c>
      <x:c r="I2658" s="85" t="n">
        <x:v>1681655.097794339</x:v>
      </x:c>
      <x:c r="J2658" s="85" t="n">
        <x:v>1245718.9057329379</x:v>
      </x:c>
      <x:c r="K2658" s="85" t="n">
        <x:v>563707.684293356</x:v>
      </x:c>
      <x:c r="L2658" s="28" t="n">
        <x:v>0</x:v>
      </x:c>
      <x:c r="M2658" s="28" t="n">
        <x:v>0</x:v>
      </x:c>
      <x:c r="N2658" s="28" t="n">
        <x:v>2.3283064365386963e-10</x:v>
      </x:c>
      <x:c r="O2658" s="28" t="n">
        <x:v>7.450580596923828e-9</x:v>
      </x:c>
      <x:c r="P2658" s="28" t="n">
        <x:v>0</x:v>
      </x:c>
      <x:c r="Q2658" s="62" t="b">
        <x:v>1</x:v>
      </x:c>
      <x:c r="R2658" s="28" t="n">
        <x:v>0</x:v>
      </x:c>
      <x:c r="S2658" s="28" t="str">
        <x:v>7486f803f01bd14b</x:v>
      </x:c>
    </x:row>
    <x:row r="2659" ht="21" customHeight="1">
      <x:c r="A2659" s="60" t="n">
        <x:v>0.7</x:v>
      </x:c>
      <x:c r="B2659" s="28" t="str">
        <x:v>back_flat</x:v>
      </x:c>
      <x:c r="C2659" s="60" t="n">
        <x:v>0.25</x:v>
      </x:c>
      <x:c r="D2659" s="60" t="n">
        <x:v>0.25</x:v>
      </x:c>
      <x:c r="E2659" s="62" t="b">
        <x:v>1</x:v>
      </x:c>
      <x:c r="F2659" s="62" t="b">
        <x:v>1</x:v>
      </x:c>
      <x:c r="G2659" s="85" t="n">
        <x:v>0</x:v>
      </x:c>
      <x:c r="H2659" s="85" t="n">
        <x:v>0</x:v>
      </x:c>
      <x:c r="I2659" s="85" t="n">
        <x:v>2771195.3303776477</x:v>
      </x:c>
      <x:c r="J2659" s="85" t="n">
        <x:v>2950748.6321661994</x:v>
      </x:c>
      <x:c r="K2659" s="85" t="n">
        <x:v>475019.4809378198</x:v>
      </x:c>
      <x:c r="L2659" s="28" t="n">
        <x:v>0</x:v>
      </x:c>
      <x:c r="M2659" s="28" t="n">
        <x:v>0</x:v>
      </x:c>
      <x:c r="N2659" s="28" t="n">
        <x:v>9.313225746154785e-10</x:v>
      </x:c>
      <x:c r="O2659" s="28" t="n">
        <x:v>7.450580596923828e-9</x:v>
      </x:c>
      <x:c r="P2659" s="28" t="n">
        <x:v>0</x:v>
      </x:c>
      <x:c r="Q2659" s="62" t="b">
        <x:v>1</x:v>
      </x:c>
      <x:c r="R2659" s="28" t="n">
        <x:v>0</x:v>
      </x:c>
      <x:c r="S2659" s="28" t="str">
        <x:v>b4558552bfa5f681</x:v>
      </x:c>
    </x:row>
    <x:row r="2660" ht="21" customHeight="1">
      <x:c r="A2660" s="60" t="n">
        <x:v>0.7</x:v>
      </x:c>
      <x:c r="B2660" s="28" t="str">
        <x:v>back_flat</x:v>
      </x:c>
      <x:c r="C2660" s="60" t="n">
        <x:v>0.3</x:v>
      </x:c>
      <x:c r="D2660" s="60" t="n">
        <x:v>0.3</x:v>
      </x:c>
      <x:c r="E2660" s="62" t="b">
        <x:v>1</x:v>
      </x:c>
      <x:c r="F2660" s="62" t="b">
        <x:v>1</x:v>
      </x:c>
      <x:c r="G2660" s="85" t="n">
        <x:v>0</x:v>
      </x:c>
      <x:c r="H2660" s="85" t="n">
        <x:v>0</x:v>
      </x:c>
      <x:c r="I2660" s="85" t="n">
        <x:v>3874483.243946077</x:v>
      </x:c>
      <x:c r="J2660" s="85" t="n">
        <x:v>4655778.358599428</x:v>
      </x:c>
      <x:c r="K2660" s="85" t="n">
        <x:v>405584.64426915086</x:v>
      </x:c>
      <x:c r="L2660" s="28" t="n">
        <x:v>0</x:v>
      </x:c>
      <x:c r="M2660" s="28" t="n">
        <x:v>0</x:v>
      </x:c>
      <x:c r="N2660" s="28" t="n">
        <x:v>4.656612873077393e-10</x:v>
      </x:c>
      <x:c r="O2660" s="28" t="n">
        <x:v>7.450580596923828e-9</x:v>
      </x:c>
      <x:c r="P2660" s="28" t="n">
        <x:v>0</x:v>
      </x:c>
      <x:c r="Q2660" s="62" t="b">
        <x:v>1</x:v>
      </x:c>
      <x:c r="R2660" s="28" t="n">
        <x:v>0</x:v>
      </x:c>
      <x:c r="S2660" s="28" t="str">
        <x:v>f6ce4928520a5129</x:v>
      </x:c>
    </x:row>
    <x:row r="2661" ht="21" customHeight="1">
      <x:c r="A2661" s="60" t="n">
        <x:v>0.7</x:v>
      </x:c>
      <x:c r="B2661" s="28" t="str">
        <x:v>back_flat</x:v>
      </x:c>
      <x:c r="C2661" s="60" t="n">
        <x:v>0.35</x:v>
      </x:c>
      <x:c r="D2661" s="60" t="n">
        <x:v>0.35</x:v>
      </x:c>
      <x:c r="E2661" s="62" t="b">
        <x:v>1</x:v>
      </x:c>
      <x:c r="F2661" s="62" t="b">
        <x:v>1</x:v>
      </x:c>
      <x:c r="G2661" s="85" t="n">
        <x:v>0</x:v>
      </x:c>
      <x:c r="H2661" s="85" t="n">
        <x:v>0</x:v>
      </x:c>
      <x:c r="I2661" s="85" t="n">
        <x:v>5432740.393935515</x:v>
      </x:c>
      <x:c r="J2661" s="85" t="n">
        <x:v>5337899.65483568</x:v>
      </x:c>
      <x:c r="K2661" s="85" t="n">
        <x:v>360290.3837021371</x:v>
      </x:c>
      <x:c r="L2661" s="28" t="n">
        <x:v>7</x:v>
      </x:c>
      <x:c r="M2661" s="28" t="n">
        <x:v>0</x:v>
      </x:c>
      <x:c r="N2661" s="28" t="n">
        <x:v>2.3283064365386963e-10</x:v>
      </x:c>
      <x:c r="O2661" s="28" t="n">
        <x:v>3.725290298461914e-9</x:v>
      </x:c>
      <x:c r="P2661" s="28" t="n">
        <x:v>0</x:v>
      </x:c>
      <x:c r="Q2661" s="62" t="b">
        <x:v>1</x:v>
      </x:c>
      <x:c r="R2661" s="28" t="n">
        <x:v>0</x:v>
      </x:c>
      <x:c r="S2661" s="28" t="str">
        <x:v>1cd33419ec950b03</x:v>
      </x:c>
    </x:row>
    <x:row r="2662" ht="21" customHeight="1">
      <x:c r="A2662" s="60" t="n">
        <x:v>0.7</x:v>
      </x:c>
      <x:c r="B2662" s="28" t="str">
        <x:v>back_flat</x:v>
      </x:c>
      <x:c r="C2662" s="60" t="n">
        <x:v>0.4</x:v>
      </x:c>
      <x:c r="D2662" s="60" t="n">
        <x:v>0.4</x:v>
      </x:c>
      <x:c r="E2662" s="62" t="b">
        <x:v>1</x:v>
      </x:c>
      <x:c r="F2662" s="62" t="b">
        <x:v>1</x:v>
      </x:c>
      <x:c r="G2662" s="85" t="n">
        <x:v>0</x:v>
      </x:c>
      <x:c r="H2662" s="85" t="n">
        <x:v>0</x:v>
      </x:c>
      <x:c r="I2662" s="85" t="n">
        <x:v>6726175.300439099</x:v>
      </x:c>
      <x:c r="J2662" s="85" t="n">
        <x:v>6629889.403249509</x:v>
      </x:c>
      <x:c r="K2662" s="85" t="n">
        <x:v>314996.12313512334</x:v>
      </x:c>
      <x:c r="L2662" s="28" t="n">
        <x:v>11</x:v>
      </x:c>
      <x:c r="M2662" s="28" t="n">
        <x:v>0</x:v>
      </x:c>
      <x:c r="N2662" s="28" t="n">
        <x:v>9.313225746154785e-10</x:v>
      </x:c>
      <x:c r="O2662" s="28" t="n">
        <x:v>7.450580596923828e-9</x:v>
      </x:c>
      <x:c r="P2662" s="28" t="n">
        <x:v>0</x:v>
      </x:c>
      <x:c r="Q2662" s="62" t="b">
        <x:v>1</x:v>
      </x:c>
      <x:c r="R2662" s="28" t="n">
        <x:v>0</x:v>
      </x:c>
      <x:c r="S2662" s="28" t="str">
        <x:v>480b6e0bc8451b0c</x:v>
      </x:c>
    </x:row>
    <x:row r="2663" ht="21" customHeight="1">
      <x:c r="A2663" s="60" t="n">
        <x:v>0.7</x:v>
      </x:c>
      <x:c r="B2663" s="28" t="str">
        <x:v>back_flat</x:v>
      </x:c>
      <x:c r="C2663" s="60" t="n">
        <x:v>0.45</x:v>
      </x:c>
      <x:c r="D2663" s="60" t="n">
        <x:v>0.45</x:v>
      </x:c>
      <x:c r="E2663" s="62" t="b">
        <x:v>1</x:v>
      </x:c>
      <x:c r="F2663" s="62" t="b">
        <x:v>1</x:v>
      </x:c>
      <x:c r="G2663" s="85" t="n">
        <x:v>0</x:v>
      </x:c>
      <x:c r="H2663" s="85" t="n">
        <x:v>0</x:v>
      </x:c>
      <x:c r="I2663" s="85" t="n">
        <x:v>7980243.202844487</x:v>
      </x:c>
      <x:c r="J2663" s="85" t="n">
        <x:v>8006923.410991043</x:v>
      </x:c>
      <x:c r="K2663" s="85" t="n">
        <x:v>275070.4717034517</x:v>
      </x:c>
      <x:c r="L2663" s="28" t="n">
        <x:v>15</x:v>
      </x:c>
      <x:c r="M2663" s="28" t="n">
        <x:v>1</x:v>
      </x:c>
      <x:c r="N2663" s="28" t="n">
        <x:v>4.656612873077393e-10</x:v>
      </x:c>
      <x:c r="O2663" s="28" t="n">
        <x:v>7.450580596923828e-9</x:v>
      </x:c>
      <x:c r="P2663" s="28" t="n">
        <x:v>0</x:v>
      </x:c>
      <x:c r="Q2663" s="62" t="b">
        <x:v>1</x:v>
      </x:c>
      <x:c r="R2663" s="28" t="n">
        <x:v>0</x:v>
      </x:c>
      <x:c r="S2663" s="28" t="str">
        <x:v>64664459c90570fa</x:v>
      </x:c>
    </x:row>
    <x:row r="2664" ht="21" customHeight="1">
      <x:c r="A2664" s="60" t="n">
        <x:v>0.7</x:v>
      </x:c>
      <x:c r="B2664" s="28" t="str">
        <x:v>back_flat</x:v>
      </x:c>
      <x:c r="C2664" s="60" t="n">
        <x:v>0.5</x:v>
      </x:c>
      <x:c r="D2664" s="60" t="n">
        <x:v>0.5</x:v>
      </x:c>
      <x:c r="E2664" s="62" t="b">
        <x:v>1</x:v>
      </x:c>
      <x:c r="F2664" s="62" t="b">
        <x:v>1</x:v>
      </x:c>
      <x:c r="G2664" s="85" t="n">
        <x:v>0</x:v>
      </x:c>
      <x:c r="H2664" s="85" t="n">
        <x:v>0</x:v>
      </x:c>
      <x:c r="I2664" s="85" t="n">
        <x:v>8997588.06874278</x:v>
      </x:c>
      <x:c r="J2664" s="85" t="n">
        <x:v>9983201.297686921</x:v>
      </x:c>
      <x:c r="K2664" s="85" t="n">
        <x:v>249316.70231890352</x:v>
      </x:c>
      <x:c r="L2664" s="28" t="n">
        <x:v>18</x:v>
      </x:c>
      <x:c r="M2664" s="28" t="n">
        <x:v>8</x:v>
      </x:c>
      <x:c r="N2664" s="28" t="n">
        <x:v>9.313225746154785e-10</x:v>
      </x:c>
      <x:c r="O2664" s="28" t="n">
        <x:v>1.862645149230957e-9</x:v>
      </x:c>
      <x:c r="P2664" s="28" t="n">
        <x:v>0</x:v>
      </x:c>
      <x:c r="Q2664" s="62" t="b">
        <x:v>1</x:v>
      </x:c>
      <x:c r="R2664" s="28" t="n">
        <x:v>0</x:v>
      </x:c>
      <x:c r="S2664" s="28" t="str">
        <x:v>1fc910588b8fe5e3</x:v>
      </x:c>
    </x:row>
    <x:row r="2665" ht="21" customHeight="1">
      <x:c r="A2665" s="60" t="n">
        <x:v>0.7</x:v>
      </x:c>
      <x:c r="B2665" s="28" t="str">
        <x:v>back_flat</x:v>
      </x:c>
      <x:c r="C2665" s="60" t="n">
        <x:v>0.55</x:v>
      </x:c>
      <x:c r="D2665" s="60" t="n">
        <x:v>0.55</x:v>
      </x:c>
      <x:c r="E2665" s="62" t="b">
        <x:v>1</x:v>
      </x:c>
      <x:c r="F2665" s="62" t="b">
        <x:v>0</x:v>
      </x:c>
      <x:c r="G2665" s="85" t="n">
        <x:v>138461.48139220668</x:v>
      </x:c>
      <x:c r="H2665" s="85" t="n">
        <x:v>734398.0650807968</x:v>
      </x:c>
      <x:c r="I2665" s="85" t="n">
        <x:v>9722845.635783672</x:v>
      </x:c>
      <x:c r="J2665" s="85" t="n">
        <x:v>11148800.000000002</x:v>
      </x:c>
      <x:c r="K2665" s="85" t="n">
        <x:v>223562.93293435674</x:v>
      </x:c>
      <x:c r="L2665" s="28" t="n">
        <x:v>41</x:v>
      </x:c>
      <x:c r="M2665" s="28" t="n">
        <x:v>32</x:v>
      </x:c>
      <x:c r="N2665" s="28" t="n">
        <x:v>4.656612873077393e-10</x:v>
      </x:c>
      <x:c r="O2665" s="28" t="n">
        <x:v>7.450580596923828e-9</x:v>
      </x:c>
      <x:c r="P2665" s="28" t="n">
        <x:v>0</x:v>
      </x:c>
      <x:c r="Q2665" s="62" t="b">
        <x:v>1</x:v>
      </x:c>
      <x:c r="R2665" s="28" t="n">
        <x:v>0</x:v>
      </x:c>
      <x:c r="S2665" s="28" t="str">
        <x:v>cba68e52a9e1fd00</x:v>
      </x:c>
    </x:row>
    <x:row r="2666" ht="21" customHeight="1">
      <x:c r="A2666" s="60" t="n">
        <x:v>0.7</x:v>
      </x:c>
      <x:c r="B2666" s="28" t="str">
        <x:v>back_flat</x:v>
      </x:c>
      <x:c r="C2666" s="60" t="n">
        <x:v>0.6</x:v>
      </x:c>
      <x:c r="D2666" s="60" t="n">
        <x:v>0.6</x:v>
      </x:c>
      <x:c r="E2666" s="62" t="b">
        <x:v>1</x:v>
      </x:c>
      <x:c r="F2666" s="62" t="b">
        <x:v>0</x:v>
      </x:c>
      <x:c r="G2666" s="85" t="n">
        <x:v>515273.21350999264</x:v>
      </x:c>
      <x:c r="H2666" s="85" t="n">
        <x:v>2773234.910021945</x:v>
      </x:c>
      <x:c r="I2666" s="85" t="n">
        <x:v>9959391.035616437</x:v>
      </x:c>
      <x:c r="J2666" s="85" t="n">
        <x:v>11148800.000000002</x:v>
      </x:c>
      <x:c r="K2666" s="85" t="n">
        <x:v>199185.3222739723</x:v>
      </x:c>
      <x:c r="L2666" s="28" t="n">
        <x:v>42</x:v>
      </x:c>
      <x:c r="M2666" s="28" t="n">
        <x:v>33</x:v>
      </x:c>
      <x:c r="N2666" s="28" t="n">
        <x:v>4.656612873077393e-10</x:v>
      </x:c>
      <x:c r="O2666" s="28" t="n">
        <x:v>7.450580596923828e-9</x:v>
      </x:c>
      <x:c r="P2666" s="28" t="n">
        <x:v>0</x:v>
      </x:c>
      <x:c r="Q2666" s="62" t="b">
        <x:v>1</x:v>
      </x:c>
      <x:c r="R2666" s="28" t="n">
        <x:v>0</x:v>
      </x:c>
      <x:c r="S2666" s="28" t="str">
        <x:v>69226ab5bdc9b82f</x:v>
      </x:c>
    </x:row>
    <x:row r="2667" ht="21" customHeight="1">
      <x:c r="A2667" s="60" t="n">
        <x:v>0.7</x:v>
      </x:c>
      <x:c r="B2667" s="28" t="str">
        <x:v>back_flat</x:v>
      </x:c>
      <x:c r="C2667" s="60" t="n">
        <x:v>0.65</x:v>
      </x:c>
      <x:c r="D2667" s="60" t="n">
        <x:v>0.65</x:v>
      </x:c>
      <x:c r="E2667" s="62" t="b">
        <x:v>1</x:v>
      </x:c>
      <x:c r="F2667" s="62" t="b">
        <x:v>0</x:v>
      </x:c>
      <x:c r="G2667" s="85" t="n">
        <x:v>997126.1619202663</x:v>
      </x:c>
      <x:c r="H2667" s="85" t="n">
        <x:v>5079913.348630887</x:v>
      </x:c>
      <x:c r="I2667" s="85" t="n">
        <x:v>9959391.035616437</x:v>
      </x:c>
      <x:c r="J2667" s="85" t="n">
        <x:v>11148800.000000002</x:v>
      </x:c>
      <x:c r="K2667" s="85" t="n">
        <x:v>185551.28291780793</x:v>
      </x:c>
      <x:c r="L2667" s="28" t="n">
        <x:v>42</x:v>
      </x:c>
      <x:c r="M2667" s="28" t="n">
        <x:v>34</x:v>
      </x:c>
      <x:c r="N2667" s="28" t="n">
        <x:v>4.656612873077393e-10</x:v>
      </x:c>
      <x:c r="O2667" s="28" t="n">
        <x:v>7.450580596923828e-9</x:v>
      </x:c>
      <x:c r="P2667" s="28" t="n">
        <x:v>0</x:v>
      </x:c>
      <x:c r="Q2667" s="62" t="b">
        <x:v>1</x:v>
      </x:c>
      <x:c r="R2667" s="28" t="n">
        <x:v>0</x:v>
      </x:c>
      <x:c r="S2667" s="28" t="str">
        <x:v>df53d55978e5f0fa</x:v>
      </x:c>
    </x:row>
    <x:row r="2668" ht="21" customHeight="1">
      <x:c r="A2668" s="60" t="n">
        <x:v>0.7</x:v>
      </x:c>
      <x:c r="B2668" s="28" t="str">
        <x:v>back_flat</x:v>
      </x:c>
      <x:c r="C2668" s="60" t="n">
        <x:v>0.7</x:v>
      </x:c>
      <x:c r="D2668" s="60" t="n">
        <x:v>0.7</x:v>
      </x:c>
      <x:c r="E2668" s="62" t="b">
        <x:v>1</x:v>
      </x:c>
      <x:c r="F2668" s="62" t="b">
        <x:v>0</x:v>
      </x:c>
      <x:c r="G2668" s="85" t="n">
        <x:v>1379676.7680826848</x:v>
      </x:c>
      <x:c r="H2668" s="85" t="n">
        <x:v>6990903.4021408325</x:v>
      </x:c>
      <x:c r="I2668" s="85" t="n">
        <x:v>10195653.961643836</x:v>
      </x:c>
      <x:c r="J2668" s="85" t="n">
        <x:v>11148800.000000002</x:v>
      </x:c>
      <x:c r="K2668" s="85" t="n">
        <x:v>173808.16621917812</x:v>
      </x:c>
      <x:c r="L2668" s="28" t="n">
        <x:v>43</x:v>
      </x:c>
      <x:c r="M2668" s="28" t="n">
        <x:v>35</x:v>
      </x:c>
      <x:c r="N2668" s="28" t="n">
        <x:v>4.656612873077393e-10</x:v>
      </x:c>
      <x:c r="O2668" s="28" t="n">
        <x:v>3.725290298461914e-9</x:v>
      </x:c>
      <x:c r="P2668" s="28" t="n">
        <x:v>0</x:v>
      </x:c>
      <x:c r="Q2668" s="62" t="b">
        <x:v>1</x:v>
      </x:c>
      <x:c r="R2668" s="28" t="n">
        <x:v>0</x:v>
      </x:c>
      <x:c r="S2668" s="28" t="str">
        <x:v>80a28511951e5ceb</x:v>
      </x:c>
    </x:row>
    <x:row r="2669" ht="21" customHeight="1">
      <x:c r="A2669" s="60" t="n">
        <x:v>0.7</x:v>
      </x:c>
      <x:c r="B2669" s="28" t="str">
        <x:v>back_flat</x:v>
      </x:c>
      <x:c r="C2669" s="60" t="n">
        <x:v>0.75</x:v>
      </x:c>
      <x:c r="D2669" s="60" t="n">
        <x:v>0.75</x:v>
      </x:c>
      <x:c r="E2669" s="62" t="b">
        <x:v>1</x:v>
      </x:c>
      <x:c r="F2669" s="62" t="b">
        <x:v>0</x:v>
      </x:c>
      <x:c r="G2669" s="85" t="n">
        <x:v>1868569.5733137922</x:v>
      </x:c>
      <x:c r="H2669" s="85" t="n">
        <x:v>9184234.870006498</x:v>
      </x:c>
      <x:c r="I2669" s="85" t="n">
        <x:v>10195653.961643836</x:v>
      </x:c>
      <x:c r="J2669" s="85" t="n">
        <x:v>11148800.000000002</x:v>
      </x:c>
      <x:c r="K2669" s="85" t="n">
        <x:v>162065.04952054803</x:v>
      </x:c>
      <x:c r="L2669" s="28" t="n">
        <x:v>43</x:v>
      </x:c>
      <x:c r="M2669" s="28" t="n">
        <x:v>36</x:v>
      </x:c>
      <x:c r="N2669" s="28" t="n">
        <x:v>4.656612873077393e-10</x:v>
      </x:c>
      <x:c r="O2669" s="28" t="n">
        <x:v>7.450580596923828e-9</x:v>
      </x:c>
      <x:c r="P2669" s="28" t="n">
        <x:v>0</x:v>
      </x:c>
      <x:c r="Q2669" s="62" t="b">
        <x:v>1</x:v>
      </x:c>
      <x:c r="R2669" s="28" t="n">
        <x:v>0</x:v>
      </x:c>
      <x:c r="S2669" s="28" t="str">
        <x:v>53b9eb9af2ee26b7</x:v>
      </x:c>
    </x:row>
    <x:row r="2670" ht="21" customHeight="1">
      <x:c r="A2670" s="60" t="n">
        <x:v>0.7</x:v>
      </x:c>
      <x:c r="B2670" s="28" t="str">
        <x:v>back_flat</x:v>
      </x:c>
      <x:c r="C2670" s="60" t="n">
        <x:v>0.8</x:v>
      </x:c>
      <x:c r="D2670" s="60" t="n">
        <x:v>0.8</x:v>
      </x:c>
      <x:c r="E2670" s="62" t="b">
        <x:v>1</x:v>
      </x:c>
      <x:c r="F2670" s="62" t="b">
        <x:v>0</x:v>
      </x:c>
      <x:c r="G2670" s="85" t="n">
        <x:v>2441260.032743863</x:v>
      </x:c>
      <x:c r="H2670" s="85" t="n">
        <x:v>11241489.26717907</x:v>
      </x:c>
      <x:c r="I2670" s="85" t="n">
        <x:v>10200012.182509588</x:v>
      </x:c>
      <x:c r="J2670" s="85" t="n">
        <x:v>11148800.000000002</x:v>
      </x:c>
      <x:c r="K2670" s="85" t="n">
        <x:v>150321.932821918</x:v>
      </x:c>
      <x:c r="L2670" s="28" t="n">
        <x:v>43</x:v>
      </x:c>
      <x:c r="M2670" s="28" t="n">
        <x:v>36</x:v>
      </x:c>
      <x:c r="N2670" s="28" t="n">
        <x:v>2.3283064365386963e-10</x:v>
      </x:c>
      <x:c r="O2670" s="28" t="n">
        <x:v>3.725290298461914e-9</x:v>
      </x:c>
      <x:c r="P2670" s="28" t="n">
        <x:v>0</x:v>
      </x:c>
      <x:c r="Q2670" s="62" t="b">
        <x:v>1</x:v>
      </x:c>
      <x:c r="R2670" s="28" t="n">
        <x:v>0</x:v>
      </x:c>
      <x:c r="S2670" s="28" t="str">
        <x:v>2898864063128c20</x:v>
      </x:c>
    </x:row>
    <x:row r="2671" ht="21" customHeight="1">
      <x:c r="A2671" s="60" t="n">
        <x:v>0.7</x:v>
      </x:c>
      <x:c r="B2671" s="28" t="str">
        <x:v>back_flat</x:v>
      </x:c>
      <x:c r="C2671" s="60" t="n">
        <x:v>0.85</x:v>
      </x:c>
      <x:c r="D2671" s="60" t="n">
        <x:v>0.85</x:v>
      </x:c>
      <x:c r="E2671" s="62" t="b">
        <x:v>1</x:v>
      </x:c>
      <x:c r="F2671" s="62" t="b">
        <x:v>0</x:v>
      </x:c>
      <x:c r="G2671" s="85" t="n">
        <x:v>3196992.502923525</x:v>
      </x:c>
      <x:c r="H2671" s="85" t="n">
        <x:v>12866456.46426782</x:v>
      </x:c>
      <x:c r="I2671" s="85" t="n">
        <x:v>10431916.887671232</x:v>
      </x:c>
      <x:c r="J2671" s="85" t="n">
        <x:v>11148800.000000002</x:v>
      </x:c>
      <x:c r="K2671" s="85" t="n">
        <x:v>138578.81612328743</x:v>
      </x:c>
      <x:c r="L2671" s="28" t="n">
        <x:v>44</x:v>
      </x:c>
      <x:c r="M2671" s="28" t="n">
        <x:v>37</x:v>
      </x:c>
      <x:c r="N2671" s="28" t="n">
        <x:v>4.656612873077393e-10</x:v>
      </x:c>
      <x:c r="O2671" s="28" t="n">
        <x:v>9.313225746154785e-10</x:v>
      </x:c>
      <x:c r="P2671" s="28" t="n">
        <x:v>0</x:v>
      </x:c>
      <x:c r="Q2671" s="62" t="b">
        <x:v>1</x:v>
      </x:c>
      <x:c r="R2671" s="28" t="n">
        <x:v>0</x:v>
      </x:c>
      <x:c r="S2671" s="28" t="str">
        <x:v>46544e9f3fdd7c18</x:v>
      </x:c>
    </x:row>
    <x:row r="2672" ht="21" customHeight="1">
      <x:c r="A2672" s="60" t="n">
        <x:v>0.7</x:v>
      </x:c>
      <x:c r="B2672" s="28" t="str">
        <x:v>back_flat</x:v>
      </x:c>
      <x:c r="C2672" s="60" t="n">
        <x:v>0.9</x:v>
      </x:c>
      <x:c r="D2672" s="60" t="n">
        <x:v>0.880265491166173</x:v>
      </x:c>
      <x:c r="E2672" s="62" t="b">
        <x:v>0</x:v>
      </x:c>
      <x:c r="F2672" s="62" t="b">
        <x:v>0</x:v>
      </x:c>
      <x:c r="G2672" s="85" t="n">
        <x:v>3638411.9693798427</x:v>
      </x:c>
      <x:c r="H2672" s="85" t="n">
        <x:v>13775573.304257529</x:v>
      </x:c>
      <x:c r="I2672" s="85" t="n">
        <x:v>10431916.887671232</x:v>
      </x:c>
      <x:c r="J2672" s="85" t="n">
        <x:v>11148800.000000002</x:v>
      </x:c>
      <x:c r="K2672" s="85" t="n">
        <x:v>126835.69942465737</x:v>
      </x:c>
      <x:c r="L2672" s="28" t="n">
        <x:v>44</x:v>
      </x:c>
      <x:c r="M2672" s="28" t="n">
        <x:v>38</x:v>
      </x:c>
      <x:c r="N2672" s="28" t="n">
        <x:v>2.3283064365386963e-10</x:v>
      </x:c>
      <x:c r="O2672" s="28" t="n">
        <x:v>3.725290298461914e-9</x:v>
      </x:c>
      <x:c r="P2672" s="28" t="n">
        <x:v>0</x:v>
      </x:c>
      <x:c r="Q2672" s="62" t="b">
        <x:v>1</x:v>
      </x:c>
      <x:c r="R2672" s="28" t="n">
        <x:v>1100080.4604328498</x:v>
      </x:c>
      <x:c r="S2672" s="28" t="str">
        <x:v>8acfbba815d54e91</x:v>
      </x:c>
    </x:row>
    <x:row r="2673" ht="21" customHeight="1">
      <x:c r="A2673" s="60" t="n">
        <x:v>0.7</x:v>
      </x:c>
      <x:c r="B2673" s="28" t="str">
        <x:v>back_flat</x:v>
      </x:c>
      <x:c r="C2673" s="60" t="n">
        <x:v>0.95</x:v>
      </x:c>
      <x:c r="D2673" s="60" t="n">
        <x:v>0.8954794051096439</x:v>
      </x:c>
      <x:c r="E2673" s="62" t="b">
        <x:v>0</x:v>
      </x:c>
      <x:c r="F2673" s="62" t="b">
        <x:v>0</x:v>
      </x:c>
      <x:c r="G2673" s="85" t="n">
        <x:v>3894414.495748223</x:v>
      </x:c>
      <x:c r="H2673" s="85" t="n">
        <x:v>14548538.09749439</x:v>
      </x:c>
      <x:c r="I2673" s="85" t="n">
        <x:v>10431916.887671232</x:v>
      </x:c>
      <x:c r="J2673" s="85" t="n">
        <x:v>11148800.000000002</x:v>
      </x:c>
      <x:c r="K2673" s="85" t="n">
        <x:v>115092.58272602703</x:v>
      </x:c>
      <x:c r="L2673" s="28" t="n">
        <x:v>44</x:v>
      </x:c>
      <x:c r="M2673" s="28" t="n">
        <x:v>38</x:v>
      </x:c>
      <x:c r="N2673" s="28" t="n">
        <x:v>4.656612873077393e-10</x:v>
      </x:c>
      <x:c r="O2673" s="28" t="n">
        <x:v>3.725290298461914e-9</x:v>
      </x:c>
      <x:c r="P2673" s="28" t="n">
        <x:v>0</x:v>
      </x:c>
      <x:c r="Q2673" s="62" t="b">
        <x:v>1</x:v>
      </x:c>
      <x:c r="R2673" s="28" t="n">
        <x:v>3039196.041568011</x:v>
      </x:c>
      <x:c r="S2673" s="28" t="str">
        <x:v>70c4905e822b3151</x:v>
      </x:c>
    </x:row>
    <x:row r="2674" ht="21" customHeight="1">
      <x:c r="A2674" s="60" t="n">
        <x:v>0.7</x:v>
      </x:c>
      <x:c r="B2674" s="28" t="str">
        <x:v>back_flat</x:v>
      </x:c>
      <x:c r="C2674" s="60" t="n">
        <x:v>1</x:v>
      </x:c>
      <x:c r="D2674" s="60" t="n">
        <x:v>0.9093341115290656</x:v>
      </x:c>
      <x:c r="E2674" s="62" t="b">
        <x:v>0</x:v>
      </x:c>
      <x:c r="F2674" s="62" t="b">
        <x:v>0</x:v>
      </x:c>
      <x:c r="G2674" s="85" t="n">
        <x:v>4177387.146291633</x:v>
      </x:c>
      <x:c r="H2674" s="85" t="n">
        <x:v>15178854.660897199</x:v>
      </x:c>
      <x:c r="I2674" s="85" t="n">
        <x:v>10431916.887671232</x:v>
      </x:c>
      <x:c r="J2674" s="85" t="n">
        <x:v>11148800.000000002</x:v>
      </x:c>
      <x:c r="K2674" s="85" t="n">
        <x:v>104674.66931506847</x:v>
      </x:c>
      <x:c r="L2674" s="28" t="n">
        <x:v>44</x:v>
      </x:c>
      <x:c r="M2674" s="28" t="n">
        <x:v>39</x:v>
      </x:c>
      <x:c r="N2674" s="28" t="n">
        <x:v>2.3283064365386963e-10</x:v>
      </x:c>
      <x:c r="O2674" s="28" t="n">
        <x:v>3.725290298461914e-9</x:v>
      </x:c>
      <x:c r="P2674" s="28" t="n">
        <x:v>0</x:v>
      </x:c>
      <x:c r="Q2674" s="62" t="b">
        <x:v>1</x:v>
      </x:c>
      <x:c r="R2674" s="28" t="n">
        <x:v>5054079.286923766</x:v>
      </x:c>
      <x:c r="S2674" s="28" t="str">
        <x:v>3f9fc9baaf90a773</x:v>
      </x:c>
    </x:row>
    <x:row r="2675" ht="21" customHeight="1">
      <x:c r="A2675" s="60" t="n">
        <x:v>0.7</x:v>
      </x:c>
      <x:c r="B2675" s="28" t="str">
        <x:v>back_low</x:v>
      </x:c>
      <x:c r="C2675" s="60" t="n">
        <x:v>0</x:v>
      </x:c>
      <x:c r="D2675" s="60" t="n">
        <x:v>0</x:v>
      </x:c>
      <x:c r="E2675" s="62" t="b">
        <x:v>1</x:v>
      </x:c>
      <x:c r="F2675" s="62" t="b">
        <x:v>1</x:v>
      </x:c>
      <x:c r="G2675" s="85" t="n">
        <x:v>0</x:v>
      </x:c>
      <x:c r="H2675" s="85" t="n">
        <x:v>0</x:v>
      </x:c>
      <x:c r="I2675" s="85" t="n">
        <x:v>0</x:v>
      </x:c>
      <x:c r="J2675" s="85" t="n">
        <x:v>0</x:v>
      </x:c>
      <x:c r="K2675" s="85" t="n">
        <x:v>6144125.708493149</x:v>
      </x:c>
      <x:c r="L2675" s="28" t="n">
        <x:v>0</x:v>
      </x:c>
      <x:c r="M2675" s="28" t="n">
        <x:v>0</x:v>
      </x:c>
      <x:c r="N2675" s="28" t="n">
        <x:v>9.313225746154785e-10</x:v>
      </x:c>
      <x:c r="O2675" s="28" t="n">
        <x:v>0</x:v>
      </x:c>
      <x:c r="P2675" s="28" t="n">
        <x:v>0</x:v>
      </x:c>
      <x:c r="Q2675" s="62" t="b">
        <x:v>1</x:v>
      </x:c>
      <x:c r="R2675" s="28" t="n">
        <x:v>0</x:v>
      </x:c>
      <x:c r="S2675" s="28" t="str">
        <x:v>05d0da7e84c021c4</x:v>
      </x:c>
    </x:row>
    <x:row r="2676" ht="21" customHeight="1">
      <x:c r="A2676" s="60" t="n">
        <x:v>0.7</x:v>
      </x:c>
      <x:c r="B2676" s="28" t="str">
        <x:v>back_low</x:v>
      </x:c>
      <x:c r="C2676" s="60" t="n">
        <x:v>0.05</x:v>
      </x:c>
      <x:c r="D2676" s="60" t="n">
        <x:v>0.05</x:v>
      </x:c>
      <x:c r="E2676" s="62" t="b">
        <x:v>1</x:v>
      </x:c>
      <x:c r="F2676" s="62" t="b">
        <x:v>1</x:v>
      </x:c>
      <x:c r="G2676" s="85" t="n">
        <x:v>0</x:v>
      </x:c>
      <x:c r="H2676" s="85" t="n">
        <x:v>0</x:v>
      </x:c>
      <x:c r="I2676" s="85" t="n">
        <x:v>0</x:v>
      </x:c>
      <x:c r="J2676" s="85" t="n">
        <x:v>0</x:v>
      </x:c>
      <x:c r="K2676" s="85" t="n">
        <x:v>4161781.5798243457</x:v>
      </x:c>
      <x:c r="L2676" s="28" t="n">
        <x:v>0</x:v>
      </x:c>
      <x:c r="M2676" s="28" t="n">
        <x:v>0</x:v>
      </x:c>
      <x:c r="N2676" s="28" t="n">
        <x:v>9.313225746154785e-10</x:v>
      </x:c>
      <x:c r="O2676" s="28" t="n">
        <x:v>7.450580596923828e-9</x:v>
      </x:c>
      <x:c r="P2676" s="28" t="n">
        <x:v>0</x:v>
      </x:c>
      <x:c r="Q2676" s="62" t="b">
        <x:v>1</x:v>
      </x:c>
      <x:c r="R2676" s="28" t="n">
        <x:v>0</x:v>
      </x:c>
      <x:c r="S2676" s="28" t="str">
        <x:v>0ba3f33e058e86e4</x:v>
      </x:c>
    </x:row>
    <x:row r="2677" ht="21" customHeight="1">
      <x:c r="A2677" s="60" t="n">
        <x:v>0.7</x:v>
      </x:c>
      <x:c r="B2677" s="28" t="str">
        <x:v>back_low</x:v>
      </x:c>
      <x:c r="C2677" s="60" t="n">
        <x:v>0.1</x:v>
      </x:c>
      <x:c r="D2677" s="60" t="n">
        <x:v>0.1</x:v>
      </x:c>
      <x:c r="E2677" s="62" t="b">
        <x:v>1</x:v>
      </x:c>
      <x:c r="F2677" s="62" t="b">
        <x:v>1</x:v>
      </x:c>
      <x:c r="G2677" s="85" t="n">
        <x:v>0</x:v>
      </x:c>
      <x:c r="H2677" s="85" t="n">
        <x:v>0</x:v>
      </x:c>
      <x:c r="I2677" s="85" t="n">
        <x:v>0</x:v>
      </x:c>
      <x:c r="J2677" s="85" t="n">
        <x:v>0</x:v>
      </x:c>
      <x:c r="K2677" s="85" t="n">
        <x:v>2179437.451155564</x:v>
      </x:c>
      <x:c r="L2677" s="28" t="n">
        <x:v>0</x:v>
      </x:c>
      <x:c r="M2677" s="28" t="n">
        <x:v>0</x:v>
      </x:c>
      <x:c r="N2677" s="28" t="n">
        <x:v>4.656612873077393e-10</x:v>
      </x:c>
      <x:c r="O2677" s="28" t="n">
        <x:v>7.450580596923828e-9</x:v>
      </x:c>
      <x:c r="P2677" s="28" t="n">
        <x:v>0</x:v>
      </x:c>
      <x:c r="Q2677" s="62" t="b">
        <x:v>1</x:v>
      </x:c>
      <x:c r="R2677" s="28" t="n">
        <x:v>0</x:v>
      </x:c>
      <x:c r="S2677" s="28" t="str">
        <x:v>6155d9f19f48b5f5</x:v>
      </x:c>
    </x:row>
    <x:row r="2678" ht="21" customHeight="1">
      <x:c r="A2678" s="60" t="n">
        <x:v>0.7</x:v>
      </x:c>
      <x:c r="B2678" s="28" t="str">
        <x:v>back_low</x:v>
      </x:c>
      <x:c r="C2678" s="60" t="n">
        <x:v>0.15</x:v>
      </x:c>
      <x:c r="D2678" s="60" t="n">
        <x:v>0.15</x:v>
      </x:c>
      <x:c r="E2678" s="62" t="b">
        <x:v>1</x:v>
      </x:c>
      <x:c r="F2678" s="62" t="b">
        <x:v>1</x:v>
      </x:c>
      <x:c r="G2678" s="85" t="n">
        <x:v>0</x:v>
      </x:c>
      <x:c r="H2678" s="85" t="n">
        <x:v>0</x:v>
      </x:c>
      <x:c r="I2678" s="85" t="n">
        <x:v>191322.21412141604</x:v>
      </x:c>
      <x:c r="J2678" s="85" t="n">
        <x:v>0</x:v>
      </x:c>
      <x:c r="K2678" s="85" t="n">
        <x:v>450563.15577280475</x:v>
      </x:c>
      <x:c r="L2678" s="28" t="n">
        <x:v>0</x:v>
      </x:c>
      <x:c r="M2678" s="28" t="n">
        <x:v>0</x:v>
      </x:c>
      <x:c r="N2678" s="28" t="n">
        <x:v>4.656612873077393e-10</x:v>
      </x:c>
      <x:c r="O2678" s="28" t="n">
        <x:v>7.450580596923828e-9</x:v>
      </x:c>
      <x:c r="P2678" s="28" t="n">
        <x:v>0</x:v>
      </x:c>
      <x:c r="Q2678" s="62" t="b">
        <x:v>1</x:v>
      </x:c>
      <x:c r="R2678" s="28" t="n">
        <x:v>0</x:v>
      </x:c>
      <x:c r="S2678" s="28" t="str">
        <x:v>0b2e42f39ce9f6d6</x:v>
      </x:c>
    </x:row>
    <x:row r="2679" ht="21" customHeight="1">
      <x:c r="A2679" s="60" t="n">
        <x:v>0.7</x:v>
      </x:c>
      <x:c r="B2679" s="28" t="str">
        <x:v>back_low</x:v>
      </x:c>
      <x:c r="C2679" s="60" t="n">
        <x:v>0.2</x:v>
      </x:c>
      <x:c r="D2679" s="60" t="n">
        <x:v>0.2</x:v>
      </x:c>
      <x:c r="E2679" s="62" t="b">
        <x:v>1</x:v>
      </x:c>
      <x:c r="F2679" s="62" t="b">
        <x:v>1</x:v>
      </x:c>
      <x:c r="G2679" s="85" t="n">
        <x:v>0</x:v>
      </x:c>
      <x:c r="H2679" s="85" t="n">
        <x:v>0</x:v>
      </x:c>
      <x:c r="I2679" s="85" t="n">
        <x:v>1245197.1892980887</x:v>
      </x:c>
      <x:c r="J2679" s="85" t="n">
        <x:v>1245718.9057329379</x:v>
      </x:c>
      <x:c r="K2679" s="85" t="n">
        <x:v>387319.25838955387</x:v>
      </x:c>
      <x:c r="L2679" s="28" t="n">
        <x:v>0</x:v>
      </x:c>
      <x:c r="M2679" s="28" t="n">
        <x:v>0</x:v>
      </x:c>
      <x:c r="N2679" s="28" t="n">
        <x:v>2.3283064365386963e-10</x:v>
      </x:c>
      <x:c r="O2679" s="28" t="n">
        <x:v>7.450580596923828e-9</x:v>
      </x:c>
      <x:c r="P2679" s="28" t="n">
        <x:v>0</x:v>
      </x:c>
      <x:c r="Q2679" s="62" t="b">
        <x:v>1</x:v>
      </x:c>
      <x:c r="R2679" s="28" t="n">
        <x:v>0</x:v>
      </x:c>
      <x:c r="S2679" s="28" t="str">
        <x:v>db730a6568ab428a</x:v>
      </x:c>
    </x:row>
    <x:row r="2680" ht="21" customHeight="1">
      <x:c r="A2680" s="60" t="n">
        <x:v>0.7</x:v>
      </x:c>
      <x:c r="B2680" s="28" t="str">
        <x:v>back_low</x:v>
      </x:c>
      <x:c r="C2680" s="60" t="n">
        <x:v>0.25</x:v>
      </x:c>
      <x:c r="D2680" s="60" t="n">
        <x:v>0.25</x:v>
      </x:c>
      <x:c r="E2680" s="62" t="b">
        <x:v>1</x:v>
      </x:c>
      <x:c r="F2680" s="62" t="b">
        <x:v>1</x:v>
      </x:c>
      <x:c r="G2680" s="85" t="n">
        <x:v>0</x:v>
      </x:c>
      <x:c r="H2680" s="85" t="n">
        <x:v>0</x:v>
      </x:c>
      <x:c r="I2680" s="85" t="n">
        <x:v>1950400.454361659</x:v>
      </x:c>
      <x:c r="J2680" s="85" t="n">
        <x:v>2950748.6321661994</x:v>
      </x:c>
      <x:c r="K2680" s="85" t="n">
        <x:v>330097.3984663939</x:v>
      </x:c>
      <x:c r="L2680" s="28" t="n">
        <x:v>0</x:v>
      </x:c>
      <x:c r="M2680" s="28" t="n">
        <x:v>0</x:v>
      </x:c>
      <x:c r="N2680" s="28" t="n">
        <x:v>4.656612873077393e-10</x:v>
      </x:c>
      <x:c r="O2680" s="28" t="n">
        <x:v>7.450580596923828e-9</x:v>
      </x:c>
      <x:c r="P2680" s="28" t="n">
        <x:v>0</x:v>
      </x:c>
      <x:c r="Q2680" s="62" t="b">
        <x:v>1</x:v>
      </x:c>
      <x:c r="R2680" s="28" t="n">
        <x:v>0</x:v>
      </x:c>
      <x:c r="S2680" s="28" t="str">
        <x:v>f9ba1210cc7b2441</x:v>
      </x:c>
    </x:row>
    <x:row r="2681" ht="21" customHeight="1">
      <x:c r="A2681" s="60" t="n">
        <x:v>0.7</x:v>
      </x:c>
      <x:c r="B2681" s="28" t="str">
        <x:v>back_low</x:v>
      </x:c>
      <x:c r="C2681" s="60" t="n">
        <x:v>0.3</x:v>
      </x:c>
      <x:c r="D2681" s="60" t="n">
        <x:v>0.3</x:v>
      </x:c>
      <x:c r="E2681" s="62" t="b">
        <x:v>1</x:v>
      </x:c>
      <x:c r="F2681" s="62" t="b">
        <x:v>1</x:v>
      </x:c>
      <x:c r="G2681" s="85" t="n">
        <x:v>0</x:v>
      </x:c>
      <x:c r="H2681" s="85" t="n">
        <x:v>0</x:v>
      </x:c>
      <x:c r="I2681" s="85" t="n">
        <x:v>2668927.2377141733</x:v>
      </x:c>
      <x:c r="J2681" s="85" t="n">
        <x:v>4655778.358599428</x:v>
      </x:c>
      <x:c r="K2681" s="85" t="n">
        <x:v>288394.84406873304</x:v>
      </x:c>
      <x:c r="L2681" s="28" t="n">
        <x:v>0</x:v>
      </x:c>
      <x:c r="M2681" s="28" t="n">
        <x:v>0</x:v>
      </x:c>
      <x:c r="N2681" s="28" t="n">
        <x:v>9.313225746154785e-10</x:v>
      </x:c>
      <x:c r="O2681" s="28" t="n">
        <x:v>7.450580596923828e-9</x:v>
      </x:c>
      <x:c r="P2681" s="28" t="n">
        <x:v>0</x:v>
      </x:c>
      <x:c r="Q2681" s="62" t="b">
        <x:v>1</x:v>
      </x:c>
      <x:c r="R2681" s="28" t="n">
        <x:v>0</x:v>
      </x:c>
      <x:c r="S2681" s="28" t="str">
        <x:v>46afc0f086d98905</x:v>
      </x:c>
    </x:row>
    <x:row r="2682" ht="21" customHeight="1">
      <x:c r="A2682" s="60" t="n">
        <x:v>0.7</x:v>
      </x:c>
      <x:c r="B2682" s="28" t="str">
        <x:v>back_low</x:v>
      </x:c>
      <x:c r="C2682" s="60" t="n">
        <x:v>0.35</x:v>
      </x:c>
      <x:c r="D2682" s="60" t="n">
        <x:v>0.35</x:v>
      </x:c>
      <x:c r="E2682" s="62" t="b">
        <x:v>1</x:v>
      </x:c>
      <x:c r="F2682" s="62" t="b">
        <x:v>1</x:v>
      </x:c>
      <x:c r="G2682" s="85" t="n">
        <x:v>0</x:v>
      </x:c>
      <x:c r="H2682" s="85" t="n">
        <x:v>0</x:v>
      </x:c>
      <x:c r="I2682" s="85" t="n">
        <x:v>3939556.111157811</x:v>
      </x:c>
      <x:c r="J2682" s="85" t="n">
        <x:v>5477708.556133987</x:v>
      </x:c>
      <x:c r="K2682" s="85" t="n">
        <x:v>253036.73113398603</x:v>
      </x:c>
      <x:c r="L2682" s="28" t="n">
        <x:v>8</x:v>
      </x:c>
      <x:c r="M2682" s="28" t="n">
        <x:v>0</x:v>
      </x:c>
      <x:c r="N2682" s="28" t="n">
        <x:v>9.313225746154785e-10</x:v>
      </x:c>
      <x:c r="O2682" s="28" t="n">
        <x:v>3.725290298461914e-9</x:v>
      </x:c>
      <x:c r="P2682" s="28" t="n">
        <x:v>0</x:v>
      </x:c>
      <x:c r="Q2682" s="62" t="b">
        <x:v>1</x:v>
      </x:c>
      <x:c r="R2682" s="28" t="n">
        <x:v>0</x:v>
      </x:c>
      <x:c r="S2682" s="28" t="str">
        <x:v>88e3df479f110a66</x:v>
      </x:c>
    </x:row>
    <x:row r="2683" ht="21" customHeight="1">
      <x:c r="A2683" s="60" t="n">
        <x:v>0.7</x:v>
      </x:c>
      <x:c r="B2683" s="28" t="str">
        <x:v>back_low</x:v>
      </x:c>
      <x:c r="C2683" s="60" t="n">
        <x:v>0.4</x:v>
      </x:c>
      <x:c r="D2683" s="60" t="n">
        <x:v>0.4</x:v>
      </x:c>
      <x:c r="E2683" s="62" t="b">
        <x:v>1</x:v>
      </x:c>
      <x:c r="F2683" s="62" t="b">
        <x:v>1</x:v>
      </x:c>
      <x:c r="G2683" s="85" t="n">
        <x:v>0</x:v>
      </x:c>
      <x:c r="H2683" s="85" t="n">
        <x:v>0</x:v>
      </x:c>
      <x:c r="I2683" s="85" t="n">
        <x:v>4832412.536242385</x:v>
      </x:c>
      <x:c r="J2683" s="85" t="n">
        <x:v>6901903.0137898205</x:v>
      </x:c>
      <x:c r="K2683" s="85" t="n">
        <x:v>227786.04270498612</x:v>
      </x:c>
      <x:c r="L2683" s="28" t="n">
        <x:v>11</x:v>
      </x:c>
      <x:c r="M2683" s="28" t="n">
        <x:v>0</x:v>
      </x:c>
      <x:c r="N2683" s="28" t="n">
        <x:v>9.313225746154785e-10</x:v>
      </x:c>
      <x:c r="O2683" s="28" t="n">
        <x:v>7.450580596923828e-9</x:v>
      </x:c>
      <x:c r="P2683" s="28" t="n">
        <x:v>0</x:v>
      </x:c>
      <x:c r="Q2683" s="62" t="b">
        <x:v>1</x:v>
      </x:c>
      <x:c r="R2683" s="28" t="n">
        <x:v>0</x:v>
      </x:c>
      <x:c r="S2683" s="28" t="str">
        <x:v>f4c4bfb782a7ab0b</x:v>
      </x:c>
    </x:row>
    <x:row r="2684" ht="21" customHeight="1">
      <x:c r="A2684" s="60" t="n">
        <x:v>0.7</x:v>
      </x:c>
      <x:c r="B2684" s="28" t="str">
        <x:v>back_low</x:v>
      </x:c>
      <x:c r="C2684" s="60" t="n">
        <x:v>0.45</x:v>
      </x:c>
      <x:c r="D2684" s="60" t="n">
        <x:v>0.45</x:v>
      </x:c>
      <x:c r="E2684" s="62" t="b">
        <x:v>1</x:v>
      </x:c>
      <x:c r="F2684" s="62" t="b">
        <x:v>1</x:v>
      </x:c>
      <x:c r="G2684" s="85" t="n">
        <x:v>0</x:v>
      </x:c>
      <x:c r="H2684" s="85" t="n">
        <x:v>0</x:v>
      </x:c>
      <x:c r="I2684" s="85" t="n">
        <x:v>5731768.988242973</x:v>
      </x:c>
      <x:c r="J2684" s="85" t="n">
        <x:v>8310447.219217457</x:v>
      </x:c>
      <x:c r="K2684" s="85" t="n">
        <x:v>202535.35427598638</x:v>
      </x:c>
      <x:c r="L2684" s="28" t="n">
        <x:v>15</x:v>
      </x:c>
      <x:c r="M2684" s="28" t="n">
        <x:v>0</x:v>
      </x:c>
      <x:c r="N2684" s="28" t="n">
        <x:v>9.313225746154785e-10</x:v>
      </x:c>
      <x:c r="O2684" s="28" t="n">
        <x:v>7.450580596923828e-9</x:v>
      </x:c>
      <x:c r="P2684" s="28" t="n">
        <x:v>0</x:v>
      </x:c>
      <x:c r="Q2684" s="62" t="b">
        <x:v>1</x:v>
      </x:c>
      <x:c r="R2684" s="28" t="n">
        <x:v>0</x:v>
      </x:c>
      <x:c r="S2684" s="28" t="str">
        <x:v>36e68f2faa3eafa5</x:v>
      </x:c>
    </x:row>
    <x:row r="2685" ht="21" customHeight="1">
      <x:c r="A2685" s="60" t="n">
        <x:v>0.7</x:v>
      </x:c>
      <x:c r="B2685" s="28" t="str">
        <x:v>back_low</x:v>
      </x:c>
      <x:c r="C2685" s="60" t="n">
        <x:v>0.5</x:v>
      </x:c>
      <x:c r="D2685" s="60" t="n">
        <x:v>0.5</x:v>
      </x:c>
      <x:c r="E2685" s="62" t="b">
        <x:v>1</x:v>
      </x:c>
      <x:c r="F2685" s="62" t="b">
        <x:v>1</x:v>
      </x:c>
      <x:c r="G2685" s="85" t="n">
        <x:v>0</x:v>
      </x:c>
      <x:c r="H2685" s="85" t="n">
        <x:v>0</x:v>
      </x:c>
      <x:c r="I2685" s="85" t="n">
        <x:v>6393169.830194303</x:v>
      </x:c>
      <x:c r="J2685" s="85" t="n">
        <x:v>10131777.495780112</x:v>
      </x:c>
      <x:c r="K2685" s="85" t="n">
        <x:v>178330.89910999977</x:v>
      </x:c>
      <x:c r="L2685" s="28" t="n">
        <x:v>18</x:v>
      </x:c>
      <x:c r="M2685" s="28" t="n">
        <x:v>0</x:v>
      </x:c>
      <x:c r="N2685" s="28" t="n">
        <x:v>9.313225746154785e-10</x:v>
      </x:c>
      <x:c r="O2685" s="28" t="n">
        <x:v>1.862645149230957e-9</x:v>
      </x:c>
      <x:c r="P2685" s="28" t="n">
        <x:v>0</x:v>
      </x:c>
      <x:c r="Q2685" s="62" t="b">
        <x:v>1</x:v>
      </x:c>
      <x:c r="R2685" s="28" t="n">
        <x:v>0</x:v>
      </x:c>
      <x:c r="S2685" s="28" t="str">
        <x:v>cec5f82bd476394b</x:v>
      </x:c>
    </x:row>
    <x:row r="2686" ht="21" customHeight="1">
      <x:c r="A2686" s="60" t="n">
        <x:v>0.7</x:v>
      </x:c>
      <x:c r="B2686" s="28" t="str">
        <x:v>back_low</x:v>
      </x:c>
      <x:c r="C2686" s="60" t="n">
        <x:v>0.55</x:v>
      </x:c>
      <x:c r="D2686" s="60" t="n">
        <x:v>0.55</x:v>
      </x:c>
      <x:c r="E2686" s="62" t="b">
        <x:v>1</x:v>
      </x:c>
      <x:c r="F2686" s="62" t="b">
        <x:v>0</x:v>
      </x:c>
      <x:c r="G2686" s="85" t="n">
        <x:v>57236.86364022978</x:v>
      </x:c>
      <x:c r="H2686" s="85" t="n">
        <x:v>716635.5557943098</x:v>
      </x:c>
      <x:c r="I2686" s="85" t="n">
        <x:v>6861551.868493156</x:v>
      </x:c>
      <x:c r="J2686" s="85" t="n">
        <x:v>11148800.000000002</x:v>
      </x:c>
      <x:c r="K2686" s="85" t="n">
        <x:v>164003.11652784934</x:v>
      </x:c>
      <x:c r="L2686" s="28" t="n">
        <x:v>41</x:v>
      </x:c>
      <x:c r="M2686" s="28" t="n">
        <x:v>24</x:v>
      </x:c>
      <x:c r="N2686" s="28" t="n">
        <x:v>4.656612873077393e-10</x:v>
      </x:c>
      <x:c r="O2686" s="28" t="n">
        <x:v>7.450580596923828e-9</x:v>
      </x:c>
      <x:c r="P2686" s="28" t="n">
        <x:v>0</x:v>
      </x:c>
      <x:c r="Q2686" s="62" t="b">
        <x:v>1</x:v>
      </x:c>
      <x:c r="R2686" s="28" t="n">
        <x:v>0</x:v>
      </x:c>
      <x:c r="S2686" s="28" t="str">
        <x:v>c1059da2efeada72</x:v>
      </x:c>
    </x:row>
    <x:row r="2687" ht="21" customHeight="1">
      <x:c r="A2687" s="60" t="n">
        <x:v>0.7</x:v>
      </x:c>
      <x:c r="B2687" s="28" t="str">
        <x:v>back_low</x:v>
      </x:c>
      <x:c r="C2687" s="60" t="n">
        <x:v>0.6</x:v>
      </x:c>
      <x:c r="D2687" s="60" t="n">
        <x:v>0.6</x:v>
      </x:c>
      <x:c r="E2687" s="62" t="b">
        <x:v>1</x:v>
      </x:c>
      <x:c r="F2687" s="62" t="b">
        <x:v>0</x:v>
      </x:c>
      <x:c r="G2687" s="85" t="n">
        <x:v>203298.33788202037</x:v>
      </x:c>
      <x:c r="H2687" s="85" t="n">
        <x:v>2532779.324242004</x:v>
      </x:c>
      <x:c r="I2687" s="85" t="n">
        <x:v>7030158.378082196</x:v>
      </x:c>
      <x:c r="J2687" s="85" t="n">
        <x:v>11148800.000000002</x:v>
      </x:c>
      <x:c r="K2687" s="85" t="n">
        <x:v>149675.3339456986</x:v>
      </x:c>
      <x:c r="L2687" s="28" t="n">
        <x:v>42</x:v>
      </x:c>
      <x:c r="M2687" s="28" t="n">
        <x:v>30</x:v>
      </x:c>
      <x:c r="N2687" s="28" t="n">
        <x:v>4.656612873077393e-10</x:v>
      </x:c>
      <x:c r="O2687" s="28" t="n">
        <x:v>7.450580596923828e-9</x:v>
      </x:c>
      <x:c r="P2687" s="28" t="n">
        <x:v>0</x:v>
      </x:c>
      <x:c r="Q2687" s="62" t="b">
        <x:v>1</x:v>
      </x:c>
      <x:c r="R2687" s="28" t="n">
        <x:v>0</x:v>
      </x:c>
      <x:c r="S2687" s="28" t="str">
        <x:v>9683b5d3b13bfd35</x:v>
      </x:c>
    </x:row>
    <x:row r="2688" ht="21" customHeight="1">
      <x:c r="A2688" s="60" t="n">
        <x:v>0.7</x:v>
      </x:c>
      <x:c r="B2688" s="28" t="str">
        <x:v>back_low</x:v>
      </x:c>
      <x:c r="C2688" s="60" t="n">
        <x:v>0.65</x:v>
      </x:c>
      <x:c r="D2688" s="60" t="n">
        <x:v>0.65</x:v>
      </x:c>
      <x:c r="E2688" s="62" t="b">
        <x:v>1</x:v>
      </x:c>
      <x:c r="F2688" s="62" t="b">
        <x:v>0</x:v>
      </x:c>
      <x:c r="G2688" s="85" t="n">
        <x:v>365822.8377831919</x:v>
      </x:c>
      <x:c r="H2688" s="85" t="n">
        <x:v>4553707.78231429</x:v>
      </x:c>
      <x:c r="I2688" s="85" t="n">
        <x:v>7030158.378082196</x:v>
      </x:c>
      <x:c r="J2688" s="85" t="n">
        <x:v>11148800.000000002</x:v>
      </x:c>
      <x:c r="K2688" s="85" t="n">
        <x:v>135347.55136354806</x:v>
      </x:c>
      <x:c r="L2688" s="28" t="n">
        <x:v>42</x:v>
      </x:c>
      <x:c r="M2688" s="28" t="n">
        <x:v>31</x:v>
      </x:c>
      <x:c r="N2688" s="28" t="n">
        <x:v>4.656612873077393e-10</x:v>
      </x:c>
      <x:c r="O2688" s="28" t="n">
        <x:v>7.450580596923828e-9</x:v>
      </x:c>
      <x:c r="P2688" s="28" t="n">
        <x:v>0</x:v>
      </x:c>
      <x:c r="Q2688" s="62" t="b">
        <x:v>1</x:v>
      </x:c>
      <x:c r="R2688" s="28" t="n">
        <x:v>0</x:v>
      </x:c>
      <x:c r="S2688" s="28" t="str">
        <x:v>6c911ae97950501d</x:v>
      </x:c>
    </x:row>
    <x:row r="2689" ht="21" customHeight="1">
      <x:c r="A2689" s="60" t="n">
        <x:v>0.7</x:v>
      </x:c>
      <x:c r="B2689" s="28" t="str">
        <x:v>back_low</x:v>
      </x:c>
      <x:c r="C2689" s="60" t="n">
        <x:v>0.7</x:v>
      </x:c>
      <x:c r="D2689" s="60" t="n">
        <x:v>0.7</x:v>
      </x:c>
      <x:c r="E2689" s="62" t="b">
        <x:v>1</x:v>
      </x:c>
      <x:c r="F2689" s="62" t="b">
        <x:v>0</x:v>
      </x:c>
      <x:c r="G2689" s="85" t="n">
        <x:v>511264.9522582487</x:v>
      </x:c>
      <x:c r="H2689" s="85" t="n">
        <x:v>6362147.292734285</x:v>
      </x:c>
      <x:c r="I2689" s="85" t="n">
        <x:v>7196932.208219184</x:v>
      </x:c>
      <x:c r="J2689" s="85" t="n">
        <x:v>11148800.000000002</x:v>
      </x:c>
      <x:c r="K2689" s="85" t="n">
        <x:v>122812.74868493147</x:v>
      </x:c>
      <x:c r="L2689" s="28" t="n">
        <x:v>43</x:v>
      </x:c>
      <x:c r="M2689" s="28" t="n">
        <x:v>32</x:v>
      </x:c>
      <x:c r="N2689" s="28" t="n">
        <x:v>4.656612873077393e-10</x:v>
      </x:c>
      <x:c r="O2689" s="28" t="n">
        <x:v>3.725290298461914e-9</x:v>
      </x:c>
      <x:c r="P2689" s="28" t="n">
        <x:v>0</x:v>
      </x:c>
      <x:c r="Q2689" s="62" t="b">
        <x:v>1</x:v>
      </x:c>
      <x:c r="R2689" s="28" t="n">
        <x:v>0</x:v>
      </x:c>
      <x:c r="S2689" s="28" t="str">
        <x:v>ea7f7fbb32afe953</x:v>
      </x:c>
    </x:row>
    <x:row r="2690" ht="21" customHeight="1">
      <x:c r="A2690" s="60" t="n">
        <x:v>0.7</x:v>
      </x:c>
      <x:c r="B2690" s="28" t="str">
        <x:v>back_low</x:v>
      </x:c>
      <x:c r="C2690" s="60" t="n">
        <x:v>0.75</x:v>
      </x:c>
      <x:c r="D2690" s="60" t="n">
        <x:v>0.75</x:v>
      </x:c>
      <x:c r="E2690" s="62" t="b">
        <x:v>1</x:v>
      </x:c>
      <x:c r="F2690" s="62" t="b">
        <x:v>0</x:v>
      </x:c>
      <x:c r="G2690" s="85" t="n">
        <x:v>709921.5448014027</x:v>
      </x:c>
      <x:c r="H2690" s="85" t="n">
        <x:v>8321382.163446759</x:v>
      </x:c>
      <x:c r="I2690" s="85" t="n">
        <x:v>7196932.208219184</x:v>
      </x:c>
      <x:c r="J2690" s="85" t="n">
        <x:v>11148800.000000002</x:v>
      </x:c>
      <x:c r="K2690" s="85" t="n">
        <x:v>116256.38787671216</x:v>
      </x:c>
      <x:c r="L2690" s="28" t="n">
        <x:v>43</x:v>
      </x:c>
      <x:c r="M2690" s="28" t="n">
        <x:v>32</x:v>
      </x:c>
      <x:c r="N2690" s="28" t="n">
        <x:v>2.3283064365386963e-10</x:v>
      </x:c>
      <x:c r="O2690" s="28" t="n">
        <x:v>7.450580596923828e-9</x:v>
      </x:c>
      <x:c r="P2690" s="28" t="n">
        <x:v>0</x:v>
      </x:c>
      <x:c r="Q2690" s="62" t="b">
        <x:v>1</x:v>
      </x:c>
      <x:c r="R2690" s="28" t="n">
        <x:v>0</x:v>
      </x:c>
      <x:c r="S2690" s="28" t="str">
        <x:v>7aae8c0688ba8971</x:v>
      </x:c>
    </x:row>
    <x:row r="2691" ht="21" customHeight="1">
      <x:c r="A2691" s="60" t="n">
        <x:v>0.7</x:v>
      </x:c>
      <x:c r="B2691" s="28" t="str">
        <x:v>back_low</x:v>
      </x:c>
      <x:c r="C2691" s="60" t="n">
        <x:v>0.8</x:v>
      </x:c>
      <x:c r="D2691" s="60" t="n">
        <x:v>0.8</x:v>
      </x:c>
      <x:c r="E2691" s="62" t="b">
        <x:v>1</x:v>
      </x:c>
      <x:c r="F2691" s="62" t="b">
        <x:v>0</x:v>
      </x:c>
      <x:c r="G2691" s="85" t="n">
        <x:v>877594.7465618463</x:v>
      </x:c>
      <x:c r="H2691" s="85" t="n">
        <x:v>10272890.711462306</x:v>
      </x:c>
      <x:c r="I2691" s="85" t="n">
        <x:v>7196932.208219184</x:v>
      </x:c>
      <x:c r="J2691" s="85" t="n">
        <x:v>11148800.000000002</x:v>
      </x:c>
      <x:c r="K2691" s="85" t="n">
        <x:v>109700.02706849322</x:v>
      </x:c>
      <x:c r="L2691" s="28" t="n">
        <x:v>43</x:v>
      </x:c>
      <x:c r="M2691" s="28" t="n">
        <x:v>34</x:v>
      </x:c>
      <x:c r="N2691" s="28" t="n">
        <x:v>4.656612873077393e-10</x:v>
      </x:c>
      <x:c r="O2691" s="28" t="n">
        <x:v>3.725290298461914e-9</x:v>
      </x:c>
      <x:c r="P2691" s="28" t="n">
        <x:v>0</x:v>
      </x:c>
      <x:c r="Q2691" s="62" t="b">
        <x:v>1</x:v>
      </x:c>
      <x:c r="R2691" s="28" t="n">
        <x:v>0</x:v>
      </x:c>
      <x:c r="S2691" s="28" t="str">
        <x:v>e4739363f260b751</x:v>
      </x:c>
    </x:row>
    <x:row r="2692" ht="21" customHeight="1">
      <x:c r="A2692" s="60" t="n">
        <x:v>0.7</x:v>
      </x:c>
      <x:c r="B2692" s="28" t="str">
        <x:v>back_low</x:v>
      </x:c>
      <x:c r="C2692" s="60" t="n">
        <x:v>0.85</x:v>
      </x:c>
      <x:c r="D2692" s="60" t="n">
        <x:v>0.85</x:v>
      </x:c>
      <x:c r="E2692" s="62" t="b">
        <x:v>1</x:v>
      </x:c>
      <x:c r="F2692" s="62" t="b">
        <x:v>0</x:v>
      </x:c>
      <x:c r="G2692" s="85" t="n">
        <x:v>1141696.5046721247</x:v>
      </x:c>
      <x:c r="H2692" s="85" t="n">
        <x:v>11904455.792751648</x:v>
      </x:c>
      <x:c r="I2692" s="85" t="n">
        <x:v>7363706.03835617</x:v>
      </x:c>
      <x:c r="J2692" s="85" t="n">
        <x:v>11148800.000000002</x:v>
      </x:c>
      <x:c r="K2692" s="85" t="n">
        <x:v>103143.66626027344</x:v>
      </x:c>
      <x:c r="L2692" s="28" t="n">
        <x:v>44</x:v>
      </x:c>
      <x:c r="M2692" s="28" t="n">
        <x:v>34</x:v>
      </x:c>
      <x:c r="N2692" s="28" t="n">
        <x:v>4.656612873077393e-10</x:v>
      </x:c>
      <x:c r="O2692" s="28" t="n">
        <x:v>9.313225746154785e-10</x:v>
      </x:c>
      <x:c r="P2692" s="28" t="n">
        <x:v>0</x:v>
      </x:c>
      <x:c r="Q2692" s="62" t="b">
        <x:v>1</x:v>
      </x:c>
      <x:c r="R2692" s="28" t="n">
        <x:v>0</x:v>
      </x:c>
      <x:c r="S2692" s="28" t="str">
        <x:v>556702c6e820400b</x:v>
      </x:c>
    </x:row>
    <x:row r="2693" ht="21" customHeight="1">
      <x:c r="A2693" s="60" t="n">
        <x:v>0.7</x:v>
      </x:c>
      <x:c r="B2693" s="28" t="str">
        <x:v>back_low</x:v>
      </x:c>
      <x:c r="C2693" s="60" t="n">
        <x:v>0.9</x:v>
      </x:c>
      <x:c r="D2693" s="60" t="n">
        <x:v>0.880265491166173</x:v>
      </x:c>
      <x:c r="E2693" s="62" t="b">
        <x:v>0</x:v>
      </x:c>
      <x:c r="F2693" s="62" t="b">
        <x:v>0</x:v>
      </x:c>
      <x:c r="G2693" s="85" t="n">
        <x:v>1465566.3992963454</x:v>
      </x:c>
      <x:c r="H2693" s="85" t="n">
        <x:v>12849978.037982322</x:v>
      </x:c>
      <x:c r="I2693" s="85" t="n">
        <x:v>7363706.03835617</x:v>
      </x:c>
      <x:c r="J2693" s="85" t="n">
        <x:v>11148800.000000002</x:v>
      </x:c>
      <x:c r="K2693" s="85" t="n">
        <x:v>96587.30545205438</x:v>
      </x:c>
      <x:c r="L2693" s="28" t="n">
        <x:v>44</x:v>
      </x:c>
      <x:c r="M2693" s="28" t="n">
        <x:v>35</x:v>
      </x:c>
      <x:c r="N2693" s="28" t="n">
        <x:v>4.656612873077393e-10</x:v>
      </x:c>
      <x:c r="O2693" s="28" t="n">
        <x:v>3.725290298461914e-9</x:v>
      </x:c>
      <x:c r="P2693" s="28" t="n">
        <x:v>0</x:v>
      </x:c>
      <x:c r="Q2693" s="62" t="b">
        <x:v>1</x:v>
      </x:c>
      <x:c r="R2693" s="28" t="n">
        <x:v>1100080.4604328498</x:v>
      </x:c>
      <x:c r="S2693" s="28" t="str">
        <x:v>de5725ce4eb3def0</x:v>
      </x:c>
    </x:row>
    <x:row r="2694" ht="21" customHeight="1">
      <x:c r="A2694" s="60" t="n">
        <x:v>0.7</x:v>
      </x:c>
      <x:c r="B2694" s="28" t="str">
        <x:v>back_low</x:v>
      </x:c>
      <x:c r="C2694" s="60" t="n">
        <x:v>0.95</x:v>
      </x:c>
      <x:c r="D2694" s="60" t="n">
        <x:v>0.8954794051096439</x:v>
      </x:c>
      <x:c r="E2694" s="62" t="b">
        <x:v>0</x:v>
      </x:c>
      <x:c r="F2694" s="62" t="b">
        <x:v>0</x:v>
      </x:c>
      <x:c r="G2694" s="85" t="n">
        <x:v>1544946.9825500061</x:v>
      </x:c>
      <x:c r="H2694" s="85" t="n">
        <x:v>13545981.13408326</x:v>
      </x:c>
      <x:c r="I2694" s="85" t="n">
        <x:v>7363706.03835617</x:v>
      </x:c>
      <x:c r="J2694" s="85" t="n">
        <x:v>11148800.000000002</x:v>
      </x:c>
      <x:c r="K2694" s="85" t="n">
        <x:v>90030.94464383577</x:v>
      </x:c>
      <x:c r="L2694" s="28" t="n">
        <x:v>44</x:v>
      </x:c>
      <x:c r="M2694" s="28" t="n">
        <x:v>36</x:v>
      </x:c>
      <x:c r="N2694" s="28" t="n">
        <x:v>4.656612873077393e-10</x:v>
      </x:c>
      <x:c r="O2694" s="28" t="n">
        <x:v>3.725290298461914e-9</x:v>
      </x:c>
      <x:c r="P2694" s="28" t="n">
        <x:v>0</x:v>
      </x:c>
      <x:c r="Q2694" s="62" t="b">
        <x:v>1</x:v>
      </x:c>
      <x:c r="R2694" s="28" t="n">
        <x:v>3039196.041568011</x:v>
      </x:c>
      <x:c r="S2694" s="28" t="str">
        <x:v>9758032b861c70d2</x:v>
      </x:c>
    </x:row>
    <x:row r="2695" ht="21" customHeight="1">
      <x:c r="A2695" s="60" t="n">
        <x:v>0.7</x:v>
      </x:c>
      <x:c r="B2695" s="28" t="str">
        <x:v>back_low</x:v>
      </x:c>
      <x:c r="C2695" s="60" t="n">
        <x:v>1</x:v>
      </x:c>
      <x:c r="D2695" s="60" t="n">
        <x:v>0.9093341115290656</x:v>
      </x:c>
      <x:c r="E2695" s="62" t="b">
        <x:v>0</x:v>
      </x:c>
      <x:c r="F2695" s="62" t="b">
        <x:v>0</x:v>
      </x:c>
      <x:c r="G2695" s="85" t="n">
        <x:v>1676290.088563963</x:v>
      </x:c>
      <x:c r="H2695" s="85" t="n">
        <x:v>14105306.552455138</x:v>
      </x:c>
      <x:c r="I2695" s="85" t="n">
        <x:v>7363706.03835617</x:v>
      </x:c>
      <x:c r="J2695" s="85" t="n">
        <x:v>11148800.000000002</x:v>
      </x:c>
      <x:c r="K2695" s="85" t="n">
        <x:v>83474.58383561626</x:v>
      </x:c>
      <x:c r="L2695" s="28" t="n">
        <x:v>44</x:v>
      </x:c>
      <x:c r="M2695" s="28" t="n">
        <x:v>36</x:v>
      </x:c>
      <x:c r="N2695" s="28" t="n">
        <x:v>4.656612873077393e-10</x:v>
      </x:c>
      <x:c r="O2695" s="28" t="n">
        <x:v>3.725290298461914e-9</x:v>
      </x:c>
      <x:c r="P2695" s="28" t="n">
        <x:v>0</x:v>
      </x:c>
      <x:c r="Q2695" s="62" t="b">
        <x:v>1</x:v>
      </x:c>
      <x:c r="R2695" s="28" t="n">
        <x:v>5054079.286923766</x:v>
      </x:c>
      <x:c r="S2695" s="28" t="str">
        <x:v>981b6d26e2a00f54</x:v>
      </x:c>
    </x:row>
    <x:row r="2696" ht="21" customHeight="1">
      <x:c r="A2696" s="60" t="n">
        <x:v>0.7</x:v>
      </x:c>
      <x:c r="B2696" s="28" t="str">
        <x:v>back_high</x:v>
      </x:c>
      <x:c r="C2696" s="60" t="n">
        <x:v>0</x:v>
      </x:c>
      <x:c r="D2696" s="60" t="n">
        <x:v>0</x:v>
      </x:c>
      <x:c r="E2696" s="62" t="b">
        <x:v>1</x:v>
      </x:c>
      <x:c r="F2696" s="62" t="b">
        <x:v>1</x:v>
      </x:c>
      <x:c r="G2696" s="85" t="n">
        <x:v>0</x:v>
      </x:c>
      <x:c r="H2696" s="85" t="n">
        <x:v>0</x:v>
      </x:c>
      <x:c r="I2696" s="85" t="n">
        <x:v>0</x:v>
      </x:c>
      <x:c r="J2696" s="85" t="n">
        <x:v>0</x:v>
      </x:c>
      <x:c r="K2696" s="85" t="n">
        <x:v>7833422.349589038</x:v>
      </x:c>
      <x:c r="L2696" s="28" t="n">
        <x:v>0</x:v>
      </x:c>
      <x:c r="M2696" s="28" t="n">
        <x:v>0</x:v>
      </x:c>
      <x:c r="N2696" s="28" t="n">
        <x:v>4.656612873077393e-10</x:v>
      </x:c>
      <x:c r="O2696" s="28" t="n">
        <x:v>0</x:v>
      </x:c>
      <x:c r="P2696" s="28" t="n">
        <x:v>0</x:v>
      </x:c>
      <x:c r="Q2696" s="62" t="b">
        <x:v>1</x:v>
      </x:c>
      <x:c r="R2696" s="28" t="n">
        <x:v>0</x:v>
      </x:c>
      <x:c r="S2696" s="28" t="str">
        <x:v>c2097498eaf6cd99</x:v>
      </x:c>
    </x:row>
    <x:row r="2697" ht="21" customHeight="1">
      <x:c r="A2697" s="60" t="n">
        <x:v>0.7</x:v>
      </x:c>
      <x:c r="B2697" s="28" t="str">
        <x:v>back_high</x:v>
      </x:c>
      <x:c r="C2697" s="60" t="n">
        <x:v>0.05</x:v>
      </x:c>
      <x:c r="D2697" s="60" t="n">
        <x:v>0.05</x:v>
      </x:c>
      <x:c r="E2697" s="62" t="b">
        <x:v>1</x:v>
      </x:c>
      <x:c r="F2697" s="62" t="b">
        <x:v>1</x:v>
      </x:c>
      <x:c r="G2697" s="85" t="n">
        <x:v>0</x:v>
      </x:c>
      <x:c r="H2697" s="85" t="n">
        <x:v>0</x:v>
      </x:c>
      <x:c r="I2697" s="85" t="n">
        <x:v>0</x:v>
      </x:c>
      <x:c r="J2697" s="85" t="n">
        <x:v>0</x:v>
      </x:c>
      <x:c r="K2697" s="85" t="n">
        <x:v>5389137.356776146</x:v>
      </x:c>
      <x:c r="L2697" s="28" t="n">
        <x:v>0</x:v>
      </x:c>
      <x:c r="M2697" s="28" t="n">
        <x:v>0</x:v>
      </x:c>
      <x:c r="N2697" s="28" t="n">
        <x:v>4.656612873077393e-10</x:v>
      </x:c>
      <x:c r="O2697" s="28" t="n">
        <x:v>7.450580596923828e-9</x:v>
      </x:c>
      <x:c r="P2697" s="28" t="n">
        <x:v>0</x:v>
      </x:c>
      <x:c r="Q2697" s="62" t="b">
        <x:v>1</x:v>
      </x:c>
      <x:c r="R2697" s="28" t="n">
        <x:v>0</x:v>
      </x:c>
      <x:c r="S2697" s="28" t="str">
        <x:v>6b1a1dfa538b9f5c</x:v>
      </x:c>
    </x:row>
    <x:row r="2698" ht="21" customHeight="1">
      <x:c r="A2698" s="60" t="n">
        <x:v>0.7</x:v>
      </x:c>
      <x:c r="B2698" s="28" t="str">
        <x:v>back_high</x:v>
      </x:c>
      <x:c r="C2698" s="60" t="n">
        <x:v>0.1</x:v>
      </x:c>
      <x:c r="D2698" s="60" t="n">
        <x:v>0.1</x:v>
      </x:c>
      <x:c r="E2698" s="62" t="b">
        <x:v>1</x:v>
      </x:c>
      <x:c r="F2698" s="62" t="b">
        <x:v>1</x:v>
      </x:c>
      <x:c r="G2698" s="85" t="n">
        <x:v>0</x:v>
      </x:c>
      <x:c r="H2698" s="85" t="n">
        <x:v>0</x:v>
      </x:c>
      <x:c r="I2698" s="85" t="n">
        <x:v>0</x:v>
      </x:c>
      <x:c r="J2698" s="85" t="n">
        <x:v>0</x:v>
      </x:c>
      <x:c r="K2698" s="85" t="n">
        <x:v>2944852.363963278</x:v>
      </x:c>
      <x:c r="L2698" s="28" t="n">
        <x:v>0</x:v>
      </x:c>
      <x:c r="M2698" s="28" t="n">
        <x:v>0</x:v>
      </x:c>
      <x:c r="N2698" s="28" t="n">
        <x:v>9.313225746154785e-10</x:v>
      </x:c>
      <x:c r="O2698" s="28" t="n">
        <x:v>7.450580596923828e-9</x:v>
      </x:c>
      <x:c r="P2698" s="28" t="n">
        <x:v>0</x:v>
      </x:c>
      <x:c r="Q2698" s="62" t="b">
        <x:v>1</x:v>
      </x:c>
      <x:c r="R2698" s="28" t="n">
        <x:v>0</x:v>
      </x:c>
      <x:c r="S2698" s="28" t="str">
        <x:v>820afd03acdd36f0</x:v>
      </x:c>
    </x:row>
    <x:row r="2699" ht="21" customHeight="1">
      <x:c r="A2699" s="60" t="n">
        <x:v>0.7</x:v>
      </x:c>
      <x:c r="B2699" s="28" t="str">
        <x:v>back_high</x:v>
      </x:c>
      <x:c r="C2699" s="60" t="n">
        <x:v>0.15</x:v>
      </x:c>
      <x:c r="D2699" s="60" t="n">
        <x:v>0.15</x:v>
      </x:c>
      <x:c r="E2699" s="62" t="b">
        <x:v>1</x:v>
      </x:c>
      <x:c r="F2699" s="62" t="b">
        <x:v>1</x:v>
      </x:c>
      <x:c r="G2699" s="85" t="n">
        <x:v>0</x:v>
      </x:c>
      <x:c r="H2699" s="85" t="n">
        <x:v>0</x:v>
      </x:c>
      <x:c r="I2699" s="85" t="n">
        <x:v>435980.4657806812</x:v>
      </x:c>
      <x:c r="J2699" s="85" t="n">
        <x:v>0</x:v>
      </x:c>
      <x:c r="K2699" s="85" t="n">
        <x:v>952946.3358493249</x:v>
      </x:c>
      <x:c r="L2699" s="28" t="n">
        <x:v>0</x:v>
      </x:c>
      <x:c r="M2699" s="28" t="n">
        <x:v>0</x:v>
      </x:c>
      <x:c r="N2699" s="28" t="n">
        <x:v>9.313225746154785e-10</x:v>
      </x:c>
      <x:c r="O2699" s="28" t="n">
        <x:v>7.450580596923828e-9</x:v>
      </x:c>
      <x:c r="P2699" s="28" t="n">
        <x:v>0</x:v>
      </x:c>
      <x:c r="Q2699" s="62" t="b">
        <x:v>1</x:v>
      </x:c>
      <x:c r="R2699" s="28" t="n">
        <x:v>0</x:v>
      </x:c>
      <x:c r="S2699" s="28" t="str">
        <x:v>390f7b53010c05e6</x:v>
      </x:c>
    </x:row>
    <x:row r="2700" ht="21" customHeight="1">
      <x:c r="A2700" s="60" t="n">
        <x:v>0.7</x:v>
      </x:c>
      <x:c r="B2700" s="28" t="str">
        <x:v>back_high</x:v>
      </x:c>
      <x:c r="C2700" s="60" t="n">
        <x:v>0.2</x:v>
      </x:c>
      <x:c r="D2700" s="60" t="n">
        <x:v>0.2</x:v>
      </x:c>
      <x:c r="E2700" s="62" t="b">
        <x:v>1</x:v>
      </x:c>
      <x:c r="F2700" s="62" t="b">
        <x:v>1</x:v>
      </x:c>
      <x:c r="G2700" s="85" t="n">
        <x:v>0</x:v>
      </x:c>
      <x:c r="H2700" s="85" t="n">
        <x:v>0</x:v>
      </x:c>
      <x:c r="I2700" s="85" t="n">
        <x:v>2206348.8567295033</x:v>
      </x:c>
      <x:c r="J2700" s="85" t="n">
        <x:v>1245718.9057329379</x:v>
      </x:c>
      <x:c r="K2700" s="85" t="n">
        <x:v>775373.7953779196</x:v>
      </x:c>
      <x:c r="L2700" s="28" t="n">
        <x:v>0</x:v>
      </x:c>
      <x:c r="M2700" s="28" t="n">
        <x:v>0</x:v>
      </x:c>
      <x:c r="N2700" s="28" t="n">
        <x:v>9.313225746154785e-10</x:v>
      </x:c>
      <x:c r="O2700" s="28" t="n">
        <x:v>7.450580596923828e-9</x:v>
      </x:c>
      <x:c r="P2700" s="28" t="n">
        <x:v>0</x:v>
      </x:c>
      <x:c r="Q2700" s="62" t="b">
        <x:v>1</x:v>
      </x:c>
      <x:c r="R2700" s="28" t="n">
        <x:v>0</x:v>
      </x:c>
      <x:c r="S2700" s="28" t="str">
        <x:v>10cdf7a4ab2e44e5</x:v>
      </x:c>
    </x:row>
    <x:row r="2701" ht="21" customHeight="1">
      <x:c r="A2701" s="60" t="n">
        <x:v>0.7</x:v>
      </x:c>
      <x:c r="B2701" s="28" t="str">
        <x:v>back_high</x:v>
      </x:c>
      <x:c r="C2701" s="60" t="n">
        <x:v>0.25</x:v>
      </x:c>
      <x:c r="D2701" s="60" t="n">
        <x:v>0.25</x:v>
      </x:c>
      <x:c r="E2701" s="62" t="b">
        <x:v>1</x:v>
      </x:c>
      <x:c r="F2701" s="62" t="b">
        <x:v>1</x:v>
      </x:c>
      <x:c r="G2701" s="85" t="n">
        <x:v>0</x:v>
      </x:c>
      <x:c r="H2701" s="85" t="n">
        <x:v>0</x:v>
      </x:c>
      <x:c r="I2701" s="85" t="n">
        <x:v>3756149.181596836</x:v>
      </x:c>
      <x:c r="J2701" s="85" t="n">
        <x:v>2950748.6321661994</x:v>
      </x:c>
      <x:c r="K2701" s="85" t="n">
        <x:v>651668.8722958416</x:v>
      </x:c>
      <x:c r="L2701" s="28" t="n">
        <x:v>0</x:v>
      </x:c>
      <x:c r="M2701" s="28" t="n">
        <x:v>0</x:v>
      </x:c>
      <x:c r="N2701" s="28" t="n">
        <x:v>9.313225746154785e-10</x:v>
      </x:c>
      <x:c r="O2701" s="28" t="n">
        <x:v>7.450580596923828e-9</x:v>
      </x:c>
      <x:c r="P2701" s="28" t="n">
        <x:v>0</x:v>
      </x:c>
      <x:c r="Q2701" s="62" t="b">
        <x:v>1</x:v>
      </x:c>
      <x:c r="R2701" s="28" t="n">
        <x:v>0</x:v>
      </x:c>
      <x:c r="S2701" s="28" t="str">
        <x:v>90e955d16cd87a4a</x:v>
      </x:c>
    </x:row>
    <x:row r="2702" ht="21" customHeight="1">
      <x:c r="A2702" s="60" t="n">
        <x:v>0.7</x:v>
      </x:c>
      <x:c r="B2702" s="28" t="str">
        <x:v>back_high</x:v>
      </x:c>
      <x:c r="C2702" s="60" t="n">
        <x:v>0.3</x:v>
      </x:c>
      <x:c r="D2702" s="60" t="n">
        <x:v>0.3</x:v>
      </x:c>
      <x:c r="E2702" s="62" t="b">
        <x:v>1</x:v>
      </x:c>
      <x:c r="F2702" s="62" t="b">
        <x:v>1</x:v>
      </x:c>
      <x:c r="G2702" s="85" t="n">
        <x:v>0</x:v>
      </x:c>
      <x:c r="H2702" s="85" t="n">
        <x:v>0</x:v>
      </x:c>
      <x:c r="I2702" s="85" t="n">
        <x:v>5345050.960192706</x:v>
      </x:c>
      <x:c r="J2702" s="85" t="n">
        <x:v>4655778.358599428</x:v>
      </x:c>
      <x:c r="K2702" s="85" t="n">
        <x:v>558341.3139165496</x:v>
      </x:c>
      <x:c r="L2702" s="28" t="n">
        <x:v>0</x:v>
      </x:c>
      <x:c r="M2702" s="28" t="n">
        <x:v>0</x:v>
      </x:c>
      <x:c r="N2702" s="28" t="n">
        <x:v>4.656612873077393e-10</x:v>
      </x:c>
      <x:c r="O2702" s="28" t="n">
        <x:v>7.450580596923828e-9</x:v>
      </x:c>
      <x:c r="P2702" s="28" t="n">
        <x:v>0</x:v>
      </x:c>
      <x:c r="Q2702" s="62" t="b">
        <x:v>1</x:v>
      </x:c>
      <x:c r="R2702" s="28" t="n">
        <x:v>0</x:v>
      </x:c>
      <x:c r="S2702" s="28" t="str">
        <x:v>1301b93f78e1521c</x:v>
      </x:c>
    </x:row>
    <x:row r="2703" ht="21" customHeight="1">
      <x:c r="A2703" s="60" t="n">
        <x:v>0.7</x:v>
      </x:c>
      <x:c r="B2703" s="28" t="str">
        <x:v>back_high</x:v>
      </x:c>
      <x:c r="C2703" s="60" t="n">
        <x:v>0.35</x:v>
      </x:c>
      <x:c r="D2703" s="60" t="n">
        <x:v>0.35</x:v>
      </x:c>
      <x:c r="E2703" s="62" t="b">
        <x:v>1</x:v>
      </x:c>
      <x:c r="F2703" s="62" t="b">
        <x:v>1</x:v>
      </x:c>
      <x:c r="G2703" s="85" t="n">
        <x:v>0</x:v>
      </x:c>
      <x:c r="H2703" s="85" t="n">
        <x:v>0</x:v>
      </x:c>
      <x:c r="I2703" s="85" t="n">
        <x:v>7187282.0081516085</x:v>
      </x:c>
      <x:c r="J2703" s="85" t="n">
        <x:v>5069556.239387819</x:v>
      </x:c>
      <x:c r="K2703" s="85" t="n">
        <x:v>488994.7667839189</x:v>
      </x:c>
      <x:c r="L2703" s="28" t="n">
        <x:v>7</x:v>
      </x:c>
      <x:c r="M2703" s="28" t="n">
        <x:v>0</x:v>
      </x:c>
      <x:c r="N2703" s="28" t="n">
        <x:v>4.656612873077393e-10</x:v>
      </x:c>
      <x:c r="O2703" s="28" t="n">
        <x:v>3.725290298461914e-9</x:v>
      </x:c>
      <x:c r="P2703" s="28" t="n">
        <x:v>0</x:v>
      </x:c>
      <x:c r="Q2703" s="62" t="b">
        <x:v>1</x:v>
      </x:c>
      <x:c r="R2703" s="28" t="n">
        <x:v>0</x:v>
      </x:c>
      <x:c r="S2703" s="28" t="str">
        <x:v>5c9258e3fa2aa733</x:v>
      </x:c>
    </x:row>
    <x:row r="2704" ht="21" customHeight="1">
      <x:c r="A2704" s="60" t="n">
        <x:v>0.7</x:v>
      </x:c>
      <x:c r="B2704" s="28" t="str">
        <x:v>back_high</x:v>
      </x:c>
      <x:c r="C2704" s="60" t="n">
        <x:v>0.4</x:v>
      </x:c>
      <x:c r="D2704" s="60" t="n">
        <x:v>0.4</x:v>
      </x:c>
      <x:c r="E2704" s="62" t="b">
        <x:v>1</x:v>
      </x:c>
      <x:c r="F2704" s="62" t="b">
        <x:v>1</x:v>
      </x:c>
      <x:c r="G2704" s="85" t="n">
        <x:v>0</x:v>
      </x:c>
      <x:c r="H2704" s="85" t="n">
        <x:v>0</x:v>
      </x:c>
      <x:c r="I2704" s="85" t="n">
        <x:v>8875959.425229058</x:v>
      </x:c>
      <x:c r="J2704" s="85" t="n">
        <x:v>6271774.618264294</x:v>
      </x:c>
      <x:c r="K2704" s="85" t="n">
        <x:v>419648.21965128835</x:v>
      </x:c>
      <x:c r="L2704" s="28" t="n">
        <x:v>11</x:v>
      </x:c>
      <x:c r="M2704" s="28" t="n">
        <x:v>0</x:v>
      </x:c>
      <x:c r="N2704" s="28" t="n">
        <x:v>2.3283064365386963e-10</x:v>
      </x:c>
      <x:c r="O2704" s="28" t="n">
        <x:v>7.450580596923828e-9</x:v>
      </x:c>
      <x:c r="P2704" s="28" t="n">
        <x:v>0</x:v>
      </x:c>
      <x:c r="Q2704" s="62" t="b">
        <x:v>1</x:v>
      </x:c>
      <x:c r="R2704" s="28" t="n">
        <x:v>0</x:v>
      </x:c>
      <x:c r="S2704" s="28" t="str">
        <x:v>7f8712eb6d687647</x:v>
      </x:c>
    </x:row>
    <x:row r="2705" ht="21" customHeight="1">
      <x:c r="A2705" s="60" t="n">
        <x:v>0.7</x:v>
      </x:c>
      <x:c r="B2705" s="28" t="str">
        <x:v>back_high</x:v>
      </x:c>
      <x:c r="C2705" s="60" t="n">
        <x:v>0.45</x:v>
      </x:c>
      <x:c r="D2705" s="60" t="n">
        <x:v>0.45</x:v>
      </x:c>
      <x:c r="E2705" s="62" t="b">
        <x:v>1</x:v>
      </x:c>
      <x:c r="F2705" s="62" t="b">
        <x:v>1</x:v>
      </x:c>
      <x:c r="G2705" s="85" t="n">
        <x:v>0</x:v>
      </x:c>
      <x:c r="H2705" s="85" t="n">
        <x:v>0</x:v>
      </x:c>
      <x:c r="I2705" s="85" t="n">
        <x:v>10490890.572757946</x:v>
      </x:c>
      <x:c r="J2705" s="85" t="n">
        <x:v>7655872.751181614</x:v>
      </x:c>
      <x:c r="K2705" s="85" t="n">
        <x:v>373964.6197170141</x:v>
      </x:c>
      <x:c r="L2705" s="28" t="n">
        <x:v>14</x:v>
      </x:c>
      <x:c r="M2705" s="28" t="n">
        <x:v>4</x:v>
      </x:c>
      <x:c r="N2705" s="28" t="n">
        <x:v>4.656612873077393e-10</x:v>
      </x:c>
      <x:c r="O2705" s="28" t="n">
        <x:v>7.450580596923828e-9</x:v>
      </x:c>
      <x:c r="P2705" s="28" t="n">
        <x:v>0</x:v>
      </x:c>
      <x:c r="Q2705" s="62" t="b">
        <x:v>1</x:v>
      </x:c>
      <x:c r="R2705" s="28" t="n">
        <x:v>0</x:v>
      </x:c>
      <x:c r="S2705" s="28" t="str">
        <x:v>72bb8f3c8696eb50</x:v>
      </x:c>
    </x:row>
    <x:row r="2706" ht="21" customHeight="1">
      <x:c r="A2706" s="60" t="n">
        <x:v>0.7</x:v>
      </x:c>
      <x:c r="B2706" s="28" t="str">
        <x:v>back_high</x:v>
      </x:c>
      <x:c r="C2706" s="60" t="n">
        <x:v>0.5</x:v>
      </x:c>
      <x:c r="D2706" s="60" t="n">
        <x:v>0.5</x:v>
      </x:c>
      <x:c r="E2706" s="62" t="b">
        <x:v>1</x:v>
      </x:c>
      <x:c r="F2706" s="62" t="b">
        <x:v>1</x:v>
      </x:c>
      <x:c r="G2706" s="85" t="n">
        <x:v>0</x:v>
      </x:c>
      <x:c r="H2706" s="85" t="n">
        <x:v>0</x:v>
      </x:c>
      <x:c r="I2706" s="85" t="n">
        <x:v>12037611.286007226</x:v>
      </x:c>
      <x:c r="J2706" s="85" t="n">
        <x:v>9793757.224318512</x:v>
      </x:c>
      <x:c r="K2706" s="85" t="n">
        <x:v>334499.6661695898</x:v>
      </x:c>
      <x:c r="L2706" s="28" t="n">
        <x:v>17</x:v>
      </x:c>
      <x:c r="M2706" s="28" t="n">
        <x:v>10</x:v>
      </x:c>
      <x:c r="N2706" s="28" t="n">
        <x:v>4.656612873077393e-10</x:v>
      </x:c>
      <x:c r="O2706" s="28" t="n">
        <x:v>1.862645149230957e-9</x:v>
      </x:c>
      <x:c r="P2706" s="28" t="n">
        <x:v>0</x:v>
      </x:c>
      <x:c r="Q2706" s="62" t="b">
        <x:v>1</x:v>
      </x:c>
      <x:c r="R2706" s="28" t="n">
        <x:v>0</x:v>
      </x:c>
      <x:c r="S2706" s="28" t="str">
        <x:v>ba8b939d6d8344ca</x:v>
      </x:c>
    </x:row>
    <x:row r="2707" ht="21" customHeight="1">
      <x:c r="A2707" s="60" t="n">
        <x:v>0.7</x:v>
      </x:c>
      <x:c r="B2707" s="28" t="str">
        <x:v>back_high</x:v>
      </x:c>
      <x:c r="C2707" s="60" t="n">
        <x:v>0.55</x:v>
      </x:c>
      <x:c r="D2707" s="60" t="n">
        <x:v>0.55</x:v>
      </x:c>
      <x:c r="E2707" s="62" t="b">
        <x:v>1</x:v>
      </x:c>
      <x:c r="F2707" s="62" t="b">
        <x:v>0</x:v>
      </x:c>
      <x:c r="G2707" s="85" t="n">
        <x:v>221125.71703479768</x:v>
      </x:c>
      <x:c r="H2707" s="85" t="n">
        <x:v>695989.999644664</x:v>
      </x:c>
      <x:c r="I2707" s="85" t="n">
        <x:v>13169298.685577651</x:v>
      </x:c>
      <x:c r="J2707" s="85" t="n">
        <x:v>11148800.000000002</x:v>
      </x:c>
      <x:c r="K2707" s="85" t="n">
        <x:v>296641.11680136895</x:v>
      </x:c>
      <x:c r="L2707" s="28" t="n">
        <x:v>41</x:v>
      </x:c>
      <x:c r="M2707" s="28" t="n">
        <x:v>34</x:v>
      </x:c>
      <x:c r="N2707" s="28" t="n">
        <x:v>9.313225746154785e-10</x:v>
      </x:c>
      <x:c r="O2707" s="28" t="n">
        <x:v>7.450580596923828e-9</x:v>
      </x:c>
      <x:c r="P2707" s="28" t="n">
        <x:v>0</x:v>
      </x:c>
      <x:c r="Q2707" s="62" t="b">
        <x:v>1</x:v>
      </x:c>
      <x:c r="R2707" s="28" t="n">
        <x:v>0</x:v>
      </x:c>
      <x:c r="S2707" s="28" t="str">
        <x:v>c29fad84736967e4</x:v>
      </x:c>
    </x:row>
    <x:row r="2708" ht="21" customHeight="1">
      <x:c r="A2708" s="60" t="n">
        <x:v>0.7</x:v>
      </x:c>
      <x:c r="B2708" s="28" t="str">
        <x:v>back_high</x:v>
      </x:c>
      <x:c r="C2708" s="60" t="n">
        <x:v>0.6</x:v>
      </x:c>
      <x:c r="D2708" s="60" t="n">
        <x:v>0.6</x:v>
      </x:c>
      <x:c r="E2708" s="62" t="b">
        <x:v>1</x:v>
      </x:c>
      <x:c r="F2708" s="62" t="b">
        <x:v>0</x:v>
      </x:c>
      <x:c r="G2708" s="85" t="n">
        <x:v>947149.0731465091</x:v>
      </x:c>
      <x:c r="H2708" s="85" t="n">
        <x:v>3018484.418339863</x:v>
      </x:c>
      <x:c r="I2708" s="85" t="n">
        <x:v>13474470.224657541</x:v>
      </x:c>
      <x:c r="J2708" s="85" t="n">
        <x:v>11148800.000000002</x:v>
      </x:c>
      <x:c r="K2708" s="85" t="n">
        <x:v>270937.11479452136</x:v>
      </x:c>
      <x:c r="L2708" s="28" t="n">
        <x:v>42</x:v>
      </x:c>
      <x:c r="M2708" s="28" t="n">
        <x:v>34</x:v>
      </x:c>
      <x:c r="N2708" s="28" t="n">
        <x:v>4.656612873077393e-10</x:v>
      </x:c>
      <x:c r="O2708" s="28" t="n">
        <x:v>7.450580596923828e-9</x:v>
      </x:c>
      <x:c r="P2708" s="28" t="n">
        <x:v>0</x:v>
      </x:c>
      <x:c r="Q2708" s="62" t="b">
        <x:v>1</x:v>
      </x:c>
      <x:c r="R2708" s="28" t="n">
        <x:v>0</x:v>
      </x:c>
      <x:c r="S2708" s="28" t="str">
        <x:v>94ed9f25477e4e73</x:v>
      </x:c>
    </x:row>
    <x:row r="2709" ht="21" customHeight="1">
      <x:c r="A2709" s="60" t="n">
        <x:v>0.7</x:v>
      </x:c>
      <x:c r="B2709" s="28" t="str">
        <x:v>back_high</x:v>
      </x:c>
      <x:c r="C2709" s="60" t="n">
        <x:v>0.65</x:v>
      </x:c>
      <x:c r="D2709" s="60" t="n">
        <x:v>0.65</x:v>
      </x:c>
      <x:c r="E2709" s="62" t="b">
        <x:v>1</x:v>
      </x:c>
      <x:c r="F2709" s="62" t="b">
        <x:v>0</x:v>
      </x:c>
      <x:c r="G2709" s="85" t="n">
        <x:v>1863790.0094714637</x:v>
      </x:c>
      <x:c r="H2709" s="85" t="n">
        <x:v>5626159.101602786</x:v>
      </x:c>
      <x:c r="I2709" s="85" t="n">
        <x:v>13481112.206537075</x:v>
      </x:c>
      <x:c r="J2709" s="85" t="n">
        <x:v>11148800.000000002</x:v>
      </x:c>
      <x:c r="K2709" s="85" t="n">
        <x:v>252969.89102739806</x:v>
      </x:c>
      <x:c r="L2709" s="28" t="n">
        <x:v>42</x:v>
      </x:c>
      <x:c r="M2709" s="28" t="n">
        <x:v>36</x:v>
      </x:c>
      <x:c r="N2709" s="28" t="n">
        <x:v>9.313225746154785e-10</x:v>
      </x:c>
      <x:c r="O2709" s="28" t="n">
        <x:v>7.450580596923828e-9</x:v>
      </x:c>
      <x:c r="P2709" s="28" t="n">
        <x:v>0</x:v>
      </x:c>
      <x:c r="Q2709" s="62" t="b">
        <x:v>1</x:v>
      </x:c>
      <x:c r="R2709" s="28" t="n">
        <x:v>0</x:v>
      </x:c>
      <x:c r="S2709" s="28" t="str">
        <x:v>48e36f56d0242fc2</x:v>
      </x:c>
    </x:row>
    <x:row r="2710" ht="21" customHeight="1">
      <x:c r="A2710" s="60" t="n">
        <x:v>0.7</x:v>
      </x:c>
      <x:c r="B2710" s="28" t="str">
        <x:v>back_high</x:v>
      </x:c>
      <x:c r="C2710" s="60" t="n">
        <x:v>0.7</x:v>
      </x:c>
      <x:c r="D2710" s="60" t="n">
        <x:v>0.7</x:v>
      </x:c>
      <x:c r="E2710" s="62" t="b">
        <x:v>1</x:v>
      </x:c>
      <x:c r="F2710" s="62" t="b">
        <x:v>0</x:v>
      </x:c>
      <x:c r="G2710" s="85" t="n">
        <x:v>2627935.9435626664</x:v>
      </x:c>
      <x:c r="H2710" s="85" t="n">
        <x:v>7706704.73052514</x:v>
      </x:c>
      <x:c r="I2710" s="85" t="n">
        <x:v>13796311.131093157</x:v>
      </x:c>
      <x:c r="J2710" s="85" t="n">
        <x:v>11148800.000000002</x:v>
      </x:c>
      <x:c r="K2710" s="85" t="n">
        <x:v>235002.66726027388</x:v>
      </x:c>
      <x:c r="L2710" s="28" t="n">
        <x:v>43</x:v>
      </x:c>
      <x:c r="M2710" s="28" t="n">
        <x:v>37</x:v>
      </x:c>
      <x:c r="N2710" s="28" t="n">
        <x:v>4.656612873077393e-10</x:v>
      </x:c>
      <x:c r="O2710" s="28" t="n">
        <x:v>3.725290298461914e-9</x:v>
      </x:c>
      <x:c r="P2710" s="28" t="n">
        <x:v>0</x:v>
      </x:c>
      <x:c r="Q2710" s="62" t="b">
        <x:v>1</x:v>
      </x:c>
      <x:c r="R2710" s="28" t="n">
        <x:v>0</x:v>
      </x:c>
      <x:c r="S2710" s="28" t="str">
        <x:v>4c88efbdebbcb571</x:v>
      </x:c>
    </x:row>
    <x:row r="2711" ht="21" customHeight="1">
      <x:c r="A2711" s="60" t="n">
        <x:v>0.7</x:v>
      </x:c>
      <x:c r="B2711" s="28" t="str">
        <x:v>back_high</x:v>
      </x:c>
      <x:c r="C2711" s="60" t="n">
        <x:v>0.75</x:v>
      </x:c>
      <x:c r="D2711" s="60" t="n">
        <x:v>0.75</x:v>
      </x:c>
      <x:c r="E2711" s="62" t="b">
        <x:v>1</x:v>
      </x:c>
      <x:c r="F2711" s="62" t="b">
        <x:v>0</x:v>
      </x:c>
      <x:c r="G2711" s="85" t="n">
        <x:v>3649072.379153907</x:v>
      </x:c>
      <x:c r="H2711" s="85" t="n">
        <x:v>10088845.315445404</x:v>
      </x:c>
      <x:c r="I2711" s="85" t="n">
        <x:v>13806110.693842474</x:v>
      </x:c>
      <x:c r="J2711" s="85" t="n">
        <x:v>11148800.000000002</x:v>
      </x:c>
      <x:c r="K2711" s="85" t="n">
        <x:v>217035.44349315084</x:v>
      </x:c>
      <x:c r="L2711" s="28" t="n">
        <x:v>43</x:v>
      </x:c>
      <x:c r="M2711" s="28" t="n">
        <x:v>38</x:v>
      </x:c>
      <x:c r="N2711" s="28" t="n">
        <x:v>4.656612873077393e-10</x:v>
      </x:c>
      <x:c r="O2711" s="28" t="n">
        <x:v>7.450580596923828e-9</x:v>
      </x:c>
      <x:c r="P2711" s="28" t="n">
        <x:v>0</x:v>
      </x:c>
      <x:c r="Q2711" s="62" t="b">
        <x:v>1</x:v>
      </x:c>
      <x:c r="R2711" s="28" t="n">
        <x:v>0</x:v>
      </x:c>
      <x:c r="S2711" s="28" t="str">
        <x:v>3ec78bee0887a7ee</x:v>
      </x:c>
    </x:row>
    <x:row r="2712" ht="21" customHeight="1">
      <x:c r="A2712" s="60" t="n">
        <x:v>0.7</x:v>
      </x:c>
      <x:c r="B2712" s="28" t="str">
        <x:v>back_high</x:v>
      </x:c>
      <x:c r="C2712" s="60" t="n">
        <x:v>0.8</x:v>
      </x:c>
      <x:c r="D2712" s="60" t="n">
        <x:v>0.8</x:v>
      </x:c>
      <x:c r="E2712" s="62" t="b">
        <x:v>1</x:v>
      </x:c>
      <x:c r="F2712" s="62" t="b">
        <x:v>0</x:v>
      </x:c>
      <x:c r="G2712" s="85" t="n">
        <x:v>4682871.697002171</x:v>
      </x:c>
      <x:c r="H2712" s="85" t="n">
        <x:v>12469002.45195767</x:v>
      </x:c>
      <x:c r="I2712" s="85" t="n">
        <x:v>13815910.256591788</x:v>
      </x:c>
      <x:c r="J2712" s="85" t="n">
        <x:v>11148800.000000002</x:v>
      </x:c>
      <x:c r="K2712" s="85" t="n">
        <x:v>199068.21972602754</x:v>
      </x:c>
      <x:c r="L2712" s="28" t="n">
        <x:v>43</x:v>
      </x:c>
      <x:c r="M2712" s="28" t="n">
        <x:v>38</x:v>
      </x:c>
      <x:c r="N2712" s="28" t="n">
        <x:v>4.656612873077393e-10</x:v>
      </x:c>
      <x:c r="O2712" s="28" t="n">
        <x:v>3.725290298461914e-9</x:v>
      </x:c>
      <x:c r="P2712" s="28" t="n">
        <x:v>0</x:v>
      </x:c>
      <x:c r="Q2712" s="62" t="b">
        <x:v>1</x:v>
      </x:c>
      <x:c r="R2712" s="28" t="n">
        <x:v>0</x:v>
      </x:c>
      <x:c r="S2712" s="28" t="str">
        <x:v>3dfcdeafa39f8f22</x:v>
      </x:c>
    </x:row>
    <x:row r="2713" ht="21" customHeight="1">
      <x:c r="A2713" s="60" t="n">
        <x:v>0.7</x:v>
      </x:c>
      <x:c r="B2713" s="28" t="str">
        <x:v>back_high</x:v>
      </x:c>
      <x:c r="C2713" s="60" t="n">
        <x:v>0.85</x:v>
      </x:c>
      <x:c r="D2713" s="60" t="n">
        <x:v>0.85</x:v>
      </x:c>
      <x:c r="E2713" s="62" t="b">
        <x:v>1</x:v>
      </x:c>
      <x:c r="F2713" s="62" t="b">
        <x:v>0</x:v>
      </x:c>
      <x:c r="G2713" s="85" t="n">
        <x:v>6008688.667391285</x:v>
      </x:c>
      <x:c r="H2713" s="85" t="n">
        <x:v>13809495.71184842</x:v>
      </x:c>
      <x:c r="I2713" s="85" t="n">
        <x:v>14113769.906849323</x:v>
      </x:c>
      <x:c r="J2713" s="85" t="n">
        <x:v>11148800.000000002</x:v>
      </x:c>
      <x:c r="K2713" s="85" t="n">
        <x:v>181100.9959589045</x:v>
      </x:c>
      <x:c r="L2713" s="28" t="n">
        <x:v>44</x:v>
      </x:c>
      <x:c r="M2713" s="28" t="n">
        <x:v>38</x:v>
      </x:c>
      <x:c r="N2713" s="28" t="n">
        <x:v>4.656612873077393e-10</x:v>
      </x:c>
      <x:c r="O2713" s="28" t="n">
        <x:v>9.313225746154785e-10</x:v>
      </x:c>
      <x:c r="P2713" s="28" t="n">
        <x:v>0</x:v>
      </x:c>
      <x:c r="Q2713" s="62" t="b">
        <x:v>1</x:v>
      </x:c>
      <x:c r="R2713" s="28" t="n">
        <x:v>0</x:v>
      </x:c>
      <x:c r="S2713" s="28" t="str">
        <x:v>9ee675d77d9e938c</x:v>
      </x:c>
    </x:row>
    <x:row r="2714" ht="21" customHeight="1">
      <x:c r="A2714" s="60" t="n">
        <x:v>0.7</x:v>
      </x:c>
      <x:c r="B2714" s="28" t="str">
        <x:v>back_high</x:v>
      </x:c>
      <x:c r="C2714" s="60" t="n">
        <x:v>0.9</x:v>
      </x:c>
      <x:c r="D2714" s="60" t="n">
        <x:v>0.880265491166173</x:v>
      </x:c>
      <x:c r="E2714" s="62" t="b">
        <x:v>0</x:v>
      </x:c>
      <x:c r="F2714" s="62" t="b">
        <x:v>0</x:v>
      </x:c>
      <x:c r="G2714" s="85" t="n">
        <x:v>6630825.817746415</x:v>
      </x:c>
      <x:c r="H2714" s="85" t="n">
        <x:v>14927476.183141362</x:v>
      </x:c>
      <x:c r="I2714" s="85" t="n">
        <x:v>14113769.906849323</x:v>
      </x:c>
      <x:c r="J2714" s="85" t="n">
        <x:v>11148800.000000002</x:v>
      </x:c>
      <x:c r="K2714" s="85" t="n">
        <x:v>163133.772191781</x:v>
      </x:c>
      <x:c r="L2714" s="28" t="n">
        <x:v>44</x:v>
      </x:c>
      <x:c r="M2714" s="28" t="n">
        <x:v>40</x:v>
      </x:c>
      <x:c r="N2714" s="28" t="n">
        <x:v>4.656612873077393e-10</x:v>
      </x:c>
      <x:c r="O2714" s="28" t="n">
        <x:v>3.725290298461914e-9</x:v>
      </x:c>
      <x:c r="P2714" s="28" t="n">
        <x:v>0</x:v>
      </x:c>
      <x:c r="Q2714" s="62" t="b">
        <x:v>1</x:v>
      </x:c>
      <x:c r="R2714" s="28" t="n">
        <x:v>1100080.4604328498</x:v>
      </x:c>
      <x:c r="S2714" s="28" t="str">
        <x:v>fcbae1d2802ca587</x:v>
      </x:c>
    </x:row>
    <x:row r="2715" ht="21" customHeight="1">
      <x:c r="A2715" s="60" t="n">
        <x:v>0.7</x:v>
      </x:c>
      <x:c r="B2715" s="28" t="str">
        <x:v>back_high</x:v>
      </x:c>
      <x:c r="C2715" s="60" t="n">
        <x:v>0.95</x:v>
      </x:c>
      <x:c r="D2715" s="60" t="n">
        <x:v>0.8954794051096439</x:v>
      </x:c>
      <x:c r="E2715" s="62" t="b">
        <x:v>0</x:v>
      </x:c>
      <x:c r="F2715" s="62" t="b">
        <x:v>0</x:v>
      </x:c>
      <x:c r="G2715" s="85" t="n">
        <x:v>7178245.767861011</x:v>
      </x:c>
      <x:c r="H2715" s="85" t="n">
        <x:v>15745215.30046214</x:v>
      </x:c>
      <x:c r="I2715" s="85" t="n">
        <x:v>14113769.906849323</x:v>
      </x:c>
      <x:c r="J2715" s="85" t="n">
        <x:v>11148800.000000002</x:v>
      </x:c>
      <x:c r="K2715" s="85" t="n">
        <x:v>151923.82491780812</x:v>
      </x:c>
      <x:c r="L2715" s="28" t="n">
        <x:v>44</x:v>
      </x:c>
      <x:c r="M2715" s="28" t="n">
        <x:v>40</x:v>
      </x:c>
      <x:c r="N2715" s="28" t="n">
        <x:v>4.656612873077393e-10</x:v>
      </x:c>
      <x:c r="O2715" s="28" t="n">
        <x:v>3.725290298461914e-9</x:v>
      </x:c>
      <x:c r="P2715" s="28" t="n">
        <x:v>0</x:v>
      </x:c>
      <x:c r="Q2715" s="62" t="b">
        <x:v>1</x:v>
      </x:c>
      <x:c r="R2715" s="28" t="n">
        <x:v>3039196.041568011</x:v>
      </x:c>
      <x:c r="S2715" s="28" t="str">
        <x:v>212d5a616ca91c6e</x:v>
      </x:c>
    </x:row>
    <x:row r="2716" ht="21" customHeight="1">
      <x:c r="A2716" s="60" t="n">
        <x:v>0.7</x:v>
      </x:c>
      <x:c r="B2716" s="28" t="str">
        <x:v>back_high</x:v>
      </x:c>
      <x:c r="C2716" s="60" t="n">
        <x:v>1</x:v>
      </x:c>
      <x:c r="D2716" s="60" t="n">
        <x:v>0.9093341115290656</x:v>
      </x:c>
      <x:c r="E2716" s="62" t="b">
        <x:v>0</x:v>
      </x:c>
      <x:c r="F2716" s="62" t="b">
        <x:v>0</x:v>
      </x:c>
      <x:c r="G2716" s="85" t="n">
        <x:v>7652542.611827143</x:v>
      </x:c>
      <x:c r="H2716" s="85" t="n">
        <x:v>16533354.958014619</x:v>
      </x:c>
      <x:c r="I2716" s="85" t="n">
        <x:v>14113769.906849323</x:v>
      </x:c>
      <x:c r="J2716" s="85" t="n">
        <x:v>11148800.000000002</x:v>
      </x:c>
      <x:c r="K2716" s="85" t="n">
        <x:v>141147.0287671239</x:v>
      </x:c>
      <x:c r="L2716" s="28" t="n">
        <x:v>44</x:v>
      </x:c>
      <x:c r="M2716" s="28" t="n">
        <x:v>40</x:v>
      </x:c>
      <x:c r="N2716" s="28" t="n">
        <x:v>4.656612873077393e-10</x:v>
      </x:c>
      <x:c r="O2716" s="28" t="n">
        <x:v>3.725290298461914e-9</x:v>
      </x:c>
      <x:c r="P2716" s="28" t="n">
        <x:v>0</x:v>
      </x:c>
      <x:c r="Q2716" s="62" t="b">
        <x:v>1</x:v>
      </x:c>
      <x:c r="R2716" s="28" t="n">
        <x:v>5054079.286923766</x:v>
      </x:c>
      <x:c r="S2716" s="28" t="str">
        <x:v>933adfba24488f1b</x:v>
      </x:c>
    </x:row>
    <x:row r="2717" ht="21" customHeight="1">
      <x:c r="A2717" s="60" t="n">
        <x:v>0.7</x:v>
      </x:c>
      <x:c r="B2717" s="28" t="str">
        <x:v>level_flat</x:v>
      </x:c>
      <x:c r="C2717" s="60" t="n">
        <x:v>0</x:v>
      </x:c>
      <x:c r="D2717" s="60" t="n">
        <x:v>0</x:v>
      </x:c>
      <x:c r="E2717" s="62" t="b">
        <x:v>1</x:v>
      </x:c>
      <x:c r="F2717" s="62" t="b">
        <x:v>1</x:v>
      </x:c>
      <x:c r="G2717" s="85" t="n">
        <x:v>0</x:v>
      </x:c>
      <x:c r="H2717" s="85" t="n">
        <x:v>0</x:v>
      </x:c>
      <x:c r="I2717" s="85" t="n">
        <x:v>0</x:v>
      </x:c>
      <x:c r="J2717" s="85" t="n">
        <x:v>0</x:v>
      </x:c>
      <x:c r="K2717" s="85" t="n">
        <x:v>6911987.818082191</x:v>
      </x:c>
      <x:c r="L2717" s="28" t="n">
        <x:v>0</x:v>
      </x:c>
      <x:c r="M2717" s="28" t="n">
        <x:v>0</x:v>
      </x:c>
      <x:c r="N2717" s="28" t="n">
        <x:v>9.313225746154785e-10</x:v>
      </x:c>
      <x:c r="O2717" s="28" t="n">
        <x:v>0</x:v>
      </x:c>
      <x:c r="P2717" s="28" t="n">
        <x:v>0</x:v>
      </x:c>
      <x:c r="Q2717" s="62" t="b">
        <x:v>1</x:v>
      </x:c>
      <x:c r="R2717" s="28" t="n">
        <x:v>0</x:v>
      </x:c>
      <x:c r="S2717" s="28" t="str">
        <x:v>fe979662cef5c337</x:v>
      </x:c>
    </x:row>
    <x:row r="2718" ht="21" customHeight="1">
      <x:c r="A2718" s="60" t="n">
        <x:v>0.7</x:v>
      </x:c>
      <x:c r="B2718" s="28" t="str">
        <x:v>level_flat</x:v>
      </x:c>
      <x:c r="C2718" s="60" t="n">
        <x:v>0.05</x:v>
      </x:c>
      <x:c r="D2718" s="60" t="n">
        <x:v>0.05</x:v>
      </x:c>
      <x:c r="E2718" s="62" t="b">
        <x:v>1</x:v>
      </x:c>
      <x:c r="F2718" s="62" t="b">
        <x:v>1</x:v>
      </x:c>
      <x:c r="G2718" s="85" t="n">
        <x:v>0</x:v>
      </x:c>
      <x:c r="H2718" s="85" t="n">
        <x:v>0</x:v>
      </x:c>
      <x:c r="I2718" s="85" t="n">
        <x:v>0</x:v>
      </x:c>
      <x:c r="J2718" s="85" t="n">
        <x:v>0</x:v>
      </x:c>
      <x:c r="K2718" s="85" t="n">
        <x:v>4688012.629669165</x:v>
      </x:c>
      <x:c r="L2718" s="28" t="n">
        <x:v>0</x:v>
      </x:c>
      <x:c r="M2718" s="28" t="n">
        <x:v>0</x:v>
      </x:c>
      <x:c r="N2718" s="28" t="n">
        <x:v>2.3283064365386963e-10</x:v>
      </x:c>
      <x:c r="O2718" s="28" t="n">
        <x:v>7.450580596923828e-9</x:v>
      </x:c>
      <x:c r="P2718" s="28" t="n">
        <x:v>0</x:v>
      </x:c>
      <x:c r="Q2718" s="62" t="b">
        <x:v>1</x:v>
      </x:c>
      <x:c r="R2718" s="28" t="n">
        <x:v>0</x:v>
      </x:c>
      <x:c r="S2718" s="28" t="str">
        <x:v>d9674a7a737f0610</x:v>
      </x:c>
    </x:row>
    <x:row r="2719" ht="21" customHeight="1">
      <x:c r="A2719" s="60" t="n">
        <x:v>0.7</x:v>
      </x:c>
      <x:c r="B2719" s="28" t="str">
        <x:v>level_flat</x:v>
      </x:c>
      <x:c r="C2719" s="60" t="n">
        <x:v>0.1</x:v>
      </x:c>
      <x:c r="D2719" s="60" t="n">
        <x:v>0.1</x:v>
      </x:c>
      <x:c r="E2719" s="62" t="b">
        <x:v>1</x:v>
      </x:c>
      <x:c r="F2719" s="62" t="b">
        <x:v>1</x:v>
      </x:c>
      <x:c r="G2719" s="85" t="n">
        <x:v>0</x:v>
      </x:c>
      <x:c r="H2719" s="85" t="n">
        <x:v>0</x:v>
      </x:c>
      <x:c r="I2719" s="85" t="n">
        <x:v>0</x:v>
      </x:c>
      <x:c r="J2719" s="85" t="n">
        <x:v>0</x:v>
      </x:c>
      <x:c r="K2719" s="85" t="n">
        <x:v>2463922.9521735907</x:v>
      </x:c>
      <x:c r="L2719" s="28" t="n">
        <x:v>0</x:v>
      </x:c>
      <x:c r="M2719" s="28" t="n">
        <x:v>0</x:v>
      </x:c>
      <x:c r="N2719" s="28" t="n">
        <x:v>9.313225746154785e-10</x:v>
      </x:c>
      <x:c r="O2719" s="28" t="n">
        <x:v>7.450580596923828e-9</x:v>
      </x:c>
      <x:c r="P2719" s="28" t="n">
        <x:v>0</x:v>
      </x:c>
      <x:c r="Q2719" s="62" t="b">
        <x:v>1</x:v>
      </x:c>
      <x:c r="R2719" s="28" t="n">
        <x:v>0</x:v>
      </x:c>
      <x:c r="S2719" s="28" t="str">
        <x:v>2d684d1669059f9b</x:v>
      </x:c>
    </x:row>
    <x:row r="2720" ht="21" customHeight="1">
      <x:c r="A2720" s="60" t="n">
        <x:v>0.7</x:v>
      </x:c>
      <x:c r="B2720" s="28" t="str">
        <x:v>level_flat</x:v>
      </x:c>
      <x:c r="C2720" s="60" t="n">
        <x:v>0.15</x:v>
      </x:c>
      <x:c r="D2720" s="60" t="n">
        <x:v>0.15</x:v>
      </x:c>
      <x:c r="E2720" s="62" t="b">
        <x:v>1</x:v>
      </x:c>
      <x:c r="F2720" s="62" t="b">
        <x:v>1</x:v>
      </x:c>
      <x:c r="G2720" s="85" t="n">
        <x:v>0</x:v>
      </x:c>
      <x:c r="H2720" s="85" t="n">
        <x:v>0</x:v>
      </x:c>
      <x:c r="I2720" s="85" t="n">
        <x:v>297626.709900484</x:v>
      </x:c>
      <x:c r="J2720" s="85" t="n">
        <x:v>0</x:v>
      </x:c>
      <x:c r="K2720" s="85" t="n">
        <x:v>583819.6691197915</x:v>
      </x:c>
      <x:c r="L2720" s="28" t="n">
        <x:v>0</x:v>
      </x:c>
      <x:c r="M2720" s="28" t="n">
        <x:v>0</x:v>
      </x:c>
      <x:c r="N2720" s="28" t="n">
        <x:v>4.656612873077393e-10</x:v>
      </x:c>
      <x:c r="O2720" s="28" t="n">
        <x:v>7.450580596923828e-9</x:v>
      </x:c>
      <x:c r="P2720" s="28" t="n">
        <x:v>0</x:v>
      </x:c>
      <x:c r="Q2720" s="62" t="b">
        <x:v>1</x:v>
      </x:c>
      <x:c r="R2720" s="28" t="n">
        <x:v>0</x:v>
      </x:c>
      <x:c r="S2720" s="28" t="str">
        <x:v>42ae74b5f1d9cf21</x:v>
      </x:c>
    </x:row>
    <x:row r="2721" ht="21" customHeight="1">
      <x:c r="A2721" s="60" t="n">
        <x:v>0.7</x:v>
      </x:c>
      <x:c r="B2721" s="28" t="str">
        <x:v>level_flat</x:v>
      </x:c>
      <x:c r="C2721" s="60" t="n">
        <x:v>0.2</x:v>
      </x:c>
      <x:c r="D2721" s="60" t="n">
        <x:v>0.2</x:v>
      </x:c>
      <x:c r="E2721" s="62" t="b">
        <x:v>1</x:v>
      </x:c>
      <x:c r="F2721" s="62" t="b">
        <x:v>1</x:v>
      </x:c>
      <x:c r="G2721" s="85" t="n">
        <x:v>0</x:v>
      </x:c>
      <x:c r="H2721" s="85" t="n">
        <x:v>0</x:v>
      </x:c>
      <x:c r="I2721" s="85" t="n">
        <x:v>1681494.9238395982</x:v>
      </x:c>
      <x:c r="J2721" s="85" t="n">
        <x:v>1248509.6821693014</x:v>
      </x:c>
      <x:c r="K2721" s="85" t="n">
        <x:v>447291.3804522901</x:v>
      </x:c>
      <x:c r="L2721" s="28" t="n">
        <x:v>0</x:v>
      </x:c>
      <x:c r="M2721" s="28" t="n">
        <x:v>0</x:v>
      </x:c>
      <x:c r="N2721" s="28" t="n">
        <x:v>9.313225746154785e-10</x:v>
      </x:c>
      <x:c r="O2721" s="28" t="n">
        <x:v>7.450580596923828e-9</x:v>
      </x:c>
      <x:c r="P2721" s="28" t="n">
        <x:v>0</x:v>
      </x:c>
      <x:c r="Q2721" s="62" t="b">
        <x:v>1</x:v>
      </x:c>
      <x:c r="R2721" s="28" t="n">
        <x:v>0</x:v>
      </x:c>
      <x:c r="S2721" s="28" t="str">
        <x:v>74b5999f34606a65</x:v>
      </x:c>
    </x:row>
    <x:row r="2722" ht="21" customHeight="1">
      <x:c r="A2722" s="60" t="n">
        <x:v>0.7</x:v>
      </x:c>
      <x:c r="B2722" s="28" t="str">
        <x:v>level_flat</x:v>
      </x:c>
      <x:c r="C2722" s="60" t="n">
        <x:v>0.25</x:v>
      </x:c>
      <x:c r="D2722" s="60" t="n">
        <x:v>0.25</x:v>
      </x:c>
      <x:c r="E2722" s="62" t="b">
        <x:v>1</x:v>
      </x:c>
      <x:c r="F2722" s="62" t="b">
        <x:v>1</x:v>
      </x:c>
      <x:c r="G2722" s="85" t="n">
        <x:v>0</x:v>
      </x:c>
      <x:c r="H2722" s="85" t="n">
        <x:v>0</x:v>
      </x:c>
      <x:c r="I2722" s="85" t="n">
        <x:v>2783310.598361142</x:v>
      </x:c>
      <x:c r="J2722" s="85" t="n">
        <x:v>2954237.1027116273</x:v>
      </x:c>
      <x:c r="K2722" s="85" t="n">
        <x:v>348904.95053039765</x:v>
      </x:c>
      <x:c r="L2722" s="28" t="n">
        <x:v>0</x:v>
      </x:c>
      <x:c r="M2722" s="28" t="n">
        <x:v>0</x:v>
      </x:c>
      <x:c r="N2722" s="28" t="n">
        <x:v>4.656612873077393e-10</x:v>
      </x:c>
      <x:c r="O2722" s="28" t="n">
        <x:v>7.450580596923828e-9</x:v>
      </x:c>
      <x:c r="P2722" s="28" t="n">
        <x:v>0</x:v>
      </x:c>
      <x:c r="Q2722" s="62" t="b">
        <x:v>1</x:v>
      </x:c>
      <x:c r="R2722" s="28" t="n">
        <x:v>0</x:v>
      </x:c>
      <x:c r="S2722" s="28" t="str">
        <x:v>f4c200a37e8f565c</x:v>
      </x:c>
    </x:row>
    <x:row r="2723" ht="21" customHeight="1">
      <x:c r="A2723" s="60" t="n">
        <x:v>0.7</x:v>
      </x:c>
      <x:c r="B2723" s="28" t="str">
        <x:v>level_flat</x:v>
      </x:c>
      <x:c r="C2723" s="60" t="n">
        <x:v>0.3</x:v>
      </x:c>
      <x:c r="D2723" s="60" t="n">
        <x:v>0.3</x:v>
      </x:c>
      <x:c r="E2723" s="62" t="b">
        <x:v>1</x:v>
      </x:c>
      <x:c r="F2723" s="62" t="b">
        <x:v>1</x:v>
      </x:c>
      <x:c r="G2723" s="85" t="n">
        <x:v>0</x:v>
      </x:c>
      <x:c r="H2723" s="85" t="n">
        <x:v>0</x:v>
      </x:c>
      <x:c r="I2723" s="85" t="n">
        <x:v>3987430.9961757273</x:v>
      </x:c>
      <x:c r="J2723" s="85" t="n">
        <x:v>4486501.981771373</x:v>
      </x:c>
      <x:c r="K2723" s="85" t="n">
        <x:v>283191.20248054754</x:v>
      </x:c>
      <x:c r="L2723" s="28" t="n">
        <x:v>1</x:v>
      </x:c>
      <x:c r="M2723" s="28" t="n">
        <x:v>0</x:v>
      </x:c>
      <x:c r="N2723" s="28" t="n">
        <x:v>4.656612873077393e-10</x:v>
      </x:c>
      <x:c r="O2723" s="28" t="n">
        <x:v>7.450580596923828e-9</x:v>
      </x:c>
      <x:c r="P2723" s="28" t="n">
        <x:v>0</x:v>
      </x:c>
      <x:c r="Q2723" s="62" t="b">
        <x:v>1</x:v>
      </x:c>
      <x:c r="R2723" s="28" t="n">
        <x:v>0</x:v>
      </x:c>
      <x:c r="S2723" s="28" t="str">
        <x:v>c576db9551f8be02</x:v>
      </x:c>
    </x:row>
    <x:row r="2724" ht="21" customHeight="1">
      <x:c r="A2724" s="60" t="n">
        <x:v>0.7</x:v>
      </x:c>
      <x:c r="B2724" s="28" t="str">
        <x:v>level_flat</x:v>
      </x:c>
      <x:c r="C2724" s="60" t="n">
        <x:v>0.35</x:v>
      </x:c>
      <x:c r="D2724" s="60" t="n">
        <x:v>0.35</x:v>
      </x:c>
      <x:c r="E2724" s="62" t="b">
        <x:v>1</x:v>
      </x:c>
      <x:c r="F2724" s="62" t="b">
        <x:v>1</x:v>
      </x:c>
      <x:c r="G2724" s="85" t="n">
        <x:v>0</x:v>
      </x:c>
      <x:c r="H2724" s="85" t="n">
        <x:v>0</x:v>
      </x:c>
      <x:c r="I2724" s="85" t="n">
        <x:v>5555266.274115566</x:v>
      </x:c>
      <x:c r="J2724" s="85" t="n">
        <x:v>5162109.204950201</x:v>
      </x:c>
      <x:c r="K2724" s="85" t="n">
        <x:v>227324.06810493153</x:v>
      </x:c>
      <x:c r="L2724" s="28" t="n">
        <x:v>7</x:v>
      </x:c>
      <x:c r="M2724" s="28" t="n">
        <x:v>0</x:v>
      </x:c>
      <x:c r="N2724" s="28" t="n">
        <x:v>2.3283064365386963e-10</x:v>
      </x:c>
      <x:c r="O2724" s="28" t="n">
        <x:v>7.450580596923828e-9</x:v>
      </x:c>
      <x:c r="P2724" s="28" t="n">
        <x:v>0</x:v>
      </x:c>
      <x:c r="Q2724" s="62" t="b">
        <x:v>1</x:v>
      </x:c>
      <x:c r="R2724" s="28" t="n">
        <x:v>0</x:v>
      </x:c>
      <x:c r="S2724" s="28" t="str">
        <x:v>bebb1a31cd22ddff</x:v>
      </x:c>
    </x:row>
    <x:row r="2725" ht="21" customHeight="1">
      <x:c r="A2725" s="60" t="n">
        <x:v>0.7</x:v>
      </x:c>
      <x:c r="B2725" s="28" t="str">
        <x:v>level_flat</x:v>
      </x:c>
      <x:c r="C2725" s="60" t="n">
        <x:v>0.4</x:v>
      </x:c>
      <x:c r="D2725" s="60" t="n">
        <x:v>0.4</x:v>
      </x:c>
      <x:c r="E2725" s="62" t="b">
        <x:v>1</x:v>
      </x:c>
      <x:c r="F2725" s="62" t="b">
        <x:v>1</x:v>
      </x:c>
      <x:c r="G2725" s="85" t="n">
        <x:v>0</x:v>
      </x:c>
      <x:c r="H2725" s="85" t="n">
        <x:v>0</x:v>
      </x:c>
      <x:c r="I2725" s="85" t="n">
        <x:v>6932476.575656755</x:v>
      </x:c>
      <x:c r="J2725" s="85" t="n">
        <x:v>6302324.015063549</x:v>
      </x:c>
      <x:c r="K2725" s="85" t="n">
        <x:v>187391.1640964385</x:v>
      </x:c>
      <x:c r="L2725" s="28" t="n">
        <x:v>12</x:v>
      </x:c>
      <x:c r="M2725" s="28" t="n">
        <x:v>0</x:v>
      </x:c>
      <x:c r="N2725" s="28" t="n">
        <x:v>9.313225746154785e-10</x:v>
      </x:c>
      <x:c r="O2725" s="28" t="n">
        <x:v>7.450580596923828e-9</x:v>
      </x:c>
      <x:c r="P2725" s="28" t="n">
        <x:v>0</x:v>
      </x:c>
      <x:c r="Q2725" s="62" t="b">
        <x:v>1</x:v>
      </x:c>
      <x:c r="R2725" s="28" t="n">
        <x:v>0</x:v>
      </x:c>
      <x:c r="S2725" s="28" t="str">
        <x:v>39ee16097a7a8886</x:v>
      </x:c>
    </x:row>
    <x:row r="2726" ht="21" customHeight="1">
      <x:c r="A2726" s="60" t="n">
        <x:v>0.7</x:v>
      </x:c>
      <x:c r="B2726" s="28" t="str">
        <x:v>level_flat</x:v>
      </x:c>
      <x:c r="C2726" s="60" t="n">
        <x:v>0.45</x:v>
      </x:c>
      <x:c r="D2726" s="60" t="n">
        <x:v>0.45</x:v>
      </x:c>
      <x:c r="E2726" s="62" t="b">
        <x:v>1</x:v>
      </x:c>
      <x:c r="F2726" s="62" t="b">
        <x:v>1</x:v>
      </x:c>
      <x:c r="G2726" s="85" t="n">
        <x:v>0</x:v>
      </x:c>
      <x:c r="H2726" s="85" t="n">
        <x:v>0</x:v>
      </x:c>
      <x:c r="I2726" s="85" t="n">
        <x:v>8226213.446978612</x:v>
      </x:c>
      <x:c r="J2726" s="85" t="n">
        <x:v>7652301.641166134</x:v>
      </x:c>
      <x:c r="K2726" s="85" t="n">
        <x:v>162065.04952054803</x:v>
      </x:c>
      <x:c r="L2726" s="28" t="n">
        <x:v>16</x:v>
      </x:c>
      <x:c r="M2726" s="28" t="n">
        <x:v>0</x:v>
      </x:c>
      <x:c r="N2726" s="28" t="n">
        <x:v>4.656612873077393e-10</x:v>
      </x:c>
      <x:c r="O2726" s="28" t="n">
        <x:v>3.725290298461914e-9</x:v>
      </x:c>
      <x:c r="P2726" s="28" t="n">
        <x:v>0</x:v>
      </x:c>
      <x:c r="Q2726" s="62" t="b">
        <x:v>1</x:v>
      </x:c>
      <x:c r="R2726" s="28" t="n">
        <x:v>0</x:v>
      </x:c>
      <x:c r="S2726" s="28" t="str">
        <x:v>08829a85d7e128ef</x:v>
      </x:c>
    </x:row>
    <x:row r="2727" ht="21" customHeight="1">
      <x:c r="A2727" s="60" t="n">
        <x:v>0.7</x:v>
      </x:c>
      <x:c r="B2727" s="28" t="str">
        <x:v>level_flat</x:v>
      </x:c>
      <x:c r="C2727" s="60" t="n">
        <x:v>0.5</x:v>
      </x:c>
      <x:c r="D2727" s="60" t="n">
        <x:v>0.5</x:v>
      </x:c>
      <x:c r="E2727" s="62" t="b">
        <x:v>1</x:v>
      </x:c>
      <x:c r="F2727" s="62" t="b">
        <x:v>1</x:v>
      </x:c>
      <x:c r="G2727" s="85" t="n">
        <x:v>0</x:v>
      </x:c>
      <x:c r="H2727" s="85" t="n">
        <x:v>0</x:v>
      </x:c>
      <x:c r="I2727" s="85" t="n">
        <x:v>9374950.764258668</x:v>
      </x:c>
      <x:c r="J2727" s="85" t="n">
        <x:v>9364825.861231038</x:v>
      </x:c>
      <x:c r="K2727" s="85" t="n">
        <x:v>142493.1883561644</x:v>
      </x:c>
      <x:c r="L2727" s="28" t="n">
        <x:v>19</x:v>
      </x:c>
      <x:c r="M2727" s="28" t="n">
        <x:v>3</x:v>
      </x:c>
      <x:c r="N2727" s="28" t="n">
        <x:v>2.3283064365386963e-10</x:v>
      </x:c>
      <x:c r="O2727" s="28" t="n">
        <x:v>3.725290298461914e-9</x:v>
      </x:c>
      <x:c r="P2727" s="28" t="n">
        <x:v>0</x:v>
      </x:c>
      <x:c r="Q2727" s="62" t="b">
        <x:v>1</x:v>
      </x:c>
      <x:c r="R2727" s="28" t="n">
        <x:v>0</x:v>
      </x:c>
      <x:c r="S2727" s="28" t="str">
        <x:v>15eb860a25ad7735</x:v>
      </x:c>
    </x:row>
    <x:row r="2728" ht="21" customHeight="1">
      <x:c r="A2728" s="60" t="n">
        <x:v>0.7</x:v>
      </x:c>
      <x:c r="B2728" s="28" t="str">
        <x:v>level_flat</x:v>
      </x:c>
      <x:c r="C2728" s="60" t="n">
        <x:v>0.55</x:v>
      </x:c>
      <x:c r="D2728" s="60" t="n">
        <x:v>0.55</x:v>
      </x:c>
      <x:c r="E2728" s="62" t="b">
        <x:v>1</x:v>
      </x:c>
      <x:c r="F2728" s="62" t="b">
        <x:v>0</x:v>
      </x:c>
      <x:c r="G2728" s="85" t="n">
        <x:v>6867.578029890474</x:v>
      </x:c>
      <x:c r="H2728" s="85" t="n">
        <x:v>47954.27725952753</x:v>
      </x:c>
      <x:c r="I2728" s="85" t="n">
        <x:v>10431916.887671232</x:v>
      </x:c>
      <x:c r="J2728" s="85" t="n">
        <x:v>11148800.000000002</x:v>
      </x:c>
      <x:c r="K2728" s="85" t="n">
        <x:v>122921.3271917805</x:v>
      </x:c>
      <x:c r="L2728" s="28" t="n">
        <x:v>44</x:v>
      </x:c>
      <x:c r="M2728" s="28" t="n">
        <x:v>31</x:v>
      </x:c>
      <x:c r="N2728" s="28" t="n">
        <x:v>4.656612873077393e-10</x:v>
      </x:c>
      <x:c r="O2728" s="28" t="n">
        <x:v>3.725290298461914e-9</x:v>
      </x:c>
      <x:c r="P2728" s="28" t="n">
        <x:v>0</x:v>
      </x:c>
      <x:c r="Q2728" s="62" t="b">
        <x:v>1</x:v>
      </x:c>
      <x:c r="R2728" s="28" t="n">
        <x:v>0</x:v>
      </x:c>
      <x:c r="S2728" s="28" t="str">
        <x:v>3f316880fb2d4ad3</x:v>
      </x:c>
    </x:row>
    <x:row r="2729" ht="21" customHeight="1">
      <x:c r="A2729" s="60" t="n">
        <x:v>0.7</x:v>
      </x:c>
      <x:c r="B2729" s="28" t="str">
        <x:v>level_flat</x:v>
      </x:c>
      <x:c r="C2729" s="60" t="n">
        <x:v>0.6</x:v>
      </x:c>
      <x:c r="D2729" s="60" t="n">
        <x:v>0.6</x:v>
      </x:c>
      <x:c r="E2729" s="62" t="b">
        <x:v>1</x:v>
      </x:c>
      <x:c r="F2729" s="62" t="b">
        <x:v>0</x:v>
      </x:c>
      <x:c r="G2729" s="85" t="n">
        <x:v>457507.1291544951</x:v>
      </x:c>
      <x:c r="H2729" s="85" t="n">
        <x:v>2460398.051838935</x:v>
      </x:c>
      <x:c r="I2729" s="85" t="n">
        <x:v>10431916.887671232</x:v>
      </x:c>
      <x:c r="J2729" s="85" t="n">
        <x:v>11148800.000000002</x:v>
      </x:c>
      <x:c r="K2729" s="85" t="n">
        <x:v>104674.66931506847</x:v>
      </x:c>
      <x:c r="L2729" s="28" t="n">
        <x:v>44</x:v>
      </x:c>
      <x:c r="M2729" s="28" t="n">
        <x:v>33</x:v>
      </x:c>
      <x:c r="N2729" s="28" t="n">
        <x:v>4.656612873077393e-10</x:v>
      </x:c>
      <x:c r="O2729" s="28" t="n">
        <x:v>7.450580596923828e-9</x:v>
      </x:c>
      <x:c r="P2729" s="28" t="n">
        <x:v>0</x:v>
      </x:c>
      <x:c r="Q2729" s="62" t="b">
        <x:v>1</x:v>
      </x:c>
      <x:c r="R2729" s="28" t="n">
        <x:v>0</x:v>
      </x:c>
      <x:c r="S2729" s="28" t="str">
        <x:v>3ec375cb4945b909</x:v>
      </x:c>
    </x:row>
    <x:row r="2730" ht="21" customHeight="1">
      <x:c r="A2730" s="60" t="n">
        <x:v>0.7</x:v>
      </x:c>
      <x:c r="B2730" s="28" t="str">
        <x:v>level_flat</x:v>
      </x:c>
      <x:c r="C2730" s="60" t="n">
        <x:v>0.65</x:v>
      </x:c>
      <x:c r="D2730" s="60" t="n">
        <x:v>0.65</x:v>
      </x:c>
      <x:c r="E2730" s="62" t="b">
        <x:v>1</x:v>
      </x:c>
      <x:c r="F2730" s="62" t="b">
        <x:v>0</x:v>
      </x:c>
      <x:c r="G2730" s="85" t="n">
        <x:v>852903.8272864373</x:v>
      </x:c>
      <x:c r="H2730" s="85" t="n">
        <x:v>4507497.625155187</x:v>
      </x:c>
      <x:c r="I2730" s="85" t="n">
        <x:v>10670776.109589042</x:v>
      </x:c>
      <x:c r="J2730" s="85" t="n">
        <x:v>11148800.000000002</x:v>
      </x:c>
      <x:c r="K2730" s="85" t="n">
        <x:v>92919.32979452095</x:v>
      </x:c>
      <x:c r="L2730" s="28" t="n">
        <x:v>45</x:v>
      </x:c>
      <x:c r="M2730" s="28" t="n">
        <x:v>34</x:v>
      </x:c>
      <x:c r="N2730" s="28" t="n">
        <x:v>4.656612873077393e-10</x:v>
      </x:c>
      <x:c r="O2730" s="28" t="n">
        <x:v>3.725290298461914e-9</x:v>
      </x:c>
      <x:c r="P2730" s="28" t="n">
        <x:v>0</x:v>
      </x:c>
      <x:c r="Q2730" s="62" t="b">
        <x:v>1</x:v>
      </x:c>
      <x:c r="R2730" s="28" t="n">
        <x:v>0</x:v>
      </x:c>
      <x:c r="S2730" s="28" t="str">
        <x:v>c65b6909dd679e05</x:v>
      </x:c>
    </x:row>
    <x:row r="2731" ht="21" customHeight="1">
      <x:c r="A2731" s="60" t="n">
        <x:v>0.7</x:v>
      </x:c>
      <x:c r="B2731" s="28" t="str">
        <x:v>level_flat</x:v>
      </x:c>
      <x:c r="C2731" s="60" t="n">
        <x:v>0.7</x:v>
      </x:c>
      <x:c r="D2731" s="60" t="n">
        <x:v>0.7</x:v>
      </x:c>
      <x:c r="E2731" s="62" t="b">
        <x:v>1</x:v>
      </x:c>
      <x:c r="F2731" s="62" t="b">
        <x:v>0</x:v>
      </x:c>
      <x:c r="G2731" s="85" t="n">
        <x:v>1340108.8945679318</x:v>
      </x:c>
      <x:c r="H2731" s="85" t="n">
        <x:v>6793005.450525804</x:v>
      </x:c>
      <x:c r="I2731" s="85" t="n">
        <x:v>10670776.109589042</x:v>
      </x:c>
      <x:c r="J2731" s="85" t="n">
        <x:v>11148800.000000002</x:v>
      </x:c>
      <x:c r="K2731" s="85" t="n">
        <x:v>84312.14205479447</x:v>
      </x:c>
      <x:c r="L2731" s="28" t="n">
        <x:v>45</x:v>
      </x:c>
      <x:c r="M2731" s="28" t="n">
        <x:v>36</x:v>
      </x:c>
      <x:c r="N2731" s="28" t="n">
        <x:v>4.656612873077393e-10</x:v>
      </x:c>
      <x:c r="O2731" s="28" t="n">
        <x:v>3.725290298461914e-9</x:v>
      </x:c>
      <x:c r="P2731" s="28" t="n">
        <x:v>0</x:v>
      </x:c>
      <x:c r="Q2731" s="62" t="b">
        <x:v>1</x:v>
      </x:c>
      <x:c r="R2731" s="28" t="n">
        <x:v>0</x:v>
      </x:c>
      <x:c r="S2731" s="28" t="str">
        <x:v>48e3662ea0df1b2a</x:v>
      </x:c>
    </x:row>
    <x:row r="2732" ht="21" customHeight="1">
      <x:c r="A2732" s="60" t="n">
        <x:v>0.7</x:v>
      </x:c>
      <x:c r="B2732" s="28" t="str">
        <x:v>level_flat</x:v>
      </x:c>
      <x:c r="C2732" s="60" t="n">
        <x:v>0.75</x:v>
      </x:c>
      <x:c r="D2732" s="60" t="n">
        <x:v>0.75</x:v>
      </x:c>
      <x:c r="E2732" s="62" t="b">
        <x:v>1</x:v>
      </x:c>
      <x:c r="F2732" s="62" t="b">
        <x:v>0</x:v>
      </x:c>
      <x:c r="G2732" s="85" t="n">
        <x:v>1799921.5472910586</x:v>
      </x:c>
      <x:c r="H2732" s="85" t="n">
        <x:v>9072808.400613096</x:v>
      </x:c>
      <x:c r="I2732" s="85" t="n">
        <x:v>10670776.109589042</x:v>
      </x:c>
      <x:c r="J2732" s="85" t="n">
        <x:v>11148800.000000002</x:v>
      </x:c>
      <x:c r="K2732" s="85" t="n">
        <x:v>78354.72445205471</x:v>
      </x:c>
      <x:c r="L2732" s="28" t="n">
        <x:v>45</x:v>
      </x:c>
      <x:c r="M2732" s="28" t="n">
        <x:v>37</x:v>
      </x:c>
      <x:c r="N2732" s="28" t="n">
        <x:v>4.656612873077393e-10</x:v>
      </x:c>
      <x:c r="O2732" s="28" t="n">
        <x:v>3.725290298461914e-9</x:v>
      </x:c>
      <x:c r="P2732" s="28" t="n">
        <x:v>0</x:v>
      </x:c>
      <x:c r="Q2732" s="62" t="b">
        <x:v>1</x:v>
      </x:c>
      <x:c r="R2732" s="28" t="n">
        <x:v>0</x:v>
      </x:c>
      <x:c r="S2732" s="28" t="str">
        <x:v>32c55a986edf2096</x:v>
      </x:c>
    </x:row>
    <x:row r="2733" ht="21" customHeight="1">
      <x:c r="A2733" s="60" t="n">
        <x:v>0.7</x:v>
      </x:c>
      <x:c r="B2733" s="28" t="str">
        <x:v>level_flat</x:v>
      </x:c>
      <x:c r="C2733" s="60" t="n">
        <x:v>0.8</x:v>
      </x:c>
      <x:c r="D2733" s="60" t="n">
        <x:v>0.8</x:v>
      </x:c>
      <x:c r="E2733" s="62" t="b">
        <x:v>1</x:v>
      </x:c>
      <x:c r="F2733" s="62" t="b">
        <x:v>0</x:v>
      </x:c>
      <x:c r="G2733" s="85" t="n">
        <x:v>2394729.029123528</x:v>
      </x:c>
      <x:c r="H2733" s="85" t="n">
        <x:v>11189090.255152287</x:v>
      </x:c>
      <x:c r="I2733" s="85" t="n">
        <x:v>10670776.109589042</x:v>
      </x:c>
      <x:c r="J2733" s="85" t="n">
        <x:v>11148800.000000002</x:v>
      </x:c>
      <x:c r="K2733" s="85" t="n">
        <x:v>72397.30684931517</x:v>
      </x:c>
      <x:c r="L2733" s="28" t="n">
        <x:v>45</x:v>
      </x:c>
      <x:c r="M2733" s="28" t="n">
        <x:v>38</x:v>
      </x:c>
      <x:c r="N2733" s="28" t="n">
        <x:v>4.656612873077393e-10</x:v>
      </x:c>
      <x:c r="O2733" s="28" t="n">
        <x:v>3.725290298461914e-9</x:v>
      </x:c>
      <x:c r="P2733" s="28" t="n">
        <x:v>0</x:v>
      </x:c>
      <x:c r="Q2733" s="62" t="b">
        <x:v>1</x:v>
      </x:c>
      <x:c r="R2733" s="28" t="n">
        <x:v>0</x:v>
      </x:c>
      <x:c r="S2733" s="28" t="str">
        <x:v>f66b2e9bf1e38397</x:v>
      </x:c>
    </x:row>
    <x:row r="2734" ht="21" customHeight="1">
      <x:c r="A2734" s="60" t="n">
        <x:v>0.7</x:v>
      </x:c>
      <x:c r="B2734" s="28" t="str">
        <x:v>level_flat</x:v>
      </x:c>
      <x:c r="C2734" s="60" t="n">
        <x:v>0.85</x:v>
      </x:c>
      <x:c r="D2734" s="60" t="n">
        <x:v>0.85</x:v>
      </x:c>
      <x:c r="E2734" s="62" t="b">
        <x:v>1</x:v>
      </x:c>
      <x:c r="F2734" s="62" t="b">
        <x:v>0</x:v>
      </x:c>
      <x:c r="G2734" s="85" t="n">
        <x:v>2909195.2037047613</x:v>
      </x:c>
      <x:c r="H2734" s="85" t="n">
        <x:v>12985454.813391713</x:v>
      </x:c>
      <x:c r="I2734" s="85" t="n">
        <x:v>10909635.331506848</x:v>
      </x:c>
      <x:c r="J2734" s="85" t="n">
        <x:v>11148800.000000002</x:v>
      </x:c>
      <x:c r="K2734" s="85" t="n">
        <x:v>66439.88924657585</x:v>
      </x:c>
      <x:c r="L2734" s="28" t="n">
        <x:v>46</x:v>
      </x:c>
      <x:c r="M2734" s="28" t="n">
        <x:v>38</x:v>
      </x:c>
      <x:c r="N2734" s="28" t="n">
        <x:v>2.3283064365386963e-10</x:v>
      </x:c>
      <x:c r="O2734" s="28" t="n">
        <x:v>3.725290298461914e-9</x:v>
      </x:c>
      <x:c r="P2734" s="28" t="n">
        <x:v>0</x:v>
      </x:c>
      <x:c r="Q2734" s="62" t="b">
        <x:v>1</x:v>
      </x:c>
      <x:c r="R2734" s="28" t="n">
        <x:v>0</x:v>
      </x:c>
      <x:c r="S2734" s="28" t="str">
        <x:v>ff3b601af5d11c25</x:v>
      </x:c>
    </x:row>
    <x:row r="2735" ht="21" customHeight="1">
      <x:c r="A2735" s="60" t="n">
        <x:v>0.7</x:v>
      </x:c>
      <x:c r="B2735" s="28" t="str">
        <x:v>level_flat</x:v>
      </x:c>
      <x:c r="C2735" s="60" t="n">
        <x:v>0.9</x:v>
      </x:c>
      <x:c r="D2735" s="60" t="n">
        <x:v>0.8949513562027351</x:v>
      </x:c>
      <x:c r="E2735" s="62" t="b">
        <x:v>0</x:v>
      </x:c>
      <x:c r="F2735" s="62" t="b">
        <x:v>0</x:v>
      </x:c>
      <x:c r="G2735" s="85" t="n">
        <x:v>3774256.072405116</x:v>
      </x:c>
      <x:c r="H2735" s="85" t="n">
        <x:v>14289899.448444745</x:v>
      </x:c>
      <x:c r="I2735" s="85" t="n">
        <x:v>10909635.331506848</x:v>
      </x:c>
      <x:c r="J2735" s="85" t="n">
        <x:v>11148800.000000002</x:v>
      </x:c>
      <x:c r="K2735" s="85" t="n">
        <x:v>60482.47164383561</x:v>
      </x:c>
      <x:c r="L2735" s="28" t="n">
        <x:v>46</x:v>
      </x:c>
      <x:c r="M2735" s="28" t="n">
        <x:v>40</x:v>
      </x:c>
      <x:c r="N2735" s="28" t="n">
        <x:v>4.656612873077393e-10</x:v>
      </x:c>
      <x:c r="O2735" s="28" t="n">
        <x:v>3.725290298461914e-9</x:v>
      </x:c>
      <x:c r="P2735" s="28" t="n">
        <x:v>0</x:v>
      </x:c>
      <x:c r="Q2735" s="62" t="b">
        <x:v>1</x:v>
      </x:c>
      <x:c r="R2735" s="28" t="n">
        <x:v>281431.5998347327</x:v>
      </x:c>
      <x:c r="S2735" s="28" t="str">
        <x:v>bdbe7f1a6230250b</x:v>
      </x:c>
    </x:row>
    <x:row r="2736" ht="21" customHeight="1">
      <x:c r="A2736" s="60" t="n">
        <x:v>0.7</x:v>
      </x:c>
      <x:c r="B2736" s="28" t="str">
        <x:v>level_flat</x:v>
      </x:c>
      <x:c r="C2736" s="60" t="n">
        <x:v>0.95</x:v>
      </x:c>
      <x:c r="D2736" s="60" t="n">
        <x:v>0.9109811515371262</x:v>
      </x:c>
      <x:c r="E2736" s="62" t="b">
        <x:v>0</x:v>
      </x:c>
      <x:c r="F2736" s="62" t="b">
        <x:v>0</x:v>
      </x:c>
      <x:c r="G2736" s="85" t="n">
        <x:v>4012331.6769270077</x:v>
      </x:c>
      <x:c r="H2736" s="85" t="n">
        <x:v>15191289.387145324</x:v>
      </x:c>
      <x:c r="I2736" s="85" t="n">
        <x:v>10909635.331506848</x:v>
      </x:c>
      <x:c r="J2736" s="85" t="n">
        <x:v>11148800.000000002</x:v>
      </x:c>
      <x:c r="K2736" s="85" t="n">
        <x:v>54525.05404109607</x:v>
      </x:c>
      <x:c r="L2736" s="28" t="n">
        <x:v>46</x:v>
      </x:c>
      <x:c r="M2736" s="28" t="n">
        <x:v>40</x:v>
      </x:c>
      <x:c r="N2736" s="28" t="n">
        <x:v>4.656612873077393e-10</x:v>
      </x:c>
      <x:c r="O2736" s="28" t="n">
        <x:v>3.725290298461914e-9</x:v>
      </x:c>
      <x:c r="P2736" s="28" t="n">
        <x:v>0</x:v>
      </x:c>
      <x:c r="Q2736" s="62" t="b">
        <x:v>1</x:v>
      </x:c>
      <x:c r="R2736" s="28" t="n">
        <x:v>2175066.688714437</x:v>
      </x:c>
      <x:c r="S2736" s="28" t="str">
        <x:v>a4d96c3d5c82898f</x:v>
      </x:c>
    </x:row>
    <x:row r="2737" ht="21" customHeight="1">
      <x:c r="A2737" s="60" t="n">
        <x:v>0.7</x:v>
      </x:c>
      <x:c r="B2737" s="28" t="str">
        <x:v>level_flat</x:v>
      </x:c>
      <x:c r="C2737" s="60" t="n">
        <x:v>1</x:v>
      </x:c>
      <x:c r="D2737" s="60" t="n">
        <x:v>0.9258453085724337</x:v>
      </x:c>
      <x:c r="E2737" s="62" t="b">
        <x:v>0</x:v>
      </x:c>
      <x:c r="F2737" s="62" t="b">
        <x:v>0</x:v>
      </x:c>
      <x:c r="G2737" s="85" t="n">
        <x:v>4362094.522110596</x:v>
      </x:c>
      <x:c r="H2737" s="85" t="n">
        <x:v>15850002.992179027</x:v>
      </x:c>
      <x:c r="I2737" s="85" t="n">
        <x:v>10909635.331506848</x:v>
      </x:c>
      <x:c r="J2737" s="85" t="n">
        <x:v>11148800.000000002</x:v>
      </x:c>
      <x:c r="K2737" s="85" t="n">
        <x:v>48567.63643835606</x:v>
      </x:c>
      <x:c r="L2737" s="28" t="n">
        <x:v>46</x:v>
      </x:c>
      <x:c r="M2737" s="28" t="n">
        <x:v>40</x:v>
      </x:c>
      <x:c r="N2737" s="28" t="n">
        <x:v>4.656612873077393e-10</x:v>
      </x:c>
      <x:c r="O2737" s="28" t="n">
        <x:v>1.862645149230957e-9</x:v>
      </x:c>
      <x:c r="P2737" s="28" t="n">
        <x:v>0</x:v>
      </x:c>
      <x:c r="Q2737" s="62" t="b">
        <x:v>1</x:v>
      </x:c>
      <x:c r="R2737" s="28" t="n">
        <x:v>4133679.1189382523</x:v>
      </x:c>
      <x:c r="S2737" s="28" t="str">
        <x:v>293b07c0dc6fb4d0</x:v>
      </x:c>
    </x:row>
    <x:row r="2738" ht="21" customHeight="1">
      <x:c r="A2738" s="60" t="n">
        <x:v>0.7</x:v>
      </x:c>
      <x:c r="B2738" s="28" t="str">
        <x:v>level_low</x:v>
      </x:c>
      <x:c r="C2738" s="60" t="n">
        <x:v>0</x:v>
      </x:c>
      <x:c r="D2738" s="60" t="n">
        <x:v>0</x:v>
      </x:c>
      <x:c r="E2738" s="62" t="b">
        <x:v>1</x:v>
      </x:c>
      <x:c r="F2738" s="62" t="b">
        <x:v>1</x:v>
      </x:c>
      <x:c r="G2738" s="85" t="n">
        <x:v>0</x:v>
      </x:c>
      <x:c r="H2738" s="85" t="n">
        <x:v>0</x:v>
      </x:c>
      <x:c r="I2738" s="85" t="n">
        <x:v>0</x:v>
      </x:c>
      <x:c r="J2738" s="85" t="n">
        <x:v>0</x:v>
      </x:c>
      <x:c r="K2738" s="85" t="n">
        <x:v>6144125.708493149</x:v>
      </x:c>
      <x:c r="L2738" s="28" t="n">
        <x:v>0</x:v>
      </x:c>
      <x:c r="M2738" s="28" t="n">
        <x:v>0</x:v>
      </x:c>
      <x:c r="N2738" s="28" t="n">
        <x:v>9.313225746154785e-10</x:v>
      </x:c>
      <x:c r="O2738" s="28" t="n">
        <x:v>0</x:v>
      </x:c>
      <x:c r="P2738" s="28" t="n">
        <x:v>0</x:v>
      </x:c>
      <x:c r="Q2738" s="62" t="b">
        <x:v>1</x:v>
      </x:c>
      <x:c r="R2738" s="28" t="n">
        <x:v>0</x:v>
      </x:c>
      <x:c r="S2738" s="28" t="str">
        <x:v>7c1590e56dad7040</x:v>
      </x:c>
    </x:row>
    <x:row r="2739" ht="21" customHeight="1">
      <x:c r="A2739" s="60" t="n">
        <x:v>0.7</x:v>
      </x:c>
      <x:c r="B2739" s="28" t="str">
        <x:v>level_low</x:v>
      </x:c>
      <x:c r="C2739" s="60" t="n">
        <x:v>0.05</x:v>
      </x:c>
      <x:c r="D2739" s="60" t="n">
        <x:v>0.05</x:v>
      </x:c>
      <x:c r="E2739" s="62" t="b">
        <x:v>1</x:v>
      </x:c>
      <x:c r="F2739" s="62" t="b">
        <x:v>1</x:v>
      </x:c>
      <x:c r="G2739" s="85" t="n">
        <x:v>0</x:v>
      </x:c>
      <x:c r="H2739" s="85" t="n">
        <x:v>0</x:v>
      </x:c>
      <x:c r="I2739" s="85" t="n">
        <x:v>0</x:v>
      </x:c>
      <x:c r="J2739" s="85" t="n">
        <x:v>0</x:v>
      </x:c>
      <x:c r="K2739" s="85" t="n">
        <x:v>4143137.4988905285</x:v>
      </x:c>
      <x:c r="L2739" s="28" t="n">
        <x:v>0</x:v>
      </x:c>
      <x:c r="M2739" s="28" t="n">
        <x:v>0</x:v>
      </x:c>
      <x:c r="N2739" s="28" t="n">
        <x:v>9.313225746154785e-10</x:v>
      </x:c>
      <x:c r="O2739" s="28" t="n">
        <x:v>7.450580596923828e-9</x:v>
      </x:c>
      <x:c r="P2739" s="28" t="n">
        <x:v>0</x:v>
      </x:c>
      <x:c r="Q2739" s="62" t="b">
        <x:v>1</x:v>
      </x:c>
      <x:c r="R2739" s="28" t="n">
        <x:v>0</x:v>
      </x:c>
      <x:c r="S2739" s="28" t="str">
        <x:v>e09079f3ee1207f1</x:v>
      </x:c>
    </x:row>
    <x:row r="2740" ht="21" customHeight="1">
      <x:c r="A2740" s="60" t="n">
        <x:v>0.7</x:v>
      </x:c>
      <x:c r="B2740" s="28" t="str">
        <x:v>level_low</x:v>
      </x:c>
      <x:c r="C2740" s="60" t="n">
        <x:v>0.1</x:v>
      </x:c>
      <x:c r="D2740" s="60" t="n">
        <x:v>0.1</x:v>
      </x:c>
      <x:c r="E2740" s="62" t="b">
        <x:v>1</x:v>
      </x:c>
      <x:c r="F2740" s="62" t="b">
        <x:v>1</x:v>
      </x:c>
      <x:c r="G2740" s="85" t="n">
        <x:v>0</x:v>
      </x:c>
      <x:c r="H2740" s="85" t="n">
        <x:v>0</x:v>
      </x:c>
      <x:c r="I2740" s="85" t="n">
        <x:v>0</x:v>
      </x:c>
      <x:c r="J2740" s="85" t="n">
        <x:v>0</x:v>
      </x:c>
      <x:c r="K2740" s="85" t="n">
        <x:v>2142068.473464934</x:v>
      </x:c>
      <x:c r="L2740" s="28" t="n">
        <x:v>0</x:v>
      </x:c>
      <x:c r="M2740" s="28" t="n">
        <x:v>0</x:v>
      </x:c>
      <x:c r="N2740" s="28" t="n">
        <x:v>9.313225746154785e-10</x:v>
      </x:c>
      <x:c r="O2740" s="28" t="n">
        <x:v>7.450580596923828e-9</x:v>
      </x:c>
      <x:c r="P2740" s="28" t="n">
        <x:v>0</x:v>
      </x:c>
      <x:c r="Q2740" s="62" t="b">
        <x:v>1</x:v>
      </x:c>
      <x:c r="R2740" s="28" t="n">
        <x:v>0</x:v>
      </x:c>
      <x:c r="S2740" s="28" t="str">
        <x:v>d0051f18b754349e</x:v>
      </x:c>
    </x:row>
    <x:row r="2741" ht="21" customHeight="1">
      <x:c r="A2741" s="60" t="n">
        <x:v>0.7</x:v>
      </x:c>
      <x:c r="B2741" s="28" t="str">
        <x:v>level_low</x:v>
      </x:c>
      <x:c r="C2741" s="60" t="n">
        <x:v>0.15</x:v>
      </x:c>
      <x:c r="D2741" s="60" t="n">
        <x:v>0.15</x:v>
      </x:c>
      <x:c r="E2741" s="62" t="b">
        <x:v>1</x:v>
      </x:c>
      <x:c r="F2741" s="62" t="b">
        <x:v>1</x:v>
      </x:c>
      <x:c r="G2741" s="85" t="n">
        <x:v>0</x:v>
      </x:c>
      <x:c r="H2741" s="85" t="n">
        <x:v>0</x:v>
      </x:c>
      <x:c r="I2741" s="85" t="n">
        <x:v>190001.23432064027</x:v>
      </x:c>
      <x:c r="J2741" s="85" t="n">
        <x:v>0</x:v>
      </x:c>
      <x:c r="K2741" s="85" t="n">
        <x:v>396432.1758492478</x:v>
      </x:c>
      <x:c r="L2741" s="28" t="n">
        <x:v>0</x:v>
      </x:c>
      <x:c r="M2741" s="28" t="n">
        <x:v>0</x:v>
      </x:c>
      <x:c r="N2741" s="28" t="n">
        <x:v>4.656612873077393e-10</x:v>
      </x:c>
      <x:c r="O2741" s="28" t="n">
        <x:v>7.450580596923828e-9</x:v>
      </x:c>
      <x:c r="P2741" s="28" t="n">
        <x:v>0</x:v>
      </x:c>
      <x:c r="Q2741" s="62" t="b">
        <x:v>1</x:v>
      </x:c>
      <x:c r="R2741" s="28" t="n">
        <x:v>0</x:v>
      </x:c>
      <x:c r="S2741" s="28" t="str">
        <x:v>edc3d2a1cdcae8c9</x:v>
      </x:c>
    </x:row>
    <x:row r="2742" ht="21" customHeight="1">
      <x:c r="A2742" s="60" t="n">
        <x:v>0.7</x:v>
      </x:c>
      <x:c r="B2742" s="28" t="str">
        <x:v>level_low</x:v>
      </x:c>
      <x:c r="C2742" s="60" t="n">
        <x:v>0.2</x:v>
      </x:c>
      <x:c r="D2742" s="60" t="n">
        <x:v>0.2</x:v>
      </x:c>
      <x:c r="E2742" s="62" t="b">
        <x:v>1</x:v>
      </x:c>
      <x:c r="F2742" s="62" t="b">
        <x:v>1</x:v>
      </x:c>
      <x:c r="G2742" s="85" t="n">
        <x:v>0</x:v>
      </x:c>
      <x:c r="H2742" s="85" t="n">
        <x:v>0</x:v>
      </x:c>
      <x:c r="I2742" s="85" t="n">
        <x:v>1245872.3356469255</x:v>
      </x:c>
      <x:c r="J2742" s="85" t="n">
        <x:v>1248509.6821693014</x:v>
      </x:c>
      <x:c r="K2742" s="85" t="n">
        <x:v>321426.5000957826</x:v>
      </x:c>
      <x:c r="L2742" s="28" t="n">
        <x:v>0</x:v>
      </x:c>
      <x:c r="M2742" s="28" t="n">
        <x:v>0</x:v>
      </x:c>
      <x:c r="N2742" s="28" t="n">
        <x:v>4.656612873077393e-10</x:v>
      </x:c>
      <x:c r="O2742" s="28" t="n">
        <x:v>7.450580596923828e-9</x:v>
      </x:c>
      <x:c r="P2742" s="28" t="n">
        <x:v>0</x:v>
      </x:c>
      <x:c r="Q2742" s="62" t="b">
        <x:v>1</x:v>
      </x:c>
      <x:c r="R2742" s="28" t="n">
        <x:v>0</x:v>
      </x:c>
      <x:c r="S2742" s="28" t="str">
        <x:v>eea8501fb43454ee</x:v>
      </x:c>
    </x:row>
    <x:row r="2743" ht="21" customHeight="1">
      <x:c r="A2743" s="60" t="n">
        <x:v>0.7</x:v>
      </x:c>
      <x:c r="B2743" s="28" t="str">
        <x:v>level_low</x:v>
      </x:c>
      <x:c r="C2743" s="60" t="n">
        <x:v>0.25</x:v>
      </x:c>
      <x:c r="D2743" s="60" t="n">
        <x:v>0.25</x:v>
      </x:c>
      <x:c r="E2743" s="62" t="b">
        <x:v>1</x:v>
      </x:c>
      <x:c r="F2743" s="62" t="b">
        <x:v>1</x:v>
      </x:c>
      <x:c r="G2743" s="85" t="n">
        <x:v>0</x:v>
      </x:c>
      <x:c r="H2743" s="85" t="n">
        <x:v>0</x:v>
      </x:c>
      <x:c r="I2743" s="85" t="n">
        <x:v>1959804.559494562</x:v>
      </x:c>
      <x:c r="J2743" s="85" t="n">
        <x:v>2954237.1027116273</x:v>
      </x:c>
      <x:c r="K2743" s="85" t="n">
        <x:v>257007.56482460018</x:v>
      </x:c>
      <x:c r="L2743" s="28" t="n">
        <x:v>0</x:v>
      </x:c>
      <x:c r="M2743" s="28" t="n">
        <x:v>0</x:v>
      </x:c>
      <x:c r="N2743" s="28" t="n">
        <x:v>4.656612873077393e-10</x:v>
      </x:c>
      <x:c r="O2743" s="28" t="n">
        <x:v>7.450580596923828e-9</x:v>
      </x:c>
      <x:c r="P2743" s="28" t="n">
        <x:v>0</x:v>
      </x:c>
      <x:c r="Q2743" s="62" t="b">
        <x:v>1</x:v>
      </x:c>
      <x:c r="R2743" s="28" t="n">
        <x:v>0</x:v>
      </x:c>
      <x:c r="S2743" s="28" t="str">
        <x:v>1b51dbd7fa489e0c</x:v>
      </x:c>
    </x:row>
    <x:row r="2744" ht="21" customHeight="1">
      <x:c r="A2744" s="60" t="n">
        <x:v>0.7</x:v>
      </x:c>
      <x:c r="B2744" s="28" t="str">
        <x:v>level_low</x:v>
      </x:c>
      <x:c r="C2744" s="60" t="n">
        <x:v>0.3</x:v>
      </x:c>
      <x:c r="D2744" s="60" t="n">
        <x:v>0.3</x:v>
      </x:c>
      <x:c r="E2744" s="62" t="b">
        <x:v>1</x:v>
      </x:c>
      <x:c r="F2744" s="62" t="b">
        <x:v>1</x:v>
      </x:c>
      <x:c r="G2744" s="85" t="n">
        <x:v>0</x:v>
      </x:c>
      <x:c r="H2744" s="85" t="n">
        <x:v>0</x:v>
      </x:c>
      <x:c r="I2744" s="85" t="n">
        <x:v>2766092.410646844</x:v>
      </x:c>
      <x:c r="J2744" s="85" t="n">
        <x:v>4522692.698985823</x:v>
      </x:c>
      <x:c r="K2744" s="85" t="n">
        <x:v>210106.17488808234</x:v>
      </x:c>
      <x:c r="L2744" s="28" t="n">
        <x:v>1</x:v>
      </x:c>
      <x:c r="M2744" s="28" t="n">
        <x:v>0</x:v>
      </x:c>
      <x:c r="N2744" s="28" t="n">
        <x:v>4.656612873077393e-10</x:v>
      </x:c>
      <x:c r="O2744" s="28" t="n">
        <x:v>7.450580596923828e-9</x:v>
      </x:c>
      <x:c r="P2744" s="28" t="n">
        <x:v>0</x:v>
      </x:c>
      <x:c r="Q2744" s="62" t="b">
        <x:v>1</x:v>
      </x:c>
      <x:c r="R2744" s="28" t="n">
        <x:v>0</x:v>
      </x:c>
      <x:c r="S2744" s="28" t="str">
        <x:v>1169756d26d2fa5f</x:v>
      </x:c>
    </x:row>
    <x:row r="2745" ht="21" customHeight="1">
      <x:c r="A2745" s="60" t="n">
        <x:v>0.7</x:v>
      </x:c>
      <x:c r="B2745" s="28" t="str">
        <x:v>level_low</x:v>
      </x:c>
      <x:c r="C2745" s="60" t="n">
        <x:v>0.35</x:v>
      </x:c>
      <x:c r="D2745" s="60" t="n">
        <x:v>0.35</x:v>
      </x:c>
      <x:c r="E2745" s="62" t="b">
        <x:v>1</x:v>
      </x:c>
      <x:c r="F2745" s="62" t="b">
        <x:v>1</x:v>
      </x:c>
      <x:c r="G2745" s="85" t="n">
        <x:v>0</x:v>
      </x:c>
      <x:c r="H2745" s="85" t="n">
        <x:v>0</x:v>
      </x:c>
      <x:c r="I2745" s="85" t="n">
        <x:v>4064487.7289002147</x:v>
      </x:c>
      <x:c r="J2745" s="85" t="n">
        <x:v>5315974.568697943</x:v>
      </x:c>
      <x:c r="K2745" s="85" t="n">
        <x:v>173491.94567993146</x:v>
      </x:c>
      <x:c r="L2745" s="28" t="n">
        <x:v>8</x:v>
      </x:c>
      <x:c r="M2745" s="28" t="n">
        <x:v>0</x:v>
      </x:c>
      <x:c r="N2745" s="28" t="n">
        <x:v>9.313225746154785e-10</x:v>
      </x:c>
      <x:c r="O2745" s="28" t="n">
        <x:v>7.450580596923828e-9</x:v>
      </x:c>
      <x:c r="P2745" s="28" t="n">
        <x:v>0</x:v>
      </x:c>
      <x:c r="Q2745" s="62" t="b">
        <x:v>1</x:v>
      </x:c>
      <x:c r="R2745" s="28" t="n">
        <x:v>0</x:v>
      </x:c>
      <x:c r="S2745" s="28" t="str">
        <x:v>aa63741825882af0</x:v>
      </x:c>
    </x:row>
    <x:row r="2746" ht="21" customHeight="1">
      <x:c r="A2746" s="60" t="n">
        <x:v>0.7</x:v>
      </x:c>
      <x:c r="B2746" s="28" t="str">
        <x:v>level_low</x:v>
      </x:c>
      <x:c r="C2746" s="60" t="n">
        <x:v>0.4</x:v>
      </x:c>
      <x:c r="D2746" s="60" t="n">
        <x:v>0.4</x:v>
      </x:c>
      <x:c r="E2746" s="62" t="b">
        <x:v>1</x:v>
      </x:c>
      <x:c r="F2746" s="62" t="b">
        <x:v>1</x:v>
      </x:c>
      <x:c r="G2746" s="85" t="n">
        <x:v>0</x:v>
      </x:c>
      <x:c r="H2746" s="85" t="n">
        <x:v>0</x:v>
      </x:c>
      <x:c r="I2746" s="85" t="n">
        <x:v>5058471.000939852</x:v>
      </x:c>
      <x:c r="J2746" s="85" t="n">
        <x:v>6602257.242664362</x:v>
      </x:c>
      <x:c r="K2746" s="85" t="n">
        <x:v>144186.4205484928</x:v>
      </x:c>
      <x:c r="L2746" s="28" t="n">
        <x:v>13</x:v>
      </x:c>
      <x:c r="M2746" s="28" t="n">
        <x:v>0</x:v>
      </x:c>
      <x:c r="N2746" s="28" t="n">
        <x:v>9.313225746154785e-10</x:v>
      </x:c>
      <x:c r="O2746" s="28" t="n">
        <x:v>7.450580596923828e-9</x:v>
      </x:c>
      <x:c r="P2746" s="28" t="n">
        <x:v>0</x:v>
      </x:c>
      <x:c r="Q2746" s="62" t="b">
        <x:v>1</x:v>
      </x:c>
      <x:c r="R2746" s="28" t="n">
        <x:v>0</x:v>
      </x:c>
      <x:c r="S2746" s="28" t="str">
        <x:v>fb58fbaf32b5c6d7</x:v>
      </x:c>
    </x:row>
    <x:row r="2747" ht="21" customHeight="1">
      <x:c r="A2747" s="60" t="n">
        <x:v>0.7</x:v>
      </x:c>
      <x:c r="B2747" s="28" t="str">
        <x:v>level_low</x:v>
      </x:c>
      <x:c r="C2747" s="60" t="n">
        <x:v>0.45</x:v>
      </x:c>
      <x:c r="D2747" s="60" t="n">
        <x:v>0.45</x:v>
      </x:c>
      <x:c r="E2747" s="62" t="b">
        <x:v>1</x:v>
      </x:c>
      <x:c r="F2747" s="62" t="b">
        <x:v>1</x:v>
      </x:c>
      <x:c r="G2747" s="85" t="n">
        <x:v>0</x:v>
      </x:c>
      <x:c r="H2747" s="85" t="n">
        <x:v>0</x:v>
      </x:c>
      <x:c r="I2747" s="85" t="n">
        <x:v>5968592.466883542</x:v>
      </x:c>
      <x:c r="J2747" s="85" t="n">
        <x:v>8005889.762809096</x:v>
      </x:c>
      <x:c r="K2747" s="85" t="n">
        <x:v>122008.63250061654</x:v>
      </x:c>
      <x:c r="L2747" s="28" t="n">
        <x:v>17</x:v>
      </x:c>
      <x:c r="M2747" s="28" t="n">
        <x:v>0</x:v>
      </x:c>
      <x:c r="N2747" s="28" t="n">
        <x:v>9.313225746154785e-10</x:v>
      </x:c>
      <x:c r="O2747" s="28" t="n">
        <x:v>3.725290298461914e-9</x:v>
      </x:c>
      <x:c r="P2747" s="28" t="n">
        <x:v>0</x:v>
      </x:c>
      <x:c r="Q2747" s="62" t="b">
        <x:v>1</x:v>
      </x:c>
      <x:c r="R2747" s="28" t="n">
        <x:v>0</x:v>
      </x:c>
      <x:c r="S2747" s="28" t="str">
        <x:v>90f27af96105f1c7</x:v>
      </x:c>
    </x:row>
    <x:row r="2748" ht="21" customHeight="1">
      <x:c r="A2748" s="60" t="n">
        <x:v>0.7</x:v>
      </x:c>
      <x:c r="B2748" s="28" t="str">
        <x:v>level_low</x:v>
      </x:c>
      <x:c r="C2748" s="60" t="n">
        <x:v>0.5</x:v>
      </x:c>
      <x:c r="D2748" s="60" t="n">
        <x:v>0.5</x:v>
      </x:c>
      <x:c r="E2748" s="62" t="b">
        <x:v>1</x:v>
      </x:c>
      <x:c r="F2748" s="62" t="b">
        <x:v>1</x:v>
      </x:c>
      <x:c r="G2748" s="85" t="n">
        <x:v>0</x:v>
      </x:c>
      <x:c r="H2748" s="85" t="n">
        <x:v>0</x:v>
      </x:c>
      <x:c r="I2748" s="85" t="n">
        <x:v>6728909.054274425</x:v>
      </x:c>
      <x:c r="J2748" s="85" t="n">
        <x:v>9667385.20526851</x:v>
      </x:c>
      <x:c r="K2748" s="85" t="n">
        <x:v>105329.11986301345</x:v>
      </x:c>
      <x:c r="L2748" s="28" t="n">
        <x:v>20</x:v>
      </x:c>
      <x:c r="M2748" s="28" t="n">
        <x:v>0</x:v>
      </x:c>
      <x:c r="N2748" s="28" t="n">
        <x:v>2.3283064365386963e-10</x:v>
      </x:c>
      <x:c r="O2748" s="28" t="n">
        <x:v>3.725290298461914e-9</x:v>
      </x:c>
      <x:c r="P2748" s="28" t="n">
        <x:v>0</x:v>
      </x:c>
      <x:c r="Q2748" s="62" t="b">
        <x:v>1</x:v>
      </x:c>
      <x:c r="R2748" s="28" t="n">
        <x:v>0</x:v>
      </x:c>
      <x:c r="S2748" s="28" t="str">
        <x:v>4cc68833e2188d10</x:v>
      </x:c>
    </x:row>
    <x:row r="2749" ht="21" customHeight="1">
      <x:c r="A2749" s="60" t="n">
        <x:v>0.7</x:v>
      </x:c>
      <x:c r="B2749" s="28" t="str">
        <x:v>level_low</x:v>
      </x:c>
      <x:c r="C2749" s="60" t="n">
        <x:v>0.55</x:v>
      </x:c>
      <x:c r="D2749" s="60" t="n">
        <x:v>0.55</x:v>
      </x:c>
      <x:c r="E2749" s="62" t="b">
        <x:v>1</x:v>
      </x:c>
      <x:c r="F2749" s="62" t="b">
        <x:v>0</x:v>
      </x:c>
      <x:c r="G2749" s="85" t="n">
        <x:v>15127.993093864772</x:v>
      </x:c>
      <x:c r="H2749" s="85" t="n">
        <x:v>243753.98484857418</x:v>
      </x:c>
      <x:c r="I2749" s="85" t="n">
        <x:v>7363706.03835617</x:v>
      </x:c>
      <x:c r="J2749" s="85" t="n">
        <x:v>11148800.000000002</x:v>
      </x:c>
      <x:c r="K2749" s="85" t="n">
        <x:v>94401.85184931508</x:v>
      </x:c>
      <x:c r="L2749" s="28" t="n">
        <x:v>44</x:v>
      </x:c>
      <x:c r="M2749" s="28" t="n">
        <x:v>21</x:v>
      </x:c>
      <x:c r="N2749" s="28" t="n">
        <x:v>4.656612873077393e-10</x:v>
      </x:c>
      <x:c r="O2749" s="28" t="n">
        <x:v>3.725290298461914e-9</x:v>
      </x:c>
      <x:c r="P2749" s="28" t="n">
        <x:v>0</x:v>
      </x:c>
      <x:c r="Q2749" s="62" t="b">
        <x:v>1</x:v>
      </x:c>
      <x:c r="R2749" s="28" t="n">
        <x:v>0</x:v>
      </x:c>
      <x:c r="S2749" s="28" t="str">
        <x:v>8ea6a20e9c628d5c</x:v>
      </x:c>
    </x:row>
    <x:row r="2750" ht="21" customHeight="1">
      <x:c r="A2750" s="60" t="n">
        <x:v>0.7</x:v>
      </x:c>
      <x:c r="B2750" s="28" t="str">
        <x:v>level_low</x:v>
      </x:c>
      <x:c r="C2750" s="60" t="n">
        <x:v>0.6</x:v>
      </x:c>
      <x:c r="D2750" s="60" t="n">
        <x:v>0.6</x:v>
      </x:c>
      <x:c r="E2750" s="62" t="b">
        <x:v>1</x:v>
      </x:c>
      <x:c r="F2750" s="62" t="b">
        <x:v>0</x:v>
      </x:c>
      <x:c r="G2750" s="85" t="n">
        <x:v>183822.64237986476</x:v>
      </x:c>
      <x:c r="H2750" s="85" t="n">
        <x:v>2290723.8230236573</x:v>
      </x:c>
      <x:c r="I2750" s="85" t="n">
        <x:v>7363706.03835617</x:v>
      </x:c>
      <x:c r="J2750" s="85" t="n">
        <x:v>11148800.000000002</x:v>
      </x:c>
      <x:c r="K2750" s="85" t="n">
        <x:v>83474.58383561626</x:v>
      </x:c>
      <x:c r="L2750" s="28" t="n">
        <x:v>44</x:v>
      </x:c>
      <x:c r="M2750" s="28" t="n">
        <x:v>30</x:v>
      </x:c>
      <x:c r="N2750" s="28" t="n">
        <x:v>4.656612873077393e-10</x:v>
      </x:c>
      <x:c r="O2750" s="28" t="n">
        <x:v>7.450580596923828e-9</x:v>
      </x:c>
      <x:c r="P2750" s="28" t="n">
        <x:v>0</x:v>
      </x:c>
      <x:c r="Q2750" s="62" t="b">
        <x:v>1</x:v>
      </x:c>
      <x:c r="R2750" s="28" t="n">
        <x:v>0</x:v>
      </x:c>
      <x:c r="S2750" s="28" t="str">
        <x:v>dd287b095542dc7f</x:v>
      </x:c>
    </x:row>
    <x:row r="2751" ht="21" customHeight="1">
      <x:c r="A2751" s="60" t="n">
        <x:v>0.7</x:v>
      </x:c>
      <x:c r="B2751" s="28" t="str">
        <x:v>level_low</x:v>
      </x:c>
      <x:c r="C2751" s="60" t="n">
        <x:v>0.65</x:v>
      </x:c>
      <x:c r="D2751" s="60" t="n">
        <x:v>0.65</x:v>
      </x:c>
      <x:c r="E2751" s="62" t="b">
        <x:v>1</x:v>
      </x:c>
      <x:c r="F2751" s="62" t="b">
        <x:v>0</x:v>
      </x:c>
      <x:c r="G2751" s="85" t="n">
        <x:v>330518.58431345574</x:v>
      </x:c>
      <x:c r="H2751" s="85" t="n">
        <x:v>4114776.7773621795</x:v>
      </x:c>
      <x:c r="I2751" s="85" t="n">
        <x:v>7532312.547945212</x:v>
      </x:c>
      <x:c r="J2751" s="85" t="n">
        <x:v>11148800.000000002</x:v>
      </x:c>
      <x:c r="K2751" s="85" t="n">
        <x:v>67697.35308219164</x:v>
      </x:c>
      <x:c r="L2751" s="28" t="n">
        <x:v>45</x:v>
      </x:c>
      <x:c r="M2751" s="28" t="n">
        <x:v>31</x:v>
      </x:c>
      <x:c r="N2751" s="28" t="n">
        <x:v>4.656612873077393e-10</x:v>
      </x:c>
      <x:c r="O2751" s="28" t="n">
        <x:v>3.725290298461914e-9</x:v>
      </x:c>
      <x:c r="P2751" s="28" t="n">
        <x:v>0</x:v>
      </x:c>
      <x:c r="Q2751" s="62" t="b">
        <x:v>1</x:v>
      </x:c>
      <x:c r="R2751" s="28" t="n">
        <x:v>0</x:v>
      </x:c>
      <x:c r="S2751" s="28" t="str">
        <x:v>a0983d66aeef1280</x:v>
      </x:c>
    </x:row>
    <x:row r="2752" ht="21" customHeight="1">
      <x:c r="A2752" s="60" t="n">
        <x:v>0.7</x:v>
      </x:c>
      <x:c r="B2752" s="28" t="str">
        <x:v>level_low</x:v>
      </x:c>
      <x:c r="C2752" s="60" t="n">
        <x:v>0.7</x:v>
      </x:c>
      <x:c r="D2752" s="60" t="n">
        <x:v>0.7</x:v>
      </x:c>
      <x:c r="E2752" s="62" t="b">
        <x:v>1</x:v>
      </x:c>
      <x:c r="F2752" s="62" t="b">
        <x:v>0</x:v>
      </x:c>
      <x:c r="G2752" s="85" t="n">
        <x:v>495554.1805939655</x:v>
      </x:c>
      <x:c r="H2752" s="85" t="n">
        <x:v>6166957.932492031</x:v>
      </x:c>
      <x:c r="I2752" s="85" t="n">
        <x:v>7532312.547945212</x:v>
      </x:c>
      <x:c r="J2752" s="85" t="n">
        <x:v>11148800.000000002</x:v>
      </x:c>
      <x:c r="K2752" s="85" t="n">
        <x:v>61113.66972602748</x:v>
      </x:c>
      <x:c r="L2752" s="28" t="n">
        <x:v>45</x:v>
      </x:c>
      <x:c r="M2752" s="28" t="n">
        <x:v>32</x:v>
      </x:c>
      <x:c r="N2752" s="28" t="n">
        <x:v>4.656612873077393e-10</x:v>
      </x:c>
      <x:c r="O2752" s="28" t="n">
        <x:v>3.725290298461914e-9</x:v>
      </x:c>
      <x:c r="P2752" s="28" t="n">
        <x:v>0</x:v>
      </x:c>
      <x:c r="Q2752" s="62" t="b">
        <x:v>1</x:v>
      </x:c>
      <x:c r="R2752" s="28" t="n">
        <x:v>0</x:v>
      </x:c>
      <x:c r="S2752" s="28" t="str">
        <x:v>8cfc95bfa0b97c5d</x:v>
      </x:c>
    </x:row>
    <x:row r="2753" ht="21" customHeight="1">
      <x:c r="A2753" s="60" t="n">
        <x:v>0.7</x:v>
      </x:c>
      <x:c r="B2753" s="28" t="str">
        <x:v>level_low</x:v>
      </x:c>
      <x:c r="C2753" s="60" t="n">
        <x:v>0.75</x:v>
      </x:c>
      <x:c r="D2753" s="60" t="n">
        <x:v>0.75</x:v>
      </x:c>
      <x:c r="E2753" s="62" t="b">
        <x:v>1</x:v>
      </x:c>
      <x:c r="F2753" s="62" t="b">
        <x:v>0</x:v>
      </x:c>
      <x:c r="G2753" s="85" t="n">
        <x:v>696569.5850586715</x:v>
      </x:c>
      <x:c r="H2753" s="85" t="n">
        <x:v>8168381.475042479</x:v>
      </x:c>
      <x:c r="I2753" s="85" t="n">
        <x:v>7532312.547945212</x:v>
      </x:c>
      <x:c r="J2753" s="85" t="n">
        <x:v>11148800.000000002</x:v>
      </x:c>
      <x:c r="K2753" s="85" t="n">
        <x:v>55562.01212328745</x:v>
      </x:c>
      <x:c r="L2753" s="28" t="n">
        <x:v>45</x:v>
      </x:c>
      <x:c r="M2753" s="28" t="n">
        <x:v>33</x:v>
      </x:c>
      <x:c r="N2753" s="28" t="n">
        <x:v>2.3283064365386963e-10</x:v>
      </x:c>
      <x:c r="O2753" s="28" t="n">
        <x:v>3.725290298461914e-9</x:v>
      </x:c>
      <x:c r="P2753" s="28" t="n">
        <x:v>0</x:v>
      </x:c>
      <x:c r="Q2753" s="62" t="b">
        <x:v>1</x:v>
      </x:c>
      <x:c r="R2753" s="28" t="n">
        <x:v>0</x:v>
      </x:c>
      <x:c r="S2753" s="28" t="str">
        <x:v>11f1b009e147df47</x:v>
      </x:c>
    </x:row>
    <x:row r="2754" ht="21" customHeight="1">
      <x:c r="A2754" s="60" t="n">
        <x:v>0.7</x:v>
      </x:c>
      <x:c r="B2754" s="28" t="str">
        <x:v>level_low</x:v>
      </x:c>
      <x:c r="C2754" s="60" t="n">
        <x:v>0.8</x:v>
      </x:c>
      <x:c r="D2754" s="60" t="n">
        <x:v>0.8</x:v>
      </x:c>
      <x:c r="E2754" s="62" t="b">
        <x:v>1</x:v>
      </x:c>
      <x:c r="F2754" s="62" t="b">
        <x:v>0</x:v>
      </x:c>
      <x:c r="G2754" s="85" t="n">
        <x:v>866488.5452409233</x:v>
      </x:c>
      <x:c r="H2754" s="85" t="n">
        <x:v>10146352.72741612</x:v>
      </x:c>
      <x:c r="I2754" s="85" t="n">
        <x:v>7532312.547945212</x:v>
      </x:c>
      <x:c r="J2754" s="85" t="n">
        <x:v>11148800.000000002</x:v>
      </x:c>
      <x:c r="K2754" s="85" t="n">
        <x:v>52171.54794520543</x:v>
      </x:c>
      <x:c r="L2754" s="28" t="n">
        <x:v>45</x:v>
      </x:c>
      <x:c r="M2754" s="28" t="n">
        <x:v>34</x:v>
      </x:c>
      <x:c r="N2754" s="28" t="n">
        <x:v>2.3283064365386963e-10</x:v>
      </x:c>
      <x:c r="O2754" s="28" t="n">
        <x:v>3.725290298461914e-9</x:v>
      </x:c>
      <x:c r="P2754" s="28" t="n">
        <x:v>0</x:v>
      </x:c>
      <x:c r="Q2754" s="62" t="b">
        <x:v>1</x:v>
      </x:c>
      <x:c r="R2754" s="28" t="n">
        <x:v>0</x:v>
      </x:c>
      <x:c r="S2754" s="28" t="str">
        <x:v>7cdeca506c6027f4</x:v>
      </x:c>
    </x:row>
    <x:row r="2755" ht="21" customHeight="1">
      <x:c r="A2755" s="60" t="n">
        <x:v>0.7</x:v>
      </x:c>
      <x:c r="B2755" s="28" t="str">
        <x:v>level_low</x:v>
      </x:c>
      <x:c r="C2755" s="60" t="n">
        <x:v>0.85</x:v>
      </x:c>
      <x:c r="D2755" s="60" t="n">
        <x:v>0.85</x:v>
      </x:c>
      <x:c r="E2755" s="62" t="b">
        <x:v>1</x:v>
      </x:c>
      <x:c r="F2755" s="62" t="b">
        <x:v>0</x:v>
      </x:c>
      <x:c r="G2755" s="85" t="n">
        <x:v>1094375.9163718598</x:v>
      </x:c>
      <x:c r="H2755" s="85" t="n">
        <x:v>11837880.331538668</x:v>
      </x:c>
      <x:c r="I2755" s="85" t="n">
        <x:v>7700919.057534252</x:v>
      </x:c>
      <x:c r="J2755" s="85" t="n">
        <x:v>11148800.000000002</x:v>
      </x:c>
      <x:c r="K2755" s="85" t="n">
        <x:v>48781.083767123404</x:v>
      </x:c>
      <x:c r="L2755" s="28" t="n">
        <x:v>46</x:v>
      </x:c>
      <x:c r="M2755" s="28" t="n">
        <x:v>35</x:v>
      </x:c>
      <x:c r="N2755" s="28" t="n">
        <x:v>4.656612873077393e-10</x:v>
      </x:c>
      <x:c r="O2755" s="28" t="n">
        <x:v>3.725290298461914e-9</x:v>
      </x:c>
      <x:c r="P2755" s="28" t="n">
        <x:v>0</x:v>
      </x:c>
      <x:c r="Q2755" s="62" t="b">
        <x:v>1</x:v>
      </x:c>
      <x:c r="R2755" s="28" t="n">
        <x:v>0</x:v>
      </x:c>
      <x:c r="S2755" s="28" t="str">
        <x:v>b5c408c7a0fdd14b</x:v>
      </x:c>
    </x:row>
    <x:row r="2756" ht="21" customHeight="1">
      <x:c r="A2756" s="60" t="n">
        <x:v>0.7</x:v>
      </x:c>
      <x:c r="B2756" s="28" t="str">
        <x:v>level_low</x:v>
      </x:c>
      <x:c r="C2756" s="60" t="n">
        <x:v>0.9</x:v>
      </x:c>
      <x:c r="D2756" s="60" t="n">
        <x:v>0.8949513562027351</x:v>
      </x:c>
      <x:c r="E2756" s="62" t="b">
        <x:v>0</x:v>
      </x:c>
      <x:c r="F2756" s="62" t="b">
        <x:v>0</x:v>
      </x:c>
      <x:c r="G2756" s="85" t="n">
        <x:v>1513894.5584204134</x:v>
      </x:c>
      <x:c r="H2756" s="85" t="n">
        <x:v>13273715.77081964</x:v>
      </x:c>
      <x:c r="I2756" s="85" t="n">
        <x:v>7700919.057534252</x:v>
      </x:c>
      <x:c r="J2756" s="85" t="n">
        <x:v>11148800.000000002</x:v>
      </x:c>
      <x:c r="K2756" s="85" t="n">
        <x:v>45390.61958904115</x:v>
      </x:c>
      <x:c r="L2756" s="28" t="n">
        <x:v>46</x:v>
      </x:c>
      <x:c r="M2756" s="28" t="n">
        <x:v>36</x:v>
      </x:c>
      <x:c r="N2756" s="28" t="n">
        <x:v>4.656612873077393e-10</x:v>
      </x:c>
      <x:c r="O2756" s="28" t="n">
        <x:v>3.725290298461914e-9</x:v>
      </x:c>
      <x:c r="P2756" s="28" t="n">
        <x:v>0</x:v>
      </x:c>
      <x:c r="Q2756" s="62" t="b">
        <x:v>1</x:v>
      </x:c>
      <x:c r="R2756" s="28" t="n">
        <x:v>281431.5998347327</x:v>
      </x:c>
      <x:c r="S2756" s="28" t="str">
        <x:v>e0003f71a17cffa1</x:v>
      </x:c>
    </x:row>
    <x:row r="2757" ht="21" customHeight="1">
      <x:c r="A2757" s="60" t="n">
        <x:v>0.7</x:v>
      </x:c>
      <x:c r="B2757" s="28" t="str">
        <x:v>level_low</x:v>
      </x:c>
      <x:c r="C2757" s="60" t="n">
        <x:v>0.95</x:v>
      </x:c>
      <x:c r="D2757" s="60" t="n">
        <x:v>0.9109811515371262</x:v>
      </x:c>
      <x:c r="E2757" s="62" t="b">
        <x:v>0</x:v>
      </x:c>
      <x:c r="F2757" s="62" t="b">
        <x:v>0</x:v>
      </x:c>
      <x:c r="G2757" s="85" t="n">
        <x:v>1599364.5974526447</x:v>
      </x:c>
      <x:c r="H2757" s="85" t="n">
        <x:v>14023110.765817469</x:v>
      </x:c>
      <x:c r="I2757" s="85" t="n">
        <x:v>7700919.057534252</x:v>
      </x:c>
      <x:c r="J2757" s="85" t="n">
        <x:v>11148800.000000002</x:v>
      </x:c>
      <x:c r="K2757" s="85" t="n">
        <x:v>42000.155410958716</x:v>
      </x:c>
      <x:c r="L2757" s="28" t="n">
        <x:v>46</x:v>
      </x:c>
      <x:c r="M2757" s="28" t="n">
        <x:v>36</x:v>
      </x:c>
      <x:c r="N2757" s="28" t="n">
        <x:v>2.3283064365386963e-10</x:v>
      </x:c>
      <x:c r="O2757" s="28" t="n">
        <x:v>3.725290298461914e-9</x:v>
      </x:c>
      <x:c r="P2757" s="28" t="n">
        <x:v>0</x:v>
      </x:c>
      <x:c r="Q2757" s="62" t="b">
        <x:v>1</x:v>
      </x:c>
      <x:c r="R2757" s="28" t="n">
        <x:v>2175066.688714437</x:v>
      </x:c>
      <x:c r="S2757" s="28" t="str">
        <x:v>9f2b51e973329026</x:v>
      </x:c>
    </x:row>
    <x:row r="2758" ht="21" customHeight="1">
      <x:c r="A2758" s="60" t="n">
        <x:v>0.7</x:v>
      </x:c>
      <x:c r="B2758" s="28" t="str">
        <x:v>level_low</x:v>
      </x:c>
      <x:c r="C2758" s="60" t="n">
        <x:v>1</x:v>
      </x:c>
      <x:c r="D2758" s="60" t="n">
        <x:v>0.9258453085724337</x:v>
      </x:c>
      <x:c r="E2758" s="62" t="b">
        <x:v>0</x:v>
      </x:c>
      <x:c r="F2758" s="62" t="b">
        <x:v>0</x:v>
      </x:c>
      <x:c r="G2758" s="85" t="n">
        <x:v>1740201.7131486041</x:v>
      </x:c>
      <x:c r="H2758" s="85" t="n">
        <x:v>14643097.155156896</x:v>
      </x:c>
      <x:c r="I2758" s="85" t="n">
        <x:v>7700919.057534252</x:v>
      </x:c>
      <x:c r="J2758" s="85" t="n">
        <x:v>11148800.000000002</x:v>
      </x:c>
      <x:c r="K2758" s="85" t="n">
        <x:v>38609.691232876576</x:v>
      </x:c>
      <x:c r="L2758" s="28" t="n">
        <x:v>46</x:v>
      </x:c>
      <x:c r="M2758" s="28" t="n">
        <x:v>37</x:v>
      </x:c>
      <x:c r="N2758" s="28" t="n">
        <x:v>2.3283064365386963e-10</x:v>
      </x:c>
      <x:c r="O2758" s="28" t="n">
        <x:v>1.862645149230957e-9</x:v>
      </x:c>
      <x:c r="P2758" s="28" t="n">
        <x:v>0</x:v>
      </x:c>
      <x:c r="Q2758" s="62" t="b">
        <x:v>1</x:v>
      </x:c>
      <x:c r="R2758" s="28" t="n">
        <x:v>4133679.1189382523</x:v>
      </x:c>
      <x:c r="S2758" s="28" t="str">
        <x:v>cfe23e7806cc7a37</x:v>
      </x:c>
    </x:row>
    <x:row r="2759" ht="21" customHeight="1">
      <x:c r="A2759" s="60" t="n">
        <x:v>0.7</x:v>
      </x:c>
      <x:c r="B2759" s="28" t="str">
        <x:v>level_high</x:v>
      </x:c>
      <x:c r="C2759" s="60" t="n">
        <x:v>0</x:v>
      </x:c>
      <x:c r="D2759" s="60" t="n">
        <x:v>0</x:v>
      </x:c>
      <x:c r="E2759" s="62" t="b">
        <x:v>1</x:v>
      </x:c>
      <x:c r="F2759" s="62" t="b">
        <x:v>1</x:v>
      </x:c>
      <x:c r="G2759" s="85" t="n">
        <x:v>0</x:v>
      </x:c>
      <x:c r="H2759" s="85" t="n">
        <x:v>0</x:v>
      </x:c>
      <x:c r="I2759" s="85" t="n">
        <x:v>0</x:v>
      </x:c>
      <x:c r="J2759" s="85" t="n">
        <x:v>0</x:v>
      </x:c>
      <x:c r="K2759" s="85" t="n">
        <x:v>7833422.349589038</x:v>
      </x:c>
      <x:c r="L2759" s="28" t="n">
        <x:v>0</x:v>
      </x:c>
      <x:c r="M2759" s="28" t="n">
        <x:v>0</x:v>
      </x:c>
      <x:c r="N2759" s="28" t="n">
        <x:v>4.656612873077393e-10</x:v>
      </x:c>
      <x:c r="O2759" s="28" t="n">
        <x:v>0</x:v>
      </x:c>
      <x:c r="P2759" s="28" t="n">
        <x:v>0</x:v>
      </x:c>
      <x:c r="Q2759" s="62" t="b">
        <x:v>1</x:v>
      </x:c>
      <x:c r="R2759" s="28" t="n">
        <x:v>0</x:v>
      </x:c>
      <x:c r="S2759" s="28" t="str">
        <x:v>34b774acbe925a1e</x:v>
      </x:c>
    </x:row>
    <x:row r="2760" ht="21" customHeight="1">
      <x:c r="A2760" s="60" t="n">
        <x:v>0.7</x:v>
      </x:c>
      <x:c r="B2760" s="28" t="str">
        <x:v>level_high</x:v>
      </x:c>
      <x:c r="C2760" s="60" t="n">
        <x:v>0.05</x:v>
      </x:c>
      <x:c r="D2760" s="60" t="n">
        <x:v>0.05</x:v>
      </x:c>
      <x:c r="E2760" s="62" t="b">
        <x:v>1</x:v>
      </x:c>
      <x:c r="F2760" s="62" t="b">
        <x:v>1</x:v>
      </x:c>
      <x:c r="G2760" s="85" t="n">
        <x:v>0</x:v>
      </x:c>
      <x:c r="H2760" s="85" t="n">
        <x:v>0</x:v>
      </x:c>
      <x:c r="I2760" s="85" t="n">
        <x:v>0</x:v>
      </x:c>
      <x:c r="J2760" s="85" t="n">
        <x:v>0</x:v>
      </x:c>
      <x:c r="K2760" s="85" t="n">
        <x:v>5341862.78660353</x:v>
      </x:c>
      <x:c r="L2760" s="28" t="n">
        <x:v>0</x:v>
      </x:c>
      <x:c r="M2760" s="28" t="n">
        <x:v>0</x:v>
      </x:c>
      <x:c r="N2760" s="28" t="n">
        <x:v>4.656612873077393e-10</x:v>
      </x:c>
      <x:c r="O2760" s="28" t="n">
        <x:v>7.450580596923828e-9</x:v>
      </x:c>
      <x:c r="P2760" s="28" t="n">
        <x:v>0</x:v>
      </x:c>
      <x:c r="Q2760" s="62" t="b">
        <x:v>1</x:v>
      </x:c>
      <x:c r="R2760" s="28" t="n">
        <x:v>0</x:v>
      </x:c>
      <x:c r="S2760" s="28" t="str">
        <x:v>132e442699cc7955</x:v>
      </x:c>
    </x:row>
    <x:row r="2761" ht="21" customHeight="1">
      <x:c r="A2761" s="60" t="n">
        <x:v>0.7</x:v>
      </x:c>
      <x:c r="B2761" s="28" t="str">
        <x:v>level_high</x:v>
      </x:c>
      <x:c r="C2761" s="60" t="n">
        <x:v>0.1</x:v>
      </x:c>
      <x:c r="D2761" s="60" t="n">
        <x:v>0.1</x:v>
      </x:c>
      <x:c r="E2761" s="62" t="b">
        <x:v>1</x:v>
      </x:c>
      <x:c r="F2761" s="62" t="b">
        <x:v>1</x:v>
      </x:c>
      <x:c r="G2761" s="85" t="n">
        <x:v>0</x:v>
      </x:c>
      <x:c r="H2761" s="85" t="n">
        <x:v>0</x:v>
      </x:c>
      <x:c r="I2761" s="85" t="n">
        <x:v>0</x:v>
      </x:c>
      <x:c r="J2761" s="85" t="n">
        <x:v>0</x:v>
      </x:c>
      <x:c r="K2761" s="85" t="n">
        <x:v>2850148.326623978</x:v>
      </x:c>
      <x:c r="L2761" s="28" t="n">
        <x:v>0</x:v>
      </x:c>
      <x:c r="M2761" s="28" t="n">
        <x:v>0</x:v>
      </x:c>
      <x:c r="N2761" s="28" t="n">
        <x:v>4.656612873077393e-10</x:v>
      </x:c>
      <x:c r="O2761" s="28" t="n">
        <x:v>7.450580596923828e-9</x:v>
      </x:c>
      <x:c r="P2761" s="28" t="n">
        <x:v>0</x:v>
      </x:c>
      <x:c r="Q2761" s="62" t="b">
        <x:v>1</x:v>
      </x:c>
      <x:c r="R2761" s="28" t="n">
        <x:v>0</x:v>
      </x:c>
      <x:c r="S2761" s="28" t="str">
        <x:v>85c3521fb97776a5</x:v>
      </x:c>
    </x:row>
    <x:row r="2762" ht="21" customHeight="1">
      <x:c r="A2762" s="60" t="n">
        <x:v>0.7</x:v>
      </x:c>
      <x:c r="B2762" s="28" t="str">
        <x:v>level_high</x:v>
      </x:c>
      <x:c r="C2762" s="60" t="n">
        <x:v>0.15</x:v>
      </x:c>
      <x:c r="D2762" s="60" t="n">
        <x:v>0.15</x:v>
      </x:c>
      <x:c r="E2762" s="62" t="b">
        <x:v>1</x:v>
      </x:c>
      <x:c r="F2762" s="62" t="b">
        <x:v>1</x:v>
      </x:c>
      <x:c r="G2762" s="85" t="n">
        <x:v>0</x:v>
      </x:c>
      <x:c r="H2762" s="85" t="n">
        <x:v>0</x:v>
      </x:c>
      <x:c r="I2762" s="85" t="n">
        <x:v>426777.2805962951</x:v>
      </x:c>
      <x:c r="J2762" s="85" t="n">
        <x:v>0</x:v>
      </x:c>
      <x:c r="K2762" s="85" t="n">
        <x:v>808684.6610444433</x:v>
      </x:c>
      <x:c r="L2762" s="28" t="n">
        <x:v>0</x:v>
      </x:c>
      <x:c r="M2762" s="28" t="n">
        <x:v>0</x:v>
      </x:c>
      <x:c r="N2762" s="28" t="n">
        <x:v>4.656612873077393e-10</x:v>
      </x:c>
      <x:c r="O2762" s="28" t="n">
        <x:v>7.450580596923828e-9</x:v>
      </x:c>
      <x:c r="P2762" s="28" t="n">
        <x:v>0</x:v>
      </x:c>
      <x:c r="Q2762" s="62" t="b">
        <x:v>1</x:v>
      </x:c>
      <x:c r="R2762" s="28" t="n">
        <x:v>0</x:v>
      </x:c>
      <x:c r="S2762" s="28" t="str">
        <x:v>1219d9be8ebaf450</x:v>
      </x:c>
    </x:row>
    <x:row r="2763" ht="21" customHeight="1">
      <x:c r="A2763" s="60" t="n">
        <x:v>0.7</x:v>
      </x:c>
      <x:c r="B2763" s="28" t="str">
        <x:v>level_high</x:v>
      </x:c>
      <x:c r="C2763" s="60" t="n">
        <x:v>0.2</x:v>
      </x:c>
      <x:c r="D2763" s="60" t="n">
        <x:v>0.2</x:v>
      </x:c>
      <x:c r="E2763" s="62" t="b">
        <x:v>1</x:v>
      </x:c>
      <x:c r="F2763" s="62" t="b">
        <x:v>1</x:v>
      </x:c>
      <x:c r="G2763" s="85" t="n">
        <x:v>0</x:v>
      </x:c>
      <x:c r="H2763" s="85" t="n">
        <x:v>0</x:v>
      </x:c>
      <x:c r="I2763" s="85" t="n">
        <x:v>2218643.7874528836</x:v>
      </x:c>
      <x:c r="J2763" s="85" t="n">
        <x:v>1248509.6821693014</x:v>
      </x:c>
      <x:c r="K2763" s="85" t="n">
        <x:v>605513.8219895537</x:v>
      </x:c>
      <x:c r="L2763" s="28" t="n">
        <x:v>0</x:v>
      </x:c>
      <x:c r="M2763" s="28" t="n">
        <x:v>0</x:v>
      </x:c>
      <x:c r="N2763" s="28" t="n">
        <x:v>9.313225746154785e-10</x:v>
      </x:c>
      <x:c r="O2763" s="28" t="n">
        <x:v>7.450580596923828e-9</x:v>
      </x:c>
      <x:c r="P2763" s="28" t="n">
        <x:v>0</x:v>
      </x:c>
      <x:c r="Q2763" s="62" t="b">
        <x:v>1</x:v>
      </x:c>
      <x:c r="R2763" s="28" t="n">
        <x:v>0</x:v>
      </x:c>
      <x:c r="S2763" s="28" t="str">
        <x:v>58690435d2c89442</x:v>
      </x:c>
    </x:row>
    <x:row r="2764" ht="21" customHeight="1">
      <x:c r="A2764" s="60" t="n">
        <x:v>0.7</x:v>
      </x:c>
      <x:c r="B2764" s="28" t="str">
        <x:v>level_high</x:v>
      </x:c>
      <x:c r="C2764" s="60" t="n">
        <x:v>0.25</x:v>
      </x:c>
      <x:c r="D2764" s="60" t="n">
        <x:v>0.25</x:v>
      </x:c>
      <x:c r="E2764" s="62" t="b">
        <x:v>1</x:v>
      </x:c>
      <x:c r="F2764" s="62" t="b">
        <x:v>1</x:v>
      </x:c>
      <x:c r="G2764" s="85" t="n">
        <x:v>0</x:v>
      </x:c>
      <x:c r="H2764" s="85" t="n">
        <x:v>0</x:v>
      </x:c>
      <x:c r="I2764" s="85" t="n">
        <x:v>3796992.5005212934</x:v>
      </x:c>
      <x:c r="J2764" s="85" t="n">
        <x:v>2954237.1027116273</x:v>
      </x:c>
      <x:c r="K2764" s="85" t="n">
        <x:v>471481.1291116433</x:v>
      </x:c>
      <x:c r="L2764" s="28" t="n">
        <x:v>0</x:v>
      </x:c>
      <x:c r="M2764" s="28" t="n">
        <x:v>0</x:v>
      </x:c>
      <x:c r="N2764" s="28" t="n">
        <x:v>4.656612873077393e-10</x:v>
      </x:c>
      <x:c r="O2764" s="28" t="n">
        <x:v>7.450580596923828e-9</x:v>
      </x:c>
      <x:c r="P2764" s="28" t="n">
        <x:v>0</x:v>
      </x:c>
      <x:c r="Q2764" s="62" t="b">
        <x:v>1</x:v>
      </x:c>
      <x:c r="R2764" s="28" t="n">
        <x:v>0</x:v>
      </x:c>
      <x:c r="S2764" s="28" t="str">
        <x:v>c5c056adcd08b84d</x:v>
      </x:c>
    </x:row>
    <x:row r="2765" ht="21" customHeight="1">
      <x:c r="A2765" s="60" t="n">
        <x:v>0.7</x:v>
      </x:c>
      <x:c r="B2765" s="28" t="str">
        <x:v>level_high</x:v>
      </x:c>
      <x:c r="C2765" s="60" t="n">
        <x:v>0.3</x:v>
      </x:c>
      <x:c r="D2765" s="60" t="n">
        <x:v>0.3</x:v>
      </x:c>
      <x:c r="E2765" s="62" t="b">
        <x:v>1</x:v>
      </x:c>
      <x:c r="F2765" s="62" t="b">
        <x:v>1</x:v>
      </x:c>
      <x:c r="G2765" s="85" t="n">
        <x:v>0</x:v>
      </x:c>
      <x:c r="H2765" s="85" t="n">
        <x:v>0</x:v>
      </x:c>
      <x:c r="I2765" s="85" t="n">
        <x:v>5462133.221366446</x:v>
      </x:c>
      <x:c r="J2765" s="85" t="n">
        <x:v>4443073.121114024</x:v>
      </x:c>
      <x:c r="K2765" s="85" t="n">
        <x:v>370893.2355915085</x:v>
      </x:c>
      <x:c r="L2765" s="28" t="n">
        <x:v>1</x:v>
      </x:c>
      <x:c r="M2765" s="28" t="n">
        <x:v>0</x:v>
      </x:c>
      <x:c r="N2765" s="28" t="n">
        <x:v>4.656612873077393e-10</x:v>
      </x:c>
      <x:c r="O2765" s="28" t="n">
        <x:v>7.450580596923828e-9</x:v>
      </x:c>
      <x:c r="P2765" s="28" t="n">
        <x:v>0</x:v>
      </x:c>
      <x:c r="Q2765" s="62" t="b">
        <x:v>1</x:v>
      </x:c>
      <x:c r="R2765" s="28" t="n">
        <x:v>0</x:v>
      </x:c>
      <x:c r="S2765" s="28" t="str">
        <x:v>a0a2ace77f861145</x:v>
      </x:c>
    </x:row>
    <x:row r="2766" ht="21" customHeight="1">
      <x:c r="A2766" s="60" t="n">
        <x:v>0.7</x:v>
      </x:c>
      <x:c r="B2766" s="28" t="str">
        <x:v>level_high</x:v>
      </x:c>
      <x:c r="C2766" s="60" t="n">
        <x:v>0.35</x:v>
      </x:c>
      <x:c r="D2766" s="60" t="n">
        <x:v>0.35</x:v>
      </x:c>
      <x:c r="E2766" s="62" t="b">
        <x:v>1</x:v>
      </x:c>
      <x:c r="F2766" s="62" t="b">
        <x:v>1</x:v>
      </x:c>
      <x:c r="G2766" s="85" t="n">
        <x:v>0</x:v>
      </x:c>
      <x:c r="H2766" s="85" t="n">
        <x:v>0</x:v>
      </x:c>
      <x:c r="I2766" s="85" t="n">
        <x:v>7260013.51506598</x:v>
      </x:c>
      <x:c r="J2766" s="85" t="n">
        <x:v>5080074.092770885</x:v>
      </x:c>
      <x:c r="K2766" s="85" t="n">
        <x:v>300475.8995152058</x:v>
      </x:c>
      <x:c r="L2766" s="28" t="n">
        <x:v>6</x:v>
      </x:c>
      <x:c r="M2766" s="28" t="n">
        <x:v>0</x:v>
      </x:c>
      <x:c r="N2766" s="28" t="n">
        <x:v>4.656612873077393e-10</x:v>
      </x:c>
      <x:c r="O2766" s="28" t="n">
        <x:v>7.450580596923828e-9</x:v>
      </x:c>
      <x:c r="P2766" s="28" t="n">
        <x:v>0</x:v>
      </x:c>
      <x:c r="Q2766" s="62" t="b">
        <x:v>1</x:v>
      </x:c>
      <x:c r="R2766" s="28" t="n">
        <x:v>0</x:v>
      </x:c>
      <x:c r="S2766" s="28" t="str">
        <x:v>9528ee2e9e246a3c</x:v>
      </x:c>
    </x:row>
    <x:row r="2767" ht="21" customHeight="1">
      <x:c r="A2767" s="60" t="n">
        <x:v>0.7</x:v>
      </x:c>
      <x:c r="B2767" s="28" t="str">
        <x:v>level_high</x:v>
      </x:c>
      <x:c r="C2767" s="60" t="n">
        <x:v>0.4</x:v>
      </x:c>
      <x:c r="D2767" s="60" t="n">
        <x:v>0.4</x:v>
      </x:c>
      <x:c r="E2767" s="62" t="b">
        <x:v>1</x:v>
      </x:c>
      <x:c r="F2767" s="62" t="b">
        <x:v>1</x:v>
      </x:c>
      <x:c r="G2767" s="85" t="n">
        <x:v>0</x:v>
      </x:c>
      <x:c r="H2767" s="85" t="n">
        <x:v>0</x:v>
      </x:c>
      <x:c r="I2767" s="85" t="n">
        <x:v>9062863.819832888</x:v>
      </x:c>
      <x:c r="J2767" s="85" t="n">
        <x:v>5831482.5057792</x:v>
      </x:c>
      <x:c r="K2767" s="85" t="n">
        <x:v>246980.81643835636</x:v>
      </x:c>
      <x:c r="L2767" s="28" t="n">
        <x:v>12</x:v>
      </x:c>
      <x:c r="M2767" s="28" t="n">
        <x:v>0</x:v>
      </x:c>
      <x:c r="N2767" s="28" t="n">
        <x:v>2.3283064365386963e-10</x:v>
      </x:c>
      <x:c r="O2767" s="28" t="n">
        <x:v>7.450580596923828e-9</x:v>
      </x:c>
      <x:c r="P2767" s="28" t="n">
        <x:v>0</x:v>
      </x:c>
      <x:c r="Q2767" s="62" t="b">
        <x:v>1</x:v>
      </x:c>
      <x:c r="R2767" s="28" t="n">
        <x:v>0</x:v>
      </x:c>
      <x:c r="S2767" s="28" t="str">
        <x:v>400df65aa2f7b391</x:v>
      </x:c>
    </x:row>
    <x:row r="2768" ht="21" customHeight="1">
      <x:c r="A2768" s="60" t="n">
        <x:v>0.7</x:v>
      </x:c>
      <x:c r="B2768" s="28" t="str">
        <x:v>level_high</x:v>
      </x:c>
      <x:c r="C2768" s="60" t="n">
        <x:v>0.45</x:v>
      </x:c>
      <x:c r="D2768" s="60" t="n">
        <x:v>0.45</x:v>
      </x:c>
      <x:c r="E2768" s="62" t="b">
        <x:v>1</x:v>
      </x:c>
      <x:c r="F2768" s="62" t="b">
        <x:v>1</x:v>
      </x:c>
      <x:c r="G2768" s="85" t="n">
        <x:v>0</x:v>
      </x:c>
      <x:c r="H2768" s="85" t="n">
        <x:v>0</x:v>
      </x:c>
      <x:c r="I2768" s="85" t="n">
        <x:v>10730249.172175921</x:v>
      </x:c>
      <x:c r="J2768" s="85" t="n">
        <x:v>7167063.582443498</x:v>
      </x:c>
      <x:c r="K2768" s="85" t="n">
        <x:v>217035.44349315084</x:v>
      </x:c>
      <x:c r="L2768" s="28" t="n">
        <x:v>15</x:v>
      </x:c>
      <x:c r="M2768" s="28" t="n">
        <x:v>1</x:v>
      </x:c>
      <x:c r="N2768" s="28" t="n">
        <x:v>4.656612873077393e-10</x:v>
      </x:c>
      <x:c r="O2768" s="28" t="n">
        <x:v>3.725290298461914e-9</x:v>
      </x:c>
      <x:c r="P2768" s="28" t="n">
        <x:v>0</x:v>
      </x:c>
      <x:c r="Q2768" s="62" t="b">
        <x:v>1</x:v>
      </x:c>
      <x:c r="R2768" s="28" t="n">
        <x:v>0</x:v>
      </x:c>
      <x:c r="S2768" s="28" t="str">
        <x:v>e9a0386bddda64f2</x:v>
      </x:c>
    </x:row>
    <x:row r="2769" ht="21" customHeight="1">
      <x:c r="A2769" s="60" t="n">
        <x:v>0.7</x:v>
      </x:c>
      <x:c r="B2769" s="28" t="str">
        <x:v>level_high</x:v>
      </x:c>
      <x:c r="C2769" s="60" t="n">
        <x:v>0.5</x:v>
      </x:c>
      <x:c r="D2769" s="60" t="n">
        <x:v>0.5</x:v>
      </x:c>
      <x:c r="E2769" s="62" t="b">
        <x:v>1</x:v>
      </x:c>
      <x:c r="F2769" s="62" t="b">
        <x:v>1</x:v>
      </x:c>
      <x:c r="G2769" s="85" t="n">
        <x:v>0</x:v>
      </x:c>
      <x:c r="H2769" s="85" t="n">
        <x:v>0</x:v>
      </x:c>
      <x:c r="I2769" s="85" t="n">
        <x:v>12391934.564294573</x:v>
      </x:c>
      <x:c r="J2769" s="85" t="n">
        <x:v>8887303.106764263</x:v>
      </x:c>
      <x:c r="K2769" s="85" t="n">
        <x:v>187090.0705479448</x:v>
      </x:c>
      <x:c r="L2769" s="28" t="n">
        <x:v>19</x:v>
      </x:c>
      <x:c r="M2769" s="28" t="n">
        <x:v>6</x:v>
      </x:c>
      <x:c r="N2769" s="28" t="n">
        <x:v>4.656612873077393e-10</x:v>
      </x:c>
      <x:c r="O2769" s="28" t="n">
        <x:v>3.725290298461914e-9</x:v>
      </x:c>
      <x:c r="P2769" s="28" t="n">
        <x:v>0</x:v>
      </x:c>
      <x:c r="Q2769" s="62" t="b">
        <x:v>1</x:v>
      </x:c>
      <x:c r="R2769" s="28" t="n">
        <x:v>0</x:v>
      </x:c>
      <x:c r="S2769" s="28" t="str">
        <x:v>77f136ba0554f9de</x:v>
      </x:c>
    </x:row>
    <x:row r="2770" ht="21" customHeight="1">
      <x:c r="A2770" s="60" t="n">
        <x:v>0.7</x:v>
      </x:c>
      <x:c r="B2770" s="28" t="str">
        <x:v>level_high</x:v>
      </x:c>
      <x:c r="C2770" s="60" t="n">
        <x:v>0.55</x:v>
      </x:c>
      <x:c r="D2770" s="60" t="n">
        <x:v>0.55</x:v>
      </x:c>
      <x:c r="E2770" s="62" t="b">
        <x:v>1</x:v>
      </x:c>
      <x:c r="F2770" s="62" t="b">
        <x:v>1</x:v>
      </x:c>
      <x:c r="G2770" s="85" t="n">
        <x:v>0</x:v>
      </x:c>
      <x:c r="H2770" s="85" t="n">
        <x:v>0</x:v>
      </x:c>
      <x:c r="I2770" s="85" t="n">
        <x:v>13961898.40242744</x:v>
      </x:c>
      <x:c r="J2770" s="85" t="n">
        <x:v>10850465.161511205</x:v>
      </x:c>
      <x:c r="K2770" s="85" t="n">
        <x:v>159108.3556849311</x:v>
      </x:c>
      <x:c r="L2770" s="28" t="n">
        <x:v>24</x:v>
      </x:c>
      <x:c r="M2770" s="28" t="n">
        <x:v>15</x:v>
      </x:c>
      <x:c r="N2770" s="28" t="n">
        <x:v>4.656612873077393e-10</x:v>
      </x:c>
      <x:c r="O2770" s="28" t="n">
        <x:v>3.725290298461914e-9</x:v>
      </x:c>
      <x:c r="P2770" s="28" t="n">
        <x:v>0</x:v>
      </x:c>
      <x:c r="Q2770" s="62" t="b">
        <x:v>1</x:v>
      </x:c>
      <x:c r="R2770" s="28" t="n">
        <x:v>0</x:v>
      </x:c>
      <x:c r="S2770" s="28" t="str">
        <x:v>2b0fd9449939d6d8</x:v>
      </x:c>
    </x:row>
    <x:row r="2771" ht="21" customHeight="1">
      <x:c r="A2771" s="60" t="n">
        <x:v>0.7</x:v>
      </x:c>
      <x:c r="B2771" s="28" t="str">
        <x:v>level_high</x:v>
      </x:c>
      <x:c r="C2771" s="60" t="n">
        <x:v>0.6</x:v>
      </x:c>
      <x:c r="D2771" s="60" t="n">
        <x:v>0.6</x:v>
      </x:c>
      <x:c r="E2771" s="62" t="b">
        <x:v>1</x:v>
      </x:c>
      <x:c r="F2771" s="62" t="b">
        <x:v>0</x:v>
      </x:c>
      <x:c r="G2771" s="85" t="n">
        <x:v>808426.9343293328</x:v>
      </x:c>
      <x:c r="H2771" s="85" t="n">
        <x:v>2599136.2153058606</x:v>
      </x:c>
      <x:c r="I2771" s="85" t="n">
        <x:v>14113769.906849323</x:v>
      </x:c>
      <x:c r="J2771" s="85" t="n">
        <x:v>11148800.000000002</x:v>
      </x:c>
      <x:c r="K2771" s="85" t="n">
        <x:v>141147.0287671239</x:v>
      </x:c>
      <x:c r="L2771" s="28" t="n">
        <x:v>44</x:v>
      </x:c>
      <x:c r="M2771" s="28" t="n">
        <x:v>36</x:v>
      </x:c>
      <x:c r="N2771" s="28" t="n">
        <x:v>4.656612873077393e-10</x:v>
      </x:c>
      <x:c r="O2771" s="28" t="n">
        <x:v>7.450580596923828e-9</x:v>
      </x:c>
      <x:c r="P2771" s="28" t="n">
        <x:v>0</x:v>
      </x:c>
      <x:c r="Q2771" s="62" t="b">
        <x:v>1</x:v>
      </x:c>
      <x:c r="R2771" s="28" t="n">
        <x:v>0</x:v>
      </x:c>
      <x:c r="S2771" s="28" t="str">
        <x:v>70f813ee98f3f385</x:v>
      </x:c>
    </x:row>
    <x:row r="2772" ht="21" customHeight="1">
      <x:c r="A2772" s="60" t="n">
        <x:v>0.7</x:v>
      </x:c>
      <x:c r="B2772" s="28" t="str">
        <x:v>level_high</x:v>
      </x:c>
      <x:c r="C2772" s="60" t="n">
        <x:v>0.65</x:v>
      </x:c>
      <x:c r="D2772" s="60" t="n">
        <x:v>0.65</x:v>
      </x:c>
      <x:c r="E2772" s="62" t="b">
        <x:v>1</x:v>
      </x:c>
      <x:c r="F2772" s="62" t="b">
        <x:v>0</x:v>
      </x:c>
      <x:c r="G2772" s="85" t="n">
        <x:v>1591620.9473665701</x:v>
      </x:c>
      <x:c r="H2772" s="85" t="n">
        <x:v>4809556.222297719</x:v>
      </x:c>
      <x:c r="I2772" s="85" t="n">
        <x:v>14436932.383561652</x:v>
      </x:c>
      <x:c r="J2772" s="85" t="n">
        <x:v>11148800.000000002</x:v>
      </x:c>
      <x:c r="K2772" s="85" t="n">
        <x:v>123781.50267123278</x:v>
      </x:c>
      <x:c r="L2772" s="28" t="n">
        <x:v>45</x:v>
      </x:c>
      <x:c r="M2772" s="28" t="n">
        <x:v>36</x:v>
      </x:c>
      <x:c r="N2772" s="28" t="n">
        <x:v>4.656612873077393e-10</x:v>
      </x:c>
      <x:c r="O2772" s="28" t="n">
        <x:v>3.725290298461914e-9</x:v>
      </x:c>
      <x:c r="P2772" s="28" t="n">
        <x:v>0</x:v>
      </x:c>
      <x:c r="Q2772" s="62" t="b">
        <x:v>1</x:v>
      </x:c>
      <x:c r="R2772" s="28" t="n">
        <x:v>0</x:v>
      </x:c>
      <x:c r="S2772" s="28" t="str">
        <x:v>b45bcec2bf991b24</x:v>
      </x:c>
    </x:row>
    <x:row r="2773" ht="21" customHeight="1">
      <x:c r="A2773" s="60" t="n">
        <x:v>0.7</x:v>
      </x:c>
      <x:c r="B2773" s="28" t="str">
        <x:v>level_high</x:v>
      </x:c>
      <x:c r="C2773" s="60" t="n">
        <x:v>0.7</x:v>
      </x:c>
      <x:c r="D2773" s="60" t="n">
        <x:v>0.7</x:v>
      </x:c>
      <x:c r="E2773" s="62" t="b">
        <x:v>1</x:v>
      </x:c>
      <x:c r="F2773" s="62" t="b">
        <x:v>0</x:v>
      </x:c>
      <x:c r="G2773" s="85" t="n">
        <x:v>2508843.8161685066</x:v>
      </x:c>
      <x:c r="H2773" s="85" t="n">
        <x:v>7515645.428333008</x:v>
      </x:c>
      <x:c r="I2773" s="85" t="n">
        <x:v>14436932.383561652</x:v>
      </x:c>
      <x:c r="J2773" s="85" t="n">
        <x:v>11148800.000000002</x:v>
      </x:c>
      <x:c r="K2773" s="85" t="n">
        <x:v>114743.74095890412</x:v>
      </x:c>
      <x:c r="L2773" s="28" t="n">
        <x:v>45</x:v>
      </x:c>
      <x:c r="M2773" s="28" t="n">
        <x:v>38</x:v>
      </x:c>
      <x:c r="N2773" s="28" t="n">
        <x:v>4.656612873077393e-10</x:v>
      </x:c>
      <x:c r="O2773" s="28" t="n">
        <x:v>3.725290298461914e-9</x:v>
      </x:c>
      <x:c r="P2773" s="28" t="n">
        <x:v>0</x:v>
      </x:c>
      <x:c r="Q2773" s="62" t="b">
        <x:v>1</x:v>
      </x:c>
      <x:c r="R2773" s="28" t="n">
        <x:v>0</x:v>
      </x:c>
      <x:c r="S2773" s="28" t="str">
        <x:v>0e6eaeb25d2f5d88</x:v>
      </x:c>
    </x:row>
    <x:row r="2774" ht="21" customHeight="1">
      <x:c r="A2774" s="60" t="n">
        <x:v>0.7</x:v>
      </x:c>
      <x:c r="B2774" s="28" t="str">
        <x:v>level_high</x:v>
      </x:c>
      <x:c r="C2774" s="60" t="n">
        <x:v>0.75</x:v>
      </x:c>
      <x:c r="D2774" s="60" t="n">
        <x:v>0.75</x:v>
      </x:c>
      <x:c r="E2774" s="62" t="b">
        <x:v>1</x:v>
      </x:c>
      <x:c r="F2774" s="62" t="b">
        <x:v>0</x:v>
      </x:c>
      <x:c r="G2774" s="85" t="n">
        <x:v>3592777.1776467897</x:v>
      </x:c>
      <x:c r="H2774" s="85" t="n">
        <x:v>9994485.191768488</x:v>
      </x:c>
      <x:c r="I2774" s="85" t="n">
        <x:v>14436932.383561652</x:v>
      </x:c>
      <x:c r="J2774" s="85" t="n">
        <x:v>11148800.000000002</x:v>
      </x:c>
      <x:c r="K2774" s="85" t="n">
        <x:v>105705.979246575</x:v>
      </x:c>
      <x:c r="L2774" s="28" t="n">
        <x:v>45</x:v>
      </x:c>
      <x:c r="M2774" s="28" t="n">
        <x:v>40</x:v>
      </x:c>
      <x:c r="N2774" s="28" t="n">
        <x:v>4.656612873077393e-10</x:v>
      </x:c>
      <x:c r="O2774" s="28" t="n">
        <x:v>3.725290298461914e-9</x:v>
      </x:c>
      <x:c r="P2774" s="28" t="n">
        <x:v>0</x:v>
      </x:c>
      <x:c r="Q2774" s="62" t="b">
        <x:v>1</x:v>
      </x:c>
      <x:c r="R2774" s="28" t="n">
        <x:v>0</x:v>
      </x:c>
      <x:c r="S2774" s="28" t="str">
        <x:v>7ac3803c9ab055a8</x:v>
      </x:c>
    </x:row>
    <x:row r="2775" ht="21" customHeight="1">
      <x:c r="A2775" s="60" t="n">
        <x:v>0.7</x:v>
      </x:c>
      <x:c r="B2775" s="28" t="str">
        <x:v>level_high</x:v>
      </x:c>
      <x:c r="C2775" s="60" t="n">
        <x:v>0.8</x:v>
      </x:c>
      <x:c r="D2775" s="60" t="n">
        <x:v>0.8</x:v>
      </x:c>
      <x:c r="E2775" s="62" t="b">
        <x:v>1</x:v>
      </x:c>
      <x:c r="F2775" s="62" t="b">
        <x:v>0</x:v>
      </x:c>
      <x:c r="G2775" s="85" t="n">
        <x:v>4639708.9079949865</x:v>
      </x:c>
      <x:c r="H2775" s="85" t="n">
        <x:v>12464015.84324444</x:v>
      </x:c>
      <x:c r="I2775" s="85" t="n">
        <x:v>14444909.13139727</x:v>
      </x:c>
      <x:c r="J2775" s="85" t="n">
        <x:v>11148800.000000002</x:v>
      </x:c>
      <x:c r="K2775" s="85" t="n">
        <x:v>96668.21753424728</x:v>
      </x:c>
      <x:c r="L2775" s="28" t="n">
        <x:v>45</x:v>
      </x:c>
      <x:c r="M2775" s="28" t="n">
        <x:v>40</x:v>
      </x:c>
      <x:c r="N2775" s="28" t="n">
        <x:v>4.656612873077393e-10</x:v>
      </x:c>
      <x:c r="O2775" s="28" t="n">
        <x:v>3.725290298461914e-9</x:v>
      </x:c>
      <x:c r="P2775" s="28" t="n">
        <x:v>0</x:v>
      </x:c>
      <x:c r="Q2775" s="62" t="b">
        <x:v>1</x:v>
      </x:c>
      <x:c r="R2775" s="28" t="n">
        <x:v>0</x:v>
      </x:c>
      <x:c r="S2775" s="28" t="str">
        <x:v>c36938beba7836f5</x:v>
      </x:c>
    </x:row>
    <x:row r="2776" ht="21" customHeight="1">
      <x:c r="A2776" s="60" t="n">
        <x:v>0.7</x:v>
      </x:c>
      <x:c r="B2776" s="28" t="str">
        <x:v>level_high</x:v>
      </x:c>
      <x:c r="C2776" s="60" t="n">
        <x:v>0.85</x:v>
      </x:c>
      <x:c r="D2776" s="60" t="n">
        <x:v>0.85</x:v>
      </x:c>
      <x:c r="E2776" s="62" t="b">
        <x:v>1</x:v>
      </x:c>
      <x:c r="F2776" s="62" t="b">
        <x:v>0</x:v>
      </x:c>
      <x:c r="G2776" s="85" t="n">
        <x:v>5866758.07376245</x:v>
      </x:c>
      <x:c r="H2776" s="85" t="n">
        <x:v>14227038.205979256</x:v>
      </x:c>
      <x:c r="I2776" s="85" t="n">
        <x:v>14760094.860273981</x:v>
      </x:c>
      <x:c r="J2776" s="85" t="n">
        <x:v>11148800.000000002</x:v>
      </x:c>
      <x:c r="K2776" s="85" t="n">
        <x:v>87630.45582191792</x:v>
      </x:c>
      <x:c r="L2776" s="28" t="n">
        <x:v>46</x:v>
      </x:c>
      <x:c r="M2776" s="28" t="n">
        <x:v>40</x:v>
      </x:c>
      <x:c r="N2776" s="28" t="n">
        <x:v>4.656612873077393e-10</x:v>
      </x:c>
      <x:c r="O2776" s="28" t="n">
        <x:v>3.725290298461914e-9</x:v>
      </x:c>
      <x:c r="P2776" s="28" t="n">
        <x:v>0</x:v>
      </x:c>
      <x:c r="Q2776" s="62" t="b">
        <x:v>1</x:v>
      </x:c>
      <x:c r="R2776" s="28" t="n">
        <x:v>0</x:v>
      </x:c>
      <x:c r="S2776" s="28" t="str">
        <x:v>6b0b09fc24026a5c</x:v>
      </x:c>
    </x:row>
    <x:row r="2777" ht="21" customHeight="1">
      <x:c r="A2777" s="60" t="n">
        <x:v>0.7</x:v>
      </x:c>
      <x:c r="B2777" s="28" t="str">
        <x:v>level_high</x:v>
      </x:c>
      <x:c r="C2777" s="60" t="n">
        <x:v>0.9</x:v>
      </x:c>
      <x:c r="D2777" s="60" t="n">
        <x:v>0.8949513562027351</x:v>
      </x:c>
      <x:c r="E2777" s="62" t="b">
        <x:v>0</x:v>
      </x:c>
      <x:c r="F2777" s="62" t="b">
        <x:v>0</x:v>
      </x:c>
      <x:c r="G2777" s="85" t="n">
        <x:v>6913053.151242247</x:v>
      </x:c>
      <x:c r="H2777" s="85" t="n">
        <x:v>15562833.213289138</x:v>
      </x:c>
      <x:c r="I2777" s="85" t="n">
        <x:v>14760094.860273981</x:v>
      </x:c>
      <x:c r="J2777" s="85" t="n">
        <x:v>11148800.000000002</x:v>
      </x:c>
      <x:c r="K2777" s="85" t="n">
        <x:v>78592.69410958902</x:v>
      </x:c>
      <x:c r="L2777" s="28" t="n">
        <x:v>46</x:v>
      </x:c>
      <x:c r="M2777" s="28" t="n">
        <x:v>41</x:v>
      </x:c>
      <x:c r="N2777" s="28" t="n">
        <x:v>2.3283064365386963e-10</x:v>
      </x:c>
      <x:c r="O2777" s="28" t="n">
        <x:v>3.725290298461914e-9</x:v>
      </x:c>
      <x:c r="P2777" s="28" t="n">
        <x:v>0</x:v>
      </x:c>
      <x:c r="Q2777" s="62" t="b">
        <x:v>1</x:v>
      </x:c>
      <x:c r="R2777" s="28" t="n">
        <x:v>281431.5998347327</x:v>
      </x:c>
      <x:c r="S2777" s="28" t="str">
        <x:v>ae11bc9879c96c8b</x:v>
      </x:c>
    </x:row>
    <x:row r="2778" ht="21" customHeight="1">
      <x:c r="A2778" s="60" t="n">
        <x:v>0.7</x:v>
      </x:c>
      <x:c r="B2778" s="28" t="str">
        <x:v>level_high</x:v>
      </x:c>
      <x:c r="C2778" s="60" t="n">
        <x:v>0.95</x:v>
      </x:c>
      <x:c r="D2778" s="60" t="n">
        <x:v>0.9109811515371262</x:v>
      </x:c>
      <x:c r="E2778" s="62" t="b">
        <x:v>0</x:v>
      </x:c>
      <x:c r="F2778" s="62" t="b">
        <x:v>0</x:v>
      </x:c>
      <x:c r="G2778" s="85" t="n">
        <x:v>7472675.62901142</x:v>
      </x:c>
      <x:c r="H2778" s="85" t="n">
        <x:v>16558083.042192671</x:v>
      </x:c>
      <x:c r="I2778" s="85" t="n">
        <x:v>14760094.860273981</x:v>
      </x:c>
      <x:c r="J2778" s="85" t="n">
        <x:v>11148800.000000002</x:v>
      </x:c>
      <x:c r="K2778" s="85" t="n">
        <x:v>69554.93239726013</x:v>
      </x:c>
      <x:c r="L2778" s="28" t="n">
        <x:v>46</x:v>
      </x:c>
      <x:c r="M2778" s="28" t="n">
        <x:v>42</x:v>
      </x:c>
      <x:c r="N2778" s="28" t="n">
        <x:v>2.3283064365386963e-10</x:v>
      </x:c>
      <x:c r="O2778" s="28" t="n">
        <x:v>3.725290298461914e-9</x:v>
      </x:c>
      <x:c r="P2778" s="28" t="n">
        <x:v>0</x:v>
      </x:c>
      <x:c r="Q2778" s="62" t="b">
        <x:v>1</x:v>
      </x:c>
      <x:c r="R2778" s="28" t="n">
        <x:v>2175066.688714437</x:v>
      </x:c>
      <x:c r="S2778" s="28" t="str">
        <x:v>2c6bec38f18e0eb0</x:v>
      </x:c>
    </x:row>
    <x:row r="2779" ht="21" customHeight="1">
      <x:c r="A2779" s="60" t="n">
        <x:v>0.7</x:v>
      </x:c>
      <x:c r="B2779" s="28" t="str">
        <x:v>level_high</x:v>
      </x:c>
      <x:c r="C2779" s="60" t="n">
        <x:v>1</x:v>
      </x:c>
      <x:c r="D2779" s="60" t="n">
        <x:v>0.9258453085724337</x:v>
      </x:c>
      <x:c r="E2779" s="62" t="b">
        <x:v>0</x:v>
      </x:c>
      <x:c r="F2779" s="62" t="b">
        <x:v>0</x:v>
      </x:c>
      <x:c r="G2779" s="85" t="n">
        <x:v>8047779.599181514</x:v>
      </x:c>
      <x:c r="H2779" s="85" t="n">
        <x:v>17387266.361835737</x:v>
      </x:c>
      <x:c r="I2779" s="85" t="n">
        <x:v>14760094.860273981</x:v>
      </x:c>
      <x:c r="J2779" s="85" t="n">
        <x:v>11148800.000000002</x:v>
      </x:c>
      <x:c r="K2779" s="85" t="n">
        <x:v>60517.17068493123</x:v>
      </x:c>
      <x:c r="L2779" s="28" t="n">
        <x:v>46</x:v>
      </x:c>
      <x:c r="M2779" s="28" t="n">
        <x:v>42</x:v>
      </x:c>
      <x:c r="N2779" s="28" t="n">
        <x:v>2.3283064365386963e-10</x:v>
      </x:c>
      <x:c r="O2779" s="28" t="n">
        <x:v>1.862645149230957e-9</x:v>
      </x:c>
      <x:c r="P2779" s="28" t="n">
        <x:v>0</x:v>
      </x:c>
      <x:c r="Q2779" s="62" t="b">
        <x:v>1</x:v>
      </x:c>
      <x:c r="R2779" s="28" t="n">
        <x:v>4133679.1189382523</x:v>
      </x:c>
      <x:c r="S2779" s="28" t="str">
        <x:v>4ac61a261c4c4833</x:v>
      </x:c>
    </x:row>
  </x:sheetData>
  <x:pageMargins left="0.7" right="0.7" top="0.75" bottom="0.75" header="0.3" footer="0.3"/>
  <x:tableParts count="1">
    <x:tablePart xmlns:r="http://schemas.openxmlformats.org/officeDocument/2006/relationships" r:id="R8cd3c5c05c524799"/>
  </x:tableParts>
</x:worksheet>
</file>

<file path=xl/worksheets/sheet18.xml><?xml version="1.0" encoding="utf-8"?>
<x:worksheet xmlns:x="http://schemas.openxmlformats.org/spreadsheetml/2006/main">
  <x:sheetPr>
    <x:tabColor rgb="FFBE5555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23" hidden="0" customWidth="1"/>
    <x:col min="5" max="5" width="23" hidden="0" customWidth="1"/>
    <x:col min="6" max="6" width="23" hidden="0" customWidth="1"/>
    <x:col min="7" max="7" width="33" hidden="0" customWidth="1"/>
    <x:col min="8" max="8" width="33" hidden="0" customWidth="1"/>
  </x:cols>
  <x:sheetData>
    <x:row r="1">
      <x:c r="A1" s="23"/>
      <x:c r="B1" s="23"/>
      <x:c r="C1" s="117" t="str">
        <x:v>Validation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Validation And Reconciliation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Excel checks are live. Python checks reflect the last validated run.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Check</x:v>
      </x:c>
      <x:c r="D7" s="7" t="str">
        <x:v>Actual / difference</x:v>
      </x:c>
      <x:c r="E7" s="7" t="str">
        <x:v>Tolerance / expected</x:v>
      </x:c>
      <x:c r="F7" s="7" t="str">
        <x:v>Result</x:v>
      </x:c>
      <x:c r="G7" s="7" t="str">
        <x:v>Owner</x:v>
      </x:c>
      <x:c r="H7" s="7" t="str">
        <x:v>Meaning</x:v>
      </x:c>
    </x:row>
    <x:row r="8" ht="32" customHeight="1">
      <x:c r="A8" s="23"/>
      <x:c r="B8" s="23"/>
      <x:c r="C8" s="23" t="str">
        <x:v>Portfolio source completeness</x:v>
      </x:c>
      <x:c r="D8" s="197" t="n">
        <x:f>0</x:f>
        <x:v>0</x:v>
      </x:c>
      <x:c r="E8" s="148" t="n">
        <x:v>0</x:v>
      </x:c>
      <x:c r="F8" s="23" t="str">
        <x:f>IF(ISNUMBER(D8),IF(ABS(D8)&lt;=E8,"OK","CHECK"),"NOT RUN")</x:f>
        <x:v>OK</x:v>
      </x:c>
      <x:c r="G8" s="23" t="str">
        <x:v>Input validation</x:v>
      </x:c>
      <x:c r="H8" s="33" t="str">
        <x:v>Python rejects missing or invalid inputs</x:v>
      </x:c>
    </x:row>
    <x:row r="9" ht="32" customHeight="1">
      <x:c r="A9" s="150"/>
      <x:c r="B9" s="150"/>
      <x:c r="C9" s="23" t="str">
        <x:v>Duplicate facility identifiers</x:v>
      </x:c>
      <x:c r="D9" s="197" t="n">
        <x:f>SUM('Portfolio Inputs'!X8:X59)</x:f>
        <x:v>0</x:v>
      </x:c>
      <x:c r="E9" s="148" t="n">
        <x:v>0</x:v>
      </x:c>
      <x:c r="F9" s="23" t="str">
        <x:f>IF(ISNUMBER(D9),IF(ABS(D9)&lt;=E9,"OK","CHECK"),"NOT RUN")</x:f>
        <x:v>OK</x:v>
      </x:c>
      <x:c r="G9" s="23" t="str">
        <x:v>Excel</x:v>
      </x:c>
      <x:c r="H9" s="33" t="str">
        <x:v>Repeated obligor IDs are expected</x:v>
      </x:c>
    </x:row>
    <x:row r="10" ht="32" customHeight="1">
      <x:c r="A10" s="150"/>
      <x:c r="B10" s="150"/>
      <x:c r="C10" s="23" t="str">
        <x:v>Portfolio par vs imported par</x:v>
      </x:c>
      <x:c r="D10" s="197" t="n">
        <x:f>Portfolio_Par-55744000</x:f>
        <x:v>0</x:v>
      </x:c>
      <x:c r="E10" s="148" t="n">
        <x:v>0.01</x:v>
      </x:c>
      <x:c r="F10" s="23" t="str">
        <x:f>IF(ISNUMBER(D10),IF(ABS(D10)&lt;=E10,"OK","CHECK"),"NOT RUN")</x:f>
        <x:v>OK</x:v>
      </x:c>
      <x:c r="G10" s="23" t="str">
        <x:v>Excel</x:v>
      </x:c>
      <x:c r="H10" s="33" t="str">
        <x:v>Reconcile imported balances</x:v>
      </x:c>
    </x:row>
    <x:row r="11" ht="32" customHeight="1">
      <x:c r="A11" s="150"/>
      <x:c r="B11" s="150"/>
      <x:c r="C11" s="23" t="str">
        <x:v>Obligor grouped par vs portfolio</x:v>
      </x:c>
      <x:c r="D11" s="197" t="n">
        <x:f>SUM('Obligor Calc'!F8:F57)-Portfolio_Par</x:f>
        <x:v>0</x:v>
      </x:c>
      <x:c r="E11" s="148" t="n">
        <x:v>0.01</x:v>
      </x:c>
      <x:c r="F11" s="23" t="str">
        <x:f>IF(ISNUMBER(D11),IF(ABS(D11)&lt;=E11,"OK","CHECK"),"NOT RUN")</x:f>
        <x:v>OK</x:v>
      </x:c>
      <x:c r="G11" s="23" t="str">
        <x:v>Excel</x:v>
      </x:c>
      <x:c r="H11" s="33" t="str">
        <x:v>Every facility included once</x:v>
      </x:c>
    </x:row>
    <x:row r="12" ht="32" customHeight="1">
      <x:c r="A12" s="150"/>
      <x:c r="B12" s="150"/>
      <x:c r="C12" s="23" t="str">
        <x:v>Obligor grouped count vs facilities</x:v>
      </x:c>
      <x:c r="D12" s="197" t="n">
        <x:f>SUM('Obligor Calc'!G8:G57)-'Portfolio Calc'!D9</x:f>
        <x:v>0</x:v>
      </x:c>
      <x:c r="E12" s="148" t="n">
        <x:v>0</x:v>
      </x:c>
      <x:c r="F12" s="23" t="str">
        <x:f>IF(ISNUMBER(D12),IF(ABS(D12)&lt;=E12,"OK","CHECK"),"NOT RUN")</x:f>
        <x:v>OK</x:v>
      </x:c>
      <x:c r="G12" s="23" t="str">
        <x:v>Excel</x:v>
      </x:c>
      <x:c r="H12" s="33" t="str">
        <x:v>No missing facility group</x:v>
      </x:c>
    </x:row>
    <x:row r="13" ht="32" customHeight="1">
      <x:c r="A13" s="150"/>
      <x:c r="B13" s="150"/>
      <x:c r="C13" s="23" t="str">
        <x:v>Capital stack difference</x:v>
      </x:c>
      <x:c r="D13" s="197" t="n">
        <x:f>'Capital Calc'!J8</x:f>
        <x:v>0</x:v>
      </x:c>
      <x:c r="E13" s="148" t="n">
        <x:v>0.01</x:v>
      </x:c>
      <x:c r="F13" s="23" t="str">
        <x:f>IF(ISNUMBER(D13),IF(ABS(D13)&lt;=E13,"OK","CHECK"),"NOT RUN")</x:f>
        <x:v>OK</x:v>
      </x:c>
      <x:c r="G13" s="23" t="str">
        <x:v>Excel</x:v>
      </x:c>
      <x:c r="H13" s="33" t="str">
        <x:v>Senior + junior + equity = par</x:v>
      </x:c>
    </x:row>
    <x:row r="14" ht="32" customHeight="1">
      <x:c r="A14" s="150"/>
      <x:c r="B14" s="150"/>
      <x:c r="C14" s="23" t="str">
        <x:v>Edited portfolio cells</x:v>
      </x:c>
      <x:c r="D14" s="197" t="n">
        <x:f>SUM('Portfolio Inputs'!W8:W59)</x:f>
        <x:v>0</x:v>
      </x:c>
      <x:c r="E14" s="148" t="n">
        <x:v>0</x:v>
      </x:c>
      <x:c r="F14" s="23" t="str">
        <x:f>IF(ISNUMBER(D14),IF(ABS(D14)&lt;=E14,"OK","CHECK"),"NOT RUN")</x:f>
        <x:v>OK</x:v>
      </x:c>
      <x:c r="G14" s="23" t="str">
        <x:v>Excel</x:v>
      </x:c>
      <x:c r="H14" s="33" t="str">
        <x:v>Any source change requires rerun</x:v>
      </x:c>
    </x:row>
    <x:row r="15" ht="32" customHeight="1">
      <x:c r="A15" s="150"/>
      <x:c r="B15" s="150"/>
      <x:c r="C15" s="23" t="str">
        <x:v>Edited scalar assumptions</x:v>
      </x:c>
      <x:c r="D15" s="197" t="n">
        <x:f>SUM('Assumptions'!G8:G62)</x:f>
        <x:v>0</x:v>
      </x:c>
      <x:c r="E15" s="148" t="n">
        <x:v>0</x:v>
      </x:c>
      <x:c r="F15" s="23" t="str">
        <x:f>IF(ISNUMBER(D15),IF(ABS(D15)&lt;=E15,"OK","CHECK"),"NOT RUN")</x:f>
        <x:v>OK</x:v>
      </x:c>
      <x:c r="G15" s="23" t="str">
        <x:v>Excel</x:v>
      </x:c>
      <x:c r="H15" s="33" t="str">
        <x:v>Compare all editable scalar inputs</x:v>
      </x:c>
    </x:row>
    <x:row r="16" ht="32" customHeight="1">
      <x:c r="A16" s="150"/>
      <x:c r="B16" s="150"/>
      <x:c r="C16" s="23" t="str">
        <x:v>Edited stress curve cells</x:v>
      </x:c>
      <x:c r="D16" s="197" t="n">
        <x:f>SUM('Stress Inputs'!H8:H583)</x:f>
        <x:v>0</x:v>
      </x:c>
      <x:c r="E16" s="148" t="n">
        <x:v>0</x:v>
      </x:c>
      <x:c r="F16" s="23" t="str">
        <x:f>IF(ISNUMBER(D16),IF(ABS(D16)&lt;=E16,"OK","CHECK"),"NOT RUN")</x:f>
        <x:v>OK</x:v>
      </x:c>
      <x:c r="G16" s="23" t="str">
        <x:v>Excel</x:v>
      </x:c>
      <x:c r="H16" s="33" t="str">
        <x:v>Compare default weights and rate paths</x:v>
      </x:c>
    </x:row>
    <x:row r="17" ht="32" customHeight="1">
      <x:c r="A17" s="150"/>
      <x:c r="B17" s="150"/>
      <x:c r="C17" s="23" t="str">
        <x:v>Added / deleted source rows</x:v>
      </x:c>
      <x:c r="D17" s="197" t="n">
        <x:f>COUNTA('Portfolio Inputs'!A:A)-56</x:f>
        <x:v>0</x:v>
      </x:c>
      <x:c r="E17" s="148" t="n">
        <x:v>0</x:v>
      </x:c>
      <x:c r="F17" s="23" t="str">
        <x:f>IF(ISNUMBER(D17),IF(ABS(D17)&lt;=E17,"OK","CHECK"),"NOT RUN")</x:f>
        <x:v>OK</x:v>
      </x:c>
      <x:c r="G17" s="23" t="str">
        <x:v>Excel</x:v>
      </x:c>
      <x:c r="H17" s="33" t="str">
        <x:v>Rebuild workbook to change portfolio row count</x:v>
      </x:c>
    </x:row>
    <x:row r="18" ht="32" customHeight="1">
      <x:c r="A18" s="150"/>
      <x:c r="B18" s="150"/>
      <x:c r="C18" s="23" t="str">
        <x:v>Portfolio field sanity</x:v>
      </x:c>
      <x:c r="D18" s="197" t="n">
        <x:f>SUM('Portfolio Inputs'!Y8:Y59)</x:f>
        <x:v>0</x:v>
      </x:c>
      <x:c r="E18" s="148" t="n">
        <x:v>0</x:v>
      </x:c>
      <x:c r="F18" s="23" t="str">
        <x:f>IF(ISNUMBER(D18),IF(ABS(D18)&lt;=E18,"OK","CHECK"),"NOT RUN")</x:f>
        <x:v>OK</x:v>
      </x:c>
      <x:c r="G18" s="23" t="str">
        <x:v>Excel</x:v>
      </x:c>
      <x:c r="H18" s="33" t="str">
        <x:v>Full validation runs in Python</x:v>
      </x:c>
    </x:row>
    <x:row r="19" ht="32" customHeight="1">
      <x:c r="A19" s="150"/>
      <x:c r="B19" s="150"/>
      <x:c r="C19" s="23" t="str">
        <x:v>Cash conservation (all grid runs)</x:v>
      </x:c>
      <x:c r="D19" s="197" t="n">
        <x:v>9.313225746154785e-10</x:v>
      </x:c>
      <x:c r="E19" s="148" t="n">
        <x:v>0.01</x:v>
      </x:c>
      <x:c r="F19" s="23" t="str">
        <x:f>IF(ISNUMBER(D19),IF(ABS(D19)&lt;=E19,"OK","CHECK"),"NOT RUN")</x:f>
        <x:v>OK</x:v>
      </x:c>
      <x:c r="G19" s="23" t="str">
        <x:v>Python</x:v>
      </x:c>
      <x:c r="H19" s="33" t="str">
        <x:v>Maximum absolute residual</x:v>
      </x:c>
    </x:row>
    <x:row r="20" ht="32" customHeight="1">
      <x:c r="A20" s="150"/>
      <x:c r="B20" s="150"/>
      <x:c r="C20" s="23" t="str">
        <x:v>Waterfall priority (all grid runs)</x:v>
      </x:c>
      <x:c r="D20" s="197" t="n">
        <x:v>0</x:v>
      </x:c>
      <x:c r="E20" s="148" t="n">
        <x:v>0.01</x:v>
      </x:c>
      <x:c r="F20" s="23" t="str">
        <x:f>IF(ISNUMBER(D20),IF(ABS(D20)&lt;=E20,"OK","CHECK"),"NOT RUN")</x:f>
        <x:v>OK</x:v>
      </x:c>
      <x:c r="G20" s="23" t="str">
        <x:v>Python</x:v>
      </x:c>
      <x:c r="H20" s="33" t="str">
        <x:v>Subordinate payments while senior due</x:v>
      </x:c>
    </x:row>
    <x:row r="21" ht="32" customHeight="1">
      <x:c r="A21" s="150"/>
      <x:c r="B21" s="150"/>
      <x:c r="C21" s="23" t="str">
        <x:v>Accounting failures (all grid runs)</x:v>
      </x:c>
      <x:c r="D21" s="197" t="n">
        <x:v>0</x:v>
      </x:c>
      <x:c r="E21" s="148" t="n">
        <x:v>0</x:v>
      </x:c>
      <x:c r="F21" s="23" t="str">
        <x:f>IF(ISNUMBER(D21),IF(ABS(D21)&lt;=E21,"OK","CHECK"),"NOT RUN")</x:f>
        <x:v>OK</x:v>
      </x:c>
      <x:c r="G21" s="23" t="str">
        <x:v>Python</x:v>
      </x:c>
      <x:c r="H21" s="33" t="str">
        <x:v>Distinct from stress shortfalls</x:v>
      </x:c>
    </x:row>
    <x:row r="22" ht="32" customHeight="1">
      <x:c r="A22" s="150"/>
      <x:c r="B22" s="150"/>
      <x:c r="C22" s="23" t="str">
        <x:v>Unattained default targets (grid)</x:v>
      </x:c>
      <x:c r="D22" s="197" t="n">
        <x:v>330</x:v>
      </x:c>
      <x:c r="E22" s="148"/>
      <x:c r="F22" s="23" t="str">
        <x:f>IF(ISNUMBER(D22),"DISCLOSURE","NOT RUN")</x:f>
        <x:v>DISCLOSURE</x:v>
      </x:c>
      <x:c r="G22" s="23" t="str">
        <x:v>Python</x:v>
      </x:c>
      <x:c r="H22" s="33" t="str">
        <x:v>Disclosure: cannot treat these as a pass</x:v>
      </x:c>
    </x:row>
    <x:row r="23" ht="32" customHeight="1">
      <x:c r="A23" s="150"/>
      <x:c r="B23" s="150"/>
      <x:c r="C23" s="23" t="str">
        <x:v>Five-year pattern WAM scope</x:v>
      </x:c>
      <x:c r="D23" s="197" t="n">
        <x:v>0</x:v>
      </x:c>
      <x:c r="E23" s="148" t="n">
        <x:v>0</x:v>
      </x:c>
      <x:c r="F23" s="23" t="str">
        <x:f>IF(ISNUMBER(D23),IF(ABS(D23)&lt;=E23,"OK","CHECK"),"NOT RUN")</x:f>
        <x:v>OK</x:v>
      </x:c>
      <x:c r="G23" s="23" t="str">
        <x:v>Python</x:v>
      </x:c>
      <x:c r="H23" s="33" t="str">
        <x:v>4–7 years typical; otherwise review timing</x:v>
      </x:c>
    </x:row>
    <x:row r="24" ht="32" customHeight="1">
      <x:c r="A24" s="150"/>
      <x:c r="B24" s="150"/>
      <x:c r="C24" s="23" t="str">
        <x:v>Cash conservation (Excel)</x:v>
      </x:c>
      <x:c r="D24" s="197" t="n">
        <x:f>MAX(MAX('Cash Flow Calc'!E65:AZ65),-MIN('Cash Flow Calc'!E65:AZ65))</x:f>
        <x:v>4.656612873077393e-10</x:v>
      </x:c>
      <x:c r="E24" s="148" t="n">
        <x:v>0.01</x:v>
      </x:c>
      <x:c r="F24" s="23" t="str">
        <x:f>IF(ISNUMBER(D24),IF(ABS(D24)&lt;=E24,"OK","CHECK"),"NOT RUN")</x:f>
        <x:v>OK</x:v>
      </x:c>
      <x:c r="G24" s="23" t="str">
        <x:v>Excel</x:v>
      </x:c>
      <x:c r="H24" s="33" t="str">
        <x:v>Independent base cash-flow equation</x:v>
      </x:c>
    </x:row>
    <x:row r="25" ht="32" customHeight="1">
      <x:c r="A25" s="150"/>
      <x:c r="B25" s="150"/>
      <x:c r="C25" s="23" t="str">
        <x:v>Collateral par roll-forward (Excel)</x:v>
      </x:c>
      <x:c r="D25" s="197" t="n">
        <x:f>MAX(MAX('Cash Flow Calc'!E66:AZ66),-MIN('Cash Flow Calc'!E66:AZ66))</x:f>
        <x:v>7.450580596923828e-9</x:v>
      </x:c>
      <x:c r="E25" s="148" t="n">
        <x:v>0.01</x:v>
      </x:c>
      <x:c r="F25" s="23" t="str">
        <x:f>IF(ISNUMBER(D25),IF(ABS(D25)&lt;=E25,"OK","CHECK"),"NOT RUN")</x:f>
        <x:v>OK</x:v>
      </x:c>
      <x:c r="G25" s="23" t="str">
        <x:v>Excel</x:v>
      </x:c>
      <x:c r="H25" s="33" t="str">
        <x:v>Independent base cash-flow equation</x:v>
      </x:c>
    </x:row>
    <x:row r="26" ht="32" customHeight="1">
      <x:c r="A26" s="150"/>
      <x:c r="B26" s="150"/>
      <x:c r="C26" s="23" t="str">
        <x:v>Senior debt roll-forward (Excel)</x:v>
      </x:c>
      <x:c r="D26" s="197" t="n">
        <x:f>MAX(MAX('Cash Flow Calc'!E67:AZ67),-MIN('Cash Flow Calc'!E67:AZ67))</x:f>
        <x:v>0</x:v>
      </x:c>
      <x:c r="E26" s="148" t="n">
        <x:v>0.01</x:v>
      </x:c>
      <x:c r="F26" s="23" t="str">
        <x:f>IF(ISNUMBER(D26),IF(ABS(D26)&lt;=E26,"OK","CHECK"),"NOT RUN")</x:f>
        <x:v>OK</x:v>
      </x:c>
      <x:c r="G26" s="23" t="str">
        <x:v>Excel</x:v>
      </x:c>
      <x:c r="H26" s="33" t="str">
        <x:v>Independent base cash-flow equation</x:v>
      </x:c>
    </x:row>
    <x:row r="27" ht="32" customHeight="1">
      <x:c r="A27" s="150"/>
      <x:c r="B27" s="150"/>
      <x:c r="C27" s="23" t="str">
        <x:v>Junior debt roll-forward (Excel)</x:v>
      </x:c>
      <x:c r="D27" s="197" t="n">
        <x:f>MAX(MAX('Cash Flow Calc'!E68:AZ68),-MIN('Cash Flow Calc'!E68:AZ68))</x:f>
        <x:v>0</x:v>
      </x:c>
      <x:c r="E27" s="148" t="n">
        <x:v>0.01</x:v>
      </x:c>
      <x:c r="F27" s="23" t="str">
        <x:f>IF(ISNUMBER(D27),IF(ABS(D27)&lt;=E27,"OK","CHECK"),"NOT RUN")</x:f>
        <x:v>OK</x:v>
      </x:c>
      <x:c r="G27" s="23" t="str">
        <x:v>Excel</x:v>
      </x:c>
      <x:c r="H27" s="33" t="str">
        <x:v>Independent base cash-flow equation</x:v>
      </x:c>
    </x:row>
    <x:row r="28" ht="32" customHeight="1">
      <x:c r="A28" s="150"/>
      <x:c r="B28" s="150"/>
      <x:c r="C28" s="23" t="str">
        <x:v>Coverage trigger disagreement</x:v>
      </x:c>
      <x:c r="D28" s="197" t="n">
        <x:f>MAX(MAX('Cash Flow Calc'!E69:AZ69),-MIN('Cash Flow Calc'!E69:AZ69))</x:f>
        <x:v>0</x:v>
      </x:c>
      <x:c r="E28" s="148" t="n">
        <x:v>0</x:v>
      </x:c>
      <x:c r="F28" s="23" t="str">
        <x:f>IF(ISNUMBER(D28),IF(ABS(D28)&lt;=E28,"OK","CHECK"),"NOT RUN")</x:f>
        <x:v>OK</x:v>
      </x:c>
      <x:c r="G28" s="23" t="str">
        <x:v>Excel</x:v>
      </x:c>
      <x:c r="H28" s="33" t="str">
        <x:v>Independent base cash-flow equation</x:v>
      </x:c>
    </x:row>
    <x:row r="29" ht="32" customHeight="1">
      <x:c r="A29" s="150"/>
      <x:c r="B29" s="150"/>
      <x:c r="C29" s="23" t="str">
        <x:v>Waterfall priority violation (Excel)</x:v>
      </x:c>
      <x:c r="D29" s="197" t="n">
        <x:f>MAX(MAX('Cash Flow Calc'!E70:AZ70),-MIN('Cash Flow Calc'!E70:AZ70))</x:f>
        <x:v>0</x:v>
      </x:c>
      <x:c r="E29" s="148" t="n">
        <x:v>0.01</x:v>
      </x:c>
      <x:c r="F29" s="23" t="str">
        <x:f>IF(ISNUMBER(D29),IF(ABS(D29)&lt;=E29,"OK","CHECK"),"NOT RUN")</x:f>
        <x:v>OK</x:v>
      </x:c>
      <x:c r="G29" s="23" t="str">
        <x:v>Excel</x:v>
      </x:c>
      <x:c r="H29" s="33" t="str">
        <x:v>Independent base cash-flow equation</x:v>
      </x:c>
    </x:row>
    <x:row r="30" ht="32" customHeight="1">
      <x:c r="A30" s="150"/>
      <x:c r="B30" s="150"/>
      <x:c r="C30" s="23" t="str">
        <x:v>Recovery receivable roll-forward</x:v>
      </x:c>
      <x:c r="D30" s="197" t="n">
        <x:f>MAX(MAX('Cash Flow Calc'!E71:AZ71),-MIN('Cash Flow Calc'!E71:AZ71))</x:f>
        <x:v>4.656612873077393e-10</x:v>
      </x:c>
      <x:c r="E30" s="148" t="n">
        <x:v>0.01</x:v>
      </x:c>
      <x:c r="F30" s="23" t="str">
        <x:f>IF(ISNUMBER(D30),IF(ABS(D30)&lt;=E30,"OK","CHECK"),"NOT RUN")</x:f>
        <x:v>OK</x:v>
      </x:c>
      <x:c r="G30" s="23" t="str">
        <x:v>Excel</x:v>
      </x:c>
      <x:c r="H30" s="33" t="str">
        <x:v>Independent base cash-flow equation</x:v>
      </x:c>
    </x:row>
    <x:row r="31" ht="32" customHeight="1">
      <x:c r="A31" s="150"/>
      <x:c r="B31" s="150"/>
      <x:c r="C31" s="23" t="str">
        <x:v>Asset interest receivable roll-forward</x:v>
      </x:c>
      <x:c r="D31" s="197" t="n">
        <x:f>MAX(MAX('Cash Flow Calc'!E72:AZ72),-MIN('Cash Flow Calc'!E72:AZ72))</x:f>
        <x:v>1.1641532182693481e-10</x:v>
      </x:c>
      <x:c r="E31" s="148" t="n">
        <x:v>0.01</x:v>
      </x:c>
      <x:c r="F31" s="23" t="str">
        <x:f>IF(ISNUMBER(D31),IF(ABS(D31)&lt;=E31,"OK","CHECK"),"NOT RUN")</x:f>
        <x:v>OK</x:v>
      </x:c>
      <x:c r="G31" s="23" t="str">
        <x:v>Excel</x:v>
      </x:c>
      <x:c r="H31" s="33" t="str">
        <x:v>Independent base cash-flow equation</x:v>
      </x:c>
    </x:row>
    <x:row r="32" ht="32" customHeight="1">
      <x:c r="A32" s="150"/>
      <x:c r="B32" s="150"/>
      <x:c r="C32" s="23" t="str">
        <x:v>Edited Fitch input cells</x:v>
      </x:c>
      <x:c r="D32" s="197" t="n">
        <x:f>'Fitch Calc'!D17</x:f>
        <x:v>0</x:v>
      </x:c>
      <x:c r="E32" s="148" t="n">
        <x:v>0</x:v>
      </x:c>
      <x:c r="F32" s="23" t="str">
        <x:f>IF(ISNUMBER(D32),IF(ABS(D32)&lt;=E32,"OK","CHECK"),"NOT RUN")</x:f>
        <x:v>OK</x:v>
      </x:c>
      <x:c r="G32" s="23" t="str">
        <x:v>Excel</x:v>
      </x:c>
      <x:c r="H32" s="33" t="str">
        <x:v>Change the source CSV and rerun</x:v>
      </x:c>
    </x:row>
    <x:row r="33" ht="32" customHeight="1">
      <x:c r="A33" s="150"/>
      <x:c r="B33" s="150"/>
      <x:c r="C33" s="23" t="str">
        <x:v>Edited Fitch source factors</x:v>
      </x:c>
      <x:c r="D33" s="197" t="n">
        <x:f>'Fitch Calc'!D18</x:f>
        <x:v>0</x:v>
      </x:c>
      <x:c r="E33" s="148" t="n">
        <x:v>0</x:v>
      </x:c>
      <x:c r="F33" s="23" t="str">
        <x:f>IF(ISNUMBER(D33),IF(ABS(D33)&lt;=E33,"OK","CHECK"),"NOT RUN")</x:f>
        <x:v>OK</x:v>
      </x:c>
      <x:c r="G33" s="23" t="str">
        <x:v>Excel</x:v>
      </x:c>
      <x:c r="H33" s="33" t="str">
        <x:v>Versioned source constants must match</x:v>
      </x:c>
    </x:row>
    <x:row r="34" ht="32" customHeight="1">
      <x:c r="A34" s="150"/>
      <x:c r="B34" s="150"/>
      <x:c r="C34" s="23" t="str">
        <x:v>Edited S&amp;P source factors</x:v>
      </x:c>
      <x:c r="D34" s="197" t="n">
        <x:f>SP_Parameter_Changes</x:f>
        <x:v>0</x:v>
      </x:c>
      <x:c r="E34" s="148" t="n">
        <x:v>0</x:v>
      </x:c>
      <x:c r="F34" s="23" t="str">
        <x:f>IF(ISNUMBER(D34),IF(ABS(D34)&lt;=E34,"OK","CHECK"),"NOT RUN")</x:f>
        <x:v>OK</x:v>
      </x:c>
      <x:c r="G34" s="23" t="str">
        <x:v>Excel</x:v>
      </x:c>
      <x:c r="H34" s="33" t="str">
        <x:v>Versioned source constants must match</x:v>
      </x:c>
    </x:row>
    <x:row r="35" ht="32" customHeight="1">
      <x:c r="A35" s="150"/>
      <x:c r="B35" s="150"/>
      <x:c r="C35" s="23" t="str">
        <x:v>S&amp;P WARF vs Python</x:v>
      </x:c>
      <x:c r="D35" s="197" t="n">
        <x:f>SPWARF-2243.7433273536167</x:f>
        <x:v>0</x:v>
      </x:c>
      <x:c r="E35" s="148" t="n">
        <x:v>0.000001</x:v>
      </x:c>
      <x:c r="F35" s="23" t="str">
        <x:f>IF(ISNUMBER(D35),IF(ABS(D35)&lt;=E35,"OK","CHECK"),"NOT RUN")</x:f>
        <x:v>OK</x:v>
      </x:c>
      <x:c r="G35" s="23" t="str">
        <x:v>Excel / Python</x:v>
      </x:c>
      <x:c r="H35" s="33" t="str">
        <x:v>Independent weighted calculation</x:v>
      </x:c>
    </x:row>
    <x:row r="36" ht="32" customHeight="1">
      <x:c r="A36" s="150"/>
      <x:c r="B36" s="150"/>
      <x:c r="C36" s="23" t="str">
        <x:v>S&amp;P dispersion vs Python</x:v>
      </x:c>
      <x:c r="D36" s="197" t="n">
        <x:f>SP_DRD-790.8360578762819</x:f>
        <x:v>0</x:v>
      </x:c>
      <x:c r="E36" s="148" t="n">
        <x:v>0.000001</x:v>
      </x:c>
      <x:c r="F36" s="23" t="str">
        <x:f>IF(ISNUMBER(D36),IF(ABS(D36)&lt;=E36,"OK","CHECK"),"NOT RUN")</x:f>
        <x:v>OK</x:v>
      </x:c>
      <x:c r="G36" s="23" t="str">
        <x:v>Excel / Python</x:v>
      </x:c>
      <x:c r="H36" s="33" t="str">
        <x:v>Weighted absolute deviation</x:v>
      </x:c>
    </x:row>
    <x:row r="37" ht="32" customHeight="1">
      <x:c r="A37" s="150"/>
      <x:c r="B37" s="150"/>
      <x:c r="C37" s="23" t="str">
        <x:v>Fitch WARF vs Python</x:v>
      </x:c>
      <x:c r="D37" s="197" t="n">
        <x:f>IF(ISNUMBER(Fitch_WARF),Fitch_WARF-20.4019374282434,1)</x:f>
        <x:v>0</x:v>
      </x:c>
      <x:c r="E37" s="148" t="n">
        <x:v>0.000001</x:v>
      </x:c>
      <x:c r="F37" s="23" t="str">
        <x:f>IF(ISNUMBER(D37),IF(ABS(D37)&lt;=E37,"OK","CHECK"),"NOT RUN")</x:f>
        <x:v>OK</x:v>
      </x:c>
      <x:c r="G37" s="23" t="str">
        <x:v>Excel / Python</x:v>
      </x:c>
      <x:c r="H37" s="33" t="str">
        <x:v>Only compared when complete</x:v>
      </x:c>
    </x:row>
    <x:row r="38" ht="32" customHeight="1">
      <x:c r="A38" s="150"/>
      <x:c r="B38" s="150"/>
      <x:c r="C38" s="23" t="str">
        <x:v>Fitch WARR vs Python</x:v>
      </x:c>
      <x:c r="D38" s="197"/>
      <x:c r="E38" s="148" t="n">
        <x:v>0.000001</x:v>
      </x:c>
      <x:c r="F38" s="23" t="str">
        <x:f>IF(ISNUMBER(D38),IF(ABS(D38)&lt;=E38,"OK","CHECK"),"NOT RUN")</x:f>
        <x:v>NOT RUN</x:v>
      </x:c>
      <x:c r="G38" s="23" t="str">
        <x:v>Excel / Python</x:v>
      </x:c>
      <x:c r="H38" s="33" t="str">
        <x:v>Only compared when complete</x:v>
      </x:c>
    </x:row>
    <x:row r="39" ht="32" customHeight="1">
      <x:c r="A39" s="150"/>
      <x:c r="B39" s="150"/>
      <x:c r="C39" s="23"/>
      <x:c r="D39" s="105"/>
      <x:c r="E39" s="148"/>
      <x:c r="F39" s="23"/>
      <x:c r="G39" s="23"/>
      <x:c r="H39" s="33"/>
    </x:row>
    <x:row r="40" ht="32" customHeight="1">
      <x:c r="A40" s="150"/>
      <x:c r="B40" s="150"/>
      <x:c r="C40" s="23"/>
      <x:c r="D40" s="105"/>
      <x:c r="E40" s="148"/>
      <x:c r="F40" s="23"/>
      <x:c r="G40" s="23"/>
      <x:c r="H40" s="33"/>
    </x:row>
    <x:row r="41" ht="32" customHeight="1">
      <x:c r="A41" s="150"/>
      <x:c r="B41" s="150"/>
      <x:c r="C41" s="23" t="str">
        <x:v>Refresh required</x:v>
      </x:c>
      <x:c r="D41" s="105" t="b">
        <x:f>IFERROR(OR(D8&lt;&gt;0,D14&lt;&gt;0,D15&lt;&gt;0,D16&lt;&gt;0,D17&lt;&gt;0,'Fitch Calc'!D17&lt;&gt;0,'Fitch Calc'!D18&lt;&gt;0,SP_Parameter_Changes&lt;&gt;0),TRUE)</x:f>
        <x:v>0</x:v>
      </x:c>
      <x:c r="E41" s="148"/>
      <x:c r="F41" s="23"/>
      <x:c r="G41" s="23"/>
      <x:c r="H41" s="33"/>
    </x:row>
    <x:row r="42" ht="32" customHeight="1">
      <x:c r="A42" s="150"/>
      <x:c r="B42" s="150"/>
      <x:c r="C42" s="23" t="str">
        <x:v>Live formula errors</x:v>
      </x:c>
      <x:c r="D42" s="105" t="n">
        <x:f>SUMPRODUCT(--ISERROR('Portfolio Calc'!D8:D23))+SUMPRODUCT(--ISERROR('Capital Calc'!D8:J19))+SUMPRODUCT(--ISERROR('Portfolio Inputs'!S8:AB59))+SUMPRODUCT(--ISERROR('Cash Flow Calc'!E63:AZ72))+SUMPRODUCT(--ISERROR('Fitch Inputs'!I8:O59))+SUMPRODUCT(--ISERROR('Fitch Calc'!D8:D18))+SUMPRODUCT(--ISERROR('Agency Comparison'!D8:G29))</x:f>
        <x:v>0</x:v>
      </x:c>
      <x:c r="E42" s="148"/>
      <x:c r="F42" s="23" t="str">
        <x:f>IF(D42=0,"OK","CHECK")</x:f>
        <x:v>OK</x:v>
      </x:c>
      <x:c r="G42" s="23"/>
      <x:c r="H42" s="33"/>
    </x:row>
  </x:sheetData>
  <x:conditionalFormatting sqref="F8:F42">
    <x:cfRule type="containsText" dxfId="2" priority="1" operator="containsText" text="CHECK"/>
    <x:cfRule type="containsText" dxfId="3" priority="2" operator="containsText" text="REFRESH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4" hidden="0" customWidth="1"/>
    <x:col min="5" max="5" width="67" hidden="0" customWidth="1"/>
    <x:col min="6" max="6" width="62" hidden="0" customWidth="1"/>
    <x:col min="7" max="7" width="72" hidden="0" customWidth="1"/>
  </x:cols>
  <x:sheetData>
    <x:row r="1">
      <x:c r="A1" s="23"/>
      <x:c r="B1" s="23"/>
      <x:c r="C1" s="110" t="str">
        <x:v>Guide / outstanding work</x:v>
      </x:c>
      <x:c r="D1" s="23"/>
      <x:c r="E1" s="23"/>
      <x:c r="F1" s="23"/>
      <x:c r="G1" s="23"/>
    </x:row>
    <x:row r="2">
      <x:c r="A2" s="23"/>
      <x:c r="B2" s="23"/>
      <x:c r="C2" s="24" t="str">
        <x:v>What Is Still Needed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Resolve data gaps and implementation work separately. Full instructions are in docs/OUTSTANDING_AND_NEXT_STEPS.md.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Item / owner</x:v>
      </x:c>
      <x:c r="D7" s="7" t="str">
        <x:v>Current treatment</x:v>
      </x:c>
      <x:c r="E7" s="7" t="str">
        <x:v>What to provide or implement</x:v>
      </x:c>
      <x:c r="F7" s="7" t="str">
        <x:v>Assumptions allowed now</x:v>
      </x:c>
      <x:c r="G7" s="7" t="str">
        <x:v>Where it comes from</x:v>
      </x:c>
    </x:row>
    <x:row r="8" ht="86" customHeight="1">
      <x:c r="A8" s="23"/>
      <x:c r="B8" s="23"/>
      <x:c r="C8" s="33" t="str">
        <x:v>S&amp;P WARF / implemented</x:v>
      </x:c>
      <x:c r="D8" s="33" t="str">
        <x:v>Sourced factors and live formulas</x:v>
      </x:c>
      <x:c r="E8" s="33" t="str">
        <x:v>Review rating assignment / eligibility for the actual deal. No missing factor table remains for the supported scope.</x:v>
      </x:c>
      <x:c r="F8" s="33" t="str">
        <x:v>The fictional ratings are retained and labelled. No ordinal or Fitch factor substitution.</x:v>
      </x:c>
      <x:c r="G8" s="33" t="str">
        <x:v>SP Credit Parameters; Blue Owl original November 2025 filing; S&amp;P AUF Table 13</x:v>
      </x:c>
    </x:row>
    <x:row r="9" ht="86" customHeight="1">
      <x:c r="A9" s="150"/>
      <x:c r="B9" s="150"/>
      <x:c r="C9" s="154" t="str">
        <x:v>S&amp;P AAA SDR / credit model</x:v>
      </x:c>
      <x:c r="D9" s="154" t="str">
        <x:v>Unavailable unless externally supplied</x:v>
      </x:c>
      <x:c r="E9" s="154" t="str">
        <x:v>Check FT access to CDO Evaluator via Ratings360. Import portfolio-specific output with source/version, date, criteria and input hashes; alternatively build and benchmark a criteria-informed engine.</x:v>
      </x:c>
      <x:c r="F9" s="154" t="str">
        <x:v>Keep formal SDR blank. Use labelled development default sensitivities for exploration.</x:v>
      </x:c>
      <x:c r="G9" s="154" t="str">
        <x:v>S&amp;P CDO Suite of Models; core criteria default, correlation and quantile tables</x:v>
      </x:c>
    </x:row>
    <x:row r="10" ht="86" customHeight="1">
      <x:c r="A10" s="150"/>
      <x:c r="B10" s="150"/>
      <x:c r="C10" s="154" t="str">
        <x:v>S&amp;P Monitor / implementation</x:v>
      </x:c>
      <x:c r="D10" s="154" t="str">
        <x:v>Not implemented</x:v>
      </x:c>
      <x:c r="E10" s="154" t="str">
        <x:v>Confirm eligibility, exact asset codes, regions, maturity definitions and transaction-specific BDR coefficients.</x:v>
      </x:c>
      <x:c r="F10" s="154" t="str">
        <x:v>Do not borrow another deal's coefficients or treat an unverified regression as agency SDR.</x:v>
      </x:c>
      <x:c r="G10" s="154" t="str">
        <x:v>S&amp;P CDO Monitor technical articles and applicable transaction documents</x:v>
      </x:c>
    </x:row>
    <x:row r="11" ht="86" customHeight="1">
      <x:c r="A11" s="150"/>
      <x:c r="B11" s="150"/>
      <x:c r="C11" s="154" t="str">
        <x:v>Fitch ratings / input owner</x:v>
      </x:c>
      <x:c r="D11" s="154" t="str">
        <x:v>Separate sidecar; example is development_proxy</x:v>
      </x:c>
      <x:c r="E11" s="154" t="str">
        <x:v>Supply public Fitch IDRs or reviewed Appendix 5 equivalencies with source evidence for every obligor.</x:v>
      </x:c>
      <x:c r="F11" s="154" t="str">
        <x:v>Same-symbol fictional proxies are explicit, optional example inputs only.</x:v>
      </x:c>
      <x:c r="G11" s="154" t="str">
        <x:v>Fitch Inputs; Appendix 5; templates/fitch_inputs_dictionary.csv</x:v>
      </x:c>
    </x:row>
    <x:row r="12" ht="86" customHeight="1">
      <x:c r="A12" s="150"/>
      <x:c r="B12" s="150"/>
      <x:c r="C12" s="154" t="str">
        <x:v>Fitch recovery / input owner</x:v>
      </x:c>
      <x:c r="D12" s="154" t="str">
        <x:v>Whole WARR gated on complete coverage</x:v>
      </x:c>
      <x:c r="E12" s="154" t="str">
        <x:v>Resolve seven example facilities without a reviewed recovery classification. Check issue recovery opinions before fallback rules.</x:v>
      </x:c>
      <x:c r="F12" s="154" t="str">
        <x:v>Example first-lien fallbacks are sourced but expressly assumed. No zero for missing recovery.</x:v>
      </x:c>
      <x:c r="G12" s="154" t="str">
        <x:v>Fitch Appendix 4 and Appendix 6; docs/fitch_inputs.md</x:v>
      </x:c>
    </x:row>
    <x:row r="13" ht="86" customHeight="1">
      <x:c r="A13" s="150"/>
      <x:c r="B13" s="150"/>
      <x:c r="C13" s="154" t="str">
        <x:v>Industry taxonomy / input owner</x:v>
      </x:c>
      <x:c r="D13" s="154" t="str">
        <x:v>S&amp;P supplied labels; Fitch blank</x:v>
      </x:c>
      <x:c r="E13" s="154" t="str">
        <x:v>Map agency-specific classifications and retain review evidence. Supplied text similarity is insufficient.</x:v>
      </x:c>
      <x:c r="F13" s="154" t="str">
        <x:v>No automatic cross-agency industry mapping.</x:v>
      </x:c>
      <x:c r="G13" s="154" t="str">
        <x:v>S&amp;P asset codes; Fitch PCM industry classification</x:v>
      </x:c>
    </x:row>
    <x:row r="14" ht="86" customHeight="1">
      <x:c r="A14" s="150"/>
      <x:c r="B14" s="150"/>
      <x:c r="C14" s="154" t="str">
        <x:v>Fitch RDR/RLR / credit model</x:v>
      </x:c>
      <x:c r="D14" s="154" t="str">
        <x:v>Not calculated</x:v>
      </x:c>
      <x:c r="E14" s="154" t="str">
        <x:v>Obtain / run the applicable Fitch Portfolio Credit Model and retain complete inputs, assumptions and version.</x:v>
      </x:c>
      <x:c r="F14" s="154" t="str">
        <x:v>No assumed AAA percentile or hurdle imported from S&amp;P.</x:v>
      </x:c>
      <x:c r="G14" s="154" t="str">
        <x:v>Fitch PCM; criteria default/loss distributions and Appendix 6</x:v>
      </x:c>
    </x:row>
    <x:row r="15" ht="86" customHeight="1">
      <x:c r="A15" s="150"/>
      <x:c r="B15" s="150"/>
      <x:c r="C15" s="154" t="str">
        <x:v>Actual deal terms / deal owner</x:v>
      </x:c>
      <x:c r="D15" s="154" t="str">
        <x:v>Fictional editable development terms</x:v>
      </x:c>
      <x:c r="E15" s="154" t="str">
        <x:v>Provide term sheet / waterfall, payment dates, coupons, fees, OC/IC definitions, collateral haircuts, reinvestment conditions and legal final maturity.</x:v>
      </x:c>
      <x:c r="F15" s="154" t="str">
        <x:v>64/26/10 is user-specified; all other development terms stay labelled until replaced.</x:v>
      </x:c>
      <x:c r="G15" s="154" t="str">
        <x:v>Assumptions provenance; deal documents</x:v>
      </x:c>
    </x:row>
    <x:row r="16" ht="86" customHeight="1">
      <x:c r="A16" s="150"/>
      <x:c r="B16" s="150"/>
      <x:c r="C16" s="154" t="str">
        <x:v>Cash-flow engine / engineering</x:v>
      </x:c>
      <x:c r="D16" s="154" t="str">
        <x:v>Independent simplified waterfall</x:v>
      </x:c>
      <x:c r="E16" s="154" t="str">
        <x:v>Implement agency-specific collateral amortisation, default / recovery timing, full rate and prepayment scenarios, event tests and required payment promises.</x:v>
      </x:c>
      <x:c r="F16" s="154" t="str">
        <x:v>Development scenarios can test behaviour; they are not agency BDRs.</x:v>
      </x:c>
      <x:c r="G16" s="154" t="str">
        <x:v>S&amp;P framework; Fitch criteria pages 18–23; docs/cashflow_design.md</x:v>
      </x:c>
    </x:row>
    <x:row r="17" ht="86" customHeight="1">
      <x:c r="A17" s="150"/>
      <x:c r="B17" s="150"/>
      <x:c r="C17" s="154" t="str">
        <x:v>Schedules and asset detail / data</x:v>
      </x:c>
      <x:c r="D17" s="154" t="str">
        <x:v>18 supplied fields</x:v>
      </x:c>
      <x:c r="E17" s="154" t="str">
        <x:v>Add next coupon/reset date, day-count, amortisation, accrued interest and reviewed recovery hierarchy as scope requires.</x:v>
      </x:c>
      <x:c r="F17" s="154" t="str">
        <x:v>Bullet maturity and synthetic coupon anchor are disclosed development conventions.</x:v>
      </x:c>
      <x:c r="G17" s="154" t="str">
        <x:v>Servicer / trustee / loan records</x:v>
      </x:c>
    </x:row>
    <x:row r="18" ht="86" customHeight="1">
      <x:c r="A18" s="150"/>
      <x:c r="B18" s="150"/>
      <x:c r="C18" s="154" t="str">
        <x:v>Benchmarking / validation</x:v>
      </x:c>
      <x:c r="D18" s="154" t="str">
        <x:v>Fictional implementation tests</x:v>
      </x:c>
      <x:c r="E18" s="154" t="str">
        <x:v>Compare representative results against trusted agency / approved internal outputs, then validate full Excel recalculation in the FT runtime.</x:v>
      </x:c>
      <x:c r="F18" s="154" t="str">
        <x:v>Passing software tests is not rating-model calibration.</x:v>
      </x:c>
      <x:c r="G18" s="154" t="str">
        <x:v>docs/validation_report.md; FT approved local environment</x:v>
      </x:c>
    </x:row>
    <x:row r="19" ht="86" customHeight="1">
      <x:c r="A19" s="150"/>
      <x:c r="B19" s="150"/>
      <x:c r="C19" s="154" t="str">
        <x:v>New LLM / maintainer</x:v>
      </x:c>
      <x:c r="D19" s="154" t="str">
        <x:v>Documented handover</x:v>
      </x:c>
      <x:c r="E19" s="154" t="str">
        <x:v>Start with LLM_HANDOVER.md, then README, dictionaries, methodology and tests; preserve output/status boundaries.</x:v>
      </x:c>
      <x:c r="F19" s="154" t="str">
        <x:v>No real data uploads. No promotion of proxies to agency conclusions.</x:v>
      </x:c>
      <x:c r="G19" s="154" t="str">
        <x:v>docs/LLM_HANDOVER.md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9" hidden="0" customWidth="1"/>
    <x:col min="5" max="5" width="58" hidden="0" customWidth="1"/>
    <x:col min="6" max="6" width="53" hidden="0" customWidth="1"/>
    <x:col min="7" max="7" width="80" hidden="0" customWidth="1"/>
  </x:cols>
  <x:sheetData>
    <x:row r="1">
      <x:c r="A1" s="23"/>
      <x:c r="B1" s="23"/>
      <x:c r="C1" s="110" t="str">
        <x:v>Guide / source register</x:v>
      </x:c>
      <x:c r="D1" s="23"/>
      <x:c r="E1" s="23"/>
      <x:c r="F1" s="23"/>
      <x:c r="G1" s="23"/>
    </x:row>
    <x:row r="2">
      <x:c r="A2" s="23"/>
      <x:c r="B2" s="23"/>
      <x:c r="C2" s="24" t="str">
        <x:v>Methodology And Sources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Requirements are distinguished from supplied inputs, supported calculations and model gaps.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Component</x:v>
      </x:c>
      <x:c r="D7" s="7" t="str">
        <x:v>Implemented / result</x:v>
      </x:c>
      <x:c r="E7" s="7" t="str">
        <x:v>Inputs / dependency</x:v>
      </x:c>
      <x:c r="F7" s="7" t="str">
        <x:v>Gap or limitation</x:v>
      </x:c>
      <x:c r="G7" s="7" t="str">
        <x:v>Source</x:v>
      </x:c>
    </x:row>
    <x:row r="8" ht="73" customHeight="1">
      <x:c r="A8" s="23"/>
      <x:c r="B8" s="23"/>
      <x:c r="C8" s="33" t="str">
        <x:v>Core criteria version</x:v>
      </x:c>
      <x:c r="D8" s="33" t="str">
        <x:v>2019-06-21 / republished 2026-04-10</x:v>
      </x:c>
      <x:c r="E8" s="33" t="str">
        <x:v>User supplied 66-page PDF; current public S&amp;P page</x:v>
      </x:c>
      <x:c r="F8" s="33" t="str">
        <x:v>S&amp;P component basis. Fitch uses its own 1 June 2026 criteria and separate tabs</x:v>
      </x:c>
      <x:c r="G8" s="33" t="str">
        <x:v>https://www.spglobal.com/ratings/en/regulatory/article/-/view/sourceId/11020014</x:v>
      </x:c>
    </x:row>
    <x:row r="9" ht="73" customHeight="1">
      <x:c r="A9" s="150"/>
      <x:c r="B9" s="150"/>
      <x:c r="C9" s="33" t="str">
        <x:v>Portfolio credit analysis</x:v>
      </x:c>
      <x:c r="D9" s="33" t="str">
        <x:v>Composition, obligor concentration, weighted terms/spreads/recoveries</x:v>
      </x:c>
      <x:c r="E9" s="33" t="str">
        <x:v>Supplied issuer rating inputs, par, maturity, industry</x:v>
      </x:c>
      <x:c r="F9" s="33" t="str">
        <x:v>Published SPWARF factors implemented. CDO Evaluator distribution and full CDO Monitor remain outstanding</x:v>
      </x:c>
      <x:c r="G9" s="33" t="str">
        <x:v>https://www.spglobal.com/ratings/en/regulatory/article/-/view/sourceId/11020014 (paragraphs 68–101)</x:v>
      </x:c>
    </x:row>
    <x:row r="10" ht="73" customHeight="1">
      <x:c r="A10" s="150"/>
      <x:c r="B10" s="150"/>
      <x:c r="C10" s="33" t="str">
        <x:v>Scenario default rates</x:v>
      </x:c>
      <x:c r="D10" s="33" t="str">
        <x:v>Unavailable unless an external SDR is explicitly supplied</x:v>
      </x:c>
      <x:c r="E10" s="33" t="str">
        <x:v>CDO Evaluator input/output, approved credit mapping and documented portfolio hash</x:v>
      </x:c>
      <x:c r="F10" s="33" t="str">
        <x:v>No substitute percentile or concentration heuristic represented as S&amp;P SDR</x:v>
      </x:c>
      <x:c r="G10" s="33" t="str">
        <x:v>https://www.spglobal.com/ratings/en/regulatory/article/-/view/sourceId/11020014 (paragraphs 24–58)</x:v>
      </x:c>
    </x:row>
    <x:row r="11" ht="73" customHeight="1">
      <x:c r="A11" s="150"/>
      <x:c r="B11" s="150"/>
      <x:c r="C11" s="33" t="str">
        <x:v>Cash-flow default capacity</x:v>
      </x:c>
      <x:c r="D11" s="33" t="str">
        <x:v>Exploratory fixed-severity grid with first-failure brackets</x:v>
      </x:c>
      <x:c r="E11" s="33" t="str">
        <x:v>Facility cash flows, stated fictional deal terms and scenario paths</x:v>
      </x:c>
      <x:c r="F11" s="33" t="str">
        <x:v>Pro rata fractional defaults; not S&amp;P Cash Flow Evaluator output or agency BDR</x:v>
      </x:c>
      <x:c r="G11" s="33" t="str">
        <x:v>https://www.spglobal.com/ratings/en/regulatory/article/-/view/sourceId/11020014 (paragraphs 124–150)</x:v>
      </x:c>
    </x:row>
    <x:row r="12" ht="73" customHeight="1">
      <x:c r="A12" s="150"/>
      <x:c r="B12" s="150"/>
      <x:c r="C12" s="33" t="str">
        <x:v>Default timing</x:v>
      </x:c>
      <x:c r="D12" s="33" t="str">
        <x:v>Four five-year Table 20 patterns; quarterly allocation</x:v>
      </x:c>
      <x:c r="E12" s="33" t="str">
        <x:v>Annual weights / 4; original par default notional</x:v>
      </x:c>
      <x:c r="F12" s="33" t="str">
        <x:v>Review applicability for WAM outside 4–7 years and reinvesting portfolios</x:v>
      </x:c>
      <x:c r="G12" s="33" t="str">
        <x:v>https://www.spglobal.com/ratings/en/regulatory/article/-/view/sourceId/11020014 (Table 20, paragraphs 130–133)</x:v>
      </x:c>
    </x:row>
    <x:row r="13" ht="73" customHeight="1">
      <x:c r="A13" s="150"/>
      <x:c r="B13" s="150"/>
      <x:c r="C13" s="33" t="str">
        <x:v>Rates and prepayments</x:v>
      </x:c>
      <x:c r="D13" s="33" t="str">
        <x:v>Explicit editable quarterly rates and annual prepayment fractions</x:v>
      </x:c>
      <x:c r="E13" s="33" t="str">
        <x:v>Fictional low 0.5%, flat 3%, high 6% reference paths</x:v>
      </x:c>
      <x:c r="F13" s="33" t="str">
        <x:v>Calibrated five-path CIR stresses / forward curve absent; no benchmark basis model</x:v>
      </x:c>
      <x:c r="G13" s="33" t="str">
        <x:v>https://www.spglobal.com/ratings/en/regulatory/ratings-criteria</x:v>
      </x:c>
    </x:row>
    <x:row r="14" ht="73" customHeight="1">
      <x:c r="A14" s="150"/>
      <x:c r="B14" s="150"/>
      <x:c r="C14" s="33" t="str">
        <x:v>Largest obligor test</x:v>
      </x:c>
      <x:c r="D14" s="33" t="str">
        <x:v>Maximum loss across rating bands and prescribed counts</x:v>
      </x:c>
      <x:c r="E14" s="33" t="str">
        <x:v>Common-default obligor groups; 5% flat corporate recovery</x:v>
      </x:c>
      <x:c r="F14" s="33" t="str">
        <x:v>Performing corporate scope only; below CCC- and sovereigns excluded</x:v>
      </x:c>
      <x:c r="G14" s="33" t="str">
        <x:v>https://www.spglobal.com/ratings/en/regulatory/article/-/view/sourceId/11020014 (Table 4, paragraphs 156–161)</x:v>
      </x:c>
    </x:row>
    <x:row r="15" ht="73" customHeight="1">
      <x:c r="A15" s="150"/>
      <x:c r="B15" s="150"/>
      <x:c r="C15" s="33" t="str">
        <x:v>Largest industry tests</x:v>
      </x:c>
      <x:c r="D15" s="33" t="str">
        <x:v>Primary 17% recovery; alternative rating-band counts / 5% recovery</x:v>
      </x:c>
      <x:c r="E15" s="33" t="str">
        <x:v>Industry labels require reviewed official classification</x:v>
      </x:c>
      <x:c r="F15" s="33" t="str">
        <x:v>Primary OR alternative route. Loss amounts do not establish tranche sufficiency</x:v>
      </x:c>
      <x:c r="G15" s="33" t="str">
        <x:v>https://www.spglobal.com/ratings/en/regulatory/article/-/view/sourceId/11020014 (paragraphs 162–164)</x:v>
      </x:c>
    </x:row>
    <x:row r="16" ht="73" customHeight="1">
      <x:c r="A16" s="150"/>
      <x:c r="B16" s="150"/>
      <x:c r="C16" s="33" t="str">
        <x:v>Recovery assumptions</x:v>
      </x:c>
      <x:c r="D16" s="33" t="str">
        <x:v>Facility recovery_aaa used as supplied fictional stress inputs</x:v>
      </x:c>
      <x:c r="E16" s="33" t="str">
        <x:v>No silent replacement or automatic Table 15 selection</x:v>
      </x:c>
      <x:c r="F16" s="33" t="str">
        <x:v>Recovery-rating hierarchy, cov-lite status, debt cushion and jurisdiction mapping require review</x:v>
      </x:c>
      <x:c r="G16" s="33" t="str">
        <x:v>https://www.spglobal.com/ratings/en/regulatory/article/-/view/sourceId/11020014 (paragraphs 109–123)</x:v>
      </x:c>
    </x:row>
    <x:row r="17" ht="73" customHeight="1">
      <x:c r="A17" s="150"/>
      <x:c r="B17" s="150"/>
      <x:c r="C17" s="33" t="str">
        <x:v>Coverage tests</x:v>
      </x:c>
      <x:c r="D17" s="33" t="str">
        <x:v>Editable senior OC/IC, cash diversion and reinvestment stop</x:v>
      </x:c>
      <x:c r="E17" s="33" t="str">
        <x:v>Explicit simple performing-par numerator, optional recovery credit</x:v>
      </x:c>
      <x:c r="F17" s="33" t="str">
        <x:v>No CCC haircut, discounted-obligation adjustments, junior tests, or indenture-specific definitions</x:v>
      </x:c>
      <x:c r="G17" s="33" t="str">
        <x:v>Fictional development assumptions; see docs/cashflow_design.md</x:v>
      </x:c>
    </x:row>
    <x:row r="18" ht="73" customHeight="1">
      <x:c r="A18" s="150"/>
      <x:c r="B18" s="150"/>
      <x:c r="C18" s="33" t="str">
        <x:v>Coupons and maturity</x:v>
      </x:c>
      <x:c r="D18" s="33" t="str">
        <x:v>Quarterly/semiannual assets; quarterly notes; ACT/365</x:v>
      </x:c>
      <x:c r="E18" s="33" t="str">
        <x:v>Synthetic as-of coupon anchor; contractual bullet maturities</x:v>
      </x:c>
      <x:c r="F18" s="33" t="str">
        <x:v>No next-coupon dates, accrued purchase interest, day-count election or amortisation input</x:v>
      </x:c>
      <x:c r="G18" s="33" t="str">
        <x:v>Supplied schema + explicit fictional timing convention</x:v>
      </x:c>
    </x:row>
    <x:row r="19" ht="73" customHeight="1">
      <x:c r="A19" s="150"/>
      <x:c r="B19" s="150"/>
      <x:c r="C19" s="33" t="str">
        <x:v>Full rating scope</x:v>
      </x:c>
      <x:c r="D19" s="33" t="str">
        <x:v>AAA NOT DETERMINED</x:v>
      </x:c>
      <x:c r="E19" s="33" t="str">
        <x:v>Credit analysis + payment structure + counterparty/legal/operational review</x:v>
      </x:c>
      <x:c r="F19" s="33" t="str">
        <x:v>Qualitative/legal/manager/counterparty criteria not implemented</x:v>
      </x:c>
      <x:c r="G19" s="33" t="str">
        <x:v>https://www.spglobal.com/ratings/en/regulatory/article/-/view/sourceId/11020014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112" t="str">
        <x:v>Shared run baseline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Imported Portfolio Snapshot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Comparison baseline. Do not edit. Rebuild from CSV to change row 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1"/>
      <x:c r="T7" s="1"/>
      <x:c r="U7" s="1"/>
      <x:c r="V7" s="1"/>
      <x:c r="W7" s="1"/>
      <x:c r="X7" s="1"/>
      <x:c r="Y7" s="1"/>
    </x:row>
    <x:row r="8">
      <x:c r="A8" s="8" t="str">
        <x:v>SYN-LN-00001</x:v>
      </x:c>
      <x:c r="B8" s="8" t="str">
        <x:v>SYN-OB-0001</x:v>
      </x:c>
      <x:c r="C8" s="8" t="str">
        <x:v>Alder Holdings 001</x:v>
      </x:c>
      <x:c r="D8" s="9" t="n">
        <x:v>1182000</x:v>
      </x:c>
      <x:c r="E8" s="8" t="str">
        <x:v>BB-</x:v>
      </x:c>
      <x:c r="F8" s="8" t="str">
        <x:v>Hotels, Restaurants &amp; Leisure</x:v>
      </x:c>
      <x:c r="G8" s="8" t="str">
        <x:v>United States</x:v>
      </x:c>
      <x:c r="H8" s="8" t="str">
        <x:v>1st Lien</x:v>
      </x:c>
      <x:c r="I8" s="8" t="str">
        <x:v>Floating</x:v>
      </x:c>
      <x:c r="J8" s="8" t="n">
        <x:v>220</x:v>
      </x:c>
      <x:c r="K8" s="10"/>
      <x:c r="L8" s="8" t="n">
        <x:v>0</x:v>
      </x:c>
      <x:c r="M8" s="11" t="n">
        <x:v>48882</x:v>
      </x:c>
      <x:c r="N8" s="10" t="n">
        <x:v>0.395</x:v>
      </x:c>
      <x:c r="O8" s="12" t="n">
        <x:v>101.5</x:v>
      </x:c>
      <x:c r="P8" s="13" t="n">
        <x:v>4</x:v>
      </x:c>
      <x:c r="Q8" s="8" t="str">
        <x:v>USD</x:v>
      </x:c>
      <x:c r="R8" s="8" t="str">
        <x:v>SOFR</x:v>
      </x:c>
      <x:c r="S8" s="1"/>
      <x:c r="T8" s="1"/>
      <x:c r="U8" s="1"/>
      <x:c r="V8" s="1"/>
      <x:c r="W8" s="1"/>
      <x:c r="X8" s="1"/>
      <x:c r="Y8" s="1"/>
    </x:row>
    <x:row r="9">
      <x:c r="A9" s="8" t="str">
        <x:v>SYN-LN-00002</x:v>
      </x:c>
      <x:c r="B9" s="8" t="str">
        <x:v>SYN-OB-0002</x:v>
      </x:c>
      <x:c r="C9" s="8" t="str">
        <x:v>Amber Inc. 002</x:v>
      </x:c>
      <x:c r="D9" s="9" t="n">
        <x:v>586000</x:v>
      </x:c>
      <x:c r="E9" s="8" t="str">
        <x:v>BBB</x:v>
      </x:c>
      <x:c r="F9" s="8" t="str">
        <x:v>IT Services</x:v>
      </x:c>
      <x:c r="G9" s="8" t="str">
        <x:v>United Kingdom</x:v>
      </x:c>
      <x:c r="H9" s="8" t="str">
        <x:v>Sr Unsec</x:v>
      </x:c>
      <x:c r="I9" s="8" t="str">
        <x:v>Floating</x:v>
      </x:c>
      <x:c r="J9" s="8" t="n">
        <x:v>220</x:v>
      </x:c>
      <x:c r="K9" s="10"/>
      <x:c r="L9" s="8" t="n">
        <x:v>0</x:v>
      </x:c>
      <x:c r="M9" s="11" t="n">
        <x:v>47894</x:v>
      </x:c>
      <x:c r="N9" s="10" t="n">
        <x:v>0.2</x:v>
      </x:c>
      <x:c r="O9" s="12" t="n">
        <x:v>96.5</x:v>
      </x:c>
      <x:c r="P9" s="13" t="n">
        <x:v>4</x:v>
      </x:c>
      <x:c r="Q9" s="8" t="str">
        <x:v>USD</x:v>
      </x:c>
      <x:c r="R9" s="8" t="str">
        <x:v>SOFR</x:v>
      </x:c>
      <x:c r="S9" s="1"/>
      <x:c r="T9" s="1"/>
      <x:c r="U9" s="1"/>
      <x:c r="V9" s="1"/>
      <x:c r="W9" s="1"/>
      <x:c r="X9" s="1"/>
      <x:c r="Y9" s="1"/>
    </x:row>
    <x:row r="10">
      <x:c r="A10" s="8" t="str">
        <x:v>SYN-LN-00003</x:v>
      </x:c>
      <x:c r="B10" s="8" t="str">
        <x:v>SYN-OB-0003</x:v>
      </x:c>
      <x:c r="C10" s="8" t="str">
        <x:v>Arbor Corp. 003</x:v>
      </x:c>
      <x:c r="D10" s="9" t="n">
        <x:v>1182000</x:v>
      </x:c>
      <x:c r="E10" s="8" t="str">
        <x:v>B</x:v>
      </x:c>
      <x:c r="F10" s="8" t="str">
        <x:v>Industrial Conglomerates</x:v>
      </x:c>
      <x:c r="G10" s="8" t="str">
        <x:v>United States</x:v>
      </x:c>
      <x:c r="H10" s="8" t="str">
        <x:v>1st Lien</x:v>
      </x:c>
      <x:c r="I10" s="8" t="str">
        <x:v>Floating</x:v>
      </x:c>
      <x:c r="J10" s="8" t="n">
        <x:v>255</x:v>
      </x:c>
      <x:c r="K10" s="10"/>
      <x:c r="L10" s="8" t="n">
        <x:v>0</x:v>
      </x:c>
      <x:c r="M10" s="11" t="n">
        <x:v>48319</x:v>
      </x:c>
      <x:c r="N10" s="10" t="n">
        <x:v>0.405</x:v>
      </x:c>
      <x:c r="O10" s="12" t="n">
        <x:v>100.25</x:v>
      </x:c>
      <x:c r="P10" s="13" t="n">
        <x:v>4</x:v>
      </x:c>
      <x:c r="Q10" s="8" t="str">
        <x:v>USD</x:v>
      </x:c>
      <x:c r="R10" s="8" t="str">
        <x:v>SOFR</x:v>
      </x:c>
      <x:c r="S10" s="1"/>
      <x:c r="T10" s="1"/>
      <x:c r="U10" s="1"/>
      <x:c r="V10" s="1"/>
      <x:c r="W10" s="1"/>
      <x:c r="X10" s="1"/>
      <x:c r="Y10" s="1"/>
    </x:row>
    <x:row r="11">
      <x:c r="A11" s="8" t="str">
        <x:v>SYN-LN-00004</x:v>
      </x:c>
      <x:c r="B11" s="8" t="str">
        <x:v>SYN-OB-0004</x:v>
      </x:c>
      <x:c r="C11" s="8" t="str">
        <x:v>Atlas Group 004</x:v>
      </x:c>
      <x:c r="D11" s="9" t="n">
        <x:v>1182000</x:v>
      </x:c>
      <x:c r="E11" s="8" t="str">
        <x:v>B-</x:v>
      </x:c>
      <x:c r="F11" s="8" t="str">
        <x:v>Financial services</x:v>
      </x:c>
      <x:c r="G11" s="8" t="str">
        <x:v>United States</x:v>
      </x:c>
      <x:c r="H11" s="8" t="str">
        <x:v>1st Lien</x:v>
      </x:c>
      <x:c r="I11" s="8" t="str">
        <x:v>Floating</x:v>
      </x:c>
      <x:c r="J11" s="8" t="n">
        <x:v>575</x:v>
      </x:c>
      <x:c r="K11" s="10"/>
      <x:c r="L11" s="8" t="n">
        <x:v>0</x:v>
      </x:c>
      <x:c r="M11" s="11" t="n">
        <x:v>47968</x:v>
      </x:c>
      <x:c r="N11" s="10" t="n">
        <x:v>0.305</x:v>
      </x:c>
      <x:c r="O11" s="12" t="n">
        <x:v>101.25</x:v>
      </x:c>
      <x:c r="P11" s="13" t="n">
        <x:v>4</x:v>
      </x:c>
      <x:c r="Q11" s="8" t="str">
        <x:v>USD</x:v>
      </x:c>
      <x:c r="R11" s="8" t="str">
        <x:v>SOFR</x:v>
      </x:c>
      <x:c r="S11" s="1"/>
      <x:c r="T11" s="1"/>
      <x:c r="U11" s="1"/>
      <x:c r="V11" s="1"/>
      <x:c r="W11" s="1"/>
      <x:c r="X11" s="1"/>
      <x:c r="Y11" s="1"/>
    </x:row>
    <x:row r="12">
      <x:c r="A12" s="8" t="str">
        <x:v>SYN-LN-00005</x:v>
      </x:c>
      <x:c r="B12" s="8" t="str">
        <x:v>SYN-OB-0005</x:v>
      </x:c>
      <x:c r="C12" s="8" t="str">
        <x:v>Beacon LLC 005</x:v>
      </x:c>
      <x:c r="D12" s="9" t="n">
        <x:v>1182000</x:v>
      </x:c>
      <x:c r="E12" s="8" t="str">
        <x:v>B</x:v>
      </x:c>
      <x:c r="F12" s="8" t="str">
        <x:v>Healthcare Providers &amp; Services</x:v>
      </x:c>
      <x:c r="G12" s="8" t="str">
        <x:v>United States</x:v>
      </x:c>
      <x:c r="H12" s="8" t="str">
        <x:v>1st Lien</x:v>
      </x:c>
      <x:c r="I12" s="8" t="str">
        <x:v>Floating</x:v>
      </x:c>
      <x:c r="J12" s="8" t="n">
        <x:v>195</x:v>
      </x:c>
      <x:c r="K12" s="10"/>
      <x:c r="L12" s="8" t="n">
        <x:v>0</x:v>
      </x:c>
      <x:c r="M12" s="11" t="n">
        <x:v>47937</x:v>
      </x:c>
      <x:c r="N12" s="10" t="n">
        <x:v>0.36</x:v>
      </x:c>
      <x:c r="O12" s="12" t="n">
        <x:v>96.75</x:v>
      </x:c>
      <x:c r="P12" s="13" t="n">
        <x:v>4</x:v>
      </x:c>
      <x:c r="Q12" s="8" t="str">
        <x:v>USD</x:v>
      </x:c>
      <x:c r="R12" s="8" t="str">
        <x:v>SOFR</x:v>
      </x:c>
      <x:c r="S12" s="1"/>
      <x:c r="T12" s="1"/>
      <x:c r="U12" s="1"/>
      <x:c r="V12" s="1"/>
      <x:c r="W12" s="1"/>
      <x:c r="X12" s="1"/>
      <x:c r="Y12" s="1"/>
    </x:row>
    <x:row r="13">
      <x:c r="A13" s="8" t="str">
        <x:v>SYN-LN-00006</x:v>
      </x:c>
      <x:c r="B13" s="8" t="str">
        <x:v>SYN-OB-0006</x:v>
      </x:c>
      <x:c r="C13" s="8" t="str">
        <x:v>Bluewater Holdings 006</x:v>
      </x:c>
      <x:c r="D13" s="9" t="n">
        <x:v>1182000</x:v>
      </x:c>
      <x:c r="E13" s="8" t="str">
        <x:v>B</x:v>
      </x:c>
      <x:c r="F13" s="8" t="str">
        <x:v>Chemicals</x:v>
      </x:c>
      <x:c r="G13" s="8" t="str">
        <x:v>United States</x:v>
      </x:c>
      <x:c r="H13" s="8" t="str">
        <x:v>1st Lien</x:v>
      </x:c>
      <x:c r="I13" s="8" t="str">
        <x:v>Floating</x:v>
      </x:c>
      <x:c r="J13" s="8" t="n">
        <x:v>325</x:v>
      </x:c>
      <x:c r="K13" s="10"/>
      <x:c r="L13" s="8" t="n">
        <x:v>0</x:v>
      </x:c>
      <x:c r="M13" s="11" t="n">
        <x:v>48594</x:v>
      </x:c>
      <x:c r="N13" s="10" t="n">
        <x:v>0.43</x:v>
      </x:c>
      <x:c r="O13" s="12" t="n">
        <x:v>99</x:v>
      </x:c>
      <x:c r="P13" s="13" t="n">
        <x:v>4</x:v>
      </x:c>
      <x:c r="Q13" s="8" t="str">
        <x:v>USD</x:v>
      </x:c>
      <x:c r="R13" s="8" t="str">
        <x:v>SOFR</x:v>
      </x:c>
      <x:c r="S13" s="1"/>
      <x:c r="T13" s="1"/>
      <x:c r="U13" s="1"/>
      <x:c r="V13" s="1"/>
      <x:c r="W13" s="1"/>
      <x:c r="X13" s="1"/>
      <x:c r="Y13" s="1"/>
    </x:row>
    <x:row r="14">
      <x:c r="A14" s="8" t="str">
        <x:v>SYN-LN-00007</x:v>
      </x:c>
      <x:c r="B14" s="8" t="str">
        <x:v>SYN-OB-0007</x:v>
      </x:c>
      <x:c r="C14" s="8" t="str">
        <x:v>Bracken Inc. 007</x:v>
      </x:c>
      <x:c r="D14" s="9" t="n">
        <x:v>1182000</x:v>
      </x:c>
      <x:c r="E14" s="8" t="str">
        <x:v>B</x:v>
      </x:c>
      <x:c r="F14" s="8" t="str">
        <x:v>Building Products</x:v>
      </x:c>
      <x:c r="G14" s="8" t="str">
        <x:v>United States</x:v>
      </x:c>
      <x:c r="H14" s="8" t="str">
        <x:v>1st Lien</x:v>
      </x:c>
      <x:c r="I14" s="8" t="str">
        <x:v>Floating</x:v>
      </x:c>
      <x:c r="J14" s="8" t="n">
        <x:v>290</x:v>
      </x:c>
      <x:c r="K14" s="10"/>
      <x:c r="L14" s="8" t="n">
        <x:v>0</x:v>
      </x:c>
      <x:c r="M14" s="11" t="n">
        <x:v>47133</x:v>
      </x:c>
      <x:c r="N14" s="10" t="n">
        <x:v>0.45</x:v>
      </x:c>
      <x:c r="O14" s="12" t="n">
        <x:v>99.5</x:v>
      </x:c>
      <x:c r="P14" s="13" t="n">
        <x:v>4</x:v>
      </x:c>
      <x:c r="Q14" s="8" t="str">
        <x:v>USD</x:v>
      </x:c>
      <x:c r="R14" s="8" t="str">
        <x:v>SOFR</x:v>
      </x:c>
      <x:c r="S14" s="1"/>
      <x:c r="T14" s="1"/>
      <x:c r="U14" s="1"/>
      <x:c r="V14" s="1"/>
      <x:c r="W14" s="1"/>
      <x:c r="X14" s="1"/>
      <x:c r="Y14" s="1"/>
    </x:row>
    <x:row r="15">
      <x:c r="A15" s="8" t="str">
        <x:v>SYN-LN-00008</x:v>
      </x:c>
      <x:c r="B15" s="8" t="str">
        <x:v>SYN-OB-0008</x:v>
      </x:c>
      <x:c r="C15" s="8" t="str">
        <x:v>Cedar Corp. 008</x:v>
      </x:c>
      <x:c r="D15" s="9" t="n">
        <x:v>1182000</x:v>
      </x:c>
      <x:c r="E15" s="8" t="str">
        <x:v>B+</x:v>
      </x:c>
      <x:c r="F15" s="8" t="str">
        <x:v>Industrial Conglomerates</x:v>
      </x:c>
      <x:c r="G15" s="8" t="str">
        <x:v>United States</x:v>
      </x:c>
      <x:c r="H15" s="8" t="str">
        <x:v>1st Lien</x:v>
      </x:c>
      <x:c r="I15" s="8" t="str">
        <x:v>Floating</x:v>
      </x:c>
      <x:c r="J15" s="8" t="n">
        <x:v>110</x:v>
      </x:c>
      <x:c r="K15" s="10"/>
      <x:c r="L15" s="8" t="n">
        <x:v>0</x:v>
      </x:c>
      <x:c r="M15" s="11" t="n">
        <x:v>48517</x:v>
      </x:c>
      <x:c r="N15" s="10" t="n">
        <x:v>0.49</x:v>
      </x:c>
      <x:c r="O15" s="12" t="n">
        <x:v>98.5</x:v>
      </x:c>
      <x:c r="P15" s="13" t="n">
        <x:v>4</x:v>
      </x:c>
      <x:c r="Q15" s="8" t="str">
        <x:v>USD</x:v>
      </x:c>
      <x:c r="R15" s="8" t="str">
        <x:v>SOFR</x:v>
      </x:c>
      <x:c r="S15" s="1"/>
      <x:c r="T15" s="1"/>
      <x:c r="U15" s="1"/>
      <x:c r="V15" s="1"/>
      <x:c r="W15" s="1"/>
      <x:c r="X15" s="1"/>
      <x:c r="Y15" s="1"/>
    </x:row>
    <x:row r="16">
      <x:c r="A16" s="8" t="str">
        <x:v>SYN-LN-00009</x:v>
      </x:c>
      <x:c r="B16" s="8" t="str">
        <x:v>SYN-OB-0009</x:v>
      </x:c>
      <x:c r="C16" s="8" t="str">
        <x:v>Cobalt Group 009</x:v>
      </x:c>
      <x:c r="D16" s="9" t="n">
        <x:v>1182000</x:v>
      </x:c>
      <x:c r="E16" s="8" t="str">
        <x:v>BB-</x:v>
      </x:c>
      <x:c r="F16" s="8" t="str">
        <x:v>Diversified Telecommunication Services</x:v>
      </x:c>
      <x:c r="G16" s="8" t="str">
        <x:v>United States</x:v>
      </x:c>
      <x:c r="H16" s="8" t="str">
        <x:v>1st Lien</x:v>
      </x:c>
      <x:c r="I16" s="8" t="str">
        <x:v>Floating</x:v>
      </x:c>
      <x:c r="J16" s="8" t="n">
        <x:v>330</x:v>
      </x:c>
      <x:c r="K16" s="10"/>
      <x:c r="L16" s="8" t="n">
        <x:v>0</x:v>
      </x:c>
      <x:c r="M16" s="11" t="n">
        <x:v>48745</x:v>
      </x:c>
      <x:c r="N16" s="10" t="n">
        <x:v>0.2</x:v>
      </x:c>
      <x:c r="O16" s="12" t="n">
        <x:v>99.75</x:v>
      </x:c>
      <x:c r="P16" s="13" t="n">
        <x:v>4</x:v>
      </x:c>
      <x:c r="Q16" s="8" t="str">
        <x:v>USD</x:v>
      </x:c>
      <x:c r="R16" s="8" t="str">
        <x:v>SOFR</x:v>
      </x:c>
      <x:c r="S16" s="1"/>
      <x:c r="T16" s="1"/>
      <x:c r="U16" s="1"/>
      <x:c r="V16" s="1"/>
      <x:c r="W16" s="1"/>
      <x:c r="X16" s="1"/>
      <x:c r="Y16" s="1"/>
    </x:row>
    <x:row r="17">
      <x:c r="A17" s="8" t="str">
        <x:v>SYN-LN-00010</x:v>
      </x:c>
      <x:c r="B17" s="8" t="str">
        <x:v>SYN-OB-0010</x:v>
      </x:c>
      <x:c r="C17" s="8" t="str">
        <x:v>Copper LLC 010</x:v>
      </x:c>
      <x:c r="D17" s="9" t="n">
        <x:v>1182000</x:v>
      </x:c>
      <x:c r="E17" s="8" t="str">
        <x:v>BB</x:v>
      </x:c>
      <x:c r="F17" s="8" t="str">
        <x:v>Commercial Services &amp; Supplies</x:v>
      </x:c>
      <x:c r="G17" s="8" t="str">
        <x:v>United States</x:v>
      </x:c>
      <x:c r="H17" s="8" t="str">
        <x:v>1st Lien</x:v>
      </x:c>
      <x:c r="I17" s="8" t="str">
        <x:v>Floating</x:v>
      </x:c>
      <x:c r="J17" s="8" t="n">
        <x:v>205</x:v>
      </x:c>
      <x:c r="K17" s="10"/>
      <x:c r="L17" s="8" t="n">
        <x:v>0</x:v>
      </x:c>
      <x:c r="M17" s="11" t="n">
        <x:v>48151</x:v>
      </x:c>
      <x:c r="N17" s="10" t="n">
        <x:v>0.525</x:v>
      </x:c>
      <x:c r="O17" s="12" t="n">
        <x:v>100.375</x:v>
      </x:c>
      <x:c r="P17" s="13" t="n">
        <x:v>4</x:v>
      </x:c>
      <x:c r="Q17" s="8" t="str">
        <x:v>USD</x:v>
      </x:c>
      <x:c r="R17" s="8" t="str">
        <x:v>SOFR</x:v>
      </x:c>
      <x:c r="S17" s="1"/>
      <x:c r="T17" s="1"/>
      <x:c r="U17" s="1"/>
      <x:c r="V17" s="1"/>
      <x:c r="W17" s="1"/>
      <x:c r="X17" s="1"/>
      <x:c r="Y17" s="1"/>
    </x:row>
    <x:row r="18">
      <x:c r="A18" s="8" t="str">
        <x:v>SYN-LN-00011</x:v>
      </x:c>
      <x:c r="B18" s="8" t="str">
        <x:v>SYN-OB-0011</x:v>
      </x:c>
      <x:c r="C18" s="8" t="str">
        <x:v>Crest Holdings 011</x:v>
      </x:c>
      <x:c r="D18" s="9" t="n">
        <x:v>570000</x:v>
      </x:c>
      <x:c r="E18" s="8" t="str">
        <x:v>B+</x:v>
      </x:c>
      <x:c r="F18" s="8" t="str">
        <x:v>Commercial Services &amp; Supplies</x:v>
      </x:c>
      <x:c r="G18" s="8" t="str">
        <x:v>United States</x:v>
      </x:c>
      <x:c r="H18" s="8" t="str">
        <x:v>1st Lien</x:v>
      </x:c>
      <x:c r="I18" s="8" t="str">
        <x:v>Floating</x:v>
      </x:c>
      <x:c r="J18" s="8" t="n">
        <x:v>130</x:v>
      </x:c>
      <x:c r="K18" s="10"/>
      <x:c r="L18" s="8" t="n">
        <x:v>0</x:v>
      </x:c>
      <x:c r="M18" s="11" t="n">
        <x:v>48867</x:v>
      </x:c>
      <x:c r="N18" s="10" t="n">
        <x:v>0.395</x:v>
      </x:c>
      <x:c r="O18" s="12" t="n">
        <x:v>100.125</x:v>
      </x:c>
      <x:c r="P18" s="13" t="n">
        <x:v>4</x:v>
      </x:c>
      <x:c r="Q18" s="8" t="str">
        <x:v>USD</x:v>
      </x:c>
      <x:c r="R18" s="8" t="str">
        <x:v>SOFR</x:v>
      </x:c>
      <x:c r="S18" s="1"/>
      <x:c r="T18" s="1"/>
      <x:c r="U18" s="1"/>
      <x:c r="V18" s="1"/>
      <x:c r="W18" s="1"/>
      <x:c r="X18" s="1"/>
      <x:c r="Y18" s="1"/>
    </x:row>
    <x:row r="19">
      <x:c r="A19" s="8" t="str">
        <x:v>SYN-LN-00012</x:v>
      </x:c>
      <x:c r="B19" s="8" t="str">
        <x:v>SYN-OB-0011</x:v>
      </x:c>
      <x:c r="C19" s="8" t="str">
        <x:v>Crest Holdings 011</x:v>
      </x:c>
      <x:c r="D19" s="9" t="n">
        <x:v>612000</x:v>
      </x:c>
      <x:c r="E19" s="8" t="str">
        <x:v>B+</x:v>
      </x:c>
      <x:c r="F19" s="8" t="str">
        <x:v>Commercial Services &amp; Supplies</x:v>
      </x:c>
      <x:c r="G19" s="8" t="str">
        <x:v>United States</x:v>
      </x:c>
      <x:c r="H19" s="8" t="str">
        <x:v>1st Lien</x:v>
      </x:c>
      <x:c r="I19" s="8" t="str">
        <x:v>Floating</x:v>
      </x:c>
      <x:c r="J19" s="8" t="n">
        <x:v>140</x:v>
      </x:c>
      <x:c r="K19" s="10"/>
      <x:c r="L19" s="8" t="n">
        <x:v>0</x:v>
      </x:c>
      <x:c r="M19" s="11" t="n">
        <x:v>48928</x:v>
      </x:c>
      <x:c r="N19" s="10" t="n">
        <x:v>0.395</x:v>
      </x:c>
      <x:c r="O19" s="12" t="n">
        <x:v>100.25</x:v>
      </x:c>
      <x:c r="P19" s="13" t="n">
        <x:v>4</x:v>
      </x:c>
      <x:c r="Q19" s="8" t="str">
        <x:v>USD</x:v>
      </x:c>
      <x:c r="R19" s="8" t="str">
        <x:v>SOFR</x:v>
      </x:c>
      <x:c r="S19" s="1"/>
      <x:c r="T19" s="1"/>
      <x:c r="U19" s="1"/>
      <x:c r="V19" s="1"/>
      <x:c r="W19" s="1"/>
      <x:c r="X19" s="1"/>
      <x:c r="Y19" s="1"/>
    </x:row>
    <x:row r="20">
      <x:c r="A20" s="8" t="str">
        <x:v>SYN-LN-00013</x:v>
      </x:c>
      <x:c r="B20" s="8" t="str">
        <x:v>SYN-OB-0012</x:v>
      </x:c>
      <x:c r="C20" s="8" t="str">
        <x:v>Duneland Inc. 012</x:v>
      </x:c>
      <x:c r="D20" s="9" t="n">
        <x:v>650000</x:v>
      </x:c>
      <x:c r="E20" s="8" t="str">
        <x:v>B+</x:v>
      </x:c>
      <x:c r="F20" s="8" t="str">
        <x:v>Industrial Conglomerates</x:v>
      </x:c>
      <x:c r="G20" s="8" t="str">
        <x:v>United States</x:v>
      </x:c>
      <x:c r="H20" s="8" t="str">
        <x:v>1st Lien</x:v>
      </x:c>
      <x:c r="I20" s="8" t="str">
        <x:v>Floating</x:v>
      </x:c>
      <x:c r="J20" s="8" t="n">
        <x:v>280</x:v>
      </x:c>
      <x:c r="K20" s="10"/>
      <x:c r="L20" s="8" t="n">
        <x:v>50</x:v>
      </x:c>
      <x:c r="M20" s="11" t="n">
        <x:v>48014</x:v>
      </x:c>
      <x:c r="N20" s="10" t="n">
        <x:v>0.285</x:v>
      </x:c>
      <x:c r="O20" s="12" t="n">
        <x:v>99.625</x:v>
      </x:c>
      <x:c r="P20" s="13" t="n">
        <x:v>4</x:v>
      </x:c>
      <x:c r="Q20" s="8" t="str">
        <x:v>USD</x:v>
      </x:c>
      <x:c r="R20" s="8" t="str">
        <x:v>SOFR</x:v>
      </x:c>
      <x:c r="S20" s="1"/>
      <x:c r="T20" s="1"/>
      <x:c r="U20" s="1"/>
      <x:c r="V20" s="1"/>
      <x:c r="W20" s="1"/>
      <x:c r="X20" s="1"/>
      <x:c r="Y20" s="1"/>
    </x:row>
    <x:row r="21">
      <x:c r="A21" s="8" t="str">
        <x:v>SYN-LN-00014</x:v>
      </x:c>
      <x:c r="B21" s="8" t="str">
        <x:v>SYN-OB-0012</x:v>
      </x:c>
      <x:c r="C21" s="8" t="str">
        <x:v>Duneland Inc. 012</x:v>
      </x:c>
      <x:c r="D21" s="9" t="n">
        <x:v>532000</x:v>
      </x:c>
      <x:c r="E21" s="8" t="str">
        <x:v>B+</x:v>
      </x:c>
      <x:c r="F21" s="8" t="str">
        <x:v>Industrial Conglomerates</x:v>
      </x:c>
      <x:c r="G21" s="8" t="str">
        <x:v>United States</x:v>
      </x:c>
      <x:c r="H21" s="8" t="str">
        <x:v>1st Lien</x:v>
      </x:c>
      <x:c r="I21" s="8" t="str">
        <x:v>Floating</x:v>
      </x:c>
      <x:c r="J21" s="8" t="n">
        <x:v>290</x:v>
      </x:c>
      <x:c r="K21" s="10"/>
      <x:c r="L21" s="8" t="n">
        <x:v>0</x:v>
      </x:c>
      <x:c r="M21" s="11" t="n">
        <x:v>48088</x:v>
      </x:c>
      <x:c r="N21" s="10" t="n">
        <x:v>0.285</x:v>
      </x:c>
      <x:c r="O21" s="12" t="n">
        <x:v>99.75</x:v>
      </x:c>
      <x:c r="P21" s="13" t="n">
        <x:v>4</x:v>
      </x:c>
      <x:c r="Q21" s="8" t="str">
        <x:v>USD</x:v>
      </x:c>
      <x:c r="R21" s="8" t="str">
        <x:v>SOFR</x:v>
      </x:c>
      <x:c r="S21" s="1"/>
      <x:c r="T21" s="1"/>
      <x:c r="U21" s="1"/>
      <x:c r="V21" s="1"/>
      <x:c r="W21" s="1"/>
      <x:c r="X21" s="1"/>
      <x:c r="Y21" s="1"/>
    </x:row>
    <x:row r="22">
      <x:c r="A22" s="8" t="str">
        <x:v>SYN-LN-00015</x:v>
      </x:c>
      <x:c r="B22" s="8" t="str">
        <x:v>SYN-OB-0013</x:v>
      </x:c>
      <x:c r="C22" s="8" t="str">
        <x:v>Elmstone Corp. 013</x:v>
      </x:c>
      <x:c r="D22" s="9" t="n">
        <x:v>1182000</x:v>
      </x:c>
      <x:c r="E22" s="8" t="str">
        <x:v>BB</x:v>
      </x:c>
      <x:c r="F22" s="8" t="str">
        <x:v>Construction Materials</x:v>
      </x:c>
      <x:c r="G22" s="8" t="str">
        <x:v>United States</x:v>
      </x:c>
      <x:c r="H22" s="8" t="str">
        <x:v>1st Lien</x:v>
      </x:c>
      <x:c r="I22" s="8" t="str">
        <x:v>Floating</x:v>
      </x:c>
      <x:c r="J22" s="8" t="n">
        <x:v>195</x:v>
      </x:c>
      <x:c r="K22" s="10"/>
      <x:c r="L22" s="8" t="n">
        <x:v>0</x:v>
      </x:c>
      <x:c r="M22" s="11" t="n">
        <x:v>48027</x:v>
      </x:c>
      <x:c r="N22" s="10" t="n">
        <x:v>0.315</x:v>
      </x:c>
      <x:c r="O22" s="12" t="n">
        <x:v>99.25</x:v>
      </x:c>
      <x:c r="P22" s="13" t="n">
        <x:v>4</x:v>
      </x:c>
      <x:c r="Q22" s="8" t="str">
        <x:v>USD</x:v>
      </x:c>
      <x:c r="R22" s="8" t="str">
        <x:v>SOFR</x:v>
      </x:c>
      <x:c r="S22" s="1"/>
      <x:c r="T22" s="1"/>
      <x:c r="U22" s="1"/>
      <x:c r="V22" s="1"/>
      <x:c r="W22" s="1"/>
      <x:c r="X22" s="1"/>
      <x:c r="Y22" s="1"/>
    </x:row>
    <x:row r="23">
      <x:c r="A23" s="8" t="str">
        <x:v>SYN-LN-00016</x:v>
      </x:c>
      <x:c r="B23" s="8" t="str">
        <x:v>SYN-OB-0014</x:v>
      </x:c>
      <x:c r="C23" s="8" t="str">
        <x:v>Evergreen Group 014</x:v>
      </x:c>
      <x:c r="D23" s="9" t="n">
        <x:v>1182000</x:v>
      </x:c>
      <x:c r="E23" s="8" t="str">
        <x:v>BB-</x:v>
      </x:c>
      <x:c r="F23" s="8" t="str">
        <x:v>Hotels, Restaurants &amp; Leisure</x:v>
      </x:c>
      <x:c r="G23" s="8" t="str">
        <x:v>United States</x:v>
      </x:c>
      <x:c r="H23" s="8" t="str">
        <x:v>1st Lien</x:v>
      </x:c>
      <x:c r="I23" s="8" t="str">
        <x:v>Floating</x:v>
      </x:c>
      <x:c r="J23" s="8" t="n">
        <x:v>215</x:v>
      </x:c>
      <x:c r="K23" s="10"/>
      <x:c r="L23" s="8" t="n">
        <x:v>0</x:v>
      </x:c>
      <x:c r="M23" s="11" t="n">
        <x:v>48288</x:v>
      </x:c>
      <x:c r="N23" s="10" t="n">
        <x:v>0.725</x:v>
      </x:c>
      <x:c r="O23" s="12" t="n">
        <x:v>98.125</x:v>
      </x:c>
      <x:c r="P23" s="13" t="n">
        <x:v>4</x:v>
      </x:c>
      <x:c r="Q23" s="8" t="str">
        <x:v>USD</x:v>
      </x:c>
      <x:c r="R23" s="8" t="str">
        <x:v>SOFR</x:v>
      </x:c>
      <x:c r="S23" s="1"/>
      <x:c r="T23" s="1"/>
      <x:c r="U23" s="1"/>
      <x:c r="V23" s="1"/>
      <x:c r="W23" s="1"/>
      <x:c r="X23" s="1"/>
      <x:c r="Y23" s="1"/>
    </x:row>
    <x:row r="24">
      <x:c r="A24" s="8" t="str">
        <x:v>SYN-LN-00017</x:v>
      </x:c>
      <x:c r="B24" s="8" t="str">
        <x:v>SYN-OB-0015</x:v>
      </x:c>
      <x:c r="C24" s="8" t="str">
        <x:v>Fairhaven LLC 015</x:v>
      </x:c>
      <x:c r="D24" s="9" t="n">
        <x:v>630000</x:v>
      </x:c>
      <x:c r="E24" s="8" t="str">
        <x:v>BB-</x:v>
      </x:c>
      <x:c r="F24" s="8" t="str">
        <x:v>Beverages</x:v>
      </x:c>
      <x:c r="G24" s="8" t="str">
        <x:v>Switzerland</x:v>
      </x:c>
      <x:c r="H24" s="8" t="str">
        <x:v>Sr Secured</x:v>
      </x:c>
      <x:c r="I24" s="8" t="str">
        <x:v>Fixed</x:v>
      </x:c>
      <x:c r="J24" s="8"/>
      <x:c r="K24" s="10" t="n">
        <x:v>0.0455</x:v>
      </x:c>
      <x:c r="L24" s="8"/>
      <x:c r="M24" s="11" t="n">
        <x:v>49003</x:v>
      </x:c>
      <x:c r="N24" s="10" t="n">
        <x:v>0.325</x:v>
      </x:c>
      <x:c r="O24" s="12" t="n">
        <x:v>99</x:v>
      </x:c>
      <x:c r="P24" s="13" t="n">
        <x:v>2</x:v>
      </x:c>
      <x:c r="Q24" s="8" t="str">
        <x:v>USD</x:v>
      </x:c>
      <x:c r="R24" s="8"/>
      <x:c r="S24" s="1"/>
      <x:c r="T24" s="1"/>
      <x:c r="U24" s="1"/>
      <x:c r="V24" s="1"/>
      <x:c r="W24" s="1"/>
      <x:c r="X24" s="1"/>
      <x:c r="Y24" s="1"/>
    </x:row>
    <x:row r="25">
      <x:c r="A25" s="8" t="str">
        <x:v>SYN-LN-00018</x:v>
      </x:c>
      <x:c r="B25" s="8" t="str">
        <x:v>SYN-OB-0016</x:v>
      </x:c>
      <x:c r="C25" s="8" t="str">
        <x:v>Granite Holdings 016</x:v>
      </x:c>
      <x:c r="D25" s="9" t="n">
        <x:v>1182000</x:v>
      </x:c>
      <x:c r="E25" s="8" t="str">
        <x:v>BB</x:v>
      </x:c>
      <x:c r="F25" s="8" t="str">
        <x:v>Banks</x:v>
      </x:c>
      <x:c r="G25" s="8" t="str">
        <x:v>United States</x:v>
      </x:c>
      <x:c r="H25" s="8" t="str">
        <x:v>1st Lien</x:v>
      </x:c>
      <x:c r="I25" s="8" t="str">
        <x:v>Floating</x:v>
      </x:c>
      <x:c r="J25" s="8" t="n">
        <x:v>285</x:v>
      </x:c>
      <x:c r="K25" s="10"/>
      <x:c r="L25" s="8" t="n">
        <x:v>0</x:v>
      </x:c>
      <x:c r="M25" s="11" t="n">
        <x:v>47710</x:v>
      </x:c>
      <x:c r="N25" s="10" t="n">
        <x:v>0.45</x:v>
      </x:c>
      <x:c r="O25" s="12" t="n">
        <x:v>101.5</x:v>
      </x:c>
      <x:c r="P25" s="13" t="n">
        <x:v>4</x:v>
      </x:c>
      <x:c r="Q25" s="8" t="str">
        <x:v>USD</x:v>
      </x:c>
      <x:c r="R25" s="8" t="str">
        <x:v>SOFR</x:v>
      </x:c>
      <x:c r="S25" s="1"/>
      <x:c r="T25" s="1"/>
      <x:c r="U25" s="1"/>
      <x:c r="V25" s="1"/>
      <x:c r="W25" s="1"/>
      <x:c r="X25" s="1"/>
      <x:c r="Y25" s="1"/>
    </x:row>
    <x:row r="26">
      <x:c r="A26" s="8" t="str">
        <x:v>SYN-LN-00019</x:v>
      </x:c>
      <x:c r="B26" s="8" t="str">
        <x:v>SYN-OB-0017</x:v>
      </x:c>
      <x:c r="C26" s="8" t="str">
        <x:v>Harbor Inc. 017</x:v>
      </x:c>
      <x:c r="D26" s="9" t="n">
        <x:v>1182000</x:v>
      </x:c>
      <x:c r="E26" s="8" t="str">
        <x:v>B-</x:v>
      </x:c>
      <x:c r="F26" s="8" t="str">
        <x:v>Transportation Infrastructure</x:v>
      </x:c>
      <x:c r="G26" s="8" t="str">
        <x:v>United States</x:v>
      </x:c>
      <x:c r="H26" s="8" t="str">
        <x:v>1st Lien</x:v>
      </x:c>
      <x:c r="I26" s="8" t="str">
        <x:v>Floating</x:v>
      </x:c>
      <x:c r="J26" s="8" t="n">
        <x:v>280</x:v>
      </x:c>
      <x:c r="K26" s="10"/>
      <x:c r="L26" s="8" t="n">
        <x:v>0</x:v>
      </x:c>
      <x:c r="M26" s="11" t="n">
        <x:v>48349</x:v>
      </x:c>
      <x:c r="N26" s="10" t="n">
        <x:v>0.235</x:v>
      </x:c>
      <x:c r="O26" s="12" t="n">
        <x:v>95.375</x:v>
      </x:c>
      <x:c r="P26" s="13" t="n">
        <x:v>4</x:v>
      </x:c>
      <x:c r="Q26" s="8" t="str">
        <x:v>USD</x:v>
      </x:c>
      <x:c r="R26" s="8" t="str">
        <x:v>SOFR</x:v>
      </x:c>
      <x:c r="S26" s="1"/>
      <x:c r="T26" s="1"/>
      <x:c r="U26" s="1"/>
      <x:c r="V26" s="1"/>
      <x:c r="W26" s="1"/>
      <x:c r="X26" s="1"/>
      <x:c r="Y26" s="1"/>
    </x:row>
    <x:row r="27">
      <x:c r="A27" s="8" t="str">
        <x:v>SYN-LN-00020</x:v>
      </x:c>
      <x:c r="B27" s="8" t="str">
        <x:v>SYN-OB-0018</x:v>
      </x:c>
      <x:c r="C27" s="8" t="str">
        <x:v>Hawthorne Corp. 018</x:v>
      </x:c>
      <x:c r="D27" s="9" t="n">
        <x:v>1182000</x:v>
      </x:c>
      <x:c r="E27" s="8" t="str">
        <x:v>B+</x:v>
      </x:c>
      <x:c r="F27" s="8" t="str">
        <x:v>Passenger airlines</x:v>
      </x:c>
      <x:c r="G27" s="8" t="str">
        <x:v>United States</x:v>
      </x:c>
      <x:c r="H27" s="8" t="str">
        <x:v>1st Lien</x:v>
      </x:c>
      <x:c r="I27" s="8" t="str">
        <x:v>Floating</x:v>
      </x:c>
      <x:c r="J27" s="8" t="n">
        <x:v>290</x:v>
      </x:c>
      <x:c r="K27" s="10"/>
      <x:c r="L27" s="8" t="n">
        <x:v>0</x:v>
      </x:c>
      <x:c r="M27" s="11" t="n">
        <x:v>47817</x:v>
      </x:c>
      <x:c r="N27" s="10" t="n">
        <x:v>0.495</x:v>
      </x:c>
      <x:c r="O27" s="12" t="n">
        <x:v>100.25</x:v>
      </x:c>
      <x:c r="P27" s="13" t="n">
        <x:v>4</x:v>
      </x:c>
      <x:c r="Q27" s="8" t="str">
        <x:v>USD</x:v>
      </x:c>
      <x:c r="R27" s="8" t="str">
        <x:v>SOFR</x:v>
      </x:c>
      <x:c r="S27" s="1"/>
      <x:c r="T27" s="1"/>
      <x:c r="U27" s="1"/>
      <x:c r="V27" s="1"/>
      <x:c r="W27" s="1"/>
      <x:c r="X27" s="1"/>
      <x:c r="Y27" s="1"/>
    </x:row>
    <x:row r="28">
      <x:c r="A28" s="8" t="str">
        <x:v>SYN-LN-00021</x:v>
      </x:c>
      <x:c r="B28" s="8" t="str">
        <x:v>SYN-OB-0019</x:v>
      </x:c>
      <x:c r="C28" s="8" t="str">
        <x:v>Highland Group 019</x:v>
      </x:c>
      <x:c r="D28" s="9" t="n">
        <x:v>1182000</x:v>
      </x:c>
      <x:c r="E28" s="8" t="str">
        <x:v>BB-</x:v>
      </x:c>
      <x:c r="F28" s="8" t="str">
        <x:v>Industrial Conglomerates</x:v>
      </x:c>
      <x:c r="G28" s="8" t="str">
        <x:v>United States</x:v>
      </x:c>
      <x:c r="H28" s="8" t="str">
        <x:v>1st Lien</x:v>
      </x:c>
      <x:c r="I28" s="8" t="str">
        <x:v>Floating</x:v>
      </x:c>
      <x:c r="J28" s="8" t="n">
        <x:v>150</x:v>
      </x:c>
      <x:c r="K28" s="10"/>
      <x:c r="L28" s="8" t="n">
        <x:v>0</x:v>
      </x:c>
      <x:c r="M28" s="11" t="n">
        <x:v>47966</x:v>
      </x:c>
      <x:c r="N28" s="10" t="n">
        <x:v>0.275</x:v>
      </x:c>
      <x:c r="O28" s="12" t="n">
        <x:v>99.25</x:v>
      </x:c>
      <x:c r="P28" s="13" t="n">
        <x:v>4</x:v>
      </x:c>
      <x:c r="Q28" s="8" t="str">
        <x:v>USD</x:v>
      </x:c>
      <x:c r="R28" s="8" t="str">
        <x:v>SOFR</x:v>
      </x:c>
      <x:c r="S28" s="1"/>
      <x:c r="T28" s="1"/>
      <x:c r="U28" s="1"/>
      <x:c r="V28" s="1"/>
      <x:c r="W28" s="1"/>
      <x:c r="X28" s="1"/>
      <x:c r="Y28" s="1"/>
    </x:row>
    <x:row r="29">
      <x:c r="A29" s="8" t="str">
        <x:v>SYN-LN-00022</x:v>
      </x:c>
      <x:c r="B29" s="8" t="str">
        <x:v>SYN-OB-0020</x:v>
      </x:c>
      <x:c r="C29" s="8" t="str">
        <x:v>Ironwood LLC 020</x:v>
      </x:c>
      <x:c r="D29" s="9" t="n">
        <x:v>1182000</x:v>
      </x:c>
      <x:c r="E29" s="8" t="str">
        <x:v>BBB-</x:v>
      </x:c>
      <x:c r="F29" s="8" t="str">
        <x:v>Capital Markets</x:v>
      </x:c>
      <x:c r="G29" s="8" t="str">
        <x:v>United States</x:v>
      </x:c>
      <x:c r="H29" s="8" t="str">
        <x:v>1st Lien</x:v>
      </x:c>
      <x:c r="I29" s="8" t="str">
        <x:v>Floating</x:v>
      </x:c>
      <x:c r="J29" s="8" t="n">
        <x:v>225</x:v>
      </x:c>
      <x:c r="K29" s="10"/>
      <x:c r="L29" s="8" t="n">
        <x:v>0</x:v>
      </x:c>
      <x:c r="M29" s="11" t="n">
        <x:v>48638</x:v>
      </x:c>
      <x:c r="N29" s="10" t="n">
        <x:v>0.37</x:v>
      </x:c>
      <x:c r="O29" s="12" t="n">
        <x:v>101.5</x:v>
      </x:c>
      <x:c r="P29" s="13" t="n">
        <x:v>4</x:v>
      </x:c>
      <x:c r="Q29" s="8" t="str">
        <x:v>USD</x:v>
      </x:c>
      <x:c r="R29" s="8" t="str">
        <x:v>SOFR</x:v>
      </x:c>
      <x:c r="S29" s="1"/>
      <x:c r="T29" s="1"/>
      <x:c r="U29" s="1"/>
      <x:c r="V29" s="1"/>
      <x:c r="W29" s="1"/>
      <x:c r="X29" s="1"/>
      <x:c r="Y29" s="1"/>
    </x:row>
    <x:row r="30">
      <x:c r="A30" s="8" t="str">
        <x:v>SYN-LN-00023</x:v>
      </x:c>
      <x:c r="B30" s="8" t="str">
        <x:v>SYN-OB-0021</x:v>
      </x:c>
      <x:c r="C30" s="8" t="str">
        <x:v>Juniper Holdings 021</x:v>
      </x:c>
      <x:c r="D30" s="9" t="n">
        <x:v>1182000</x:v>
      </x:c>
      <x:c r="E30" s="8" t="str">
        <x:v>BB</x:v>
      </x:c>
      <x:c r="F30" s="8" t="str">
        <x:v>Healthcare Technology</x:v>
      </x:c>
      <x:c r="G30" s="8" t="str">
        <x:v>United States</x:v>
      </x:c>
      <x:c r="H30" s="8" t="str">
        <x:v>1st Lien</x:v>
      </x:c>
      <x:c r="I30" s="8" t="str">
        <x:v>Floating</x:v>
      </x:c>
      <x:c r="J30" s="8" t="n">
        <x:v>215</x:v>
      </x:c>
      <x:c r="K30" s="10"/>
      <x:c r="L30" s="8" t="n">
        <x:v>0</x:v>
      </x:c>
      <x:c r="M30" s="11" t="n">
        <x:v>48548</x:v>
      </x:c>
      <x:c r="N30" s="10" t="n">
        <x:v>0.435</x:v>
      </x:c>
      <x:c r="O30" s="12" t="n">
        <x:v>99.375</x:v>
      </x:c>
      <x:c r="P30" s="13" t="n">
        <x:v>4</x:v>
      </x:c>
      <x:c r="Q30" s="8" t="str">
        <x:v>USD</x:v>
      </x:c>
      <x:c r="R30" s="8" t="str">
        <x:v>SOFR</x:v>
      </x:c>
      <x:c r="S30" s="1"/>
      <x:c r="T30" s="1"/>
      <x:c r="U30" s="1"/>
      <x:c r="V30" s="1"/>
      <x:c r="W30" s="1"/>
      <x:c r="X30" s="1"/>
      <x:c r="Y30" s="1"/>
    </x:row>
    <x:row r="31">
      <x:c r="A31" s="8" t="str">
        <x:v>SYN-LN-00024</x:v>
      </x:c>
      <x:c r="B31" s="8" t="str">
        <x:v>SYN-OB-0022</x:v>
      </x:c>
      <x:c r="C31" s="8" t="str">
        <x:v>Keystone Inc. 022</x:v>
      </x:c>
      <x:c r="D31" s="9" t="n">
        <x:v>1182000</x:v>
      </x:c>
      <x:c r="E31" s="8" t="str">
        <x:v>B+</x:v>
      </x:c>
      <x:c r="F31" s="8" t="str">
        <x:v>Hotels, Restaurants &amp; Leisure</x:v>
      </x:c>
      <x:c r="G31" s="8" t="str">
        <x:v>United States</x:v>
      </x:c>
      <x:c r="H31" s="8" t="str">
        <x:v>1st Lien</x:v>
      </x:c>
      <x:c r="I31" s="8" t="str">
        <x:v>Floating</x:v>
      </x:c>
      <x:c r="J31" s="8" t="n">
        <x:v>215</x:v>
      </x:c>
      <x:c r="K31" s="10"/>
      <x:c r="L31" s="8" t="n">
        <x:v>0</x:v>
      </x:c>
      <x:c r="M31" s="11" t="n">
        <x:v>49140</x:v>
      </x:c>
      <x:c r="N31" s="10" t="n">
        <x:v>0.435</x:v>
      </x:c>
      <x:c r="O31" s="12" t="n">
        <x:v>98.75</x:v>
      </x:c>
      <x:c r="P31" s="13" t="n">
        <x:v>4</x:v>
      </x:c>
      <x:c r="Q31" s="8" t="str">
        <x:v>USD</x:v>
      </x:c>
      <x:c r="R31" s="8" t="str">
        <x:v>SOFR</x:v>
      </x:c>
      <x:c r="S31" s="1"/>
      <x:c r="T31" s="1"/>
      <x:c r="U31" s="1"/>
      <x:c r="V31" s="1"/>
      <x:c r="W31" s="1"/>
      <x:c r="X31" s="1"/>
      <x:c r="Y31" s="1"/>
    </x:row>
    <x:row r="32">
      <x:c r="A32" s="8" t="str">
        <x:v>SYN-LN-00025</x:v>
      </x:c>
      <x:c r="B32" s="8" t="str">
        <x:v>SYN-OB-0023</x:v>
      </x:c>
      <x:c r="C32" s="8" t="str">
        <x:v>Lakeview Corp. 023</x:v>
      </x:c>
      <x:c r="D32" s="9" t="n">
        <x:v>1182000</x:v>
      </x:c>
      <x:c r="E32" s="8" t="str">
        <x:v>B-</x:v>
      </x:c>
      <x:c r="F32" s="8" t="str">
        <x:v>Containers &amp; Packaging</x:v>
      </x:c>
      <x:c r="G32" s="8" t="str">
        <x:v>United States</x:v>
      </x:c>
      <x:c r="H32" s="8" t="str">
        <x:v>1st Lien</x:v>
      </x:c>
      <x:c r="I32" s="8" t="str">
        <x:v>Floating</x:v>
      </x:c>
      <x:c r="J32" s="8" t="n">
        <x:v>290</x:v>
      </x:c>
      <x:c r="K32" s="10"/>
      <x:c r="L32" s="8" t="n">
        <x:v>0</x:v>
      </x:c>
      <x:c r="M32" s="11" t="n">
        <x:v>47845</x:v>
      </x:c>
      <x:c r="N32" s="10" t="n">
        <x:v>0.27</x:v>
      </x:c>
      <x:c r="O32" s="12" t="n">
        <x:v>100.375</x:v>
      </x:c>
      <x:c r="P32" s="13" t="n">
        <x:v>4</x:v>
      </x:c>
      <x:c r="Q32" s="8" t="str">
        <x:v>USD</x:v>
      </x:c>
      <x:c r="R32" s="8" t="str">
        <x:v>SOFR</x:v>
      </x:c>
      <x:c r="S32" s="1"/>
      <x:c r="T32" s="1"/>
      <x:c r="U32" s="1"/>
      <x:c r="V32" s="1"/>
      <x:c r="W32" s="1"/>
      <x:c r="X32" s="1"/>
      <x:c r="Y32" s="1"/>
    </x:row>
    <x:row r="33">
      <x:c r="A33" s="8" t="str">
        <x:v>SYN-LN-00026</x:v>
      </x:c>
      <x:c r="B33" s="8" t="str">
        <x:v>SYN-OB-0024</x:v>
      </x:c>
      <x:c r="C33" s="8" t="str">
        <x:v>Larkspur Group 024</x:v>
      </x:c>
      <x:c r="D33" s="9" t="n">
        <x:v>1182000</x:v>
      </x:c>
      <x:c r="E33" s="8" t="str">
        <x:v>B</x:v>
      </x:c>
      <x:c r="F33" s="8" t="str">
        <x:v>Aerospace &amp; Defense</x:v>
      </x:c>
      <x:c r="G33" s="8" t="str">
        <x:v>Luxembourg</x:v>
      </x:c>
      <x:c r="H33" s="8" t="str">
        <x:v>1st Lien</x:v>
      </x:c>
      <x:c r="I33" s="8" t="str">
        <x:v>Floating</x:v>
      </x:c>
      <x:c r="J33" s="8" t="n">
        <x:v>405</x:v>
      </x:c>
      <x:c r="K33" s="10"/>
      <x:c r="L33" s="8" t="n">
        <x:v>0</x:v>
      </x:c>
      <x:c r="M33" s="11" t="n">
        <x:v>47480</x:v>
      </x:c>
      <x:c r="N33" s="10" t="n">
        <x:v>0.285</x:v>
      </x:c>
      <x:c r="O33" s="12" t="n">
        <x:v>101.5</x:v>
      </x:c>
      <x:c r="P33" s="13" t="n">
        <x:v>4</x:v>
      </x:c>
      <x:c r="Q33" s="8" t="str">
        <x:v>USD</x:v>
      </x:c>
      <x:c r="R33" s="8" t="str">
        <x:v>SOFR</x:v>
      </x:c>
      <x:c r="S33" s="1"/>
      <x:c r="T33" s="1"/>
      <x:c r="U33" s="1"/>
      <x:c r="V33" s="1"/>
      <x:c r="W33" s="1"/>
      <x:c r="X33" s="1"/>
      <x:c r="Y33" s="1"/>
    </x:row>
    <x:row r="34">
      <x:c r="A34" s="8" t="str">
        <x:v>SYN-LN-00027</x:v>
      </x:c>
      <x:c r="B34" s="8" t="str">
        <x:v>SYN-OB-0025</x:v>
      </x:c>
      <x:c r="C34" s="8" t="str">
        <x:v>Maple LLC 025</x:v>
      </x:c>
      <x:c r="D34" s="9" t="n">
        <x:v>1182000</x:v>
      </x:c>
      <x:c r="E34" s="8" t="str">
        <x:v>BB-</x:v>
      </x:c>
      <x:c r="F34" s="8" t="str">
        <x:v>Broadline retail</x:v>
      </x:c>
      <x:c r="G34" s="8" t="str">
        <x:v>United States</x:v>
      </x:c>
      <x:c r="H34" s="8" t="str">
        <x:v>1st Lien</x:v>
      </x:c>
      <x:c r="I34" s="8" t="str">
        <x:v>Floating</x:v>
      </x:c>
      <x:c r="J34" s="8" t="n">
        <x:v>235</x:v>
      </x:c>
      <x:c r="K34" s="10"/>
      <x:c r="L34" s="8" t="n">
        <x:v>0</x:v>
      </x:c>
      <x:c r="M34" s="11" t="n">
        <x:v>48727</x:v>
      </x:c>
      <x:c r="N34" s="10" t="n">
        <x:v>0.475</x:v>
      </x:c>
      <x:c r="O34" s="12" t="n">
        <x:v>100.25</x:v>
      </x:c>
      <x:c r="P34" s="13" t="n">
        <x:v>4</x:v>
      </x:c>
      <x:c r="Q34" s="8" t="str">
        <x:v>USD</x:v>
      </x:c>
      <x:c r="R34" s="8" t="str">
        <x:v>SOFR</x:v>
      </x:c>
      <x:c r="S34" s="1"/>
      <x:c r="T34" s="1"/>
      <x:c r="U34" s="1"/>
      <x:c r="V34" s="1"/>
      <x:c r="W34" s="1"/>
      <x:c r="X34" s="1"/>
      <x:c r="Y34" s="1"/>
    </x:row>
    <x:row r="35">
      <x:c r="A35" s="8" t="str">
        <x:v>SYN-LN-00028</x:v>
      </x:c>
      <x:c r="B35" s="8" t="str">
        <x:v>SYN-OB-0026</x:v>
      </x:c>
      <x:c r="C35" s="8" t="str">
        <x:v>Meridian Holdings 026</x:v>
      </x:c>
      <x:c r="D35" s="9" t="n">
        <x:v>1182000</x:v>
      </x:c>
      <x:c r="E35" s="8" t="str">
        <x:v>BB-</x:v>
      </x:c>
      <x:c r="F35" s="8" t="str">
        <x:v>Household Products</x:v>
      </x:c>
      <x:c r="G35" s="8" t="str">
        <x:v>United States</x:v>
      </x:c>
      <x:c r="H35" s="8" t="str">
        <x:v>1st Lien</x:v>
      </x:c>
      <x:c r="I35" s="8" t="str">
        <x:v>Floating</x:v>
      </x:c>
      <x:c r="J35" s="8" t="n">
        <x:v>295</x:v>
      </x:c>
      <x:c r="K35" s="10"/>
      <x:c r="L35" s="8" t="n">
        <x:v>0</x:v>
      </x:c>
      <x:c r="M35" s="11" t="n">
        <x:v>48515</x:v>
      </x:c>
      <x:c r="N35" s="10" t="n">
        <x:v>0.365</x:v>
      </x:c>
      <x:c r="O35" s="12" t="n">
        <x:v>97</x:v>
      </x:c>
      <x:c r="P35" s="13" t="n">
        <x:v>4</x:v>
      </x:c>
      <x:c r="Q35" s="8" t="str">
        <x:v>USD</x:v>
      </x:c>
      <x:c r="R35" s="8" t="str">
        <x:v>SOFR</x:v>
      </x:c>
      <x:c r="S35" s="1"/>
      <x:c r="T35" s="1"/>
      <x:c r="U35" s="1"/>
      <x:c r="V35" s="1"/>
      <x:c r="W35" s="1"/>
      <x:c r="X35" s="1"/>
      <x:c r="Y35" s="1"/>
    </x:row>
    <x:row r="36">
      <x:c r="A36" s="8" t="str">
        <x:v>SYN-LN-00029</x:v>
      </x:c>
      <x:c r="B36" s="8" t="str">
        <x:v>SYN-OB-0027</x:v>
      </x:c>
      <x:c r="C36" s="8" t="str">
        <x:v>Northfield Inc. 027</x:v>
      </x:c>
      <x:c r="D36" s="9" t="n">
        <x:v>630000</x:v>
      </x:c>
      <x:c r="E36" s="8" t="str">
        <x:v>B</x:v>
      </x:c>
      <x:c r="F36" s="8" t="str">
        <x:v>Aerospace &amp; Defense</x:v>
      </x:c>
      <x:c r="G36" s="8" t="str">
        <x:v>Luxembourg</x:v>
      </x:c>
      <x:c r="H36" s="8" t="str">
        <x:v>1st Lien</x:v>
      </x:c>
      <x:c r="I36" s="8" t="str">
        <x:v>Floating</x:v>
      </x:c>
      <x:c r="J36" s="8" t="n">
        <x:v>365</x:v>
      </x:c>
      <x:c r="K36" s="10"/>
      <x:c r="L36" s="8" t="n">
        <x:v>50</x:v>
      </x:c>
      <x:c r="M36" s="11" t="n">
        <x:v>49582</x:v>
      </x:c>
      <x:c r="N36" s="10" t="n">
        <x:v>0.43</x:v>
      </x:c>
      <x:c r="O36" s="12" t="n">
        <x:v>99.5</x:v>
      </x:c>
      <x:c r="P36" s="13" t="n">
        <x:v>4</x:v>
      </x:c>
      <x:c r="Q36" s="8" t="str">
        <x:v>USD</x:v>
      </x:c>
      <x:c r="R36" s="8" t="str">
        <x:v>SOFR</x:v>
      </x:c>
      <x:c r="S36" s="1"/>
      <x:c r="T36" s="1"/>
      <x:c r="U36" s="1"/>
      <x:c r="V36" s="1"/>
      <x:c r="W36" s="1"/>
      <x:c r="X36" s="1"/>
      <x:c r="Y36" s="1"/>
    </x:row>
    <x:row r="37">
      <x:c r="A37" s="8" t="str">
        <x:v>SYN-LN-00030</x:v>
      </x:c>
      <x:c r="B37" s="8" t="str">
        <x:v>SYN-OB-0028</x:v>
      </x:c>
      <x:c r="C37" s="8" t="str">
        <x:v>Oakmont Corp. 028</x:v>
      </x:c>
      <x:c r="D37" s="9" t="n">
        <x:v>1182000</x:v>
      </x:c>
      <x:c r="E37" s="8" t="str">
        <x:v>B-</x:v>
      </x:c>
      <x:c r="F37" s="8" t="str">
        <x:v>Financial services</x:v>
      </x:c>
      <x:c r="G37" s="8" t="str">
        <x:v>United States</x:v>
      </x:c>
      <x:c r="H37" s="8" t="str">
        <x:v>1st Lien</x:v>
      </x:c>
      <x:c r="I37" s="8" t="str">
        <x:v>Floating</x:v>
      </x:c>
      <x:c r="J37" s="8" t="n">
        <x:v>330</x:v>
      </x:c>
      <x:c r="K37" s="10"/>
      <x:c r="L37" s="8" t="n">
        <x:v>0</x:v>
      </x:c>
      <x:c r="M37" s="11" t="n">
        <x:v>48533</x:v>
      </x:c>
      <x:c r="N37" s="10" t="n">
        <x:v>0.385</x:v>
      </x:c>
      <x:c r="O37" s="12" t="n">
        <x:v>98.875</x:v>
      </x:c>
      <x:c r="P37" s="13" t="n">
        <x:v>4</x:v>
      </x:c>
      <x:c r="Q37" s="8" t="str">
        <x:v>USD</x:v>
      </x:c>
      <x:c r="R37" s="8" t="str">
        <x:v>SOFR</x:v>
      </x:c>
      <x:c r="S37" s="1"/>
      <x:c r="T37" s="1"/>
      <x:c r="U37" s="1"/>
      <x:c r="V37" s="1"/>
      <x:c r="W37" s="1"/>
      <x:c r="X37" s="1"/>
      <x:c r="Y37" s="1"/>
    </x:row>
    <x:row r="38">
      <x:c r="A38" s="8" t="str">
        <x:v>SYN-LN-00031</x:v>
      </x:c>
      <x:c r="B38" s="8" t="str">
        <x:v>SYN-OB-0029</x:v>
      </x:c>
      <x:c r="C38" s="8" t="str">
        <x:v>Orchard Group 029</x:v>
      </x:c>
      <x:c r="D38" s="9" t="n">
        <x:v>1182000</x:v>
      </x:c>
      <x:c r="E38" s="8" t="str">
        <x:v>B+</x:v>
      </x:c>
      <x:c r="F38" s="8" t="str">
        <x:v>Semiconductors &amp; Semiconductor Equipment</x:v>
      </x:c>
      <x:c r="G38" s="8" t="str">
        <x:v>United States</x:v>
      </x:c>
      <x:c r="H38" s="8" t="str">
        <x:v>1st Lien</x:v>
      </x:c>
      <x:c r="I38" s="8" t="str">
        <x:v>Floating</x:v>
      </x:c>
      <x:c r="J38" s="8" t="n">
        <x:v>375</x:v>
      </x:c>
      <x:c r="K38" s="10"/>
      <x:c r="L38" s="8" t="n">
        <x:v>0</x:v>
      </x:c>
      <x:c r="M38" s="11" t="n">
        <x:v>48301</x:v>
      </x:c>
      <x:c r="N38" s="10" t="n">
        <x:v>0.295</x:v>
      </x:c>
      <x:c r="O38" s="12" t="n">
        <x:v>100.5</x:v>
      </x:c>
      <x:c r="P38" s="13" t="n">
        <x:v>4</x:v>
      </x:c>
      <x:c r="Q38" s="8" t="str">
        <x:v>USD</x:v>
      </x:c>
      <x:c r="R38" s="8" t="str">
        <x:v>SOFR</x:v>
      </x:c>
      <x:c r="S38" s="1"/>
      <x:c r="T38" s="1"/>
      <x:c r="U38" s="1"/>
      <x:c r="V38" s="1"/>
      <x:c r="W38" s="1"/>
      <x:c r="X38" s="1"/>
      <x:c r="Y38" s="1"/>
    </x:row>
    <x:row r="39">
      <x:c r="A39" s="8" t="str">
        <x:v>SYN-LN-00032</x:v>
      </x:c>
      <x:c r="B39" s="8" t="str">
        <x:v>SYN-OB-0030</x:v>
      </x:c>
      <x:c r="C39" s="8" t="str">
        <x:v>Pinecrest LLC 030</x:v>
      </x:c>
      <x:c r="D39" s="9" t="n">
        <x:v>1182000</x:v>
      </x:c>
      <x:c r="E39" s="8" t="str">
        <x:v>B</x:v>
      </x:c>
      <x:c r="F39" s="8" t="str">
        <x:v>Industrial Conglomerates</x:v>
      </x:c>
      <x:c r="G39" s="8" t="str">
        <x:v>United States</x:v>
      </x:c>
      <x:c r="H39" s="8" t="str">
        <x:v>1st Lien</x:v>
      </x:c>
      <x:c r="I39" s="8" t="str">
        <x:v>Floating</x:v>
      </x:c>
      <x:c r="J39" s="8" t="n">
        <x:v>435</x:v>
      </x:c>
      <x:c r="K39" s="10"/>
      <x:c r="L39" s="8" t="n">
        <x:v>0</x:v>
      </x:c>
      <x:c r="M39" s="11" t="n">
        <x:v>48607</x:v>
      </x:c>
      <x:c r="N39" s="10" t="n">
        <x:v>0.325</x:v>
      </x:c>
      <x:c r="O39" s="12" t="n">
        <x:v>100.625</x:v>
      </x:c>
      <x:c r="P39" s="13" t="n">
        <x:v>4</x:v>
      </x:c>
      <x:c r="Q39" s="8" t="str">
        <x:v>USD</x:v>
      </x:c>
      <x:c r="R39" s="8" t="str">
        <x:v>SOFR</x:v>
      </x:c>
      <x:c r="S39" s="1"/>
      <x:c r="T39" s="1"/>
      <x:c r="U39" s="1"/>
      <x:c r="V39" s="1"/>
      <x:c r="W39" s="1"/>
      <x:c r="X39" s="1"/>
      <x:c r="Y39" s="1"/>
    </x:row>
    <x:row r="40">
      <x:c r="A40" s="8" t="str">
        <x:v>SYN-LN-00033</x:v>
      </x:c>
      <x:c r="B40" s="8" t="str">
        <x:v>SYN-OB-0031</x:v>
      </x:c>
      <x:c r="C40" s="8" t="str">
        <x:v>Redwood Holdings 031</x:v>
      </x:c>
      <x:c r="D40" s="9" t="n">
        <x:v>1182000</x:v>
      </x:c>
      <x:c r="E40" s="8" t="str">
        <x:v>B+</x:v>
      </x:c>
      <x:c r="F40" s="8" t="str">
        <x:v>Professional Services</x:v>
      </x:c>
      <x:c r="G40" s="8" t="str">
        <x:v>United States</x:v>
      </x:c>
      <x:c r="H40" s="8" t="str">
        <x:v>1st Lien</x:v>
      </x:c>
      <x:c r="I40" s="8" t="str">
        <x:v>Floating</x:v>
      </x:c>
      <x:c r="J40" s="8" t="n">
        <x:v>430</x:v>
      </x:c>
      <x:c r="K40" s="10"/>
      <x:c r="L40" s="8" t="n">
        <x:v>0</x:v>
      </x:c>
      <x:c r="M40" s="11" t="n">
        <x:v>48898</x:v>
      </x:c>
      <x:c r="N40" s="10" t="n">
        <x:v>0.335</x:v>
      </x:c>
      <x:c r="O40" s="12" t="n">
        <x:v>100.125</x:v>
      </x:c>
      <x:c r="P40" s="13" t="n">
        <x:v>4</x:v>
      </x:c>
      <x:c r="Q40" s="8" t="str">
        <x:v>USD</x:v>
      </x:c>
      <x:c r="R40" s="8" t="str">
        <x:v>SOFR</x:v>
      </x:c>
      <x:c r="S40" s="1"/>
      <x:c r="T40" s="1"/>
      <x:c r="U40" s="1"/>
      <x:c r="V40" s="1"/>
      <x:c r="W40" s="1"/>
      <x:c r="X40" s="1"/>
      <x:c r="Y40" s="1"/>
    </x:row>
    <x:row r="41">
      <x:c r="A41" s="8" t="str">
        <x:v>SYN-LN-00034</x:v>
      </x:c>
      <x:c r="B41" s="8" t="str">
        <x:v>SYN-OB-0032</x:v>
      </x:c>
      <x:c r="C41" s="8" t="str">
        <x:v>Riverton Inc. 032</x:v>
      </x:c>
      <x:c r="D41" s="9" t="n">
        <x:v>1182000</x:v>
      </x:c>
      <x:c r="E41" s="8" t="str">
        <x:v>B+</x:v>
      </x:c>
      <x:c r="F41" s="8" t="str">
        <x:v>Semiconductors &amp; Semiconductor Equipment</x:v>
      </x:c>
      <x:c r="G41" s="8" t="str">
        <x:v>United States</x:v>
      </x:c>
      <x:c r="H41" s="8" t="str">
        <x:v>1st Lien</x:v>
      </x:c>
      <x:c r="I41" s="8" t="str">
        <x:v>Floating</x:v>
      </x:c>
      <x:c r="J41" s="8" t="n">
        <x:v>325</x:v>
      </x:c>
      <x:c r="K41" s="10"/>
      <x:c r="L41" s="8" t="n">
        <x:v>0</x:v>
      </x:c>
      <x:c r="M41" s="11" t="n">
        <x:v>47983</x:v>
      </x:c>
      <x:c r="N41" s="10" t="n">
        <x:v>0.355</x:v>
      </x:c>
      <x:c r="O41" s="12" t="n">
        <x:v>100.125</x:v>
      </x:c>
      <x:c r="P41" s="13" t="n">
        <x:v>4</x:v>
      </x:c>
      <x:c r="Q41" s="8" t="str">
        <x:v>USD</x:v>
      </x:c>
      <x:c r="R41" s="8" t="str">
        <x:v>SOFR</x:v>
      </x:c>
      <x:c r="S41" s="1"/>
      <x:c r="T41" s="1"/>
      <x:c r="U41" s="1"/>
      <x:c r="V41" s="1"/>
      <x:c r="W41" s="1"/>
      <x:c r="X41" s="1"/>
      <x:c r="Y41" s="1"/>
    </x:row>
    <x:row r="42">
      <x:c r="A42" s="8" t="str">
        <x:v>SYN-LN-00035</x:v>
      </x:c>
      <x:c r="B42" s="8" t="str">
        <x:v>SYN-OB-0033</x:v>
      </x:c>
      <x:c r="C42" s="8" t="str">
        <x:v>Silver Corp. 033</x:v>
      </x:c>
      <x:c r="D42" s="9" t="n">
        <x:v>1182000</x:v>
      </x:c>
      <x:c r="E42" s="8" t="str">
        <x:v>B-</x:v>
      </x:c>
      <x:c r="F42" s="8" t="str">
        <x:v>Healthcare Technology</x:v>
      </x:c>
      <x:c r="G42" s="8" t="str">
        <x:v>United States</x:v>
      </x:c>
      <x:c r="H42" s="8" t="str">
        <x:v>1st Lien</x:v>
      </x:c>
      <x:c r="I42" s="8" t="str">
        <x:v>Floating</x:v>
      </x:c>
      <x:c r="J42" s="8" t="n">
        <x:v>430</x:v>
      </x:c>
      <x:c r="K42" s="10"/>
      <x:c r="L42" s="8" t="n">
        <x:v>0</x:v>
      </x:c>
      <x:c r="M42" s="11" t="n">
        <x:v>48014</x:v>
      </x:c>
      <x:c r="N42" s="10" t="n">
        <x:v>0.435</x:v>
      </x:c>
      <x:c r="O42" s="12" t="n">
        <x:v>99.625</x:v>
      </x:c>
      <x:c r="P42" s="13" t="n">
        <x:v>4</x:v>
      </x:c>
      <x:c r="Q42" s="8" t="str">
        <x:v>USD</x:v>
      </x:c>
      <x:c r="R42" s="8" t="str">
        <x:v>SOFR</x:v>
      </x:c>
      <x:c r="S42" s="1"/>
      <x:c r="T42" s="1"/>
      <x:c r="U42" s="1"/>
      <x:c r="V42" s="1"/>
      <x:c r="W42" s="1"/>
      <x:c r="X42" s="1"/>
      <x:c r="Y42" s="1"/>
    </x:row>
    <x:row r="43">
      <x:c r="A43" s="8" t="str">
        <x:v>SYN-LN-00036</x:v>
      </x:c>
      <x:c r="B43" s="8" t="str">
        <x:v>SYN-OB-0034</x:v>
      </x:c>
      <x:c r="C43" s="8" t="str">
        <x:v>Stonebridge Group 034</x:v>
      </x:c>
      <x:c r="D43" s="9" t="n">
        <x:v>1182000</x:v>
      </x:c>
      <x:c r="E43" s="8" t="str">
        <x:v>B</x:v>
      </x:c>
      <x:c r="F43" s="8" t="str">
        <x:v>Building Products</x:v>
      </x:c>
      <x:c r="G43" s="8" t="str">
        <x:v>United States</x:v>
      </x:c>
      <x:c r="H43" s="8" t="str">
        <x:v>1st Lien</x:v>
      </x:c>
      <x:c r="I43" s="8" t="str">
        <x:v>Floating</x:v>
      </x:c>
      <x:c r="J43" s="8" t="n">
        <x:v>275</x:v>
      </x:c>
      <x:c r="K43" s="10"/>
      <x:c r="L43" s="8" t="n">
        <x:v>0</x:v>
      </x:c>
      <x:c r="M43" s="11" t="n">
        <x:v>48182</x:v>
      </x:c>
      <x:c r="N43" s="10" t="n">
        <x:v>0.36</x:v>
      </x:c>
      <x:c r="O43" s="12" t="n">
        <x:v>99.5</x:v>
      </x:c>
      <x:c r="P43" s="13" t="n">
        <x:v>4</x:v>
      </x:c>
      <x:c r="Q43" s="8" t="str">
        <x:v>USD</x:v>
      </x:c>
      <x:c r="R43" s="8" t="str">
        <x:v>SOFR</x:v>
      </x:c>
      <x:c r="S43" s="1"/>
      <x:c r="T43" s="1"/>
      <x:c r="U43" s="1"/>
      <x:c r="V43" s="1"/>
      <x:c r="W43" s="1"/>
      <x:c r="X43" s="1"/>
      <x:c r="Y43" s="1"/>
    </x:row>
    <x:row r="44">
      <x:c r="A44" s="8" t="str">
        <x:v>SYN-LN-00037</x:v>
      </x:c>
      <x:c r="B44" s="8" t="str">
        <x:v>SYN-OB-0035</x:v>
      </x:c>
      <x:c r="C44" s="8" t="str">
        <x:v>Summit LLC 035</x:v>
      </x:c>
      <x:c r="D44" s="9" t="n">
        <x:v>1182000</x:v>
      </x:c>
      <x:c r="E44" s="8" t="str">
        <x:v>BB-</x:v>
      </x:c>
      <x:c r="F44" s="8" t="str">
        <x:v>Gas Utilities</x:v>
      </x:c>
      <x:c r="G44" s="8" t="str">
        <x:v>United States</x:v>
      </x:c>
      <x:c r="H44" s="8" t="str">
        <x:v>1st Lien</x:v>
      </x:c>
      <x:c r="I44" s="8" t="str">
        <x:v>Floating</x:v>
      </x:c>
      <x:c r="J44" s="8" t="n">
        <x:v>220</x:v>
      </x:c>
      <x:c r="K44" s="10"/>
      <x:c r="L44" s="8" t="n">
        <x:v>0</x:v>
      </x:c>
      <x:c r="M44" s="11" t="n">
        <x:v>48057</x:v>
      </x:c>
      <x:c r="N44" s="10" t="n">
        <x:v>0.2</x:v>
      </x:c>
      <x:c r="O44" s="12" t="n">
        <x:v>97.25</x:v>
      </x:c>
      <x:c r="P44" s="13" t="n">
        <x:v>4</x:v>
      </x:c>
      <x:c r="Q44" s="8" t="str">
        <x:v>USD</x:v>
      </x:c>
      <x:c r="R44" s="8" t="str">
        <x:v>SOFR</x:v>
      </x:c>
      <x:c r="S44" s="1"/>
      <x:c r="T44" s="1"/>
      <x:c r="U44" s="1"/>
      <x:c r="V44" s="1"/>
      <x:c r="W44" s="1"/>
      <x:c r="X44" s="1"/>
      <x:c r="Y44" s="1"/>
    </x:row>
    <x:row r="45">
      <x:c r="A45" s="8" t="str">
        <x:v>SYN-LN-00038</x:v>
      </x:c>
      <x:c r="B45" s="8" t="str">
        <x:v>SYN-OB-0036</x:v>
      </x:c>
      <x:c r="C45" s="8" t="str">
        <x:v>Timber Holdings 036</x:v>
      </x:c>
      <x:c r="D45" s="9" t="n">
        <x:v>1182000</x:v>
      </x:c>
      <x:c r="E45" s="8" t="str">
        <x:v>B-</x:v>
      </x:c>
      <x:c r="F45" s="8" t="str">
        <x:v>Machinery</x:v>
      </x:c>
      <x:c r="G45" s="8" t="str">
        <x:v>United States</x:v>
      </x:c>
      <x:c r="H45" s="8" t="str">
        <x:v>1st Lien</x:v>
      </x:c>
      <x:c r="I45" s="8" t="str">
        <x:v>Floating</x:v>
      </x:c>
      <x:c r="J45" s="8" t="n">
        <x:v>460</x:v>
      </x:c>
      <x:c r="K45" s="10"/>
      <x:c r="L45" s="8" t="n">
        <x:v>0</x:v>
      </x:c>
      <x:c r="M45" s="11" t="n">
        <x:v>48638</x:v>
      </x:c>
      <x:c r="N45" s="10" t="n">
        <x:v>0.47</x:v>
      </x:c>
      <x:c r="O45" s="12" t="n">
        <x:v>101.5</x:v>
      </x:c>
      <x:c r="P45" s="13" t="n">
        <x:v>4</x:v>
      </x:c>
      <x:c r="Q45" s="8" t="str">
        <x:v>USD</x:v>
      </x:c>
      <x:c r="R45" s="8" t="str">
        <x:v>SOFR</x:v>
      </x:c>
      <x:c r="S45" s="1"/>
      <x:c r="T45" s="1"/>
      <x:c r="U45" s="1"/>
      <x:c r="V45" s="1"/>
      <x:c r="W45" s="1"/>
      <x:c r="X45" s="1"/>
      <x:c r="Y45" s="1"/>
    </x:row>
    <x:row r="46">
      <x:c r="A46" s="8" t="str">
        <x:v>SYN-LN-00039</x:v>
      </x:c>
      <x:c r="B46" s="8" t="str">
        <x:v>SYN-OB-0037</x:v>
      </x:c>
      <x:c r="C46" s="8" t="str">
        <x:v>Westhaven Inc. 037</x:v>
      </x:c>
      <x:c r="D46" s="9" t="n">
        <x:v>1182000</x:v>
      </x:c>
      <x:c r="E46" s="8" t="str">
        <x:v>B-</x:v>
      </x:c>
      <x:c r="F46" s="8" t="str">
        <x:v>Energy Equipment &amp; Services</x:v>
      </x:c>
      <x:c r="G46" s="8" t="str">
        <x:v>United States</x:v>
      </x:c>
      <x:c r="H46" s="8" t="str">
        <x:v>1st Lien</x:v>
      </x:c>
      <x:c r="I46" s="8" t="str">
        <x:v>Floating</x:v>
      </x:c>
      <x:c r="J46" s="8" t="n">
        <x:v>150</x:v>
      </x:c>
      <x:c r="K46" s="10"/>
      <x:c r="L46" s="8" t="n">
        <x:v>0</x:v>
      </x:c>
      <x:c r="M46" s="11" t="n">
        <x:v>47327</x:v>
      </x:c>
      <x:c r="N46" s="10" t="n">
        <x:v>0.34</x:v>
      </x:c>
      <x:c r="O46" s="12" t="n">
        <x:v>98.75</x:v>
      </x:c>
      <x:c r="P46" s="13" t="n">
        <x:v>4</x:v>
      </x:c>
      <x:c r="Q46" s="8" t="str">
        <x:v>USD</x:v>
      </x:c>
      <x:c r="R46" s="8" t="str">
        <x:v>SOFR</x:v>
      </x:c>
      <x:c r="S46" s="1"/>
      <x:c r="T46" s="1"/>
      <x:c r="U46" s="1"/>
      <x:c r="V46" s="1"/>
      <x:c r="W46" s="1"/>
      <x:c r="X46" s="1"/>
      <x:c r="Y46" s="1"/>
    </x:row>
    <x:row r="47">
      <x:c r="A47" s="8" t="str">
        <x:v>SYN-LN-00040</x:v>
      </x:c>
      <x:c r="B47" s="8" t="str">
        <x:v>SYN-OB-0038</x:v>
      </x:c>
      <x:c r="C47" s="8" t="str">
        <x:v>Willow Corp. 038</x:v>
      </x:c>
      <x:c r="D47" s="9" t="n">
        <x:v>630000</x:v>
      </x:c>
      <x:c r="E47" s="8" t="str">
        <x:v>BB</x:v>
      </x:c>
      <x:c r="F47" s="8" t="str">
        <x:v>Auto Components</x:v>
      </x:c>
      <x:c r="G47" s="8" t="str">
        <x:v>Canada</x:v>
      </x:c>
      <x:c r="H47" s="8" t="str">
        <x:v>1st Lien</x:v>
      </x:c>
      <x:c r="I47" s="8" t="str">
        <x:v>Floating</x:v>
      </x:c>
      <x:c r="J47" s="8" t="n">
        <x:v>295</x:v>
      </x:c>
      <x:c r="K47" s="10"/>
      <x:c r="L47" s="8" t="n">
        <x:v>50</x:v>
      </x:c>
      <x:c r="M47" s="11" t="n">
        <x:v>48563</x:v>
      </x:c>
      <x:c r="N47" s="10" t="n">
        <x:v>0.62</x:v>
      </x:c>
      <x:c r="O47" s="12" t="n">
        <x:v>100.75</x:v>
      </x:c>
      <x:c r="P47" s="13" t="n">
        <x:v>4</x:v>
      </x:c>
      <x:c r="Q47" s="8" t="str">
        <x:v>USD</x:v>
      </x:c>
      <x:c r="R47" s="8" t="str">
        <x:v>SOFR</x:v>
      </x:c>
      <x:c r="S47" s="1"/>
      <x:c r="T47" s="1"/>
      <x:c r="U47" s="1"/>
      <x:c r="V47" s="1"/>
      <x:c r="W47" s="1"/>
      <x:c r="X47" s="1"/>
      <x:c r="Y47" s="1"/>
    </x:row>
    <x:row r="48">
      <x:c r="A48" s="8" t="str">
        <x:v>SYN-LN-00041</x:v>
      </x:c>
      <x:c r="B48" s="8" t="str">
        <x:v>SYN-OB-0039</x:v>
      </x:c>
      <x:c r="C48" s="8" t="str">
        <x:v>Windward Group 039</x:v>
      </x:c>
      <x:c r="D48" s="9" t="n">
        <x:v>1182000</x:v>
      </x:c>
      <x:c r="E48" s="8" t="str">
        <x:v>B</x:v>
      </x:c>
      <x:c r="F48" s="8" t="str">
        <x:v>Aerospace &amp; Defense</x:v>
      </x:c>
      <x:c r="G48" s="8" t="str">
        <x:v>United States</x:v>
      </x:c>
      <x:c r="H48" s="8" t="str">
        <x:v>1st Lien</x:v>
      </x:c>
      <x:c r="I48" s="8" t="str">
        <x:v>Floating</x:v>
      </x:c>
      <x:c r="J48" s="8" t="n">
        <x:v>220</x:v>
      </x:c>
      <x:c r="K48" s="10"/>
      <x:c r="L48" s="8" t="n">
        <x:v>0</x:v>
      </x:c>
      <x:c r="M48" s="11" t="n">
        <x:v>48745</x:v>
      </x:c>
      <x:c r="N48" s="10" t="n">
        <x:v>0.415</x:v>
      </x:c>
      <x:c r="O48" s="12" t="n">
        <x:v>100.75</x:v>
      </x:c>
      <x:c r="P48" s="13" t="n">
        <x:v>4</x:v>
      </x:c>
      <x:c r="Q48" s="8" t="str">
        <x:v>USD</x:v>
      </x:c>
      <x:c r="R48" s="8" t="str">
        <x:v>SOFR</x:v>
      </x:c>
      <x:c r="S48" s="1"/>
      <x:c r="T48" s="1"/>
      <x:c r="U48" s="1"/>
      <x:c r="V48" s="1"/>
      <x:c r="W48" s="1"/>
      <x:c r="X48" s="1"/>
      <x:c r="Y48" s="1"/>
    </x:row>
    <x:row r="49">
      <x:c r="A49" s="8" t="str">
        <x:v>SYN-LN-00042</x:v>
      </x:c>
      <x:c r="B49" s="8" t="str">
        <x:v>SYN-OB-0040</x:v>
      </x:c>
      <x:c r="C49" s="8" t="str">
        <x:v>Woodland LLC 040</x:v>
      </x:c>
      <x:c r="D49" s="9" t="n">
        <x:v>1182000</x:v>
      </x:c>
      <x:c r="E49" s="8" t="str">
        <x:v>BB</x:v>
      </x:c>
      <x:c r="F49" s="8" t="str">
        <x:v>Interactive media and services</x:v>
      </x:c>
      <x:c r="G49" s="8" t="str">
        <x:v>United States</x:v>
      </x:c>
      <x:c r="H49" s="8" t="str">
        <x:v>1st Lien</x:v>
      </x:c>
      <x:c r="I49" s="8" t="str">
        <x:v>Floating</x:v>
      </x:c>
      <x:c r="J49" s="8" t="n">
        <x:v>305</x:v>
      </x:c>
      <x:c r="K49" s="10"/>
      <x:c r="L49" s="8" t="n">
        <x:v>0</x:v>
      </x:c>
      <x:c r="M49" s="11" t="n">
        <x:v>48548</x:v>
      </x:c>
      <x:c r="N49" s="10" t="n">
        <x:v>0.545</x:v>
      </x:c>
      <x:c r="O49" s="12" t="n">
        <x:v>99.125</x:v>
      </x:c>
      <x:c r="P49" s="13" t="n">
        <x:v>4</x:v>
      </x:c>
      <x:c r="Q49" s="8" t="str">
        <x:v>USD</x:v>
      </x:c>
      <x:c r="R49" s="8" t="str">
        <x:v>SOFR</x:v>
      </x:c>
      <x:c r="S49" s="1"/>
      <x:c r="T49" s="1"/>
      <x:c r="U49" s="1"/>
      <x:c r="V49" s="1"/>
      <x:c r="W49" s="1"/>
      <x:c r="X49" s="1"/>
      <x:c r="Y49" s="1"/>
    </x:row>
    <x:row r="50">
      <x:c r="A50" s="8" t="str">
        <x:v>SYN-LN-00043</x:v>
      </x:c>
      <x:c r="B50" s="8" t="str">
        <x:v>SYN-OB-0041</x:v>
      </x:c>
      <x:c r="C50" s="8" t="str">
        <x:v>Alder Holdings 041</x:v>
      </x:c>
      <x:c r="D50" s="9" t="n">
        <x:v>1182000</x:v>
      </x:c>
      <x:c r="E50" s="8" t="str">
        <x:v>B</x:v>
      </x:c>
      <x:c r="F50" s="8" t="str">
        <x:v>IT Services</x:v>
      </x:c>
      <x:c r="G50" s="8" t="str">
        <x:v>United States</x:v>
      </x:c>
      <x:c r="H50" s="8" t="str">
        <x:v>1st Lien</x:v>
      </x:c>
      <x:c r="I50" s="8" t="str">
        <x:v>Floating</x:v>
      </x:c>
      <x:c r="J50" s="8" t="n">
        <x:v>270</x:v>
      </x:c>
      <x:c r="K50" s="10"/>
      <x:c r="L50" s="8" t="n">
        <x:v>0</x:v>
      </x:c>
      <x:c r="M50" s="11" t="n">
        <x:v>48882</x:v>
      </x:c>
      <x:c r="N50" s="10" t="n">
        <x:v>0.28</x:v>
      </x:c>
      <x:c r="O50" s="12" t="n">
        <x:v>99.125</x:v>
      </x:c>
      <x:c r="P50" s="13" t="n">
        <x:v>4</x:v>
      </x:c>
      <x:c r="Q50" s="8" t="str">
        <x:v>USD</x:v>
      </x:c>
      <x:c r="R50" s="8" t="str">
        <x:v>SOFR</x:v>
      </x:c>
      <x:c r="S50" s="1"/>
      <x:c r="T50" s="1"/>
      <x:c r="U50" s="1"/>
      <x:c r="V50" s="1"/>
      <x:c r="W50" s="1"/>
      <x:c r="X50" s="1"/>
      <x:c r="Y50" s="1"/>
    </x:row>
    <x:row r="51">
      <x:c r="A51" s="8" t="str">
        <x:v>SYN-LN-00044</x:v>
      </x:c>
      <x:c r="B51" s="8" t="str">
        <x:v>SYN-OB-0042</x:v>
      </x:c>
      <x:c r="C51" s="8" t="str">
        <x:v>Amber Inc. 042</x:v>
      </x:c>
      <x:c r="D51" s="9" t="n">
        <x:v>1182000</x:v>
      </x:c>
      <x:c r="E51" s="8" t="str">
        <x:v>B+</x:v>
      </x:c>
      <x:c r="F51" s="8" t="str">
        <x:v>Semiconductors &amp; Semiconductor Equipment</x:v>
      </x:c>
      <x:c r="G51" s="8" t="str">
        <x:v>United States</x:v>
      </x:c>
      <x:c r="H51" s="8" t="str">
        <x:v>1st Lien</x:v>
      </x:c>
      <x:c r="I51" s="8" t="str">
        <x:v>Floating</x:v>
      </x:c>
      <x:c r="J51" s="8" t="n">
        <x:v>330</x:v>
      </x:c>
      <x:c r="K51" s="10"/>
      <x:c r="L51" s="8" t="n">
        <x:v>0</x:v>
      </x:c>
      <x:c r="M51" s="11" t="n">
        <x:v>48182</x:v>
      </x:c>
      <x:c r="N51" s="10" t="n">
        <x:v>0.425</x:v>
      </x:c>
      <x:c r="O51" s="12" t="n">
        <x:v>99.625</x:v>
      </x:c>
      <x:c r="P51" s="13" t="n">
        <x:v>4</x:v>
      </x:c>
      <x:c r="Q51" s="8" t="str">
        <x:v>USD</x:v>
      </x:c>
      <x:c r="R51" s="8" t="str">
        <x:v>SOFR</x:v>
      </x:c>
      <x:c r="S51" s="1"/>
      <x:c r="T51" s="1"/>
      <x:c r="U51" s="1"/>
      <x:c r="V51" s="1"/>
      <x:c r="W51" s="1"/>
      <x:c r="X51" s="1"/>
      <x:c r="Y51" s="1"/>
    </x:row>
    <x:row r="52">
      <x:c r="A52" s="8" t="str">
        <x:v>SYN-LN-00045</x:v>
      </x:c>
      <x:c r="B52" s="8" t="str">
        <x:v>SYN-OB-0043</x:v>
      </x:c>
      <x:c r="C52" s="8" t="str">
        <x:v>Arbor Corp. 043</x:v>
      </x:c>
      <x:c r="D52" s="9" t="n">
        <x:v>1182000</x:v>
      </x:c>
      <x:c r="E52" s="8" t="str">
        <x:v>B</x:v>
      </x:c>
      <x:c r="F52" s="8" t="str">
        <x:v>Healthcare Providers &amp; Services</x:v>
      </x:c>
      <x:c r="G52" s="8" t="str">
        <x:v>United States</x:v>
      </x:c>
      <x:c r="H52" s="8" t="str">
        <x:v>1st Lien</x:v>
      </x:c>
      <x:c r="I52" s="8" t="str">
        <x:v>Floating</x:v>
      </x:c>
      <x:c r="J52" s="8" t="n">
        <x:v>365</x:v>
      </x:c>
      <x:c r="K52" s="10"/>
      <x:c r="L52" s="8" t="n">
        <x:v>0</x:v>
      </x:c>
      <x:c r="M52" s="11" t="n">
        <x:v>48852</x:v>
      </x:c>
      <x:c r="N52" s="10" t="n">
        <x:v>0.39</x:v>
      </x:c>
      <x:c r="O52" s="12" t="n">
        <x:v>101.5</x:v>
      </x:c>
      <x:c r="P52" s="13" t="n">
        <x:v>4</x:v>
      </x:c>
      <x:c r="Q52" s="8" t="str">
        <x:v>USD</x:v>
      </x:c>
      <x:c r="R52" s="8" t="str">
        <x:v>SOFR</x:v>
      </x:c>
      <x:c r="S52" s="1"/>
      <x:c r="T52" s="1"/>
      <x:c r="U52" s="1"/>
      <x:c r="V52" s="1"/>
      <x:c r="W52" s="1"/>
      <x:c r="X52" s="1"/>
      <x:c r="Y52" s="1"/>
    </x:row>
    <x:row r="53">
      <x:c r="A53" s="8" t="str">
        <x:v>SYN-LN-00046</x:v>
      </x:c>
      <x:c r="B53" s="8" t="str">
        <x:v>SYN-OB-0044</x:v>
      </x:c>
      <x:c r="C53" s="8" t="str">
        <x:v>Atlas Group 044</x:v>
      </x:c>
      <x:c r="D53" s="9" t="n">
        <x:v>1182000</x:v>
      </x:c>
      <x:c r="E53" s="8" t="str">
        <x:v>B+</x:v>
      </x:c>
      <x:c r="F53" s="8" t="str">
        <x:v>Electric Utilities</x:v>
      </x:c>
      <x:c r="G53" s="8" t="str">
        <x:v>United States</x:v>
      </x:c>
      <x:c r="H53" s="8" t="str">
        <x:v>1st Lien</x:v>
      </x:c>
      <x:c r="I53" s="8" t="str">
        <x:v>Floating</x:v>
      </x:c>
      <x:c r="J53" s="8" t="n">
        <x:v>300</x:v>
      </x:c>
      <x:c r="K53" s="10"/>
      <x:c r="L53" s="8" t="n">
        <x:v>0</x:v>
      </x:c>
      <x:c r="M53" s="11" t="n">
        <x:v>48911</x:v>
      </x:c>
      <x:c r="N53" s="10" t="n">
        <x:v>0.43</x:v>
      </x:c>
      <x:c r="O53" s="12" t="n">
        <x:v>101.125</x:v>
      </x:c>
      <x:c r="P53" s="13" t="n">
        <x:v>4</x:v>
      </x:c>
      <x:c r="Q53" s="8" t="str">
        <x:v>USD</x:v>
      </x:c>
      <x:c r="R53" s="8" t="str">
        <x:v>SOFR</x:v>
      </x:c>
      <x:c r="S53" s="1"/>
      <x:c r="T53" s="1"/>
      <x:c r="U53" s="1"/>
      <x:c r="V53" s="1"/>
      <x:c r="W53" s="1"/>
      <x:c r="X53" s="1"/>
      <x:c r="Y53" s="1"/>
    </x:row>
    <x:row r="54">
      <x:c r="A54" s="8" t="str">
        <x:v>SYN-LN-00047</x:v>
      </x:c>
      <x:c r="B54" s="8" t="str">
        <x:v>SYN-OB-0045</x:v>
      </x:c>
      <x:c r="C54" s="8" t="str">
        <x:v>Beacon LLC 045</x:v>
      </x:c>
      <x:c r="D54" s="9" t="n">
        <x:v>1182000</x:v>
      </x:c>
      <x:c r="E54" s="8" t="str">
        <x:v>B</x:v>
      </x:c>
      <x:c r="F54" s="8" t="str">
        <x:v>Aerospace &amp; Defense</x:v>
      </x:c>
      <x:c r="G54" s="8" t="str">
        <x:v>United States</x:v>
      </x:c>
      <x:c r="H54" s="8" t="str">
        <x:v>1st Lien</x:v>
      </x:c>
      <x:c r="I54" s="8" t="str">
        <x:v>Floating</x:v>
      </x:c>
      <x:c r="J54" s="8" t="n">
        <x:v>360</x:v>
      </x:c>
      <x:c r="K54" s="10"/>
      <x:c r="L54" s="8" t="n">
        <x:v>0</x:v>
      </x:c>
      <x:c r="M54" s="11" t="n">
        <x:v>48928</x:v>
      </x:c>
      <x:c r="N54" s="10" t="n">
        <x:v>0.305</x:v>
      </x:c>
      <x:c r="O54" s="12" t="n">
        <x:v>98.75</x:v>
      </x:c>
      <x:c r="P54" s="13" t="n">
        <x:v>4</x:v>
      </x:c>
      <x:c r="Q54" s="8" t="str">
        <x:v>USD</x:v>
      </x:c>
      <x:c r="R54" s="8" t="str">
        <x:v>SOFR</x:v>
      </x:c>
      <x:c r="S54" s="1"/>
      <x:c r="T54" s="1"/>
      <x:c r="U54" s="1"/>
      <x:c r="V54" s="1"/>
      <x:c r="W54" s="1"/>
      <x:c r="X54" s="1"/>
      <x:c r="Y54" s="1"/>
    </x:row>
    <x:row r="55">
      <x:c r="A55" s="8" t="str">
        <x:v>SYN-LN-00048</x:v>
      </x:c>
      <x:c r="B55" s="8" t="str">
        <x:v>SYN-OB-0046</x:v>
      </x:c>
      <x:c r="C55" s="8" t="str">
        <x:v>Bluewater Holdings 046</x:v>
      </x:c>
      <x:c r="D55" s="9" t="n">
        <x:v>1182000</x:v>
      </x:c>
      <x:c r="E55" s="8" t="str">
        <x:v>B</x:v>
      </x:c>
      <x:c r="F55" s="8" t="str">
        <x:v>Aerospace &amp; Defense</x:v>
      </x:c>
      <x:c r="G55" s="8" t="str">
        <x:v>United States</x:v>
      </x:c>
      <x:c r="H55" s="8" t="str">
        <x:v>1st Lien</x:v>
      </x:c>
      <x:c r="I55" s="8" t="str">
        <x:v>Floating</x:v>
      </x:c>
      <x:c r="J55" s="8" t="n">
        <x:v>365</x:v>
      </x:c>
      <x:c r="K55" s="10"/>
      <x:c r="L55" s="8" t="n">
        <x:v>0</x:v>
      </x:c>
      <x:c r="M55" s="11" t="n">
        <x:v>47832</x:v>
      </x:c>
      <x:c r="N55" s="10" t="n">
        <x:v>0.445</x:v>
      </x:c>
      <x:c r="O55" s="12" t="n">
        <x:v>101.5</x:v>
      </x:c>
      <x:c r="P55" s="13" t="n">
        <x:v>4</x:v>
      </x:c>
      <x:c r="Q55" s="8" t="str">
        <x:v>USD</x:v>
      </x:c>
      <x:c r="R55" s="8" t="str">
        <x:v>SOFR</x:v>
      </x:c>
      <x:c r="S55" s="1"/>
      <x:c r="T55" s="1"/>
      <x:c r="U55" s="1"/>
      <x:c r="V55" s="1"/>
      <x:c r="W55" s="1"/>
      <x:c r="X55" s="1"/>
      <x:c r="Y55" s="1"/>
    </x:row>
    <x:row r="56">
      <x:c r="A56" s="8" t="str">
        <x:v>SYN-LN-00049</x:v>
      </x:c>
      <x:c r="B56" s="8" t="str">
        <x:v>SYN-OB-0047</x:v>
      </x:c>
      <x:c r="C56" s="8" t="str">
        <x:v>Bracken Inc. 047</x:v>
      </x:c>
      <x:c r="D56" s="9" t="n">
        <x:v>1182000</x:v>
      </x:c>
      <x:c r="E56" s="8" t="str">
        <x:v>B-</x:v>
      </x:c>
      <x:c r="F56" s="8" t="str">
        <x:v>Diversified Telecommunication Services</x:v>
      </x:c>
      <x:c r="G56" s="8" t="str">
        <x:v>United States</x:v>
      </x:c>
      <x:c r="H56" s="8" t="str">
        <x:v>1st Lien</x:v>
      </x:c>
      <x:c r="I56" s="8" t="str">
        <x:v>Floating</x:v>
      </x:c>
      <x:c r="J56" s="8" t="n">
        <x:v>430</x:v>
      </x:c>
      <x:c r="K56" s="10"/>
      <x:c r="L56" s="8" t="n">
        <x:v>0</x:v>
      </x:c>
      <x:c r="M56" s="11" t="n">
        <x:v>47437</x:v>
      </x:c>
      <x:c r="N56" s="10" t="n">
        <x:v>0.375</x:v>
      </x:c>
      <x:c r="O56" s="12" t="n">
        <x:v>95.5</x:v>
      </x:c>
      <x:c r="P56" s="13" t="n">
        <x:v>4</x:v>
      </x:c>
      <x:c r="Q56" s="8" t="str">
        <x:v>USD</x:v>
      </x:c>
      <x:c r="R56" s="8" t="str">
        <x:v>SOFR</x:v>
      </x:c>
      <x:c r="S56" s="1"/>
      <x:c r="T56" s="1"/>
      <x:c r="U56" s="1"/>
      <x:c r="V56" s="1"/>
      <x:c r="W56" s="1"/>
      <x:c r="X56" s="1"/>
      <x:c r="Y56" s="1"/>
    </x:row>
    <x:row r="57">
      <x:c r="A57" s="8" t="str">
        <x:v>SYN-LN-00050</x:v>
      </x:c>
      <x:c r="B57" s="8" t="str">
        <x:v>SYN-OB-0048</x:v>
      </x:c>
      <x:c r="C57" s="8" t="str">
        <x:v>Cedar Corp. 048</x:v>
      </x:c>
      <x:c r="D57" s="9" t="n">
        <x:v>630000</x:v>
      </x:c>
      <x:c r="E57" s="8" t="str">
        <x:v>BBB-</x:v>
      </x:c>
      <x:c r="F57" s="8" t="str">
        <x:v>Financial services</x:v>
      </x:c>
      <x:c r="G57" s="8" t="str">
        <x:v>Netherlands</x:v>
      </x:c>
      <x:c r="H57" s="8" t="str">
        <x:v>Sr Secured</x:v>
      </x:c>
      <x:c r="I57" s="8" t="str">
        <x:v>Floating</x:v>
      </x:c>
      <x:c r="J57" s="8" t="n">
        <x:v>210</x:v>
      </x:c>
      <x:c r="K57" s="10"/>
      <x:c r="L57" s="8" t="n">
        <x:v>50</x:v>
      </x:c>
      <x:c r="M57" s="11" t="n">
        <x:v>47618</x:v>
      </x:c>
      <x:c r="N57" s="10" t="n">
        <x:v>0.33</x:v>
      </x:c>
      <x:c r="O57" s="12" t="n">
        <x:v>97.625</x:v>
      </x:c>
      <x:c r="P57" s="13" t="n">
        <x:v>4</x:v>
      </x:c>
      <x:c r="Q57" s="8" t="str">
        <x:v>USD</x:v>
      </x:c>
      <x:c r="R57" s="8" t="str">
        <x:v>SOFR</x:v>
      </x:c>
      <x:c r="S57" s="1"/>
      <x:c r="T57" s="1"/>
      <x:c r="U57" s="1"/>
      <x:c r="V57" s="1"/>
      <x:c r="W57" s="1"/>
      <x:c r="X57" s="1"/>
      <x:c r="Y57" s="1"/>
    </x:row>
    <x:row r="58">
      <x:c r="A58" s="8" t="str">
        <x:v>SYN-LN-00051</x:v>
      </x:c>
      <x:c r="B58" s="8" t="str">
        <x:v>SYN-OB-0049</x:v>
      </x:c>
      <x:c r="C58" s="8" t="str">
        <x:v>Cobalt Group 049</x:v>
      </x:c>
      <x:c r="D58" s="9" t="n">
        <x:v>1182000</x:v>
      </x:c>
      <x:c r="E58" s="8" t="str">
        <x:v>BB</x:v>
      </x:c>
      <x:c r="F58" s="8" t="str">
        <x:v>Banks</x:v>
      </x:c>
      <x:c r="G58" s="8" t="str">
        <x:v>United States</x:v>
      </x:c>
      <x:c r="H58" s="8" t="str">
        <x:v>1st Lien</x:v>
      </x:c>
      <x:c r="I58" s="8" t="str">
        <x:v>Floating</x:v>
      </x:c>
      <x:c r="J58" s="8" t="n">
        <x:v>260</x:v>
      </x:c>
      <x:c r="K58" s="10"/>
      <x:c r="L58" s="8" t="n">
        <x:v>0</x:v>
      </x:c>
      <x:c r="M58" s="11" t="n">
        <x:v>47529</x:v>
      </x:c>
      <x:c r="N58" s="10" t="n">
        <x:v>0.515</x:v>
      </x:c>
      <x:c r="O58" s="12" t="n">
        <x:v>99.125</x:v>
      </x:c>
      <x:c r="P58" s="13" t="n">
        <x:v>4</x:v>
      </x:c>
      <x:c r="Q58" s="8" t="str">
        <x:v>USD</x:v>
      </x:c>
      <x:c r="R58" s="8" t="str">
        <x:v>SOFR</x:v>
      </x:c>
      <x:c r="S58" s="1"/>
      <x:c r="T58" s="1"/>
      <x:c r="U58" s="1"/>
      <x:c r="V58" s="1"/>
      <x:c r="W58" s="1"/>
      <x:c r="X58" s="1"/>
      <x:c r="Y58" s="1"/>
    </x:row>
    <x:row r="59">
      <x:c r="A59" s="8" t="str">
        <x:v>SYN-LN-00052</x:v>
      </x:c>
      <x:c r="B59" s="8" t="str">
        <x:v>SYN-OB-0050</x:v>
      </x:c>
      <x:c r="C59" s="8" t="str">
        <x:v>Copper LLC 050</x:v>
      </x:c>
      <x:c r="D59" s="9" t="n">
        <x:v>630000</x:v>
      </x:c>
      <x:c r="E59" s="8" t="str">
        <x:v>BB+</x:v>
      </x:c>
      <x:c r="F59" s="8" t="str">
        <x:v>Construction &amp; Engineering</x:v>
      </x:c>
      <x:c r="G59" s="8" t="str">
        <x:v>United States</x:v>
      </x:c>
      <x:c r="H59" s="8" t="str">
        <x:v>1st Lien</x:v>
      </x:c>
      <x:c r="I59" s="8" t="str">
        <x:v>Floating</x:v>
      </x:c>
      <x:c r="J59" s="8" t="n">
        <x:v>195</x:v>
      </x:c>
      <x:c r="K59" s="10"/>
      <x:c r="L59" s="8" t="n">
        <x:v>50</x:v>
      </x:c>
      <x:c r="M59" s="11" t="n">
        <x:v>47815</x:v>
      </x:c>
      <x:c r="N59" s="10" t="n">
        <x:v>0.475</x:v>
      </x:c>
      <x:c r="O59" s="12" t="n">
        <x:v>99.125</x:v>
      </x:c>
      <x:c r="P59" s="13" t="n">
        <x:v>4</x:v>
      </x:c>
      <x:c r="Q59" s="8" t="str">
        <x:v>USD</x:v>
      </x:c>
      <x:c r="R59" s="8" t="str">
        <x:v>SOFR</x:v>
      </x:c>
      <x:c r="S59" s="1"/>
      <x:c r="T59" s="1"/>
      <x:c r="U59" s="1"/>
      <x:c r="V59" s="1"/>
      <x:c r="W59" s="1"/>
      <x:c r="X59" s="1"/>
      <x:c r="Y59" s="1"/>
    </x:row>
  </x:sheetData>
  <x:pageMargins left="0.7" right="0.7" top="0.75" bottom="0.75" header="0.3" footer="0.3"/>
</x:worksheet>
</file>